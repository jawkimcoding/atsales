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분석" sheetId="1" r:id="rId5"/>
    <sheet state="visible" name="농산물업체" sheetId="2" r:id="rId6"/>
    <sheet state="visible" name="①농산물raw" sheetId="3" r:id="rId7"/>
    <sheet state="visible" name="유기농업체" sheetId="4" r:id="rId8"/>
    <sheet state="visible" name="②유기농raw" sheetId="5" r:id="rId9"/>
  </sheets>
  <definedNames>
    <definedName hidden="1" localSheetId="1" name="_xlnm._FilterDatabase">'농산물업체'!$A$2:$J$288</definedName>
    <definedName hidden="1" localSheetId="2" name="_xlnm._FilterDatabase">'①농산물raw'!$A$5:$K$1455</definedName>
    <definedName hidden="1" localSheetId="4" name="_xlnm._FilterDatabase">'②유기농raw'!$A$5:$I$96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aT지원예산 사용액</t>
      </text>
    </comment>
    <comment authorId="0" ref="B5">
      <text>
        <t xml:space="preserve">농산물: 과일, 채소, 쌀, 잡곡, 견과
축산물 : 정육, 계란
가공식품 : 그 외 가공식품(ex. 떡, 과일청, 참기름, 즙 등)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aT지원예산 사용액</t>
      </text>
    </comment>
    <comment authorId="0" ref="B5">
      <text>
        <t xml:space="preserve">농산물: 과일, 채소, 쌀, 잡곡, 견과
축산물 : 정육, 계란
가공식품 : 그 외 가공식품(ex. 떡, 과일청, 참기름, 즙 등)</t>
      </text>
    </comment>
  </commentList>
</comments>
</file>

<file path=xl/sharedStrings.xml><?xml version="1.0" encoding="utf-8"?>
<sst xmlns="http://schemas.openxmlformats.org/spreadsheetml/2006/main" count="10185" uniqueCount="2421">
  <si>
    <t>2026 aT 농산물 온라인 마케터 업체 별 매출 보고</t>
  </si>
  <si>
    <t>※ 전체 기획전 결과</t>
  </si>
  <si>
    <t>1. 해당 월 참여 상품 수 및 업체수</t>
  </si>
  <si>
    <t>NO</t>
  </si>
  <si>
    <t>기간 : 07월 06일 ~ 08월 31일</t>
  </si>
  <si>
    <t>구분</t>
  </si>
  <si>
    <t>사업자등록번호</t>
  </si>
  <si>
    <t>업체명</t>
  </si>
  <si>
    <t>배정유통사</t>
  </si>
  <si>
    <t>판매건수</t>
  </si>
  <si>
    <t>총 계</t>
  </si>
  <si>
    <t>농부가바로팜</t>
  </si>
  <si>
    <t>매출액</t>
  </si>
  <si>
    <t>판촉액</t>
  </si>
  <si>
    <t>7월 실제 인입</t>
  </si>
  <si>
    <t>친환경</t>
  </si>
  <si>
    <t>도약</t>
  </si>
  <si>
    <t>218-86-00721</t>
  </si>
  <si>
    <t>주식회사 아인스</t>
  </si>
  <si>
    <t>511-87-00286</t>
  </si>
  <si>
    <t>농업회사법인 영주마실(주)</t>
  </si>
  <si>
    <t>오아시스</t>
  </si>
  <si>
    <t>롯데온</t>
  </si>
  <si>
    <t xml:space="preserve">합계 </t>
  </si>
  <si>
    <t>소 계</t>
  </si>
  <si>
    <t>네이버</t>
  </si>
  <si>
    <t>지마켓</t>
  </si>
  <si>
    <t>롯데ON</t>
  </si>
  <si>
    <t>온누리마켓</t>
  </si>
  <si>
    <t>농가살리기</t>
  </si>
  <si>
    <t>302-81-25814</t>
  </si>
  <si>
    <t>영동감협동조합</t>
  </si>
  <si>
    <t>업체수</t>
  </si>
  <si>
    <t>O</t>
  </si>
  <si>
    <t>225-90-26954</t>
  </si>
  <si>
    <t>풀무리농장</t>
  </si>
  <si>
    <t>449-92-01723</t>
  </si>
  <si>
    <t>채씨네표고농원</t>
  </si>
  <si>
    <t>시작</t>
  </si>
  <si>
    <t>326-37-00548</t>
  </si>
  <si>
    <t>파미농원</t>
  </si>
  <si>
    <t>유통사명</t>
  </si>
  <si>
    <t>406-82-02051</t>
  </si>
  <si>
    <t>구천동농업협동조합</t>
  </si>
  <si>
    <t>497-41-01341</t>
  </si>
  <si>
    <t>국가대표상황버섯</t>
  </si>
  <si>
    <t>성장</t>
  </si>
  <si>
    <t>529-44-01222</t>
  </si>
  <si>
    <t>나뚜라리농원</t>
  </si>
  <si>
    <t>품목분류</t>
  </si>
  <si>
    <t>사업자명</t>
  </si>
  <si>
    <t>사업자번호</t>
  </si>
  <si>
    <t xml:space="preserve">상품명 </t>
  </si>
  <si>
    <t>판매 건수</t>
  </si>
  <si>
    <t>312-27-45552</t>
  </si>
  <si>
    <t>바우뜨락</t>
  </si>
  <si>
    <t>416-81-92591</t>
  </si>
  <si>
    <t>7월</t>
  </si>
  <si>
    <t>201-86-47960</t>
  </si>
  <si>
    <t>다온365농업회사법인(주)</t>
  </si>
  <si>
    <t>좋은세상협동조합</t>
  </si>
  <si>
    <t>410-86-90042</t>
  </si>
  <si>
    <t>아름답게그린배영농조합법인</t>
  </si>
  <si>
    <t>가공식품</t>
  </si>
  <si>
    <t>512-13-21395</t>
  </si>
  <si>
    <t>현재농원</t>
  </si>
  <si>
    <t>516-88-01860</t>
  </si>
  <si>
    <t>주식회사 농업회사법인 에상스팜</t>
  </si>
  <si>
    <t>주식회사 마들</t>
  </si>
  <si>
    <t>892-87-01864</t>
  </si>
  <si>
    <t>춘천 닭갈비 오리지널 1kg 국내산 닭다리살(닭다리살 함량 85%)</t>
  </si>
  <si>
    <t>745-96-00315</t>
  </si>
  <si>
    <t>해담는집</t>
  </si>
  <si>
    <t>709-22-01767</t>
  </si>
  <si>
    <t>푸드상상</t>
  </si>
  <si>
    <t>상품수</t>
  </si>
  <si>
    <t>104-12-14323</t>
  </si>
  <si>
    <t>교동앵무새힐링농장</t>
  </si>
  <si>
    <t>386-96-00703</t>
  </si>
  <si>
    <t>여화원</t>
  </si>
  <si>
    <t>2. 유통사 별 쿠폰 사용액</t>
  </si>
  <si>
    <t>514-03-53195</t>
  </si>
  <si>
    <t>쌍둥이농장</t>
  </si>
  <si>
    <t>삼진식품</t>
  </si>
  <si>
    <t>186-96-01664</t>
  </si>
  <si>
    <t>산지직송 하미과메론 양구메론 경북고령 고당도 그린하미과 골드하미과3kg 5kg</t>
  </si>
  <si>
    <t>409-86-48791</t>
  </si>
  <si>
    <t>주식회사 유기농샵에프앤비</t>
  </si>
  <si>
    <t>조양식품</t>
  </si>
  <si>
    <t>579-90-00021</t>
  </si>
  <si>
    <t>(신선집중/15%+NH10%) 한상궁김치 겉절이 2kg / 출고당일생산</t>
  </si>
  <si>
    <t>농산물</t>
  </si>
  <si>
    <t>농업회사법인머쉬그로(주)</t>
  </si>
  <si>
    <t>113-87-00743</t>
  </si>
  <si>
    <t>최상등급품질 양송이버섯 1kg 2kg 산지직송 오후2시당일출고 무료배송 직접재배 산지직송 최대할인가</t>
  </si>
  <si>
    <t>쿠폰 사용액</t>
  </si>
  <si>
    <t>양송이 마이스터 재배 화이트 양송이버섯 못난이 꼬다마 구이용 피자용 매장사용 소포장 스프용 1kg 2kg</t>
  </si>
  <si>
    <t>556-72-00266</t>
  </si>
  <si>
    <t>제주오가닉스</t>
  </si>
  <si>
    <t>축산물</t>
  </si>
  <si>
    <t>803-88-01105</t>
  </si>
  <si>
    <t>오고농원(주)</t>
  </si>
  <si>
    <t>두원식품(주)</t>
  </si>
  <si>
    <t>606-81-52718</t>
  </si>
  <si>
    <t>(신선집중) 국내산 한돈 프리미엄 대패 삼겹살 1.2kg</t>
  </si>
  <si>
    <t>국내산 한돈 칼집 고추장 삼겹살 300g + 300g</t>
  </si>
  <si>
    <t>592-08-01799</t>
  </si>
  <si>
    <t>삼둥이농장</t>
  </si>
  <si>
    <t>(신선집중) 국내산 한돈 한입 옛날 삼겹살 400g + 400g</t>
  </si>
  <si>
    <t>haccp인증 국내산 한돈 간장 LA돼지갈비 300g+300g</t>
  </si>
  <si>
    <t>국내산 한돈 프리미엄 대패 삼겹살 400g + 400g</t>
  </si>
  <si>
    <t>haccp인증 국내산 한돈 고추장 주물럭 300g x6팩(총 1.8kg)</t>
  </si>
  <si>
    <t>680-87-00224</t>
  </si>
  <si>
    <t>다원팜농업회사법인유한회사</t>
  </si>
  <si>
    <t>488-88-03205</t>
  </si>
  <si>
    <t>농업회사법인 랑이네세상 주식회사</t>
  </si>
  <si>
    <t>국내산 한돈 고추장 주물럭 300g + 300g 제육볶음</t>
  </si>
  <si>
    <t>농업회사법인주식회사 말린</t>
  </si>
  <si>
    <t>324-88-02106</t>
  </si>
  <si>
    <t>해를품은 국산 꿀고구마 말랭이 60g 20봉 페이스트 고구마말랭이</t>
  </si>
  <si>
    <t>(신선집중) 해를품은 고구마스틱 고구마말랭이 20g x 30개 꿀고구마 그대로</t>
  </si>
  <si>
    <t>(신선집중) 해를품은 고구마스틱 고구마말랭이 20g x 20개 꿀고구마 그대로</t>
  </si>
  <si>
    <t>784-24-00666</t>
  </si>
  <si>
    <t>거창오미자</t>
  </si>
  <si>
    <t>402-81-54069</t>
  </si>
  <si>
    <t>참식품주식회사</t>
  </si>
  <si>
    <t>다모아영농조합법인</t>
  </si>
  <si>
    <t>613-81-60803</t>
  </si>
  <si>
    <t>무항생제 싱싱한 계란 특란 60구 (30구 x 2판) 생계란</t>
  </si>
  <si>
    <t>농협 공동선별 햇 남해 통마늘 3kg(상) 실중량 지리적표시품</t>
  </si>
  <si>
    <t>창녕 찰토마토 5kg(S-M) 창녕농협 품질보장</t>
  </si>
  <si>
    <t>산지발송 해남 꿀고구마 3kg 특상(120g~300g) 해남 산지발송</t>
  </si>
  <si>
    <t>국내산 안동 산마 3kg 가정용(혼합) 실중량</t>
  </si>
  <si>
    <t>진주 파프리카 산지직송 파프리카 3kg 실속형 (실중량)</t>
  </si>
  <si>
    <t>청정태안식품</t>
  </si>
  <si>
    <t>316-01-24597</t>
  </si>
  <si>
    <t>(마싯구마)군고구마 말랭이 75g</t>
  </si>
  <si>
    <t>888-94-01728</t>
  </si>
  <si>
    <t>파밍데이즈</t>
  </si>
  <si>
    <t>(선물용)군고구마말랭이 75g8봉지</t>
  </si>
  <si>
    <t>(선물용)군고구마말랭이 75g10봉지</t>
  </si>
  <si>
    <t>마싯구마 아이스 군고구마 1kg(한입형/4~8봉지)</t>
  </si>
  <si>
    <t>마싯구마 아이스 군고구마 1kg(혼합형/4~8봉지)</t>
  </si>
  <si>
    <t>마싯구마 아이스 군고구마 1kg(정량형/6-8봉지)</t>
  </si>
  <si>
    <t>마싯구마 아이스 군고구마 낱팩골라담기</t>
  </si>
  <si>
    <t>마싯구마 누드한입군고구마 1봉지</t>
  </si>
  <si>
    <t>김명월 검정콩 청국장가루 1kg(500g2통)</t>
  </si>
  <si>
    <t>252-86-02831</t>
  </si>
  <si>
    <t>농업회사법인주식회사한내담</t>
  </si>
  <si>
    <t>128-90-57082</t>
  </si>
  <si>
    <t>산골과수원</t>
  </si>
  <si>
    <t>김명월 흰콩 청국장가루 1kg(500g2통)</t>
  </si>
  <si>
    <t>김명월 청국장가루 SET(흰콩 500g+검정콩 500g)</t>
  </si>
  <si>
    <t>(주)우영채널</t>
  </si>
  <si>
    <t>114-86-65039</t>
  </si>
  <si>
    <t>(신선집중) 사대부 포기김치 10kg (국내산 100% 원재료 한국소비자만족브랜드 대상)</t>
  </si>
  <si>
    <t>주식회사 율림에프앤비 농업회사법인</t>
  </si>
  <si>
    <t>613-81-38510</t>
  </si>
  <si>
    <t>국내산 밤 100% 알토리 맛밤 50g10봉 햇밤 찐밤 무첨가 간식 100% 무첨가 건강 간식</t>
  </si>
  <si>
    <t>농업회사법인 (주) 살레농수산</t>
  </si>
  <si>
    <t>477-86-03031</t>
  </si>
  <si>
    <t>백진주 쌀 4kg /25년산 햅쌀/오늘출발</t>
  </si>
  <si>
    <t>백진주 쌀 10kg /25년산 햅쌀/오늘출발</t>
  </si>
  <si>
    <t>3. 유통사 별 매출 분석</t>
  </si>
  <si>
    <t>백진주 쌀 20kg /25년산 햅쌀/오늘출발</t>
  </si>
  <si>
    <t>김포금쌀 하이아미 2kg 특등급 키 크는 기능성 쌀 /25년산 햅쌀/오늘출발</t>
  </si>
  <si>
    <t>626-86-01993</t>
  </si>
  <si>
    <t>농업회사법인 (주)자연의시간</t>
  </si>
  <si>
    <t>김포금쌀 하이아미 5kg 특등급 키 크는 기능성 쌀 /25년산 햅쌀/오늘출발</t>
  </si>
  <si>
    <t>566-81-02884</t>
  </si>
  <si>
    <t>농업회사법인 주식회사 여주능서농원</t>
  </si>
  <si>
    <t>김포금쌀 하이아미 10kg 특등급 키 크는 기능성 쌀 /25년산 햅쌀/오늘출발</t>
  </si>
  <si>
    <t>김포금쌀 하이아미 20kg 특등급 키 크는 기능성 쌀 /25년산 햅쌀/오늘출발</t>
  </si>
  <si>
    <t>고시히카리 쌀 4kg /25년 햅쌀/오늘출발</t>
  </si>
  <si>
    <t>고시히카리 쌀 10kg /25년 햅쌀/오늘출발</t>
  </si>
  <si>
    <t>고시히카리 쌀 20kg /25년 햅쌀/오늘출발</t>
  </si>
  <si>
    <t>영농조합법인 팔공김치</t>
  </si>
  <si>
    <t>382-88-01160</t>
  </si>
  <si>
    <t>팔공산 명품김치 10kg</t>
  </si>
  <si>
    <t>팔공산 명품김치 5kg</t>
  </si>
  <si>
    <t>팔공산 명품김치 3kg</t>
  </si>
  <si>
    <t>팔공 명품맛김치 10kg (한입김치)</t>
  </si>
  <si>
    <t>580-88-02822</t>
  </si>
  <si>
    <t>농업회사법인 나무컴퍼니 주식회사</t>
  </si>
  <si>
    <t>711-30-00994</t>
  </si>
  <si>
    <t>팜샐러드</t>
  </si>
  <si>
    <t>팔공 명품맛김치 5kg (한입김치)</t>
  </si>
  <si>
    <t>명품 맛김치 3kg</t>
  </si>
  <si>
    <t>팔공산 명품 불김치 10kg</t>
  </si>
  <si>
    <t>팔공산 명품 불김치 5kg</t>
  </si>
  <si>
    <t>팔공산 명품 불김치 3kg</t>
  </si>
  <si>
    <t>당진시농협쌀조합공동사업법인</t>
  </si>
  <si>
    <t>733-81-01525</t>
  </si>
  <si>
    <t>출고당일도정 || 당진로얄삼광 특등급 쌀20kg 1개 2025년산 햅쌀 (서해대통 당진해나루)</t>
  </si>
  <si>
    <t>출고당일도정 || 당진로얄삼광쌀 특등급 쌀20kg (10kg 2개) 2025년산 햅쌀 (서해대통 당진해나루)</t>
  </si>
  <si>
    <t>출고당일도정 해풍맞고자란 당진해나루쌀 삼광미특등급 쌀20kg 2025년산 햅쌀 (당진시농협쌀조합)</t>
  </si>
  <si>
    <t>출고당일도정 해풍맞고자란 당진해나루쌀 삼광미특등급 쌀10kg 2025년산 햅쌀 (당진시농협쌀조합)</t>
  </si>
  <si>
    <t>출고당일도정 당진해나루 당찬진미 특등급 쌀10kg 2025년산 햅쌀 (당진시농협쌀조합)</t>
  </si>
  <si>
    <t>815-15-01628</t>
  </si>
  <si>
    <t>뭇별농장</t>
  </si>
  <si>
    <t>출고당일도정 당진해나루 당찬진미 특등급 쌀10kg 2개 2025년산 햅쌀 (당진시농협쌀조합)</t>
  </si>
  <si>
    <t>당진해나루쌀 10kg x 2개 출고당일도정 삼광미특등급 2025년산 해풍맞고자란 햅쌀</t>
  </si>
  <si>
    <t>출고당일도정 || 청풍명월 당진쌀 상등급 20kg 1개 ( 2025년산 햅쌀 서해대통 당진해나루)</t>
  </si>
  <si>
    <t>출고당일도정 || 청풍명월 당진쌀 상등급 20kg (10kg 2개) (2025년산 햅쌀 서해대통 당진해나루)</t>
  </si>
  <si>
    <t>출고당일도정 || 청풍명월 당진쌀 상등급 10kg 1개 ( 2025년산 햅쌀 서해대통 당진해나루)</t>
  </si>
  <si>
    <t>(서해대통) 당진해나루 현미 10kg (5kg 2개) 2025년 햅쌀 / 출고당일도정</t>
  </si>
  <si>
    <t>서해대통 당진쌀 당진 친들미 20kg 25년산 (출고당일도정)</t>
  </si>
  <si>
    <t>463-93-01691</t>
  </si>
  <si>
    <t>맛이슈 당진쌀 20kg 2025년 햅쌀 (당진해나루 / 출고당일도정)</t>
  </si>
  <si>
    <t>피스팜</t>
  </si>
  <si>
    <t>철원봉학미곡처리장</t>
  </si>
  <si>
    <t>127-42-46728</t>
  </si>
  <si>
    <t>(산지직송) 철원오대쌀 20kg (100% 오대미 상등급) (10kg 2개) 출고당일도정 2025년산 햅쌀</t>
  </si>
  <si>
    <t>(산지직송) 철원오대쌀 4kg (100% 오대미 상등급) 출고당일도정 2025년산 햅쌀</t>
  </si>
  <si>
    <t>502-81-55602</t>
  </si>
  <si>
    <t>농업법인회사 (주)초록원</t>
  </si>
  <si>
    <t>( 출고당일도정 ) 철원오대쌀 10kg 1개 골드 2025년산 햅쌀</t>
  </si>
  <si>
    <t>( 출고당일도정 ) 철원오대쌀 10kg 2개 골드 2025년산 햅쌀</t>
  </si>
  <si>
    <t>철원향미 찹쌀 4kg (철원오대쌀이 자라는 철원평야) 출고당일도정 2025년산 햅쌀</t>
  </si>
  <si>
    <t>찹쌀 철원향미 10kg (철원오대쌀이 자라는 철원평야) 출고당일도정 2025년산 햅쌀</t>
  </si>
  <si>
    <t>( 출고당일도정 ) 철원오대쌀골드 10kg 2개 상등급 2025년산 햅쌀</t>
  </si>
  <si>
    <t>두루미쌀 10kg 상등급 2025년산 (출고당일도정)</t>
  </si>
  <si>
    <t>두루미쌀 20kg(10kg 2개) 상등급 2025년산 (출고당일도정)</t>
  </si>
  <si>
    <t>옥과농원</t>
  </si>
  <si>
    <t>408-91-76416</t>
  </si>
  <si>
    <t>곡성 친환경 참송이버섯 500g (농장직송)</t>
  </si>
  <si>
    <t>곡성 친환경 참송이버섯 선물용 / 선물세트 (고급이끼포장)</t>
  </si>
  <si>
    <t>621-96-06105</t>
  </si>
  <si>
    <t>HK팜</t>
  </si>
  <si>
    <t>형지표고버섯</t>
  </si>
  <si>
    <t>290-94-00335</t>
  </si>
  <si>
    <t>(20%+7%) 국산 참나무 표고버섯 원목 표고 슬라이스 200g</t>
  </si>
  <si>
    <t>참나무 원목 표고버섯 가루 300g 천연조미료</t>
  </si>
  <si>
    <t>국산 참나무 천연조미료 표고버섯가루 140g</t>
  </si>
  <si>
    <t>654-88-01503</t>
  </si>
  <si>
    <t>(주)밀알케이</t>
  </si>
  <si>
    <t>4. 유통사 별 판매 건수</t>
  </si>
  <si>
    <t>참나무 건표고버섯 다용도 국물육수용 요리용 500g</t>
  </si>
  <si>
    <t>국산 참나무 건표고버섯 표고사각(칩) 150g</t>
  </si>
  <si>
    <t>국내산 상황버섯 150g</t>
  </si>
  <si>
    <t>국산 장수 상황버섯 슬라이스 100g</t>
  </si>
  <si>
    <t>국산 장수 상황버섯 칩 50g</t>
  </si>
  <si>
    <t>국내산 영지버섯 절편 슬라이스 500g</t>
  </si>
  <si>
    <t>347-93-02082</t>
  </si>
  <si>
    <t>초록이들</t>
  </si>
  <si>
    <t>국산 영지버섯 절편 슬라이스 200g</t>
  </si>
  <si>
    <t>국내산 간편한 영지버섯 사각 조각(칩) 100g</t>
  </si>
  <si>
    <t>형지표고버섯 백화고 명품 1호 표고버섯 선물세트</t>
  </si>
  <si>
    <t>형지표고버섯 표고 영지버섯 간편 표고버섯 선물세트</t>
  </si>
  <si>
    <t>형지표고버섯 동고 혼합 2호 표고버섯 선물세트</t>
  </si>
  <si>
    <t>774-11-01498</t>
  </si>
  <si>
    <t>경성표고버섯농장</t>
  </si>
  <si>
    <t>형지표고버섯 상황버섯 백화고 명품5호 버섯 선물세트</t>
  </si>
  <si>
    <t>국산 참나무 동고 영지버섯 혼합1호 버섯 선물세트</t>
  </si>
  <si>
    <t>형지표고버섯 표고 영지 상황버섯 4종1호 버섯 선물세트</t>
  </si>
  <si>
    <t>형지표고버섯 영지버섯 상황버섯 명품3호 버섯 선물세트</t>
  </si>
  <si>
    <t>형지표고버섯 흑화고 상황버섯 혼합2호 표고 버섯 선물세트</t>
  </si>
  <si>
    <t>국산 참나무 흑화고 상황버섯 혼합 버섯 선물세트</t>
  </si>
  <si>
    <t>국산 참나무 백화고 상황버섯 혼합 버섯 선물세트</t>
  </si>
  <si>
    <t>국산 참나무 백화고 영지버섯 혼합 선물세트</t>
  </si>
  <si>
    <t>국산 참나무 흑화고 표고 영지버섯 혼합 선물세트</t>
  </si>
  <si>
    <t>408-24-61681</t>
  </si>
  <si>
    <t>한국제다</t>
  </si>
  <si>
    <t>형지표고버섯 백화고 특 1호 표고버섯 선물세트</t>
  </si>
  <si>
    <t>형지표고버섯 흑화고 특 2호 표고버섯 선물세트</t>
  </si>
  <si>
    <t>형지표고버섯 종합 4종 4호 표고버섯 선물세트</t>
  </si>
  <si>
    <t>형지표고버섯 동고 특 2호 표고버섯 선물세트</t>
  </si>
  <si>
    <t>형지표고버섯 흑화고 혼합3호 표고버섯 선물세트</t>
  </si>
  <si>
    <t>형지표고버섯 백화고 특 3호 표고버섯 선물세트</t>
  </si>
  <si>
    <t>형지표고버섯 백화고 혼합2호 표고버섯 선물세트</t>
  </si>
  <si>
    <t>농부플러스</t>
  </si>
  <si>
    <t>571-81-00383</t>
  </si>
  <si>
    <t>국산 냉압착 생들기름 300ml</t>
  </si>
  <si>
    <t>농부플러스 국산 토종꿀 아카시아꿀 숙성꿀 1kg</t>
  </si>
  <si>
    <t>농부플러스 국산 냉압착 생들기름 200ml</t>
  </si>
  <si>
    <t>416-81-44143</t>
  </si>
  <si>
    <t>도울 F&amp;B</t>
  </si>
  <si>
    <t>국산 저온착유 참기름 300ml</t>
  </si>
  <si>
    <t>농부플러스 국산 냉압착 생들기름 식물성 오메가3 스틱 5g 30개입</t>
  </si>
  <si>
    <t>226-81-48890</t>
  </si>
  <si>
    <t>정선아라리한과농원 영농조합법인</t>
  </si>
  <si>
    <t>농부플러스 국산 토종꿀 아카시아꿀 스틱형 허니스틱 (10g 30개입)</t>
  </si>
  <si>
    <t>농부플러스 국산 저온압착 참기름 200ml</t>
  </si>
  <si>
    <t>농부플러스 국산 토종꿀 잡화꿀 야생화꿀 숙성꿀 1kg</t>
  </si>
  <si>
    <t>농부플러스 국산 토종꿀 잡화꿀 스틱형 허니스틱 (10g 30개입)</t>
  </si>
  <si>
    <t>농부플러스 국산 저온압착 들기름 200ml</t>
  </si>
  <si>
    <t>국산 볶음참깨 햇 참깨 볶은참깨 토종 통깨 200g</t>
  </si>
  <si>
    <t>국산 냉압착 생들기름 300ml x3병</t>
  </si>
  <si>
    <t>냉압착 생들기름 180ml/햇들깨/국내산 100%/ 농부드림</t>
  </si>
  <si>
    <t>국산 저온착유 들기름 300ml</t>
  </si>
  <si>
    <t>농부플러스 국산 냉압착 생들기름+참기름 200m 2병 선물세트</t>
  </si>
  <si>
    <t>농부플러스 국산 토종꿀 잡화꿀 야생화꿀 숙성꿀 500g</t>
  </si>
  <si>
    <t>저온압착 참기름 180ml/햇참깨/국내산 100%/ 농부드림</t>
  </si>
  <si>
    <t>412-81-24086</t>
  </si>
  <si>
    <t>영흥농산영농조합법인</t>
  </si>
  <si>
    <t>농부플러스 국산 토종꿀 아카시아꿀 숙성꿀 300g</t>
  </si>
  <si>
    <t>농부플러스 국산 토종꿀 아카시아꿀 숙성 꿀 500g</t>
  </si>
  <si>
    <t>국산 볶음참깨 햇 참깨 볶은참깨 토종 통깨 150g</t>
  </si>
  <si>
    <t>저온압착 들기름 참기름 180ml 2병 선물 세트</t>
  </si>
  <si>
    <t>754-88-00876</t>
  </si>
  <si>
    <t>베리네이처</t>
  </si>
  <si>
    <t>농부플러스 아카시아꿀 300g 2구 선물세트</t>
  </si>
  <si>
    <t>농부플러스 국산 냉압착 생들기름 식물성 오메가3 스틱 선물세트 (5g 30개입)</t>
  </si>
  <si>
    <t>농부플러스 국산 토종꿀 아카시아꿀 1kg 1병 선물세트</t>
  </si>
  <si>
    <t>듬뿍농원</t>
  </si>
  <si>
    <t>411-08-51893</t>
  </si>
  <si>
    <t>(20%) 찐한 겉잎까지 달인 양배추즙 100포 100ml 무안 (산지 직송) 듬뿍농원</t>
  </si>
  <si>
    <t>붉은맛이 살아있는 무안 황토 비트즙 100포 100ml 무안 (산지직송)</t>
  </si>
  <si>
    <t>142-33-00898</t>
  </si>
  <si>
    <t>어이딸부각</t>
  </si>
  <si>
    <t>듬뿍농원 겉껍질까지 달인 무안 양배추즙 100포 무안(산지직송) 진액</t>
  </si>
  <si>
    <t>듬뿍농원 겉껍질까지 달인 무안 참솔잎 양파즙 100포</t>
  </si>
  <si>
    <t>듬뿍농원 겉껍질까지 달인 무안 빨간 양파즙 100포 무안 (산지직송)</t>
  </si>
  <si>
    <t>듬뿍농원 겉껍질까지 달인 무안 빨간 양파즙 50포 무안 (산지직송)</t>
  </si>
  <si>
    <t>듬뿍농원 겉껍질까지 달인 무안 순수 양파즙 50포 무안 (산지직송)</t>
  </si>
  <si>
    <t>듬뿍농원 겉껍질까지 달인 무안 참솔잎 양파즙 50포</t>
  </si>
  <si>
    <t>듬뿍농원 겉껍질까지 달인 무안 순수 양파즙 100포 무안 (산지직송) 110ml 대용량</t>
  </si>
  <si>
    <t>144-92-00528</t>
  </si>
  <si>
    <t>햇터농장</t>
  </si>
  <si>
    <t>붉은맛이 살아있는무안황토 비트즙 50포 100ml 무안(산지직송)</t>
  </si>
  <si>
    <t>듬뿍곡간</t>
  </si>
  <si>
    <t>181-02-01980</t>
  </si>
  <si>
    <t>듬뿍곡간 수제 쑥 떡 인절미/ 선물세트 간식 식사대용 1kg +콩고물 해썹인증시설</t>
  </si>
  <si>
    <t>507-81-09103</t>
  </si>
  <si>
    <t>듬뿍곡간 수제 백미찹쌀누룽지/ 식사대용 간식 누릉지</t>
  </si>
  <si>
    <t>나래친환경영농조합법인</t>
  </si>
  <si>
    <t>듬뿍곡간 수제누룽지 9개입 / 명절선물세트 누릉지</t>
  </si>
  <si>
    <t>듬뿍곡간 수제누룽지 6개입 / 명절선물세트 누릉지</t>
  </si>
  <si>
    <t>5. 유통사별 품목별 쿠폰 사용액</t>
  </si>
  <si>
    <t>듬뿍곡간 수제 귀리누룽지 / 식사대용 간식 누릉지</t>
  </si>
  <si>
    <t>듬뿍곡간 수제 보리누룽지 / 식사대용 간식 누릉지</t>
  </si>
  <si>
    <t>듬뿍곡간 수제 현미누룽지 / 식사대용 간식 누릉지</t>
  </si>
  <si>
    <t>듬뿍곡간 국내산 볶은 귀리 / 아침식사대용 간식</t>
  </si>
  <si>
    <t>듬뿍곡간 국내산 쑥미숫가루 / 선식 식사대용 간식 500g</t>
  </si>
  <si>
    <t>753-27-02040</t>
  </si>
  <si>
    <t>해피팜</t>
  </si>
  <si>
    <t>듬뿍곡간 국내산 귀리가루 / 식사대용 선식 미숫가루 500g</t>
  </si>
  <si>
    <t>농업회사법인(주)가남농원</t>
  </si>
  <si>
    <t>416-81-59229</t>
  </si>
  <si>
    <t>(20%) 광양매화마을 매실장인이 만든 매실원액 1000ml x 3</t>
  </si>
  <si>
    <t>광양매화마을 매실장인이 만든 매실원액 1000ml x 5</t>
  </si>
  <si>
    <t>김승희매실가 신지식 농업인이 만든 매실절임 1kg</t>
  </si>
  <si>
    <t>천기누설 매실 장인이만든 매실고 (농축액) 150g</t>
  </si>
  <si>
    <t>천기누설 매실 장인이만든 매실고150g (농축액) 2병</t>
  </si>
  <si>
    <t>100% 씨를 제거한 매실원액 프리미엄 청매원 900ml x3</t>
  </si>
  <si>
    <t>190-97-01151</t>
  </si>
  <si>
    <t>지구별농장</t>
  </si>
  <si>
    <t>100% 씨를 제거한 매실원액 프리미엄 청매원 900mlx3</t>
  </si>
  <si>
    <t>608-88-00253</t>
  </si>
  <si>
    <t>농업회사법인 주식회사 코리아식품</t>
  </si>
  <si>
    <t>농업회사법인 팜팜(주)</t>
  </si>
  <si>
    <t>177-81-00798</t>
  </si>
  <si>
    <t>스테비아 국산 토마토 주스 설탕 무첨가 30포 1박스 110ml 30개 논산 직영산지 직접 재배 토마토로 만든</t>
  </si>
  <si>
    <t>(품질보증) 산지직송 정품과 완숙토마토 5KG 당일수확 유럽종</t>
  </si>
  <si>
    <t>수촌농장</t>
  </si>
  <si>
    <t>477-93-01384</t>
  </si>
  <si>
    <t>(신선집중) 참외 산지직송 고당도 저탄소 꿀 참외 4.5kg(혼합과)</t>
  </si>
  <si>
    <t>농업회사법인주식회사착한푸드</t>
  </si>
  <si>
    <t>809-86-00022</t>
  </si>
  <si>
    <t>복숭아 대극천복숭아 2kg(21-24과내외)</t>
  </si>
  <si>
    <t>복숭아 대극천복숭아 2kg(17-20과내외)</t>
  </si>
  <si>
    <t>복숭아 대극천복숭아 2kg(13-16과내외)</t>
  </si>
  <si>
    <t>복숭아 경북 아삭이 복숭아 4kg(20과내외)/중과</t>
  </si>
  <si>
    <t>복숭아 경북 아삭이 복숭아 4kg(18과내외)/중대과</t>
  </si>
  <si>
    <t>201-98-68634</t>
  </si>
  <si>
    <t>복숭아 경북 아삭이 복숭아 4kg(16과내외)/대과</t>
  </si>
  <si>
    <t>아침에계란</t>
  </si>
  <si>
    <t>복숭아 아삭이복숭아 2kg(11-15과내외)</t>
  </si>
  <si>
    <t>복숭아 아삭이복숭아 2kg(9-10과내외)</t>
  </si>
  <si>
    <t>복숭아 아삭이복숭아 2kg(5-8과내외)</t>
  </si>
  <si>
    <t>정진농장</t>
  </si>
  <si>
    <t>126-99-15769</t>
  </si>
  <si>
    <t>유럽상추 GAP인증샐러드상추 산지직송 당일수확 루꼴라</t>
  </si>
  <si>
    <t>애산농원</t>
  </si>
  <si>
    <t>245-06-03392</t>
  </si>
  <si>
    <t>제주 유기농감귤착즙주스 100% 150ml 10개</t>
  </si>
  <si>
    <t>농업회사법인주식회사 늘해랑</t>
  </si>
  <si>
    <t>756-87-00841</t>
  </si>
  <si>
    <t>조은해남 고구마 못난이 10kg (꿀호박 랜덤발송)</t>
  </si>
  <si>
    <t>706-01-03422</t>
  </si>
  <si>
    <t>조은해남 달콤한 세척 꿀고구마 특상5kg</t>
  </si>
  <si>
    <t>아침농부</t>
  </si>
  <si>
    <t>540-93-02100</t>
  </si>
  <si>
    <t>청운유통</t>
  </si>
  <si>
    <t>조은해남 달콤한 세척 꿀고구마 특상10kg</t>
  </si>
  <si>
    <t>조은해남 달콤한 꿀밤고구마 특상 5kg</t>
  </si>
  <si>
    <t>조은해남 달콤한 꿀고구마 특상 5kg</t>
  </si>
  <si>
    <t>(신선집중) 조은해남 달콤한 꿀고구마 중 5kg</t>
  </si>
  <si>
    <t>달콤한 꿀고구마 특상 5kg</t>
  </si>
  <si>
    <t>조은해남 달콤한 꿀고구마 중 3kg</t>
  </si>
  <si>
    <t>조은해남 달콤한 꿀고구마 특상 3kg</t>
  </si>
  <si>
    <t>(신선집중) 조은해남 고구마 못난이 10kg (꿀호박 랜덤발송)</t>
  </si>
  <si>
    <t>조은해남 달콤한 호박고구마 특상10kg</t>
  </si>
  <si>
    <t>조은해남 달콤한 호박고구마 특상 5kg</t>
  </si>
  <si>
    <t>116-81-80195</t>
  </si>
  <si>
    <t>유한회사 못골농업회사</t>
  </si>
  <si>
    <t>조은해남 달콤한 꿀고구마 특상3kg</t>
  </si>
  <si>
    <t>(신선집중) 조은해남 달콤한 호박고구마 특상5kg</t>
  </si>
  <si>
    <t>(신선집중) 조은해남 못난이 고구마10kg</t>
  </si>
  <si>
    <t>(신선집중) 조은해남 달콤한꿀고구마 특상3kg</t>
  </si>
  <si>
    <t>조은해남 달콤한 꿀고구마 특상 10kg</t>
  </si>
  <si>
    <t>조은해남 달콤한 꿀고구마 중 10kg</t>
  </si>
  <si>
    <t>761-46-00855</t>
  </si>
  <si>
    <t>코스모스길 옆 상황버</t>
  </si>
  <si>
    <t>(신선집중) 조은해남 달콤한 꿀고구마 한입 10kg</t>
  </si>
  <si>
    <t>(신선집중) 조은해남 달콤한 꿀고구마 특상 5kg</t>
  </si>
  <si>
    <t>208-22-52837</t>
  </si>
  <si>
    <t>소유농장</t>
  </si>
  <si>
    <t>임마누엘농장</t>
  </si>
  <si>
    <t>382-91-01817</t>
  </si>
  <si>
    <t>난각번호1번 프리미엄 유정란 꾸지뽕 먹고 자란 자유 방사 유정란 자연방목 계란 대란 20구</t>
  </si>
  <si>
    <t>초림단지묵</t>
  </si>
  <si>
    <t>615-14-93195</t>
  </si>
  <si>
    <t>초림단지묵 국산 100% 도토리묵 400g 2인분 x 1팩</t>
  </si>
  <si>
    <t>초림단지묵 국산100% 도토리묵 묵사발 세트</t>
  </si>
  <si>
    <t>초림단지묵 명인 국산 콩물 우묵채 (2인분)</t>
  </si>
  <si>
    <t>초림단지묵 국산 콩물 콩가루 90g 1인분 x 5팩 물만타면 콩국수</t>
  </si>
  <si>
    <t>초림단지묵 국산 콩물 콩가루 400g 4인분 물만타면 콩국수</t>
  </si>
  <si>
    <t>그린몬스터즈</t>
  </si>
  <si>
    <t>883-95-01472</t>
  </si>
  <si>
    <t>당일수확발송 그린몬스터즈 프리미엄 미니오이 1.5kg 농장직거래 여름작기 첫수확 특가할인행사</t>
  </si>
  <si>
    <t>당일수확발송 그린몬스터즈 프리미엄 미니오이 750g 농장직거래 여름작기 첫수확 특가할인행사</t>
  </si>
  <si>
    <t>412-90-50529</t>
  </si>
  <si>
    <t>행운가족농원</t>
  </si>
  <si>
    <t>농업회사법인 주식회사 마이티팜</t>
  </si>
  <si>
    <t>460-88-01363</t>
  </si>
  <si>
    <t>국산 아카시아 꿀스틱 30포 / 100% 천연 벌꿀 아카시아꿀 허니스틱</t>
  </si>
  <si>
    <t>국산 프로폴리스 꿀스틱 15포 / 컨디션 건강 관리 에너지 스틱 꿀 2026 리뉴얼</t>
  </si>
  <si>
    <t>국산 프로폴리스 꿀스틱 30포 / 천연 벌꿀 허니스틱 꿀</t>
  </si>
  <si>
    <t>꿀프로 국내산 맛있는 프로폴리스 꿀스틱 10포 /아카시아꿀+프로폴리스</t>
  </si>
  <si>
    <t>꿀프로 국내산 맛있는 프로폴리스 꿀스틱 20포 /아카시아꿀+프로폴리스</t>
  </si>
  <si>
    <t>스위터 국내산 아카시아꿀 500g 100% 천연 벌꿀</t>
  </si>
  <si>
    <t>522-17-00696</t>
  </si>
  <si>
    <t>엿공장</t>
  </si>
  <si>
    <t>스위터 국산 꿀스틱 10포 벌꿀 허니스틱 답례품 선물</t>
  </si>
  <si>
    <t>스위터 국내산 아카시아 천연벌꿀 스틱 10p 꿀 아카시아꿀</t>
  </si>
  <si>
    <t>국산 아카시아꿀 꿀스틱 선물세트 60포+쇼핑백 / 100% 천연 벌꿀 허니스틱 꿀 선물</t>
  </si>
  <si>
    <t>농부플러스 농업회사법인 주식회사</t>
  </si>
  <si>
    <t>국산 프로폴리스 꿀스틱 선물세트 60포+쇼핑백 / 건강 축하 응원 부모님 직장인 선물</t>
  </si>
  <si>
    <t>6가지맛 과일 꿀차 선물세트 허니카페 /부모님 선생님 선물 센스있는 답례품</t>
  </si>
  <si>
    <t>어이딸 순한 김부각 160g 찹쌀 수제 비건 글루텐프리 저당</t>
  </si>
  <si>
    <t>고추크런치 70g 고추부각 튀각 찹쌀 수제 비건</t>
  </si>
  <si>
    <t>어이딸 김부각 선물세트 소 5개입 찹쌀 수제 비건 글루텐프리 저당</t>
  </si>
  <si>
    <t>어이딸 김부각 선물세트 중 8개입 찹쌀 수제 비건 글루텐프리 저당</t>
  </si>
  <si>
    <t>농업회사법인 유한회사 자연식품</t>
  </si>
  <si>
    <t>264-81-50516</t>
  </si>
  <si>
    <t>(HACPP 인증) 자연그대로 배도라지즙 100ml x 30팩</t>
  </si>
  <si>
    <t>(HACPP 인증) 자연그대로 배도라지즙 100ml x 60팩</t>
  </si>
  <si>
    <t>715-87-02493</t>
  </si>
  <si>
    <t>농업회삽법인 라이플로우 주식회사</t>
  </si>
  <si>
    <t>(HACPP 인증) 자연그대로 배도라지즙 100ml x 90팩 / 선물용 패키지박스(30팩 x 3박스)</t>
  </si>
  <si>
    <t>(HACPP 인증) 자연그대로 배도라지즙 100ml x 100팩+10팩(총110팩)</t>
  </si>
  <si>
    <t>자연 그대로 도라지배즙 100ml 30팩</t>
  </si>
  <si>
    <t>자연 그대로 도라지배즙 100ml 60팩</t>
  </si>
  <si>
    <t>자연 그대로 도라지배즙 100ml 90팩</t>
  </si>
  <si>
    <t>685-88-00527</t>
  </si>
  <si>
    <t>농업회사법인주식회사다고</t>
  </si>
  <si>
    <t>자연이 만든 도라지배즙 파우치 100ml 30팩</t>
  </si>
  <si>
    <t>자연이 만든 도라지배즙 파우치 100ml 60팩</t>
  </si>
  <si>
    <t>(HACPP 인증) 자연이 만든 도라지배즙 100ml x 100팩+10팩(총110팩)</t>
  </si>
  <si>
    <t>자연이 만든 도라지배즙 스파우트 100ml 30팩</t>
  </si>
  <si>
    <t>191-97-01154</t>
  </si>
  <si>
    <t>파머레시피</t>
  </si>
  <si>
    <t>자연이 만든 도라지배즙 스파우트 100ml 60팩</t>
  </si>
  <si>
    <t>(도라지 20%) HACCP인증 자연이 만든 더 진한 도라지배즙 스파우트 100ml x 30팩</t>
  </si>
  <si>
    <t>(도라지 20%) HACCP인증 자연이 만든 더 진한 도라지배즙 스파우트 100ml x 60팩</t>
  </si>
  <si>
    <t>(HACPP 인증) 자연그대로 무안 자색양파즙 100ml x 30팩</t>
  </si>
  <si>
    <t>(HACPP 인증) 자연그대로 무안 자색양파즙 100ml x 60팩</t>
  </si>
  <si>
    <t>(HACPP 인증) 자연그대로 무안 자색양파즙 100ml x 100팩+10팩(총110팩)</t>
  </si>
  <si>
    <t>(HACPP 인증) 자연그대로 무안 자색양파즙 100ml x 140팩 / 최대용량 기획세트(35팩 x 4박스)</t>
  </si>
  <si>
    <t>(100포) 자연식품 무안 양파즙 100ml x 100팩(실속구성 HACCP)</t>
  </si>
  <si>
    <t>792-88-00316</t>
  </si>
  <si>
    <t>농업회사법인(주)새나라</t>
  </si>
  <si>
    <t>농업회사법인제프런주식회사</t>
  </si>
  <si>
    <t>616-81-85948</t>
  </si>
  <si>
    <t>(신선집중) 밤호박 제주직송 밤단호박 보우짱 5kg실중량(9~25과내외)</t>
  </si>
  <si>
    <t>농업회사법인 (주)생생초</t>
  </si>
  <si>
    <t>514-81-74335</t>
  </si>
  <si>
    <t>생생초 애사비 애플사이다비니거 생초 사과식초 1000ml 생사과만 발효시켜 초모가 살아있는 자연발효식초</t>
  </si>
  <si>
    <t>(주)노스팜</t>
  </si>
  <si>
    <t>639-81-03411</t>
  </si>
  <si>
    <t>전라도할매 국내산 원재료로 만든 얼갈이김치 2.5kg+열무김치2.5kg / 총 5kg / 국산 100% 재료 및 제조</t>
  </si>
  <si>
    <t>창녕 양파 햇양파 3kg (4번 5.9cm이하)</t>
  </si>
  <si>
    <t>창녕 양파 햇양파 3kg (3번 6-6.9cm)</t>
  </si>
  <si>
    <t>132-81-55005</t>
  </si>
  <si>
    <t>창녕 양파 햇양파 3kg (2번 7-7.9cm)</t>
  </si>
  <si>
    <t>농업회사법인 하늘농가(주)</t>
  </si>
  <si>
    <t>(신선집중) 사대부 포기김치 10kg (국내산 100% 농산물 한국소비자만족브랜드 대상)</t>
  </si>
  <si>
    <t>제주 유기농감귤착즙주스 100% 150ml 30개</t>
  </si>
  <si>
    <t>221-13-36518</t>
  </si>
  <si>
    <t>두루푸드</t>
  </si>
  <si>
    <t>제주 유기농감귤착즙주스 100% 150ml 20개</t>
  </si>
  <si>
    <t>찬찬한상</t>
  </si>
  <si>
    <t>459-15-02771</t>
  </si>
  <si>
    <t>(갈비맛집1995 런칭특가) 제육갈비 1+ 한돈 간장볶음 양념 돼지고기 불고기주물럭 두루치기 350g 4팩 1.4kg</t>
  </si>
  <si>
    <t>(신선집중) 사과 초록사과 4kg(26-30과내외)/꼬마소과</t>
  </si>
  <si>
    <t>사과 초록사과 2kg(13-15과내외)/꼬마소과</t>
  </si>
  <si>
    <t>사과 초록사과 2kg(10-12과내외)/소과</t>
  </si>
  <si>
    <t>사과 초록사과 2kg(8-9과내외)/중과</t>
  </si>
  <si>
    <t>사과 초록사과 4kg(21-25과내외)/소과</t>
  </si>
  <si>
    <t>280-87-01644</t>
  </si>
  <si>
    <t>디에스영농조합법인</t>
  </si>
  <si>
    <t>사과 초록사과 4kg(16-20과내외)/중과</t>
  </si>
  <si>
    <t>아침햇살영농조합법인</t>
  </si>
  <si>
    <t>508-81-33305</t>
  </si>
  <si>
    <t>(신선집중) 아삭아삭 사과 부사 4kg 가정용(27~33과) 꼬마과 기스과 /상처과</t>
  </si>
  <si>
    <t>아삭아삭 사과 실중량9kg 가정용 사과 /소과~꼬꼬크기 흡집사과/</t>
  </si>
  <si>
    <t>(신선집중) 20%+5%/ 입안과즙가득 빨간사과 청송사과 정품사과 2.5kg 11~14과 팬캡포장 부사</t>
  </si>
  <si>
    <t>515-81-53707</t>
  </si>
  <si>
    <t>농업회사법인 닥터애그 주식회사</t>
  </si>
  <si>
    <t>(신선집중) 아삭아삭 사과 아삭아삭 부사사과 가정용 2kg 12-16과(소과)+2박스 구매시 4.5kg발송/미색/</t>
  </si>
  <si>
    <t>사과를 가득담아 사과100% 사과꽃향기 사과즙 100mlX50팩 NFC착즙/(스타배송)</t>
  </si>
  <si>
    <t>창녕 양파 햇양파 3kg (1번/왕특)</t>
  </si>
  <si>
    <t>상주에덴곶감농원</t>
  </si>
  <si>
    <t>511-98-46139</t>
  </si>
  <si>
    <t>(신선집중) 상주에덴곶감 건시선물세트 2026년 햇곶감 1.0kg내외 박스무게제외 예약배송가능</t>
  </si>
  <si>
    <t>(신선집중) 상주에덴곶감 건시선물세트 2026년 햇곶감 1.5KG 박스무게제외 예약배송가능</t>
  </si>
  <si>
    <t>햇살 가득 영암 무화과 2kg(500g x 4팩) 지리적표시 특산품</t>
  </si>
  <si>
    <t>464-96-01832</t>
  </si>
  <si>
    <t>고센153</t>
  </si>
  <si>
    <t>(신선집중) 햇살 가득 영암 무화과 1kg(500g x 2팩) 지리적표시 특산품</t>
  </si>
  <si>
    <t>(신선집중) 이베따 알밤처럼 타박한 산청 밤고구마 3kg(무선별)</t>
  </si>
  <si>
    <t>농업회사법인 주식회사 다움랩스</t>
  </si>
  <si>
    <t>839-87-03615</t>
  </si>
  <si>
    <t>문스팜 국산 원재료 전라도식 열무김치 4kg</t>
  </si>
  <si>
    <t>(신선집중) 사과 경북 햇 가정용 홍로사과 2kg(13-17과)/꼬마소과</t>
  </si>
  <si>
    <t>사과 경북 햇 가정용 홍로사과 2kg(6-8과)/중과</t>
  </si>
  <si>
    <t>(신선집중) 사과 경북 햇 가정용 홍로사과 2kg(9-12과)/중소과</t>
  </si>
  <si>
    <t>사과 경북 사과 선물세트 3kg(13과내외)/중과</t>
  </si>
  <si>
    <t>사과 경북 사과 선물세트 3kg(11과내외)/중대과</t>
  </si>
  <si>
    <t>사과 경북 사과 프리미엄 선물세트 3kg(9과내외)/대과/제수용</t>
  </si>
  <si>
    <t>사과 경북 사과 선물세트 4kg(18과내외)/중과</t>
  </si>
  <si>
    <t>511-81-14298</t>
  </si>
  <si>
    <t>영농조합법인상주곶감유통사업단</t>
  </si>
  <si>
    <t>사과 경북 사과 선물세트 4kg(15과내외)/중대과</t>
  </si>
  <si>
    <t>사과 경북 사과 프리미엄 선물세트 4kg(12과내외)/대과/제수용</t>
  </si>
  <si>
    <t>농업회사법인 주식회사 착한푸드</t>
  </si>
  <si>
    <t>나주배 산지직송 나주 가정용 햇 배 5kg(11-13과내외)</t>
  </si>
  <si>
    <t>나주배 산지직송 나주 가정용 햇 배 5kg(8-10과내외)</t>
  </si>
  <si>
    <t>220-88-07925</t>
  </si>
  <si>
    <t>농업회사법인 주식회사 떡찌니</t>
  </si>
  <si>
    <t>나주배 산지직송 나주 가정용 햇 배 3kg(4-6과내외)</t>
  </si>
  <si>
    <t>나주배 산지직송 나주 가정용 햇 배 3kg(7-8과내외)</t>
  </si>
  <si>
    <t>나주배 나주배 선물세트 특품 7.5kg(11-12과)/대과/제수용</t>
  </si>
  <si>
    <t>나주배 나주배 선물세트 특품 7.5kg(9-10과)/특대과/제수용</t>
  </si>
  <si>
    <t>나주배 가정용 실속세트 7.5kg(11-12과)/대과</t>
  </si>
  <si>
    <t>나주배 가정용 실속세트 7.5kg(6-10과)/특대과</t>
  </si>
  <si>
    <t>519-33-01006</t>
  </si>
  <si>
    <t>온드리 목장</t>
  </si>
  <si>
    <t>나주배 나주배 선물세트 최고특품 7.5kg(5-9과)/특대과/제수용</t>
  </si>
  <si>
    <t>(신선집중) 감귤 예약배송 극조생 감귤 2kg 로얄과</t>
  </si>
  <si>
    <t>(신선집중) 감귤 예약배송 첫 감귤 하우스 유라실생 2kg 로얄과(2S-M)</t>
  </si>
  <si>
    <t>동백향 예약배송 첫 감귤 하우스 유라실생 2kg 로얄과(2S-M)</t>
  </si>
  <si>
    <t>홍성한우돈직판장</t>
  </si>
  <si>
    <t>305-28-13651</t>
  </si>
  <si>
    <t>(20%) 100%국내산 수제 돼지양념갈비 3Kg (1.5Kg 2개/무료배송/선물세트)</t>
  </si>
  <si>
    <t>(신선집중) 감귤 황금향 2KG 중소과</t>
  </si>
  <si>
    <t>(신선집중) 제주직송 황금향 황금향 2KG 중대과</t>
  </si>
  <si>
    <t>상주곶감대가</t>
  </si>
  <si>
    <t>511-90-53861</t>
  </si>
  <si>
    <t>(신선집중) 상주곶감 선물용 건시 1kg 24-28과</t>
  </si>
  <si>
    <t>(신선집중) 프리미엄 대봉 반건시 선물세트 1.4kg 대과-특대과</t>
  </si>
  <si>
    <t>(신선집중) 상주 왕대봉곶감 1kg 특대과 지리적표시 특산품</t>
  </si>
  <si>
    <t>832-86-02035</t>
  </si>
  <si>
    <t>주식회사 태범프레시</t>
  </si>
  <si>
    <t>(신선집중) 상주곶감 선물용 반건시 1.3kg 30과</t>
  </si>
  <si>
    <t>311-81-44794</t>
  </si>
  <si>
    <t>농업회사법인내포(주)</t>
  </si>
  <si>
    <t>주식회사 더락</t>
  </si>
  <si>
    <t>593-86-01295</t>
  </si>
  <si>
    <t>국내산 한돈 수제 돼지갈비찜 600g (2종 중 택1)</t>
  </si>
  <si>
    <t>848-99-01346</t>
  </si>
  <si>
    <t>옥수농원</t>
  </si>
  <si>
    <t>국내산 한돈 수제 양념 돼지갈비 450G (2종 중 택1)</t>
  </si>
  <si>
    <t>농업회사법인 라이플로우 주식회사</t>
  </si>
  <si>
    <t>[온누리7%혜택][주왕산가든] 한우불고기 전골 밀키트 750g 3인분 불고기 육수 야채 소불고기</t>
  </si>
  <si>
    <t>[온누리7%혜택][주왕산가든] 명품 한돈 수제 돼지갈비 실속형 500g 양념돼지갈비 밀키트</t>
  </si>
  <si>
    <t>당진해나루쌀조합공동사업법인</t>
  </si>
  <si>
    <t>323-88-00158</t>
  </si>
  <si>
    <t>[출고당일도정] 2025년산 햅쌀 당진해나루쌀 삼광미 특등급 쌀10kg</t>
  </si>
  <si>
    <t>159-96-00590</t>
  </si>
  <si>
    <t>바른농산물</t>
  </si>
  <si>
    <t>[출고당일도정] 2025년산 햅쌀 당진해나루쌀 삼광미 특등급 쌀20kg</t>
  </si>
  <si>
    <t>[출고당일도정] 2025년산 햅쌀 당진해나루 당찬쌀 상등급 20kg</t>
  </si>
  <si>
    <t>[출고당일도정] 2025년산 햅쌀 당진해나루 당찬쌀 상등급 10kg</t>
  </si>
  <si>
    <t>829-88-01091</t>
  </si>
  <si>
    <t>스퀘어팜 농업회사법인주식회사</t>
  </si>
  <si>
    <t>[출고당일도정] 2025년산 햅쌀 당진해나루 신유빈쌀 삼광미 특등급 쌀10kg</t>
  </si>
  <si>
    <t>선김치</t>
  </si>
  <si>
    <t>409-23-97341</t>
  </si>
  <si>
    <t>[온누리7%혜택][말바우시장 선김치] 전라도 국산 알타리 총각김치</t>
  </si>
  <si>
    <t>[온누리7%혜택][말바우시장 선김치] 전라도 국산 얼갈이김치</t>
  </si>
  <si>
    <t>[온누리7%혜택][말바우시장 선김치] 전라도 국산 파김치</t>
  </si>
  <si>
    <t>[온누리7%혜택][말바우시장 선김치] 전라도 국산 여수갓김치</t>
  </si>
  <si>
    <t>[온누리7%혜택][말바우시장 선김치] 전라도 국산 알배기 겉절이 김치 외</t>
  </si>
  <si>
    <t>[온누리7%혜택][말바우시장 선김치] 전라도 국산 열무김치</t>
  </si>
  <si>
    <t>[온누리7%혜택][말바우시장 선김치] 전라도 국산 오이소박이 김치</t>
  </si>
  <si>
    <t>[온누리7%혜택][100% 국산 청양고추] 말바우시장 선김치 맛있게 매운 실비 배추겉절이</t>
  </si>
  <si>
    <t>293-54-00624</t>
  </si>
  <si>
    <t>126-18-96934</t>
  </si>
  <si>
    <t>[온누리7%혜택][100% 국산 청양고추] 말바우시장 선김치 맛있게 매운 실비 배추김치</t>
  </si>
  <si>
    <t>이화수본</t>
  </si>
  <si>
    <t>굿그레인즈</t>
  </si>
  <si>
    <t>[온누리7%혜택][말바우시장 선김치] 전라도 국산 포기 배추김치</t>
  </si>
  <si>
    <t>[온누리7%혜택]말바우시장 국산 전라도 알배기 겉절이 김치</t>
  </si>
  <si>
    <t>[온누리7%혜택][100% 국산 청양고추] 말바우시장 선김치 맛있게 매운 실비 파김치</t>
  </si>
  <si>
    <t>[온누리7%혜택][말바우시장 선김치] 국산 전라도 가정식 깍두기 김치</t>
  </si>
  <si>
    <t>[온누리7%혜택][말바우시장 선김치] 국산 전라도 가정식 석박지</t>
  </si>
  <si>
    <t>[온누리7%혜택][말바우시장 선김치] 국산 전라도 부추김치</t>
  </si>
  <si>
    <t>[온누리7%혜택][말바우시장 선김치] 국산 전라도 가정식 수제 백김치</t>
  </si>
  <si>
    <t>[온누리7%혜택][말바우시장 선김치] 국산 전라도 다발무김치</t>
  </si>
  <si>
    <t>[온누리7%혜택][말바우시장 선김치] 전라도 국산 알배기 겉절이 김치 1kg 외</t>
  </si>
  <si>
    <t>[온누리7%혜택][말바우시장 선김치] 25년 국산 햇고춧가루 김치 반찬용</t>
  </si>
  <si>
    <t>[온누리7%혜택]국산 석류와 배를 담은 수제생강청 착즙원액 스틱 30포</t>
  </si>
  <si>
    <t>[온누리7%혜택]물한방울 섞지 않은 100%착즙 국산 수제 생강청 생강원액 420g</t>
  </si>
  <si>
    <t>109-36-80203</t>
  </si>
  <si>
    <t>내추럴참푸드</t>
  </si>
  <si>
    <t>[온누리7%혜택]정선 약도라지 착즙원액 국산 도라지청 추석 설 명절 선물 420g</t>
  </si>
  <si>
    <t>[온누리7%혜택][살수록할인]정선사위 정선약도라지청 착즙 원액 스틱 30포3박스</t>
  </si>
  <si>
    <t>[온누리7%혜택]강옥연 국산 수제 한입 도라지정과 한입 더덕정과 명절 선물 100g</t>
  </si>
  <si>
    <t>[온누리7%혜택]국산 도라지청 약도라지 착즙 원액 420g</t>
  </si>
  <si>
    <t>[온누리7%혜택]국산 콩고물 수제 도라지정과 350g (실크 보자기포장 포함) 상견례 추석 명절 선물세트</t>
  </si>
  <si>
    <t>[온누리7%혜택]국산 콩고물 수제 도라지정과 500g (고급 보자기포장 포함) 상견례 추석 명절 선물세트</t>
  </si>
  <si>
    <t>[온누리7%혜택]국산 콩고물 수제 도라지정과 300g (고급 보자기포장 포함) 상견례 추석 명절 선물세트</t>
  </si>
  <si>
    <t>[온누리7%혜택]국산 생강 착즙원액 650g 생강청 생강차</t>
  </si>
  <si>
    <t>[온누리7%혜택]국산 콩고물 수제 더덕정과 350g (실크 보자기포장 포함) 상견례 추석 명절 선물세트</t>
  </si>
  <si>
    <t>[온누리7%혜택]정선 약도라지 착즙원액 국산 도라지청 추석 설 명절 선물 150g</t>
  </si>
  <si>
    <t>[온누리7%혜택]물한방울 섞지 않은 100% 착즙 국산 수제 생강청 생강원액 630g</t>
  </si>
  <si>
    <t>348-87-01289</t>
  </si>
  <si>
    <t>농업회사법인하누리영이(주)</t>
  </si>
  <si>
    <t>[온누리7%혜택]국산 도라지청 약도라지 착즙 원액 630g</t>
  </si>
  <si>
    <t>[온누리7%혜택]국산 구수한 가마솥 우리쌀 누룽지 간식 1kg</t>
  </si>
  <si>
    <t>더바른컴퍼니</t>
  </si>
  <si>
    <t>771-81-03506</t>
  </si>
  <si>
    <t>[떡1위] 반반 바람떡 1box 개별포장 100%국산쌀</t>
  </si>
  <si>
    <t>[떡1위] 초코팅 피넛버터크림떡 1box 개별포장 100%국산쌀</t>
  </si>
  <si>
    <t>874-81-00021</t>
  </si>
  <si>
    <t>농업회사법인주식회사논길</t>
  </si>
  <si>
    <t>[떡1위] 초코팅 말차크림떡 1box 개별포장 100%국산쌀</t>
  </si>
  <si>
    <t>[떡 1위] 더바른떡 콩쑥개떡 1box 100%국산쌀</t>
  </si>
  <si>
    <t>[떡1위] 파베초코크림떡 1box 개별포장 100%국산쌀</t>
  </si>
  <si>
    <t>[떡1위] 복숭아요거트크림떡 1box 개별포장 100%국산쌀</t>
  </si>
  <si>
    <t>[APP전용] 더바른 앙꼬절편 4종 1팩/2팩 (흰팥,쑥,흑임자,고구마)</t>
  </si>
  <si>
    <t>[떡 1위] 굳지않는 삼색꿀떡 1box 개별포장 100%국산쌀</t>
  </si>
  <si>
    <t>[떡1위] 저당 밥알찹쌀떡 1box 개별포장 100%국산쌀</t>
  </si>
  <si>
    <t>393-86-02715</t>
  </si>
  <si>
    <t>봉이땅엔농업회사법인주식회사</t>
  </si>
  <si>
    <t>[떡1위] 딸기크림떡/밤크림떡 1box/2box 개별포장 100%국산쌀</t>
  </si>
  <si>
    <t>[떡 1위] 딸기크림떡 1box 개별포장 100%국산쌀</t>
  </si>
  <si>
    <t>팥/흑임자/고구마앙꼬절편 500G+500G</t>
  </si>
  <si>
    <t>[떡 1위] 자연해동 오색송편 1pack (추가 구매시 더 큰 할인)</t>
  </si>
  <si>
    <t>[떡 1위] 삼색가래떡 1kg 100%국산쌀</t>
  </si>
  <si>
    <t>[떡 1위] 영양찰떡 1box 개별포장 100%국산쌀</t>
  </si>
  <si>
    <t>[떡 1위] 우유꿀설기 1box 개별포장 100%국산쌀</t>
  </si>
  <si>
    <t>[떡 1위] 흑임자찹쌀떡 1box 100%국산쌀</t>
  </si>
  <si>
    <t>[떡 1위] 카스테라찹쌀떡 1box 100%국산쌀</t>
  </si>
  <si>
    <t>[떡 1위] 크림찹쌀떡 1box 100%국산쌀</t>
  </si>
  <si>
    <t>[떡 1위] 콩가루쑥인절미 1box 100%국산쌀</t>
  </si>
  <si>
    <t>[떡 1위 흑임자호박인절미 1box 100%국산쌀</t>
  </si>
  <si>
    <t>106-93-03082</t>
  </si>
  <si>
    <t>땅끝사랑농원</t>
  </si>
  <si>
    <t>[떡1위] 카스테라호박인절미 1box 100%국산쌀</t>
  </si>
  <si>
    <t>지리산피아골식품영농조합법인</t>
  </si>
  <si>
    <t>416-81-79884</t>
  </si>
  <si>
    <t>6. 유통사별 품목별 매출 분석</t>
  </si>
  <si>
    <t>국산 농산물로 만든 프리미엄 산채주먹밥(고추장버전) 100gx5팩</t>
  </si>
  <si>
    <t>국산 농산물로 만든 프리미엄 산채주먹밥(간장버전) 100gx5팩</t>
  </si>
  <si>
    <t>산나물반찬 완제품 150gx5종세트 (고사리/취나물/부지깽이/곤드레/토란대)</t>
  </si>
  <si>
    <t>국산두부 짜글이 200g 비빔장 덮밥소스</t>
  </si>
  <si>
    <t>구수한 우거지 된장국 500gx5팩</t>
  </si>
  <si>
    <t>구수한 우거지 된장국 500gx3팩</t>
  </si>
  <si>
    <t>프리미엄 구수한 감칠맛 고로쇠 청국장찌개 450g x 5팩</t>
  </si>
  <si>
    <t>프리미엄 구수한 감칠맛 고로쇠 청국장찌개 450g x 3팩</t>
  </si>
  <si>
    <t>프리미엄 구수한 감칠맛 고로쇠 청국장찌개 450g</t>
  </si>
  <si>
    <t>볶아먹는 산채비빔밥 밀키트 200g x 5팩</t>
  </si>
  <si>
    <t>127-81-93991</t>
  </si>
  <si>
    <t>볶아먹는 산채비빔밥 밀키트 200g x 3팩</t>
  </si>
  <si>
    <t>농업회사법인 철원미곡 주식회사</t>
  </si>
  <si>
    <t>550-88-01948</t>
  </si>
  <si>
    <t>농업회사법인 올담농원(주)</t>
  </si>
  <si>
    <t>볶아먹는 산채비빔밥 밀키트 200g</t>
  </si>
  <si>
    <t>초간편 3분나물 반찬 쿠킹박스 밀키트 데친곤드레 240g</t>
  </si>
  <si>
    <t>고로쇠 시래기된장국 600g x 2팩</t>
  </si>
  <si>
    <t>전통한식 프리미엄 고로쇠된장 3kg</t>
  </si>
  <si>
    <t>냄새없이 구수한 무염 생청국장 200g x 3팩</t>
  </si>
  <si>
    <t>초간편 3분나물 산나물반찬 밀키트 데친취나물 240g</t>
  </si>
  <si>
    <t>초간편 3분나물 240gx4종(고사리/취나물/부지깽이/곤드레)</t>
  </si>
  <si>
    <t>고로쇠 시래기된장국 600g x 3팩</t>
  </si>
  <si>
    <t>아삭아삭 새콤달콤 매실장아찌 340g</t>
  </si>
  <si>
    <t>튜브형 장류3종세트-고로쇠된장/찹쌀고추장/만능쌈장</t>
  </si>
  <si>
    <t>매실 만능쌈장 1kg</t>
  </si>
  <si>
    <t>매실 만능쌈장 500g</t>
  </si>
  <si>
    <t>610-95-45023</t>
  </si>
  <si>
    <t>볕든날</t>
  </si>
  <si>
    <t>매실 만능쌈장 340g</t>
  </si>
  <si>
    <t>511-81-25311</t>
  </si>
  <si>
    <t>농업회사법인 주식회사 담아</t>
  </si>
  <si>
    <t>캠핑 여행용 매실 만능쌈장 230g</t>
  </si>
  <si>
    <t>전통한식 프리미엄 찹쌀고추장 340g</t>
  </si>
  <si>
    <t>고로쇠 시래기된장국 600g x 5팩</t>
  </si>
  <si>
    <t>전통한식 프리미엄 고로쇠된장 340g</t>
  </si>
  <si>
    <t>피아골미선씨 캠핑 여행용 전통한식 고로쇠된장 230g</t>
  </si>
  <si>
    <t>캠핑 여행용 찹쌀고추장 230g</t>
  </si>
  <si>
    <t>초간편 3분나물 산나물반찬 밀키트 데친부지깽이 240g</t>
  </si>
  <si>
    <t>초간편 3분나물 산나물반찬 밀키트 데친고사리 240g</t>
  </si>
  <si>
    <t>프리미엄 선물세트 10호/장류4종 세트</t>
  </si>
  <si>
    <t>790-86-01687</t>
  </si>
  <si>
    <t>농업회사법인불원주식회사</t>
  </si>
  <si>
    <t>프리미엄 선물세트 9호/장류3종(옻수저) 세트</t>
  </si>
  <si>
    <t>프리미엄 선물세트 8호/장류3종 세트</t>
  </si>
  <si>
    <t>717-86-01590</t>
  </si>
  <si>
    <t>농업회사법인 미스터돌 주식회사</t>
  </si>
  <si>
    <t>프리미엄 선물세트 7호/장류3종(옻수저) 세트</t>
  </si>
  <si>
    <t>프리미엄 선물세트 6호/장류3종(옻수저) 세트</t>
  </si>
  <si>
    <t>프리미엄 선물세트 3호/장류4종 세트</t>
  </si>
  <si>
    <t>프리미엄 선물세트 2호/장류3종(옻수저) 세트</t>
  </si>
  <si>
    <t>프리미엄 선물세트 1호/장류3종(옻수저) 세트</t>
  </si>
  <si>
    <t>냄새없이 구수한 무염 생청국장 200g x 5팩</t>
  </si>
  <si>
    <t>아삭아삭 새콤달콤 매실장아찌 1kg</t>
  </si>
  <si>
    <t>전통한식 프리미엄 찹쌀고추장 500g</t>
  </si>
  <si>
    <t>전통한식 프리미엄 찹쌀고추장 1kg</t>
  </si>
  <si>
    <t>142-08-14196</t>
  </si>
  <si>
    <t>푸르메다</t>
  </si>
  <si>
    <t>전통한식 프리미엄 찹쌀고추장 2kg</t>
  </si>
  <si>
    <t>아삭아삭 새콤달콤 매실장아찌 500g</t>
  </si>
  <si>
    <t>전통한식 프리미엄 고로쇠간장 300ml</t>
  </si>
  <si>
    <t>전통한식 프리미엄 고로쇠된장 500g</t>
  </si>
  <si>
    <t>전통한식 프리미엄 고로쇠된장 950g</t>
  </si>
  <si>
    <t>전통한식 프리미엄 고로쇠된장 2kg</t>
  </si>
  <si>
    <t>[APP전용]에상스팜 유러피안 샐러드야채 모듬쌈 로메인 상추 버터헤드 바타비아 크리스탈 1kg</t>
  </si>
  <si>
    <t>유러피안 샐러드야채 모듬쌈 로메인 상추 버터헤드 바타비아 크리스탈 1kg</t>
  </si>
  <si>
    <t>[홍익상회] 춘천닭갈비 500g x 3팩 국내산닭고기 양념 순살</t>
  </si>
  <si>
    <t>싱싱보따리</t>
  </si>
  <si>
    <t>585-96-01916</t>
  </si>
  <si>
    <t>싱싱보따리 의성 햇마늘 통마늘 대서마늘 당일출고</t>
  </si>
  <si>
    <t>847-88-01726</t>
  </si>
  <si>
    <t>농업회사법인주식회사구룡농원</t>
  </si>
  <si>
    <t>수제채반곶감호두말이선물세트1kg</t>
  </si>
  <si>
    <t>반건시곶감1.8kg(개당 60g내외 10과*3팩)</t>
  </si>
  <si>
    <t>반건시선물세트2.6kg(75g 35과)</t>
  </si>
  <si>
    <t>대봉반건시선물세트3.3kg(90g이상 35과)</t>
  </si>
  <si>
    <t>대봉반건시선물세트4.5kg(150g이상 30과)</t>
  </si>
  <si>
    <t>대봉실속반건시(500g*1팩)</t>
  </si>
  <si>
    <t>반건시선물세트1.8kg(75g이상 24과)</t>
  </si>
  <si>
    <t>132-82-07849</t>
  </si>
  <si>
    <t>아이비영농조합</t>
  </si>
  <si>
    <t>반건시곶감선물세트30개입(개당50~60g 10과3팩)</t>
  </si>
  <si>
    <t>대봉반건시선물세트3.6kg(120g이상 30과)</t>
  </si>
  <si>
    <t>곶감호두말이선물세트1.5kg(반건시곶감1kg+호두말이500g)</t>
  </si>
  <si>
    <t>[온누리7%혜택]상주곶감 건시 개별포장 선물세트 1호</t>
  </si>
  <si>
    <t>[온누리7%혜택]상주삼백곶감 크림치즈호두말이2호(치즈호두말이3팩) 선물세트</t>
  </si>
  <si>
    <t>[온누리7%혜택]상주삼백곶감 실속포장 대봉감말랭이 1kg</t>
  </si>
  <si>
    <t>[온누리7%혜택]상주삼백곶감 가정용 실속곶감1kg대과</t>
  </si>
  <si>
    <t>[온누리7%혜택]상주삼백곶감 가정용 실속곶감1kg중과</t>
  </si>
  <si>
    <t>[온누리7%혜택]상주삼백곶감 가정용 실속곶감1kg소과</t>
  </si>
  <si>
    <t>[온누리7%혜택]상주삼백곶감 크림치즈호두말이1호 세트</t>
  </si>
  <si>
    <t>[온누리7%혜택]상주삼백곶감 반건시선물세트2.8kg(70g*40개)</t>
  </si>
  <si>
    <t>[온누리7%혜택]상주삼백곶감 반건시선물세트2.4kg(60g*40개)</t>
  </si>
  <si>
    <t>[온누리7%혜택]상주삼백곶감 상주삼백곶감 반건시선물세트1.2kg(60g*20개)</t>
  </si>
  <si>
    <t>216-04-19795</t>
  </si>
  <si>
    <t>아그데뜰</t>
  </si>
  <si>
    <t>[온누리7%혜택]상주삼백곶감 선물세트 반건시1.2kg(40g30개입)</t>
  </si>
  <si>
    <t>765-95-00739</t>
  </si>
  <si>
    <t>알동네</t>
  </si>
  <si>
    <t>[온누리7%혜택]상주삼백곶감 상주삼백곶감 반건시선물세트1kg(50g*20개)</t>
  </si>
  <si>
    <t>[온누리7%혜택]실속 크림치즈호두말이1팩 270-300g</t>
  </si>
  <si>
    <t>[온누리7%혜택]상주삼백곶감 반건시선물세트2kg(50g*40개)</t>
  </si>
  <si>
    <t>[온누리7%혜택]상주삼백곶감 상주삼백곶감 반건시선물세트(40g*20개)</t>
  </si>
  <si>
    <t>[온누리7%혜택]상주삼백곶감 크림치즈호두말이3호(반건시2팩치즈호두말이1팩) 선물세트</t>
  </si>
  <si>
    <t>[온누리7%혜택]상주삼백곶감 상주곶감선물세트 1.5kg특품</t>
  </si>
  <si>
    <t>[온누리7%혜택]상주삼백곶감 상주곶감선물세트 1kg특품</t>
  </si>
  <si>
    <t>646-85-00365</t>
  </si>
  <si>
    <t>농업회사법인(주) 강화드림푸드</t>
  </si>
  <si>
    <t>[온누리7%혜택]상주삼백곶감 명품 개별반건시 트레이40구(트레이 60g*40개입)</t>
  </si>
  <si>
    <t>[온누리7%혜택]상주삼백곶감 프리미엄 대봉왕특반건시트레이21구</t>
  </si>
  <si>
    <t>875-96-01444</t>
  </si>
  <si>
    <t>양림해오름농장</t>
  </si>
  <si>
    <t>[온누리7%혜택]상주삼백곶감 프리미엄 왕특대봉반건시 개별반건시15구</t>
  </si>
  <si>
    <t>지리산농산</t>
  </si>
  <si>
    <t>613-92-05994</t>
  </si>
  <si>
    <t>[온누리7%혜택][지리산농산 공식인증점]지리산산청 가정용햇곶감 대용량/ 달콤촉촉 반건시500g</t>
  </si>
  <si>
    <t>[온누리7%혜택][지리산농산 공식인증점]달콤쫀득 지리산산청 햇곶감 가정용 반접 50과 대용량</t>
  </si>
  <si>
    <t>[온누리7%혜택][지리산농산공식인증점]산청고종시 쫀득이 햇곶감절편 500g</t>
  </si>
  <si>
    <t>[온누리7%혜택][지리산농산 공식인증점] 지리산 산청 곶감특산품 상품전</t>
  </si>
  <si>
    <t>[온누리7%혜택][지리산농산 공식인증점] 지리산산청 100%자연산 사양벌꿀 상품전</t>
  </si>
  <si>
    <t>[온누리7%혜택][지리산농산 공식인증점] 지리산산청 100%자연산 아까시꽃 천연벌꿀 상품전</t>
  </si>
  <si>
    <t>[온누리7%혜택]지리산 산청 특등급 햇고사리 600g(한근) 국내산 프리미엄 건고사리</t>
  </si>
  <si>
    <t>[온누리7%혜택] 하동 북천 황토밭 무농약 햇 고구마(진율미 / 호풍미) 5kg</t>
  </si>
  <si>
    <t>231-97-01414</t>
  </si>
  <si>
    <t>따순농장</t>
  </si>
  <si>
    <t>농부아저씨</t>
  </si>
  <si>
    <t>725-97-02000</t>
  </si>
  <si>
    <t>고품질 특품 정량 로메인청상추 1kg/2kg</t>
  </si>
  <si>
    <t>어반그린</t>
  </si>
  <si>
    <t>139-05-68827</t>
  </si>
  <si>
    <t>[무농약 GAP인증] 유러피안 샐러드 1kg 상추 (도시의푸른농장) 로메인 버터헤드 바타비아 바타아이스 프릴아이스</t>
  </si>
  <si>
    <t>농업법인 주식회사 드림라이스</t>
  </si>
  <si>
    <t>485-88-00795</t>
  </si>
  <si>
    <t>25년 햅쌀 드림 향진주 쌀 10kg 단일품종 당일도정</t>
  </si>
  <si>
    <t>[하루세끼쌀]25년 햅쌀 옥구농협 예담채 십리향 10kg 상등급+당일도정+단일품종</t>
  </si>
  <si>
    <t>25년 햅쌀 새청무 쌀 10kg 단일품종 당일도정</t>
  </si>
  <si>
    <t>664-81-03697</t>
  </si>
  <si>
    <t>농업회사법인주식회사파밍</t>
  </si>
  <si>
    <t>25년 햅쌀 프리미엄 경기미 10kg 당일도정</t>
  </si>
  <si>
    <t>달구벌한과</t>
  </si>
  <si>
    <t>501-03-42256</t>
  </si>
  <si>
    <t>[온누리7%혜택]달구벌한과 찹쌀유과 (420g)</t>
  </si>
  <si>
    <t>[온누리7%혜택]달구벌한과 찹쌀유과 2호 560g</t>
  </si>
  <si>
    <t>[온누리7%혜택]달구벌 찹쌀유과 실속형 9봉 1.2kg</t>
  </si>
  <si>
    <t>[온누리7%혜택]달구벌 대구유과</t>
  </si>
  <si>
    <t>221-81-21222</t>
  </si>
  <si>
    <t>[온누리7%혜택]달구벌 대구유과 10+1</t>
  </si>
  <si>
    <t>영농조합법인강원유기농</t>
  </si>
  <si>
    <t>청라</t>
  </si>
  <si>
    <t>499-51-00634</t>
  </si>
  <si>
    <t>청라상회 원적외선 구운계란 30구 60구 무항생제 맥반석계란 HACCP 햇썹 인증</t>
  </si>
  <si>
    <t>청라상회 원적외선 구운계란 60구 무항생제 맥반석계란 HACCP 햇썹 인증</t>
  </si>
  <si>
    <t>청라상회 원적외선 구운계란 대란 60구 무항생제 맥반석계란 HACCP 햇썹 인증</t>
  </si>
  <si>
    <t>청라상회 무항생제 구운계란 맥반석계란 초란 30구 60구 HACCP 인증 안심포장</t>
  </si>
  <si>
    <t>청라상회 원적외선 구운계란 30구+30구 (총60구) 무항생제 맥반석계란 HACCP 햇썹 인증</t>
  </si>
  <si>
    <t>청라상회 무항생제 맥반석 구운계란 초란 30구 60구 HACCP 인증 안심포장</t>
  </si>
  <si>
    <t>623-96-01519</t>
  </si>
  <si>
    <t>초원꿀벌농장</t>
  </si>
  <si>
    <t>농업회사법인(주)서대산푸드</t>
  </si>
  <si>
    <t>602-88-01725</t>
  </si>
  <si>
    <t>산지직송 추부깻잎100% 당일제조 밥도둑500g 안매운 양념생깻잎 맛있게 매운실비깻잎김치</t>
  </si>
  <si>
    <t>깻잎통째로 넣은 깻잎현미찹쌀인절미 빙수 팥죽 콩고물</t>
  </si>
  <si>
    <t>301-81-78225</t>
  </si>
  <si>
    <t>농업회사법인 팜에이트 주식회사</t>
  </si>
  <si>
    <t>산지직송 추부깻잎 100% 된장 깻잎장아찌 양념깻잎장아찌 수제장아찌 2종</t>
  </si>
  <si>
    <t>건강식 아침대용 우리쌀 깻잎통째로 넣은 현미쌀 깻잎가래떡</t>
  </si>
  <si>
    <t>주식회사 대현상회 망미점</t>
  </si>
  <si>
    <t>817-85-01855</t>
  </si>
  <si>
    <t>[온누리7%혜택][부세페 최종가 6930원]55년전통 대현상회 국산 된장 간장 고추장 모음 / 백년가게가 만든 전통 장류</t>
  </si>
  <si>
    <t>[온누리7%혜택][부세페 최종가 3430원]55년전통 대현상회 국산 보리차 옥수수 둥굴레 우엉차 메밀차 돼지감자 작두콩 현미차</t>
  </si>
  <si>
    <t>대현상회 국산 볶은 참깨 검은깨 들깨가루</t>
  </si>
  <si>
    <t>나행상회</t>
  </si>
  <si>
    <t>605-38-29687</t>
  </si>
  <si>
    <t>26년 [강화섬] 강화특산품 고소하고 부드러운 찰보리쌀(2.5kg)</t>
  </si>
  <si>
    <t>우리나라 대표 발효음식 청국장 (묵은지청국장+차돌박이 묵은지청국장)</t>
  </si>
  <si>
    <t>늘푸른</t>
  </si>
  <si>
    <t>485-94-01820</t>
  </si>
  <si>
    <t>[당일수확] 유기농 무농약 친환경 대추방울토마토 (2kg/5kg)</t>
  </si>
  <si>
    <t>단단하고 예쁜 완숙토마토 (2kg/3kg)</t>
  </si>
  <si>
    <t>주식회사 영인에프앤에스</t>
  </si>
  <si>
    <t>847-88-01537</t>
  </si>
  <si>
    <t>삶은 돼지 소창 1kg</t>
  </si>
  <si>
    <t>삶은 돼지 대창 1kg</t>
  </si>
  <si>
    <t>117-13-93791</t>
  </si>
  <si>
    <t>유혜광생돈까스</t>
  </si>
  <si>
    <t>402-47-64035</t>
  </si>
  <si>
    <t>땅끝민지맘</t>
  </si>
  <si>
    <t>삶은 돼지 오소리감투 1kg</t>
  </si>
  <si>
    <t>삶은 돼지 허파 1kg</t>
  </si>
  <si>
    <t>삶은 돼지머리 슬라이스 1kg</t>
  </si>
  <si>
    <t>초신선 돼지머리 수육 500g + 소스포함</t>
  </si>
  <si>
    <t>국내산 돼지 뒷고기 덜미살 꼬들목살 500g</t>
  </si>
  <si>
    <t>국내산 돼지 뒷고기 모둠 500g</t>
  </si>
  <si>
    <t>국내산 돼지 뒷고기 돈두롤 500g</t>
  </si>
  <si>
    <t>국내산 돼지 뒷고기 돈두삼겹살 500g</t>
  </si>
  <si>
    <t>행사특가/국내산 삶은 돼지 소창(쨈창)1kg+1kg</t>
  </si>
  <si>
    <t>국내산 삶은 돼지 염통 1kg</t>
  </si>
  <si>
    <t>농업회사법인 복내리는당산나무 주식회사</t>
  </si>
  <si>
    <t>431-86-01809</t>
  </si>
  <si>
    <t>다이어트 간식 한입크기 쌀과자 미니뻥튀기 오곡오곡 50g x 5봉</t>
  </si>
  <si>
    <t>122-93-29177</t>
  </si>
  <si>
    <t>다이어트 간식 한입크기 쌀과자 미니뻥튀기 오곡오곡 50g x 15봉</t>
  </si>
  <si>
    <t>버섯놀이터사천숲속표고</t>
  </si>
  <si>
    <t>HACCP 해썹인증 김과자 저염 수제 찹쌀 김부각 40g 3봉</t>
  </si>
  <si>
    <t>HACCP 해썹인증 김과자 저염 수제 찹쌀 김부각 40g 10봉</t>
  </si>
  <si>
    <t>454-04-02917</t>
  </si>
  <si>
    <t>안녕 삼촌농부</t>
  </si>
  <si>
    <t>HACCP 해썹인증 김과자 저염 수제 찹쌀 김부각 선물세트2호</t>
  </si>
  <si>
    <t>HACCP 해썹인증 김과자 저염 수제 찹쌀 김부각 선물세트3호</t>
  </si>
  <si>
    <t>농업회사법인 지리산별마루(유)</t>
  </si>
  <si>
    <t>676-81-00897</t>
  </si>
  <si>
    <t>숨톡 요구르트맛 30개입 1박스 도라지 맥문동 한방 아이 어린이 가족 캔디 비타민 사탕 건강간식</t>
  </si>
  <si>
    <t>숨톡 포도맛 30개입 1박스 도라지 맥문동 한방 아이 어린이 가족 캔디 비타민 사탕 건강간식</t>
  </si>
  <si>
    <t>지리산 별마루 차 선물세트 볶음차 도라지 우엉 무 세트 부모님 선물 답례품</t>
  </si>
  <si>
    <t>양파즙 대추양파 자색양파 양파액기스 순수양파 껍질째 양파즙 건강즙</t>
  </si>
  <si>
    <t>도라지배즙 100ml 30포 생생 진한 도라지 배 액기스 음료</t>
  </si>
  <si>
    <t>616-81-93905</t>
  </si>
  <si>
    <t>안덕친환경영농조합법인</t>
  </si>
  <si>
    <t>[30%중복쿠폰] 도라지배청 400g 도라지 배 아기 조청 시럽 소스 간식</t>
  </si>
  <si>
    <t>무우차100g 지리산 무우 무말랭이 볶은무 차</t>
  </si>
  <si>
    <t>우엉차 150g 단품 지리산 우엉 말린우엉차 볶아만든 우엉 차</t>
  </si>
  <si>
    <t>[20%중복쿠폰] 천왕봉 신의 약도라지정 도차리청 단품 400g 선물세트 선물 부모님선물 농축액 조청</t>
  </si>
  <si>
    <t>더 건강한 도라지 진액 농축액 15ml 스틱 선물 실속</t>
  </si>
  <si>
    <t>농진담</t>
  </si>
  <si>
    <t>847-12-02040</t>
  </si>
  <si>
    <t>프로즌 수제청 과일청 오미자청 1.5kg</t>
  </si>
  <si>
    <t>256-98-01778</t>
  </si>
  <si>
    <t>기반</t>
  </si>
  <si>
    <t>프로즌 수제청 과일청 냉동 청귤슬라이스청 1.5kg</t>
  </si>
  <si>
    <t>프로즌 수제청 과일청 냉동 자두복숭아청 1.5kg</t>
  </si>
  <si>
    <t>프로즌 수제청 냉동 배도라지대추생강청 1.5kg</t>
  </si>
  <si>
    <t>프로즌 수제청 과일청 냉동 청귤착즙청 1.5kg</t>
  </si>
  <si>
    <t>수제청 과일청 배도라지대추생강청 1kg 에이드 음료 차 대용량 카페 납품</t>
  </si>
  <si>
    <t>778-81-03657</t>
  </si>
  <si>
    <t>이강바이오컴퍼니 주식회사</t>
  </si>
  <si>
    <t>수제청 과일청 배생강착즙청 1kg 에이드 음료 차 대용량 카페 납품</t>
  </si>
  <si>
    <t>수제청 과일청 자두착즙청 1kg 에이드 음료 차 대용량 카페 납품</t>
  </si>
  <si>
    <t>수제청 과일청 유자청 1kg 에이드 음료 차 대용량 카페 납품</t>
  </si>
  <si>
    <t>수제청 과일청 오미자청 1kg 에이드 음료 차 대용량 카페 납품</t>
  </si>
  <si>
    <t>수제청 과일청 생강착즙청 1kg 에이드 음료 차 대용량 카페 납품</t>
  </si>
  <si>
    <t>수제청 과일청 매실청 1kg 에이드 음료 차 대용량 카페 납품</t>
  </si>
  <si>
    <t>수제청 과일청 감귤착즙청 1kg 에이드 음료 차 대용량 카페 납품</t>
  </si>
  <si>
    <t>수제청 과일청 감귤청 1kg 에이드 음료 차 대용량 카페 납품</t>
  </si>
  <si>
    <t>249-56-00257</t>
  </si>
  <si>
    <t>문경새재뻥마을</t>
  </si>
  <si>
    <t>수제청 과일청 청귤착즙청 1kg 에이드 음료 차 대용량 카페 납품</t>
  </si>
  <si>
    <t>수제청 과일청 청귤청 1kg 에이드 음료 차 대용량 카페 납품</t>
  </si>
  <si>
    <t>수제청 과일청 샤인머스켓착즙청 1kg 에이드 음료 차 대용량 카페 납품</t>
  </si>
  <si>
    <t>수제청 과일청 샤인머스켓청 1kg 에이드 음료 차 대용량 카페 납품</t>
  </si>
  <si>
    <t>수제청 과일청 토마토바질청 1kg 에이드 음료 차 대용량 카페 납품</t>
  </si>
  <si>
    <t>수제청 과일청 자두복숭아청 1kg 에이드 음료 차 대용량 카페 납품</t>
  </si>
  <si>
    <t>수제청 과일청 자두착즙청 1200g 에이드 음료 차 답례품 선물</t>
  </si>
  <si>
    <t>수제청 과일청 생강착즙청 1200g 에이드 음료 차 답례품 선물</t>
  </si>
  <si>
    <t>수제청 과일청 토마토바질청 1000g 에이드 음료 차 답례품 선물</t>
  </si>
  <si>
    <t>수제청 과일청 유자청 1200g 에이드 음료 차 답례품 선물</t>
  </si>
  <si>
    <t>수제청 과일청 오미자청 1200g 에이드 음료 차 답례품 선물</t>
  </si>
  <si>
    <t>수제청 과일청 생강고 1000g 진저라떼 음료 생강차 답례품 선물</t>
  </si>
  <si>
    <t>수제청 과일청 배도라지대추생강청 1200g 생강차 음료 답례품 선물</t>
  </si>
  <si>
    <t>수제청 과일청 감귤청 1000g 에이드 음료 차 답례품 선물</t>
  </si>
  <si>
    <t>수제청 과일청 청귤청 1000g 풋귤 에이드 음료 차 답례품 선물</t>
  </si>
  <si>
    <t>수제청 과일청 자두복숭아청 1200g 에이드 음료 차 답례품 선물</t>
  </si>
  <si>
    <t>수제청 과일청 샤인머스켓청 1200g 에이드 음료 차 답례품 선물</t>
  </si>
  <si>
    <t>수제청 과일청 자두착즙청 800g 에이드 음료 차 답례품 선물</t>
  </si>
  <si>
    <t>수제청 과일청 생강착즙청 800g 에이드 음료 차 답례품 선물</t>
  </si>
  <si>
    <t>수제청 과일청 토마토바질청 700g 에이드 음료 차 답례품 선물</t>
  </si>
  <si>
    <t>수제청 과일청 유자청 800g 에이드 음료 차 답례품 선물</t>
  </si>
  <si>
    <t>수제청 과일청 오미자청 800g 에이드 음료 차 답례품 선물</t>
  </si>
  <si>
    <t>수제청 과일청 생강고 800g 에이드 음료 차 답례품 선물</t>
  </si>
  <si>
    <t>수제청 과일청 배도라지대추생강청 800g 생강차 음료 답례품 선물</t>
  </si>
  <si>
    <t>수제청 과일청 감귤청 700g 에이드 음료 차 답례품 선물</t>
  </si>
  <si>
    <t>수제청 과일청 청귤청 700g 풋귤 에이드 음료 차 답례품 선물</t>
  </si>
  <si>
    <t>수제청 과일청 자두복숭아청 800g 에이드 음료 차 답례품 선물</t>
  </si>
  <si>
    <t>수제청 과일청 샤인머스켓청 800g 에이드 음료 차 답례품 선물</t>
  </si>
  <si>
    <t>수제청 과일청 자두착즙청 600g 에이드 음료 차 답례품 선물</t>
  </si>
  <si>
    <t>수제청 과일청 생강착즙청 600g 에이드 음료 차 답례품 선물</t>
  </si>
  <si>
    <t>수제청 과일청 토마토바질청 500g 에이드 음료 차 답례품 선물</t>
  </si>
  <si>
    <t>수제청 과일청 유자청 600g 에이드 음료 차 답례품 선물</t>
  </si>
  <si>
    <t>수제청 과일청 오미자청 600g 에이드 음료 차 답례품 선물</t>
  </si>
  <si>
    <t>수제청 과일청 생강고 600g 에이드 음료 차 답례품 선물</t>
  </si>
  <si>
    <t>수제청 과일청 배도라지대추생강청 600g 에이드 음료 차 답례품 선물</t>
  </si>
  <si>
    <t>수제청 과일청 감귤청 600g 에이드 음료 차 답례품 선물</t>
  </si>
  <si>
    <t>수제청 과일청 청귤청 600g 풋귤 에이드 음료 차 답례품 선물</t>
  </si>
  <si>
    <t>수제청 과일청 자두복숭아청 600g 에이드 음료 차 답례품 선물</t>
  </si>
  <si>
    <t>수제청 과일청 샤인머스켓청 600g 에이드 음료 차 답례품 선물</t>
  </si>
  <si>
    <t>557-86-02740</t>
  </si>
  <si>
    <t>프리미엄 매실청 850g 콜드프레스 수제청 과일청 에이드 음료 답례품 선물 세트</t>
  </si>
  <si>
    <t>농업회사법인 농촌연구소(주)</t>
  </si>
  <si>
    <t>프리미엄 오미자청 850g 콜드프레스 수제청 과일청 에이드 음료 답례품 선물 세트</t>
  </si>
  <si>
    <t>프리미엄 배생강착즙청 850g 콜드프레스 수제청 과일청 에이드 음료 답례품 선물 세트</t>
  </si>
  <si>
    <t>프리미엄 감귤착즙청 850g 콜드프레스 수제청 과일청 에이드 음료 답례품 선물 세트</t>
  </si>
  <si>
    <t>프리미엄 청귤착즙청 850g 콜드프레스 수제청 과일청 에이드 음료 답례품 선물 세트</t>
  </si>
  <si>
    <t>프리미엄 매실청 650g 콜드프레스 수제청 과일청 에이드 음료 답례품 선물 세트</t>
  </si>
  <si>
    <t>프리미엄 오미자청 650g 콜드프레스 수제청 과일청 에이드 음료 답례품 선물 세트</t>
  </si>
  <si>
    <t>프리미엄 배생강착즙청 650g 콜드프레스 수제청 과일청 에이드 음료 답례품 선물 세트</t>
  </si>
  <si>
    <t>프리미엄 감귤착즙청 650g 콜드프레스 수제청 과일청 에이드 음료 답례품 선물 세트</t>
  </si>
  <si>
    <t>프리미엄 청귤착즙청 650g 콜드프레스 수제청 과일청 에이드 음료 답례품 선물 세트</t>
  </si>
  <si>
    <t>선물박스 수제청 과일청 배도라지대추생강청 600g 에이드 음료 차 답례품 명절 선물</t>
  </si>
  <si>
    <t>선물박스 수제청 과일청 유자청+배도라지대추생강청 600g 세트 에이드 음료 차 답례품 명절 선물</t>
  </si>
  <si>
    <t>선물박스 수제청 과일청 생강고+유자청 600g 세트 에이드 음료 차 답례품 명절 선물</t>
  </si>
  <si>
    <t>농업회사법인 머쉬그로(주)</t>
  </si>
  <si>
    <t>[온누리7%혜택]55년전통 대현상회 무첨가 국산 볶은 콩가루 500g / 무설탕 백년가게 방앗간</t>
  </si>
  <si>
    <t>7. 유통사별 품목별 판매 건수</t>
  </si>
  <si>
    <t>[온누리7%혜택][부세페 최종가 6930원]55년전통 대현상회 무첨가 국산 볶은 검은콩가루 / 무설탕 백년가게 방앗간</t>
  </si>
  <si>
    <t>[온누리7%혜택]55년전통 대현상회 국산 햇 고춧가루 양념용 고운입자 땡초 고추씨 모음 / 백년가게</t>
  </si>
  <si>
    <t>[온누리7%혜택]55년전통 대현상회 저온압착 국산 참기름 들기름 350ml 선물세트 / HACCP 인증 백년가게 방앗간</t>
  </si>
  <si>
    <t>[온누리7%혜택]55년전통 대현상회 저온압착 국산 참기름 들기름 180ml 선물세트/ HACCP 인증 백년가게 방앗간</t>
  </si>
  <si>
    <t>671-67-00557</t>
  </si>
  <si>
    <t>현풍떡갈비</t>
  </si>
  <si>
    <t>[온누리7%혜택][부세페 최종가 14630원55년전통 대현상회 저온압착 국산 참기름 들기름 생들기름 180ml / HACCP 인증 백년가게 방앗</t>
  </si>
  <si>
    <t>[온누리7%혜택][부세페 최종가 21630원]55년전통 대현상회 저온압착 국산 참기름 들기름 생들기름 350ml / HACCP 인증 백년가게 방앗</t>
  </si>
  <si>
    <t>[라스트찬스][GAP청년농직송] 26년 국산 저장가능 햇양파 2kg 3kg 5kg 10kg</t>
  </si>
  <si>
    <t>주식회사 삼형제월드</t>
  </si>
  <si>
    <t>185-87-01669</t>
  </si>
  <si>
    <t>[딜크릿] 삼형제고기 1등급 한돈 찌개용 모듬 고기 냉장 2kg (1kg x 2팩)</t>
  </si>
  <si>
    <t>1등급 한돈 다짐육 대용량 냉장 1kg x 2팩</t>
  </si>
  <si>
    <t>1등급 한돈 돼지 등뼈 감자탕용 대용량 3kg x 2팩</t>
  </si>
  <si>
    <t>삼형제 1등급 한돈 돼지 사태 수육용 냉장 1kg</t>
  </si>
  <si>
    <t>삼형제고기 한돈 간장 고추장 불고기 1kg (200g x 5팩)</t>
  </si>
  <si>
    <t>1등급 한돈 돼지 뒷다리살 제육용 보쌈용 찌개용 냉장 1kg</t>
  </si>
  <si>
    <t>1등급 국내산 한돈 삼겹살 1kg 구이용 제육용 보쌈용 찌개용</t>
  </si>
  <si>
    <t>1등급 국내산 한돈 목살 1kg 구이용 제육용 보쌈용 찌개용</t>
  </si>
  <si>
    <t>[홍익상회] 춘천 홍익닭갈비 500g x 3팩 국내산 닭고기 양념 순살</t>
  </si>
  <si>
    <t>132-05-76796</t>
  </si>
  <si>
    <t>광이원</t>
  </si>
  <si>
    <t>유혜광 수제통등심돈까스 16장(총8팩)(소스 별도구매)</t>
  </si>
  <si>
    <t>[온세일]제주 하우스 감귤 4.5kg 로얄과 귤</t>
  </si>
  <si>
    <t>[온세일]제주 하우스 감귤 4.5kg 프리미엄S과 귤</t>
  </si>
  <si>
    <t>신선식품</t>
  </si>
  <si>
    <t>131-35-96215</t>
  </si>
  <si>
    <t>[온누리7%혜택]HACCP 국산 비건고춧가루 1kg (고운, 보통)</t>
  </si>
  <si>
    <t>[온누리7%혜택]HACCP 국산 비건고춧가루 200g (고운, 보통)</t>
  </si>
  <si>
    <t>[온누리7%혜택]내 몸에 좋은 국산 블랙미숫가루</t>
  </si>
  <si>
    <t>[온누리7%혜택]국산 저속노화잡곡 식단관리 예쁜 병 그대로 깔끔한 수납 방앗간아이</t>
  </si>
  <si>
    <t>[온누리7%혜택]고소한 국산 볶은참깨 200g</t>
  </si>
  <si>
    <t>[온누리7%혜택]HACCP 국산 비건고춧가루 100g (고운,보통)</t>
  </si>
  <si>
    <t>[온누리7%혜택]좋은 국산 참깨로 짜는 방앗간아이 고소한 국산 참기름 180ml</t>
  </si>
  <si>
    <t>[온누리7%혜택]내 몸에 좋은 볶은 옥수수차 300g</t>
  </si>
  <si>
    <t>499-13-02310</t>
  </si>
  <si>
    <t>농사짓는마을</t>
  </si>
  <si>
    <t>[온누리7%혜택]껍질 깐 고소한 국산 들깨가루 200g</t>
  </si>
  <si>
    <t>[온누리7%혜택]내 몸에 좋은 국산 보리미숫가루 250g</t>
  </si>
  <si>
    <t>지향</t>
  </si>
  <si>
    <t>188-81-01220</t>
  </si>
  <si>
    <t>[APP전용] 바르온 삼계탕 1kg x 4팩</t>
  </si>
  <si>
    <t>한돈스테이크 4장x1팩 오븐 직화 떡갈비 맛 함박 스테이크 너비아니</t>
  </si>
  <si>
    <t>홍익상회 양념 오리 불고기 고추장 주물럭 400g (2인분) x 3팩</t>
  </si>
  <si>
    <t>25년 해남 햇 꿀 밤 고구마 2kg 3kg 5kg 베니하루카종</t>
  </si>
  <si>
    <t>바르온 삼계탕 1kg x 4팩</t>
  </si>
  <si>
    <t>곱창파는청년들 돼지국밥 500g x 5팩</t>
  </si>
  <si>
    <t>440-81-03112</t>
  </si>
  <si>
    <t>까망 주식회사</t>
  </si>
  <si>
    <t>[집밥상점][20% 쿠폰] 30년 지리산맛집 레시피 구수한 감칠맛 프리미엄 고로쇠 청국장찌개 450g*3팩/5팩</t>
  </si>
  <si>
    <t>[집밥상점][20% 쿠폰] 30년 지리산맛집 레시피 볶아먹는 산채비빔밥 키트 200g*3/5팩</t>
  </si>
  <si>
    <t>[집밥상점][20% 쿠폰] 고로쇠간장, 진하고 고소한 저염간장의 품미 프리미엄 전통 한식간장 300ml</t>
  </si>
  <si>
    <t>[집밥상점][20% 쿠폰] 30년 지리산맛집 레시피 프리미엄 간편식 고로쇠시래기된장국 600g*3팩/5팩</t>
  </si>
  <si>
    <t>[집밥상점][20% 쿠폰] 냄새없이 구수한 무염 생청국장 200g*3팩/5팩</t>
  </si>
  <si>
    <t>[집밥상점][20% 쿠폰] 아삭아삭 새콤달콤 지리산 매실장아찌 340g/500g/1kg</t>
  </si>
  <si>
    <t>[집밥상점][20% 쿠폰] 매실절임과 매실액이 함유돼 더욱 감칠맛이 나는 만능쌈장 230g/340g/500g/1kg</t>
  </si>
  <si>
    <t>[집밥상점][20% 쿠폰] 매콤달콤 황금비율 프리미엄 찹쌀고추장 230g/340g/500g/1kg/2kg</t>
  </si>
  <si>
    <t>[집밥상점][20% 쿠폰] 고로쇠된장 구수한 감칠맛이 나는 프리미엄 전통된장 230g/340g/500g/950g/2kg</t>
  </si>
  <si>
    <t>[집밥상점]추부깻잎100% 당일제조 밥도둑 양념생깻잎김치 매운실비생깻잎김치 500g/1kg</t>
  </si>
  <si>
    <t>[집밥상점]추부깻잎 100% 된장깻잎장아찌 양념깻잎장아찌 500g/1kg</t>
  </si>
  <si>
    <t>[집밥상점]우리쌀과 추부깻잎으로 만든 깻잎현미 가래떡 떡국떡 500g/1kg</t>
  </si>
  <si>
    <t>집밥상점]추부깻잎 통째로 넣은 깻잎현미인절미 500g/1kg</t>
  </si>
  <si>
    <t>[APP전용][홍익상회] 춘천 국내산 홍익 순살 닭갈비 500g x 5팩/3팩</t>
  </si>
  <si>
    <t>[홍익상회] 춘천 국내산 홍익 순살 닭갈비 500g x 5팩/3팩</t>
  </si>
  <si>
    <t>25년 해남 햇 호박고구마 2kg 외 3/5kg</t>
  </si>
  <si>
    <t>[집밥상점][청년농부산지직송]찰지고 맛있는 삼광쌀 삼광미 25년산 백미 햅쌀 2kg 5kg</t>
  </si>
  <si>
    <t>[집밥상점][GAP청년농부산지직송]국산 건마늘 안 튀긴 건조 마늘칩 250g 400g</t>
  </si>
  <si>
    <t>[집밥상점][GAP청년농부산지직송] 26년 국내산 고령 대서 햇마늘 통마늘 3kg 5kg</t>
  </si>
  <si>
    <t>[집밥상점][GAP청년농부산지직송] 26년 국내산 고령 햇양파 2kg 3kg 5kg 10kg</t>
  </si>
  <si>
    <t>상주아람곶감영농조합법인</t>
  </si>
  <si>
    <t>606-88-00470</t>
  </si>
  <si>
    <t>[온누리7%혜택]상주곶감 선물세트 3호</t>
  </si>
  <si>
    <t>[온누리7%혜택]상주곶감 선물세트 반건시 실속형</t>
  </si>
  <si>
    <t>[온세일]상주곶감 세트 1호 단체 기업 명절선물세트</t>
  </si>
  <si>
    <t>[온세일]상주곶감 선물세트 3호 명절선물세트</t>
  </si>
  <si>
    <t>[온세일]상주곶감 반건시 선물세트 60g 20개 [1.2kg] 고급 단체 선물세트</t>
  </si>
  <si>
    <t>[온세일]상주곶감 반건시 선물세트(50g 30개)</t>
  </si>
  <si>
    <t>[온세일]상주곶감 반건시 선물세트(50g 20개)</t>
  </si>
  <si>
    <t>[온세일]실속형 대봉 감말랭이 1kg</t>
  </si>
  <si>
    <t>[온세일]상주 반건시 곶감 가정용 선물세트</t>
  </si>
  <si>
    <t>[온세일]상주 대봉반건시곶감 선물세트 특90~140g</t>
  </si>
  <si>
    <t>[온세일]상주아람곶감 감말랭이 인기상품 기획전</t>
  </si>
  <si>
    <t>372-94-01830</t>
  </si>
  <si>
    <t>제주점순이네</t>
  </si>
  <si>
    <t>농업회사법인 디에스푸즈 주식회사</t>
  </si>
  <si>
    <t>119-88-01766</t>
  </si>
  <si>
    <t xml:space="preserve"> [소백산희여골] GAP *희여골못난이사과(부사) (1.5kg * 1개)</t>
  </si>
  <si>
    <t>[소백산희여골]GAP 사과(부사) 1.5Kg (1.5kg내외/5-7입 * 1개)</t>
  </si>
  <si>
    <t>[선별사과]GAP소백산 희여골 저탄소 부사사과 1.4kg (6입/팩 * 1개)</t>
  </si>
  <si>
    <t>명품수제프레시하우스</t>
  </si>
  <si>
    <t>141-06-23534</t>
  </si>
  <si>
    <t>보리굴림만두 (410g)</t>
  </si>
  <si>
    <t>보리떡갈비 500g (8장)</t>
  </si>
  <si>
    <t>노고단식품</t>
  </si>
  <si>
    <t>407-05-49397</t>
  </si>
  <si>
    <t>순수 서리태콩물(1L)</t>
  </si>
  <si>
    <t>고소한 흑임자 콩국물(1L) (2개)</t>
  </si>
  <si>
    <t>고소한 순수콩물(1L)</t>
  </si>
  <si>
    <t>우무묵(340g)</t>
  </si>
  <si>
    <t>비트청포묵(300g)</t>
  </si>
  <si>
    <t>치자청포묵(300g)</t>
  </si>
  <si>
    <t>케이에프지</t>
  </si>
  <si>
    <t>120-86-08936</t>
  </si>
  <si>
    <t>한돈 제육볶음 (650g X 1개)</t>
  </si>
  <si>
    <t xml:space="preserve">한돈 칼집 양념구이 (650g X 1개)
</t>
  </si>
  <si>
    <t>한돈 성북동식 돼지불백 (650g X 1개)</t>
  </si>
  <si>
    <t>서울식 한우 불고기 밀키트 (800g X 1개)</t>
  </si>
  <si>
    <t>행복예감곶감 영농조합법인</t>
  </si>
  <si>
    <t>511-81-21260</t>
  </si>
  <si>
    <t>GAP 아이스홍시(6입/총 420g이상)</t>
  </si>
  <si>
    <t>주식회사 토종마을</t>
  </si>
  <si>
    <t>204-86-28088</t>
  </si>
  <si>
    <t>[토종마을]국산 진도 구기자 300g</t>
  </si>
  <si>
    <t>[토종마을]국산 오미자 300g</t>
  </si>
  <si>
    <t>[토종마을]국산 고운쑥분말 250g</t>
  </si>
  <si>
    <t>126-82-11620</t>
  </si>
  <si>
    <t>여주시농협조합공동사업법인</t>
  </si>
  <si>
    <t>[요리앤가루]HACCP인증 국산 마늘분말 100g(국산 천연조미료)</t>
  </si>
  <si>
    <t>[토종마을]HACCP인증 국산 유기농 양배추환 200g</t>
  </si>
  <si>
    <t>토종마을 HACCP인증 국산 유기농 양배추분말 100g</t>
  </si>
  <si>
    <t>[요리앤가루]HACCP인증 국산 표고버섯분말 70g(국산 천연조미료)</t>
  </si>
  <si>
    <t>[요리앤가루]국산 청국장가루 600g (냄새적은 청국장가루)</t>
  </si>
  <si>
    <t>[요리앤가루]도토리묵만들기 500g (국산 도토리가루)</t>
  </si>
  <si>
    <t>[토종마을]HACCP인증 국산 유기농 강황가루 120g_진도산 유기농 강황_진도강황</t>
  </si>
  <si>
    <t>농업회사법인 주식회사 팔농</t>
  </si>
  <si>
    <t>797-88-03152</t>
  </si>
  <si>
    <t>애플랩 경북 세척사과 소과 2kg</t>
  </si>
  <si>
    <t>애플랩 경북 세척사과 중소과 2kg 10과내외</t>
  </si>
  <si>
    <t>안동한우양반곱창 한우곱창 200gX2팩 (400g)</t>
  </si>
  <si>
    <t>안동한우양반곱창 한우곱창200g+한우대창200g 2종세트</t>
  </si>
  <si>
    <t>412-81-31307</t>
  </si>
  <si>
    <t>농업회사법인(주)운림가</t>
  </si>
  <si>
    <t>안동한우양반곱창 한우곱창200g+한우막창200g 2종세트</t>
  </si>
  <si>
    <t>안동한우양반곱창 한우곱창200g+한우염통200g 2종세트</t>
  </si>
  <si>
    <t>조은 영농조합법인</t>
  </si>
  <si>
    <t>135-81-57787</t>
  </si>
  <si>
    <t>국내산 청경채 (200g)</t>
  </si>
  <si>
    <t>국내산 깐쪽파 (150g)</t>
  </si>
  <si>
    <t>국내산 스틱샐러리 (150g)</t>
  </si>
  <si>
    <t>전골용 채소와 버섯 (470g내외/팩)</t>
  </si>
  <si>
    <t>국내산 샐러리 (600g)</t>
  </si>
  <si>
    <t>GAP 상추와 깻잎(130g/봉)</t>
  </si>
  <si>
    <t>국산 미나리 (200g)</t>
  </si>
  <si>
    <t>GAP 모둠쌈 (350g/팩)</t>
  </si>
  <si>
    <t>무농약 혼합 목이버섯 (200g)</t>
  </si>
  <si>
    <t>국내산 적겨자(80g)</t>
  </si>
  <si>
    <t>GAP 국내산 깻잎 (30g)</t>
  </si>
  <si>
    <t>농업회사법인 주식회사 드림라이스</t>
  </si>
  <si>
    <t>GAP 아삭이 상추 (150g/봉)</t>
  </si>
  <si>
    <t>[농할 20%쿠폰] 국산 적양배추 (1/2통, 400g내외)</t>
  </si>
  <si>
    <t>국내산 절단 대파 (500g)</t>
  </si>
  <si>
    <t>국내산 흙대파 (500g)</t>
  </si>
  <si>
    <t>국내산 1/2 양배추 (500g 내외)</t>
  </si>
  <si>
    <t>국내산 양배추 (1통, 1kg 이상)</t>
  </si>
  <si>
    <t>맑은샘농업회사법인(주)</t>
  </si>
  <si>
    <t>131-86-09478</t>
  </si>
  <si>
    <t>국내산 깐마늘 (100g)</t>
  </si>
  <si>
    <t>국내산 당근 (1kg, 상~특)</t>
  </si>
  <si>
    <t>빨강 파프리카 (1개, 150g 내외)</t>
  </si>
  <si>
    <t>노랑 파프리카 (1개, 150g 내외)</t>
  </si>
  <si>
    <t>국내산 와일드 루꼴라 50g</t>
  </si>
  <si>
    <t>국내산 시금치 (200g)</t>
  </si>
  <si>
    <t>국내산 빨강+노랑 파프리카 (300g 내외)</t>
  </si>
  <si>
    <t>국내산 아삭 샐러드 (100g)</t>
  </si>
  <si>
    <t>국내산 어린잎 샐러드 (100g)</t>
  </si>
  <si>
    <t>국내산 파프리카 샐러드 (100g)</t>
  </si>
  <si>
    <t>국내산 비타민 샐러드 (100g)</t>
  </si>
  <si>
    <t>국내산 루꼴라 샐러드 (100g)</t>
  </si>
  <si>
    <t>국내산 브로콜리(1입)</t>
  </si>
  <si>
    <t>국내산 깻잎 (40g 또는 30장 내외)</t>
  </si>
  <si>
    <t>열두달</t>
  </si>
  <si>
    <t>622-81-28184</t>
  </si>
  <si>
    <t>착즙 생강청(300g)</t>
  </si>
  <si>
    <t>[열두달] 제주 유기농 청귤청</t>
  </si>
  <si>
    <t>209-87-01228</t>
  </si>
  <si>
    <t>농업회사법인 유한회사 해오름팜농장</t>
  </si>
  <si>
    <t>[열두달] 제로 생강청</t>
  </si>
  <si>
    <t>[열두달]1초 레몬수</t>
  </si>
  <si>
    <t>[열두달] 제주 무농약 레몬으로 만든 레몬청</t>
  </si>
  <si>
    <t>행복우리식품영농조합법인</t>
  </si>
  <si>
    <t>307-81-28140</t>
  </si>
  <si>
    <t>농부의 딸 현미 누룽지</t>
  </si>
  <si>
    <t>유기농 쌀누룽지 250g*2</t>
  </si>
  <si>
    <t>프리미엄 현미마죽(30gx20스틱)</t>
  </si>
  <si>
    <t>조청 쌀강정 150g</t>
  </si>
  <si>
    <t>조청 현미강정 150g</t>
  </si>
  <si>
    <t>조청 쌀보리강정 150g</t>
  </si>
  <si>
    <t>발아현미 미숫가루</t>
  </si>
  <si>
    <t>맑은샘농업회사법인주식회사</t>
  </si>
  <si>
    <t>현미 양배추죽(30gx20스틱)</t>
  </si>
  <si>
    <t>볶은 보리</t>
  </si>
  <si>
    <t>볶은 옥수수</t>
  </si>
  <si>
    <t>씨튼장애인직업재활센터(씨튼베이커리)</t>
  </si>
  <si>
    <t>409-82-16307</t>
  </si>
  <si>
    <t>[2봉묶음] 유기농 현미스낵 5종</t>
  </si>
  <si>
    <t>유기농 현미시리얼 3종 240G [초코/해달별/채소]</t>
  </si>
  <si>
    <t xml:space="preserve">[개당 2,900]우리밀로 만든 마늘빵 과자 (70g x 3개)
</t>
  </si>
  <si>
    <t>명품남매농장</t>
  </si>
  <si>
    <t>807-95-01634</t>
  </si>
  <si>
    <t>명품남매농장 GAP 샤인머스켓 150g 1차농산물 세척 후 드세요</t>
  </si>
  <si>
    <t>명품남매농장 GAP 건샤인머스켓 300g 1차농산물 세척 후 드세요</t>
  </si>
  <si>
    <t>명품남매농장 GAP 건샤인머스켓 450g 1차농산물 세척 후 드세요</t>
  </si>
  <si>
    <t>명품남매농장 GAP 건샤인머스켓 600g 1차농산물 세척 후 드세요</t>
  </si>
  <si>
    <t>명품남매농장 GAP 건샤인머스켓 750g 1차농산물 세척 후 드세요</t>
  </si>
  <si>
    <t>명품남매농장 GAP 건샤인머스캣 900g 1차농산물 세척 후 드세요</t>
  </si>
  <si>
    <t>152-11-02907</t>
  </si>
  <si>
    <t>파주리치농산</t>
  </si>
  <si>
    <t>[2025년산] 햅쌀 철원오대쌀 10kg 철원미곡</t>
  </si>
  <si>
    <t>(합자)황산벌농업회사</t>
  </si>
  <si>
    <t>308-81-11910</t>
  </si>
  <si>
    <t>삼광 육군병장쌀 10kg</t>
  </si>
  <si>
    <t>김의준고구마 2025년 무농약 세척 꿀고구마 3kg/5kg</t>
  </si>
  <si>
    <t>농업회사법인 주식회사 정인</t>
  </si>
  <si>
    <t>769-88-03123</t>
  </si>
  <si>
    <t>25년 당도선별 아삭 달콤 사과 경북 저탄소 12brix이상</t>
  </si>
  <si>
    <t>농업회사법인 우듬지팜주식회사</t>
  </si>
  <si>
    <t>308-82-08921</t>
  </si>
  <si>
    <t>GAP인증 당일수확 무농약 샐러드 쌈채소 3~5종 믹스 800g/1kg 스마트팜 재배 샐러드 쌈채소</t>
  </si>
  <si>
    <t>경북 제철 햇자두 1kg/2kg 과즙풍부 당일수확 산지직송</t>
  </si>
  <si>
    <t>껍질째 먹는 고당도 세척사과 2kg/3kg/5kg/10kg 경북 사과</t>
  </si>
  <si>
    <t>[철원미곡] 2025년 햅쌀 오대현미 10kg</t>
  </si>
  <si>
    <t>[철원미곡] 2025년산 햅쌀 철원오대쌀 4kg</t>
  </si>
  <si>
    <t>두레영농조합법인</t>
  </si>
  <si>
    <t>404-81-43909</t>
  </si>
  <si>
    <t>[콩여울] 청정고창 저온압착 참기름 165ml/260ml</t>
  </si>
  <si>
    <t>[콩여울] 직접채밀 1+등급 천연벌꿀 아카시아꿀 300g/600g/2.4kg</t>
  </si>
  <si>
    <t>596-98-01526</t>
  </si>
  <si>
    <t>미에덴팜</t>
  </si>
  <si>
    <t>[콩여울] 고창예찬6호 참기름260ml+들기름260ml+볶은참깨120g</t>
  </si>
  <si>
    <t>그린푸드</t>
  </si>
  <si>
    <t>638-68-00222</t>
  </si>
  <si>
    <t>모시떡 영광모싯잎 모시송편 통동부 20개</t>
  </si>
  <si>
    <t>(주)왕의산농원소담바리농업회사법인</t>
  </si>
  <si>
    <t>575-87-02008</t>
  </si>
  <si>
    <t>쑥 인절미 12개입 맛있는 쑥떡 찰떡 햇쑥인절미 맛집</t>
  </si>
  <si>
    <t>[콩여울] 청정고창 저온압착 들기름 165ml/260ml</t>
  </si>
  <si>
    <t>신사리마을</t>
  </si>
  <si>
    <t>183-95-00048</t>
  </si>
  <si>
    <t>영양산나믈(건곤드레, 건취나물, 건고사리)</t>
  </si>
  <si>
    <t>[철원미곡] 2025년 햅쌀 찹쌀 10kg</t>
  </si>
  <si>
    <t>[콩여울] 직접채밀 순수 천연벌꿀 야생화꿀 300g/600g</t>
  </si>
  <si>
    <t>[까망목장] 요하트 수제 쫀득 그릭요거트 플레인 식사대용 고단백 고칼슘 무가당 500g</t>
  </si>
  <si>
    <t>농업회사법인 주식회사 고인돌</t>
  </si>
  <si>
    <t>234-81-04990</t>
  </si>
  <si>
    <t>25년 [산지직송] 국내산 검정쌀 찰흑미 (500g/1kg/3kg/5kg)</t>
  </si>
  <si>
    <t>[콩여울] 직접채밀 순수 천연벌꿀 밤꿀 300g/600g</t>
  </si>
  <si>
    <t>우가네농장</t>
  </si>
  <si>
    <t>512-05-48837</t>
  </si>
  <si>
    <t>25년 건고추 국내산 세척 건고추 1근(600g) 순한맛/보통맛/매운맛</t>
  </si>
  <si>
    <t>654-91-01691</t>
  </si>
  <si>
    <t>청실농원</t>
  </si>
  <si>
    <t>모시떡 영광모싯잎 모시송편 기피 20개</t>
  </si>
  <si>
    <t>할배장터</t>
  </si>
  <si>
    <t>221-92-02444</t>
  </si>
  <si>
    <t>국내산 25년 영주 봉화 3년근 약도라지</t>
  </si>
  <si>
    <t>할매장터</t>
  </si>
  <si>
    <t>652-76-00368</t>
  </si>
  <si>
    <t>국내산 영주 봉화 흙생강 세척생강 (알뜰/특품) 1kg</t>
  </si>
  <si>
    <t>착한송이버섯 800g</t>
  </si>
  <si>
    <t>※ 농산물 온라인 마케터</t>
  </si>
  <si>
    <t>지애(至愛)</t>
  </si>
  <si>
    <t>105-21-32350</t>
  </si>
  <si>
    <t>논산농부의 수제 생강청 280g / 460g 생강진액</t>
  </si>
  <si>
    <t>모시떡 영광모싯잎 모시송편 흑임자 20개</t>
  </si>
  <si>
    <t>1. 월별 참여 업체 및 상품 수</t>
  </si>
  <si>
    <t>논산농부의 수제 레몬생강청 700g</t>
  </si>
  <si>
    <t>블랙푸드 잡곡 국내산 서리태 (500g/1kg/2kg/4kg)</t>
  </si>
  <si>
    <t>[콩여울] 고창예찬1호 참기름+들기름+생들기름 165ml</t>
  </si>
  <si>
    <t>[철원미곡] 2025년 햅쌀 찰현미 10kg</t>
  </si>
  <si>
    <t>280-90-00306</t>
  </si>
  <si>
    <t>짱아찌네농장</t>
  </si>
  <si>
    <t>[콩여울] 고창예찬2호 참기름+들기름+재래식간장 165ml</t>
  </si>
  <si>
    <t>[콩여울] 청정고창 저온압착 생들기름 165ml/260ml</t>
  </si>
  <si>
    <t>[콩여울] 정담고을1호 참기름+들기름 165ml</t>
  </si>
  <si>
    <t>[콩여울] 정담고을2호 생들기름+생들기름 165ml</t>
  </si>
  <si>
    <t>농업회사법인(주)씨앤씨정</t>
  </si>
  <si>
    <t>178-87-00546</t>
  </si>
  <si>
    <t>우리쌀로만든 쫀득한 떡볶이떡 200g 5개</t>
  </si>
  <si>
    <t>논산농부의 수제 양파청양장아찌 580g(병)</t>
  </si>
  <si>
    <t>직접수확한 쑥으로 만든 쑥떡 쑥개떡 1kg</t>
  </si>
  <si>
    <t>논산농부의 수제 눈꽃딸기청 600g / 1100g</t>
  </si>
  <si>
    <t>부엉이네오솔길</t>
  </si>
  <si>
    <t>218-37-00631</t>
  </si>
  <si>
    <t>에코프리베 쓰지않은 여주차 티백 1.5g x (10ea / 20ea / 60ea) 저온 다회 덖음차 국내 특허 [ECOFRIBAE]</t>
  </si>
  <si>
    <t>논산농부의 수제 오이장아찌 300g (팩포장)</t>
  </si>
  <si>
    <t>25년 [산지직송] 국내산 블랙푸드 흑보리(500g/1kg/4kg/5kg)</t>
  </si>
  <si>
    <t>531-92-00800</t>
  </si>
  <si>
    <t>상황조은농장</t>
  </si>
  <si>
    <t>논산농부의 수제 모듬 야채피클 580g(병) / 1kg(팩)</t>
  </si>
  <si>
    <t>에코프리베 어린이 홍삼 작두콩차 티백 30g (1.5gx20ea) 저온 다회 덖음차 [ECOFRIBAE]</t>
  </si>
  <si>
    <t>논산농부의 수제 유자청 700g</t>
  </si>
  <si>
    <t>에코프리베 호박 팥차 티백 1.5g x (10ea / 20ea) 저온 다회 덖음차 [ECOFRIBAE]</t>
  </si>
  <si>
    <t>논산농부의 수제 마늘종장아찌 580g(병)</t>
  </si>
  <si>
    <t>논산농부의 수제 청양고추장아찌 300g(팩) x 2ea / 580g(병)</t>
  </si>
  <si>
    <t>에코프리베 작두콩차 티백 1.5g x (10ea / 20ea / 60ea) 저온 다회 덖음차 [ECOFRIBAE]</t>
  </si>
  <si>
    <t>논산농부의 수제 오이장아찌무침 170g (팩포장) x 2ea 오이지무침 오이지</t>
  </si>
  <si>
    <t>직접 수확한 쑥으로 만든 쑥떡 쑥인절미 1kg</t>
  </si>
  <si>
    <t>논산농부의 수제 애기오이피클 580g(병) / 1kg(팩)</t>
  </si>
  <si>
    <t>영양만점 잡곡 강화섬 국내산 대두 백태콩 메주콩 (600g/1kg/5kg/10kg)</t>
  </si>
  <si>
    <t>산지출고 [25년] 국내산 늘보리쌀 (500g/1kg/4kg/5kg)</t>
  </si>
  <si>
    <t>383-94-02028</t>
  </si>
  <si>
    <t>헬로우팜</t>
  </si>
  <si>
    <t>모시떡 영광모싯잎 모시송편 3가지맛 60개</t>
  </si>
  <si>
    <t>직접 수확한 쑥으로 만든 쑥떡 쑥송편 20개</t>
  </si>
  <si>
    <t>[까망목장]요하트 수제쫀득 그릭요거트 플레인 고단백/칼슘 무가당 500g</t>
  </si>
  <si>
    <t>25년[산지직송] 국내산 찰보리쌀 (500g/1kg/2kg/3kg/4kg)</t>
  </si>
  <si>
    <t>[콩여울] 직접채밀 순수 천연벌꿀 아카시아꿀 밤꿀 야생화꿀 선물세트 300mlx3ea</t>
  </si>
  <si>
    <t>[콩여울] 정담고을4호 생들기름260ml+아카시아꿀350g</t>
  </si>
  <si>
    <t>[콩여울] 정담고을3호 참기름+들기름 260ml</t>
  </si>
  <si>
    <t>[콩여울] 정담고을5호 재래식간장260ml+볶은참깨120g</t>
  </si>
  <si>
    <t>에코프리베 프리미엄차 3종선물세트 30ea (작두콩/여주/호박팥/은행/비트) 저온 다회 덖음차 국내특허포함</t>
  </si>
  <si>
    <t>에코프리베 돼지감자차(뚱딴지차) 티백 30g (1.5gx20ea) 저온 다회 덖음차 [ECOFRIBAE]</t>
  </si>
  <si>
    <t>흑목이건버섯 170g</t>
  </si>
  <si>
    <t>영농조합법인 농담</t>
  </si>
  <si>
    <t>613-81-51809</t>
  </si>
  <si>
    <t>촉촉 쫄깃 하동 대봉 감말랭이 500g/1kg</t>
  </si>
  <si>
    <t>논산농부의 수제 갈아만든 유자청 430g / 700g</t>
  </si>
  <si>
    <t>논산농부의 수제 양파만장아찌 580g(병)</t>
  </si>
  <si>
    <t>586-91-01888</t>
  </si>
  <si>
    <t>현대농장 수퍼방토</t>
  </si>
  <si>
    <t>논산농부의 수제 제주레몬청 700g</t>
  </si>
  <si>
    <t>진천블루베리농장(팜)</t>
  </si>
  <si>
    <t>301-92-21674</t>
  </si>
  <si>
    <t>무농약 저탄소 블루베리 농장 500g/1kg</t>
  </si>
  <si>
    <t>농업회사법인(유)코리아푸드</t>
  </si>
  <si>
    <t>412-81-50546</t>
  </si>
  <si>
    <t>전라도 전통방식!! 국내산 알배기 포기김치&amp;겉절이 1kg</t>
  </si>
  <si>
    <t>[타임특가](무료배송) 900개 한정!! 전라도 수제 총각김치 2kg</t>
  </si>
  <si>
    <t>418-90-22360</t>
  </si>
  <si>
    <t>무주참벌꿀</t>
  </si>
  <si>
    <t>[무료배송] 30년 손맛!! 전라도 얼갈이김치 (국내산 얼갈이)</t>
  </si>
  <si>
    <t>[타임특가][무료배송+1kg증정] 프리미엄 여린 열무김치 총 3kg</t>
  </si>
  <si>
    <t>[저온숙성] 30년 전통 전라도 묵은지 2kg (무료배송)</t>
  </si>
  <si>
    <t>[비법양념사용!] 국내산 전라도 석박지 2kg</t>
  </si>
  <si>
    <t>썰어 담은 전라도 맛있는 맛김치 1kg/2kg</t>
  </si>
  <si>
    <t>전라도 쪽파!! 수제 파김치 2kg (국내산 쪽파 100%)</t>
  </si>
  <si>
    <t>[몽땅 무료배송+덤증정!!] 전라도 수제 총각김치</t>
  </si>
  <si>
    <t>(무료배송) 여수 정품 돌산 갓김치 2kg</t>
  </si>
  <si>
    <t>양념에 버무린 전라도식 배추김치</t>
  </si>
  <si>
    <t>도원명가</t>
  </si>
  <si>
    <t>887-10-00764</t>
  </si>
  <si>
    <t>[여수돌산갓100%] 보리쌀 동동!! 시원한 갓물김치 &amp; 갓김치</t>
  </si>
  <si>
    <t>창란젓+고랭지무=나박고랭지무김치!! 자박자박 나박김치(국내산)</t>
  </si>
  <si>
    <t>[김치맛집] 감천골!! 서리맞은 단호박 백김치 (한정 판매)</t>
  </si>
  <si>
    <t>[100% 국내산] 특제양념! 수제 쪽파말랭이무침 400g</t>
  </si>
  <si>
    <t>지금 제철! 아삭아삭 싱싱한 고구마줄기김치</t>
  </si>
  <si>
    <t>[최대+1kg 증정] 감천골!! 가야 햇 초롱무김치</t>
  </si>
  <si>
    <t>물도 맛있는 감천골!! 찰보리열무물김치</t>
  </si>
  <si>
    <t>건강한 맛 밥도둑 양념 콩잎김치 400g</t>
  </si>
  <si>
    <t>[경상전통식] 거창 고랭지 머위!! 햇 수제 머위김치 2종 (국산 고춧가루&amp;된장)</t>
  </si>
  <si>
    <t>밥도둑 반찬(콩잎김치/깻잎김치/고추김치/무말랭이)</t>
  </si>
  <si>
    <t xml:space="preserve"> 더자인</t>
  </si>
  <si>
    <t>749-87-02443</t>
  </si>
  <si>
    <t>(무료배송) 우리 농가에서 자란 달콤함의 끝판왕! 대극천 반납작이 복숭아</t>
  </si>
  <si>
    <t>[무료배송+500g증정!!] 경북직송!! 과즙가득 햇 천도복숭아 총 3kg</t>
  </si>
  <si>
    <t>[타임특가][무료배송+1kg증정!!] 경북 햇 딱복이 총 3kg (딱딱이백도복숭아)</t>
  </si>
  <si>
    <t>[제철특가] 농부직송!! 새콤달콤 햇 자두 1kg/3kg</t>
  </si>
  <si>
    <t>[농가 무료배송!!] 말랭이복숭아 2kg!! 황도파 VS 백도파 (골라담기)</t>
  </si>
  <si>
    <t>[무료배송] 농부가 바로!! 상추쌈 600g 9,900원!! (유럽상추)</t>
  </si>
  <si>
    <t>511-09-26842</t>
  </si>
  <si>
    <t>영농조합법인 우보산초</t>
  </si>
  <si>
    <t>873-88-00110</t>
  </si>
  <si>
    <t>해피메이킹</t>
  </si>
  <si>
    <t>[밀양본초] 48시간 발효숙성! 2대비법 덖음 야생 산초차</t>
  </si>
  <si>
    <t>[무료배송] 농부가 바로!! 경북 영천 단복이!! 2kg (딱딱이복숭아)</t>
  </si>
  <si>
    <t>들판열매</t>
  </si>
  <si>
    <t>608-96-64761</t>
  </si>
  <si>
    <t>[무료배송] 농부가 바로!! 당도선별!! 설탕 샤인머스켓</t>
  </si>
  <si>
    <t>청춘불판 무뼈불닭발 200g 뼈없는 매운 닭발 술안주 혼술 캠핑</t>
  </si>
  <si>
    <t>청춘불판 직화껍데기 350g 국내산 직화 불향 자체양념소스</t>
  </si>
  <si>
    <t>고기얌 불오돌뼈 250g 국내산 매운 양념 캠핑 혼술 안주</t>
  </si>
  <si>
    <t>519-93-00689</t>
  </si>
  <si>
    <t>성주참외 보화농장</t>
  </si>
  <si>
    <t>청춘불판 불오돌뼈 400g 국내산 매운 양념 캠핑 혼술 안주</t>
  </si>
  <si>
    <t>청춘불판 직화불곱창 400g 혼술 캠핑 안주 돼지곱창</t>
  </si>
  <si>
    <t>농업회사법인 곤충킹(주)</t>
  </si>
  <si>
    <t>268-86-01730</t>
  </si>
  <si>
    <t>건조고소애 건강영양간식 100g 식용곤충식품 고단백 단백질보충</t>
  </si>
  <si>
    <t>건조귀뚜라미 식용100g 건강고단백영양간식 단백질보충 (파충류 고슴도치 햄스터 먹이 가능)</t>
  </si>
  <si>
    <t>고소애 오란다 고단백 프로틴 간식</t>
  </si>
  <si>
    <t>고소애초코칩쿠키 25g패키지세트(50EA입)</t>
  </si>
  <si>
    <t>고소애아몬드쿠키 25g패키지세트(50EA입)</t>
  </si>
  <si>
    <t>고소애 분말 고단백질 파우더 100g</t>
  </si>
  <si>
    <t>영양간식 고소애 쌀빵 고단백질 간식 10개입 1세트</t>
  </si>
  <si>
    <t>고소애 브라우니 수제 고단백질 간식</t>
  </si>
  <si>
    <t>701-93-02082</t>
  </si>
  <si>
    <t>고소애 아몬드쿠키(1개) 고단백 프로틴 간식 식용 곤충 밀웜 쿠키 어린이 영양간식</t>
  </si>
  <si>
    <t>로토정</t>
  </si>
  <si>
    <t>고소애 초코칩쿠키(1개) 고단백 프로틴 간식 식용 곤충 밀웜 쿠키 어린이 영양간식</t>
  </si>
  <si>
    <t>고단백 영양미 단백질 성형쌀</t>
  </si>
  <si>
    <t>한국제다 그린티믹스 14  스틱</t>
  </si>
  <si>
    <t>한국제다 호지차믹스 20 스틱</t>
  </si>
  <si>
    <t>말차 30g</t>
  </si>
  <si>
    <t>한국제다 감농 100g 지관</t>
  </si>
  <si>
    <t>한국제다 작설차 특선 지관 100g</t>
  </si>
  <si>
    <t>한국제다 정선 80g</t>
  </si>
  <si>
    <t>한국제다 홍삼말차 40g</t>
  </si>
  <si>
    <t>한국제다 현미녹차 100g 지관</t>
  </si>
  <si>
    <t>한국제다 뽕잎차 40g 지관</t>
  </si>
  <si>
    <t>현미믹스20 500g</t>
  </si>
  <si>
    <t>주식회사로컬오누이</t>
  </si>
  <si>
    <t>282-81-02797</t>
  </si>
  <si>
    <t>[로컬오누이] 나주 멜론속살떡 메론떡</t>
  </si>
  <si>
    <t>[멜론집아들] 고당도 머스크 메론 세지 농협 세론이 나주 세지멜론 임신 부모님 선물세트</t>
  </si>
  <si>
    <t>아기떡갈비 현풍 수제 한우 한돈 아이 반찬 건강한 육즙 세가지맛 3팩  90g  15개</t>
  </si>
  <si>
    <t>영호진미 백미 무훈증 당일도정 맛있는쌀 3kg  1개</t>
  </si>
  <si>
    <t>영호진미 백미 무훈증 당일도정 맛있는쌀 10kg  1개</t>
  </si>
  <si>
    <t>영호진미 백미 무훈증 당일도정 맛있는쌀 10kg  2개</t>
  </si>
  <si>
    <t>25년 영호진미 백미 5kg 10kg 20kg 손잡이형 무훈증 당일도정 맛있는쌀</t>
  </si>
  <si>
    <t>25년 영호진미 백미 소포장 2kg 4kg 무훈증 당일도정 맛있는쌀</t>
  </si>
  <si>
    <t>영호진미 현미 1분도 5분도 7분도 5kg 10kg 손잡이형 무훈증 당일도정 맛있는쌀</t>
  </si>
  <si>
    <t>25년 영호진미 현미 1분도 5분도 7분도 3kg 6kg 무훈증 당일도정 맛있는쌀</t>
  </si>
  <si>
    <t>주식회사 지향</t>
  </si>
  <si>
    <t>25년 백옥찰 찹쌀 5kg 10kg 20kg 손잡이형 무훈증 당일도정 맛있는쌀</t>
  </si>
  <si>
    <t>쿠폰 배정액</t>
  </si>
  <si>
    <t>25년 백옥찰 찹쌀 2kg 4kg 소포장 무훈증 당일도정 맛있는쌀</t>
  </si>
  <si>
    <t>25년 백옥찰 찹쌀 3kg 6kg 무훈증 당일도정 맛있는쌀</t>
  </si>
  <si>
    <t>25년 백옥찰 현미찹쌀 찰현미 5kg 10kg 20kg 손잡이형 무훈증 당일도정 맛있는쌀</t>
  </si>
  <si>
    <t>25년 백옥찰 현미찹쌀 찰현미 3kg 6kg 무훈증 당일도정 맛있는쌀</t>
  </si>
  <si>
    <t>25년 백옥찰 현미찹쌀 찰현미 2kg 4kg 소포장 무훈증 당일도정 맛있는쌀</t>
  </si>
  <si>
    <t>25년 백진주 현미1분도 5분도 7분도 5kg 10kg 손잡이 무훈증 당일도정 맛있는쌀</t>
  </si>
  <si>
    <t>25년 백진주 백미 3kg 6kg 무훈증 당일도정 맛있는쌀</t>
  </si>
  <si>
    <t>25년 백진주 백미 5kg 10kg 20kg 손잡이형 무훈증 당일도정 맛있는쌀</t>
  </si>
  <si>
    <t>농부가바로팜 무항생제 구운유정란 40구 신선계란 난각번호2번</t>
  </si>
  <si>
    <t>농부가바로팜 무항생제 Non-Gmo 유정란 40구 신선계란 난각번호2번</t>
  </si>
  <si>
    <t>농부가바로팜 무항생제 유정란 40구 신선계란 난각번호2번</t>
  </si>
  <si>
    <t>616-81-78184</t>
  </si>
  <si>
    <t>(주)올찬 농업회사법인</t>
  </si>
  <si>
    <t>농부가바로팜 무항생제 Non-Gmo 유정란 60구 신선계란 난각번호2번</t>
  </si>
  <si>
    <t>농부가바로팜 구운유정란 혼합60구(중30+구30) 신선계란 난각번호2번</t>
  </si>
  <si>
    <t>농부가바로팜 유정란 혼합90구(유30+중30+구30)  신선계란 난각번호2번</t>
  </si>
  <si>
    <t>농부가바로팜 무항생제 유정란 유구 혼합 60구 신선계란 난각번호2번</t>
  </si>
  <si>
    <t>잔여금액</t>
  </si>
  <si>
    <t>농부가바로팜 무항생제 구운유정란 60구 신선계란 난각번호2번</t>
  </si>
  <si>
    <t>농부가바로팜 무항생제 유정란 혼합 60구(유30+중30) 신선계란 난각번호2번</t>
  </si>
  <si>
    <t>농부가바로팜 무항생제 유정란 중란 60구 신선계란 난각번호2번</t>
  </si>
  <si>
    <t>농부가바로팜 무항생제 유정란 60구 신선계란 난각번호2번</t>
  </si>
  <si>
    <t>오미자 청 엑기스 원액 1500ml</t>
  </si>
  <si>
    <t>오미자청 원액 엑기스 500ml</t>
  </si>
  <si>
    <t>오미자청 원액 엑기스 500ml 2병 선물세트</t>
  </si>
  <si>
    <t>543-88-02648</t>
  </si>
  <si>
    <t>(주)복숭아집밤비네</t>
  </si>
  <si>
    <t>오미자청 원액 엑기스 500ml 선물용</t>
  </si>
  <si>
    <t>오미자청 원액 엑기스 50ml 5병 한잔용 휴대용</t>
  </si>
  <si>
    <t>여주땅콩 햇땅콩 고소한 국산 볶은 볶음 땅콩 생땅콩 300g 450g</t>
  </si>
  <si>
    <t>청운유</t>
  </si>
  <si>
    <t>유황한돈 냉장 삼겹살 목살 1kg 오겹살 캠핑 등갈비 갈매기살 가브리살 항정살</t>
  </si>
  <si>
    <t>유황한돈 한돈 삼겹살 구이용 냉장  1kg  1개</t>
  </si>
  <si>
    <t>한돈 통 사태 보쌈 수육 장조림 찌개용 고기 냉장  500g  2개</t>
  </si>
  <si>
    <t>한돈 찌개용 돼지고기 김치찌개 카레 짜장용 냉장  300g  4개</t>
  </si>
  <si>
    <t>447-92-02158</t>
  </si>
  <si>
    <t>애플온</t>
  </si>
  <si>
    <t>유황한돈 한돈 목살 구이용 냉장  1kg  1개</t>
  </si>
  <si>
    <t>한돈 돼지 안심 탕수육 장조림 돈까스 고기 냉장  500g  2개</t>
  </si>
  <si>
    <t>고기얌 돼지껍데기 누들 매콤맛 180g 국내산 매콤양념 누들껍데기 캠핑 야식 간편조리</t>
  </si>
  <si>
    <t>주식회사 드림엘링크</t>
  </si>
  <si>
    <t>562-81-04158</t>
  </si>
  <si>
    <t>이기순 명인의 순 프리미엄 울금 포기 김치 5kg 국산 100% 국내산 배추 김장</t>
  </si>
  <si>
    <t>이기순 명인의 순 파김치 1kg 2kg 국산 파 국내산 김치 맛집 주문 쪽파 프리미엄</t>
  </si>
  <si>
    <t>이기순 명인의 순 총각김치1kg 2kg 국산 총각무 국내산 맛집 주문 무청 알타리 아삭</t>
  </si>
  <si>
    <t>이기순 명인의 순 열무김치 1kg 2kg 3kg 국산 열무 국내산 김치 주문 국수 냉면</t>
  </si>
  <si>
    <t>이기순 명인의 순 석박지 1kg 2kg 국산 무 국내산 김치 맛집 주문 무김치 프리미엄</t>
  </si>
  <si>
    <t>이기순 명인의 순 맛김치 1kg 2kg 국산 배추 국내산 맛집 주문 절단 썰은김치</t>
  </si>
  <si>
    <t>이기순 명인의 순 깍두기 1kg 2kg 3kg 국산 무 국내산 김치 맛집 주문 무김치</t>
  </si>
  <si>
    <t>이기순 명인의 순 갓김치 1kg 2kg 국산 갓 국내산 김치 맛집 주문 전라도 프리미엄</t>
  </si>
  <si>
    <t>이기순 명인의 순 고춧가루 500g 1kg 햇 25년산 국산 가정용 업소용 요리용 보통맛</t>
  </si>
  <si>
    <t>이기순 명인의 순 볶음김치 1kg 국산배추 고춧가루 사용 볶은김치 두부 도시락 찌개 제육</t>
  </si>
  <si>
    <t>이기순 명인의 순 프리미엄 울금 백김치 2kg 국내산 배추 어린이집 유치원 남녀노소 물김치</t>
  </si>
  <si>
    <t>이기순 명인의 순 프리미엄 울금 포기 김치 2kg 외 국산 100% 국내산 배추 김장</t>
  </si>
  <si>
    <t>감익는마을 천연식초</t>
  </si>
  <si>
    <t>615-19-39008</t>
  </si>
  <si>
    <t>감익는마을 씨없는 곶감 눈꽃곶감 GAP인증 밀양반시 500gx2통</t>
  </si>
  <si>
    <t>감익는마을 천연 감식초 7년숙성 항아리발효 감100% 설탕무첨가 1.5L</t>
  </si>
  <si>
    <t>감익는마을 천연 감식초 7년숙성 항아리발효 감100% 자연침전 설탕무첨가 500nlx2병</t>
  </si>
  <si>
    <t>감익는마을 감식초·발아현미식초 선물세트 500ml 2병 무설탕 항아리숙성</t>
  </si>
  <si>
    <t>감익는마을 발아현미 흑초 특허제조 8년 숙성 국산현미 500ml 식초</t>
  </si>
  <si>
    <t>감익는마을 돼지감자감식초 500ml 천연발효식초 무설탕</t>
  </si>
  <si>
    <t>씨없는 프리미엄 곶감 선물세트 25년 가을 햇곶감 감익는마을</t>
  </si>
  <si>
    <t>홍시 씨없는반시 밀양반시 5kg GAP 상동반시선물용 곶감 감말랭이용 농부직송 감익는마을</t>
  </si>
  <si>
    <t>홍시 씨없는반시 밀양반시 5kg 42과 GAP 선물용 곶감 감말랭이용 농부직송 감익는마을</t>
  </si>
  <si>
    <t>씨없는반시 밀양반시 5kg 38과 홍시용 GAP 선물용 난좌포장 감익는마을 농부직송</t>
  </si>
  <si>
    <t>채씨네표고</t>
  </si>
  <si>
    <t>국내산 건표고버섯 슬라이스 1kg 말린 마른 표고버섯 참나무 500g</t>
  </si>
  <si>
    <t>[초록이들]500g/1kg 유럽 샐러드 채소 유러피안 상추 쌈 버터헤드 카이피라 프릴등</t>
  </si>
  <si>
    <t>386-97-01806</t>
  </si>
  <si>
    <t>애플향농원</t>
  </si>
  <si>
    <t>초록이들 4kg 대용량 상추 유럽 샐러드 채소 유러피안 쌈 버터헤드 카이피라 프릴 양상추</t>
  </si>
  <si>
    <t>[농할쿠폰]경북봉화 유럽종완숙토마토 2.5kg</t>
  </si>
  <si>
    <t>[농할쿠폰]경북봉화 유럽종완숙토마토 5kg</t>
  </si>
  <si>
    <t>양파만</t>
  </si>
  <si>
    <t>257-35-01010</t>
  </si>
  <si>
    <t>[양파만] 국내산 양파 카라멜라이징 카라멜라이즈 볶음양파 간편조미료 실속형</t>
  </si>
  <si>
    <t>예림농원</t>
  </si>
  <si>
    <t>342-03-03125</t>
  </si>
  <si>
    <t>프리바이오틱스 인더잼 딸기잼 (딸기쨈) 병 280g / 스틱 200g</t>
  </si>
  <si>
    <t>온드리목장</t>
  </si>
  <si>
    <t>온드리목장 1kg 무가당 꾸덕한 그릭요거트 대용량</t>
  </si>
  <si>
    <t>우유와함께 제주녹차라떼</t>
  </si>
  <si>
    <t>온드리목장 요거트 1000ml 더 진하게 발효한 대용량 요거트 x 2개</t>
  </si>
  <si>
    <t>온드리목장 무가당 꾸덕한 그릭요거트 산미없이 고소한 500g</t>
  </si>
  <si>
    <t>3초 보리 순아이티 (15입)</t>
  </si>
  <si>
    <t>온드리목장 무가당 드링킹 그릭요거트 120g x 15개</t>
  </si>
  <si>
    <t>온드리목장 무지방 무가당 그릭요거트 100g x 3개</t>
  </si>
  <si>
    <t>유기농 제주 말차 ((20g×2입)×1개)</t>
  </si>
  <si>
    <t>온드리목장 무지방 무가당 그릭요거트 500g</t>
  </si>
  <si>
    <t>653-96-01295</t>
  </si>
  <si>
    <t>봄과하늘이네밭</t>
  </si>
  <si>
    <t>온드리목장 1kg 무지방 무가당 그릭요거트 대용량</t>
  </si>
  <si>
    <t>해담는집 유기농 고춧가루 500g/200g(순한맛/보통맛/매운맛)</t>
  </si>
  <si>
    <t>거창 수제 오미자 청 오미자 원액 엑기스 과일청 1L  1개</t>
  </si>
  <si>
    <t>[해담는집] 유기농 고추씨 500g</t>
  </si>
  <si>
    <t>거창 수제 오미자 청 오미자 원액 엑기스 과일청 1L  4개</t>
  </si>
  <si>
    <t>[해담는집] 유기농 들깨 500g</t>
  </si>
  <si>
    <t>거창 수제 오미자 청 오미자 원액 엑기스 과일청 1L  6개</t>
  </si>
  <si>
    <t>[해담는집]유기농 크러쉬드 레드페퍼</t>
  </si>
  <si>
    <t>거창 수제 오미자 청 오미자 원액 엑기스 과일청 750ml  6개</t>
  </si>
  <si>
    <t>거창 수제 오미자 청 오미자 원액 엑기스 과일청 750ml  1개</t>
  </si>
  <si>
    <t>유기농 메리골드 건조차 50g/꽃차/생화/식용꽃</t>
  </si>
  <si>
    <t>거창 수제 오미자 청 오미자 원액 엑기스 과일청 750ml  4개</t>
  </si>
  <si>
    <t>주식회사 베리네이처</t>
  </si>
  <si>
    <t>유기농 토핑 야채큐브 다진 비트 45g</t>
  </si>
  <si>
    <t>사조 오리 주물럭 양념 오리불고기 600g 넉넉한 양</t>
  </si>
  <si>
    <t>국내산 냉동 닭고기 닭목살 1kg 닭특수부위</t>
  </si>
  <si>
    <t>유기농 토핑 야채큐브 다진 양배추 45g</t>
  </si>
  <si>
    <t>[무항생제 닭다리살 슬라이스]  국내산 닭정육 닭순살 냉장 1kg</t>
  </si>
  <si>
    <t>유기농 토핑 야채큐브 다진 무 45g</t>
  </si>
  <si>
    <t>505-21-96189</t>
  </si>
  <si>
    <t>쌈바쌈바</t>
  </si>
  <si>
    <t>[무항생제 닭다리살 슬라이스]  국내산 닭정육 닭순살 냉장 500g</t>
  </si>
  <si>
    <t>무농약 토핑 야채큐브 다진 근대 45g</t>
  </si>
  <si>
    <t>[모두 한입닭갈비] 춘천 3팩 국산 닭정육 캠핑 500gx3팩 (3~4인분)</t>
  </si>
  <si>
    <t>무농약 토핑 야채큐브 다진 청경채 45g</t>
  </si>
  <si>
    <t>국내산 냉동 육계닭발 1kg +1kg 급냉</t>
  </si>
  <si>
    <t>유기농 토핑 야채큐브 다진 시금치 45g</t>
  </si>
  <si>
    <t>국내산 육수용 닭뼈 10kg (5kg x2봉) 닭몸통뼈 사골뼈</t>
  </si>
  <si>
    <t>무농약 토핑 야채큐브 다진 새송이버섯 45g</t>
  </si>
  <si>
    <t>[닭가슴살+닭다리살 슬라이스 친구] 국산 무항생제  (500g x 2팩) 소포장 진공포장</t>
  </si>
  <si>
    <t>유기농 토핑 야채큐브 다진 당근 45g</t>
  </si>
  <si>
    <t>국산 무항생제 닭가슴살 1.5kg (500g x 3팩) 소포장 트레이 포장</t>
  </si>
  <si>
    <t>무농약 토핑 야채큐브 다진 애호박 45g</t>
  </si>
  <si>
    <t>[명성통닭] 옛날통닭 오븐구이 700g x 2마리 에어프라이어 15분완성</t>
  </si>
  <si>
    <t>국내산 뼈없는 닭발 생 무뼈닭발(200g x 1팩)</t>
  </si>
  <si>
    <t>유기농 토핑 야채큐브 다진 단호박 45g</t>
  </si>
  <si>
    <t>초원 국내산 생 무뼈닭발 뼈없는 닭발 900g x20봉</t>
  </si>
  <si>
    <t>무항생제 닭 안심 다짐육 30g x 3구</t>
  </si>
  <si>
    <t>초원 국내산 생 무뼈닭발 뼈없는 닭발 900g x8봉</t>
  </si>
  <si>
    <t>무항생제 한우 설도 다짐육 30g x 3구</t>
  </si>
  <si>
    <t>초원 국내산 생 무뼈닭발 뼈없는 닭발 900g x5봉</t>
  </si>
  <si>
    <t>412-87-02406</t>
  </si>
  <si>
    <t>진솔건강주식회사</t>
  </si>
  <si>
    <t>농업회사법인(주)다고</t>
  </si>
  <si>
    <t>초원 국내산 생 무뼈닭발 뼈없는 닭발 900g x1봉</t>
  </si>
  <si>
    <t>유기농 순돼지감자차 1박스 2g X 20포</t>
  </si>
  <si>
    <t>초원 국내산 생 무뼈닭발 뼈없는 닭발 900g x2봉</t>
  </si>
  <si>
    <t>유기농 순수블랙보리차 1박스 2g X 20포</t>
  </si>
  <si>
    <t>[모두양념닭발] 오직 국내산 무뼈닭발  200g포장</t>
  </si>
  <si>
    <t>유기농 도라지 농축액(160g)</t>
  </si>
  <si>
    <t>국내산 무항생제 가슴살 1kg x10팩</t>
  </si>
  <si>
    <t>모두닭갈비 춘천 2+2팩 국산 닭정육 캠핑 500gx4팩 (6~8인분)</t>
  </si>
  <si>
    <t>유기농 도라지배 농축액(220g)</t>
  </si>
  <si>
    <t>국내산 냉동 닭특수부위 닭똥집 닭근위 900g 사업자 대량</t>
  </si>
  <si>
    <t>[MD추천]유기농 도라지 홍삼청(10gx15)</t>
  </si>
  <si>
    <t>국내산 뼈없는닭발 200g 무뼈닭발</t>
  </si>
  <si>
    <t>더조은 유기농 생강청 (160g)</t>
  </si>
  <si>
    <t>국내산 냉동 닭내장 [ 1kg / 20EA ]곱창 알탕  닭부산물</t>
  </si>
  <si>
    <t>유기농 양배추청(10gx30)</t>
  </si>
  <si>
    <t>[모두한상찜닭] 세다리 진짜 안동찜닭의 풍미 국내산 닭고기로 냉장 1kg 안동구시장</t>
  </si>
  <si>
    <t>국산 무항생제 생닭가슴살 500g x 2팩(1kg)냉장 신선</t>
  </si>
  <si>
    <t>유기농 양배추환 (170g)</t>
  </si>
  <si>
    <t>국산 무항생제 닭가슴살 15kg (500g X 30EA)냉장 신선</t>
  </si>
  <si>
    <t>유기농 백미(10kg/단일품종)</t>
  </si>
  <si>
    <t>국산 무항생제 닭가슴살 7.5kg (500g X 15EA)냉장 신선</t>
  </si>
  <si>
    <t>품목</t>
  </si>
  <si>
    <t>사조 오리 주물럭 양념 오리불고기 1kg 넉넉한 양</t>
  </si>
  <si>
    <t>유기농 백미(4kg/단일품종)</t>
  </si>
  <si>
    <t>아침에계란 청춘이란 난각번호1번 발효곡물 먹은 자연방사 유정란 20구 40구 60구</t>
  </si>
  <si>
    <t>유기농 백미(2kg/단일품종)</t>
  </si>
  <si>
    <t>토댁</t>
  </si>
  <si>
    <t>510-90-49461</t>
  </si>
  <si>
    <t>토댁 성주참외 5kg 꼬마참외 프리미엄 못난이 수양대군볏짚배양토</t>
  </si>
  <si>
    <t>유기농 현미(4kg/단일품종)</t>
  </si>
  <si>
    <t>[농할]국내 성주 참외 3kg  1개</t>
  </si>
  <si>
    <t>유기농 현미 (2kg/단일품종)</t>
  </si>
  <si>
    <t>토댁 수양대군 볏짚배양토 성주 꿀참외 2.5kg</t>
  </si>
  <si>
    <t>유기농 현미찹쌀(4kg)</t>
  </si>
  <si>
    <t>국내산 냉동 닭내장 1kg 곱창 알탕  닭부산물</t>
  </si>
  <si>
    <t>유기농 현미찹쌀(2kg)</t>
  </si>
  <si>
    <t>국내산 냉동 닭오돌뼈 연골 야키토리 5kg</t>
  </si>
  <si>
    <t>국산 무항생제 생 닭가슴살 5kg (500g X 10EA) 소포장 냉장</t>
  </si>
  <si>
    <t>유기농 찹쌀(4kg)</t>
  </si>
  <si>
    <t>국산 무항생제 닭가슴살 10kg (500g X 20EA)냉장 신선</t>
  </si>
  <si>
    <t>유기농 찹쌀(2kg)</t>
  </si>
  <si>
    <t>608-28-92628</t>
  </si>
  <si>
    <t>국내산 무항생제 닭고기 냉장 벌크  6호 7호 10호 11호</t>
  </si>
  <si>
    <t>마늘본가</t>
  </si>
  <si>
    <t>유기농 혼합9곡(4kg)</t>
  </si>
  <si>
    <t>[모두양념닭발] 1+1팩 오직 국내산 무뼈닭발  200g포장</t>
  </si>
  <si>
    <t>유기농 혼합9곡(2kg)</t>
  </si>
  <si>
    <t>국내산 뼈없는닭발 200g 생 무뼈닭발</t>
  </si>
  <si>
    <t>다원팜</t>
  </si>
  <si>
    <t>GAP 무농약 고기느타리(300g)</t>
  </si>
  <si>
    <t>[모두닭갈비] 춘천 1+1팩 국산 닭다리살 캠핑 500gx2팩 (3~4인분)</t>
  </si>
  <si>
    <t>국내산 냉동 닭고기 부산물 토종닭발 10kg  종류별</t>
  </si>
  <si>
    <t>GAP 무농약 삼색느타리(400g)</t>
  </si>
  <si>
    <t>국내산 절단육 치킨 볶음탕 1kg 신선</t>
  </si>
  <si>
    <t>GAP 무농약 참타리버섯(350g내외)</t>
  </si>
  <si>
    <t>[새나라마켓] 국내산 닭다리 닭 북채 1kg 냉동</t>
  </si>
  <si>
    <t>GAP 무농약 참타리버섯(150g)</t>
  </si>
  <si>
    <t>국산 무항생제 닭고기 부위별 닭가슴살 모듬 볶음탕 1kg 신선</t>
  </si>
  <si>
    <t>국산 무항생제 닭고기 냉장 한마리 6호 7호 10호 11호</t>
  </si>
  <si>
    <t>475-10-02064</t>
  </si>
  <si>
    <t>농업회사법인내포(주) / 매헌생명창고</t>
  </si>
  <si>
    <t>오직건강마늘</t>
  </si>
  <si>
    <t>매헌 생들기름</t>
  </si>
  <si>
    <t>국내산 냉동 닭특수부위 닭똥집 닭근위 900g</t>
  </si>
  <si>
    <t>[달콤한인생] 유기농 수수조청 280g</t>
  </si>
  <si>
    <t>국내산 닭고기 냉동 벌크 10kg 토종 육계 삼계닭발</t>
  </si>
  <si>
    <t>[달콤한인생] 유기농 대추청 280g</t>
  </si>
  <si>
    <t>국내산 통 닭발 생 무뼈닭발(200g x 5팩) 냉동 뼈없는 닭발</t>
  </si>
  <si>
    <t>제주 미에덴팜 미니 단호박 밤호박 보우짱 산지직송 3kg 5kg 10kg</t>
  </si>
  <si>
    <t>[달콤한인생] 유기농 생강청 280g</t>
  </si>
  <si>
    <t>상주토성곶감</t>
  </si>
  <si>
    <t>511-90-18321</t>
  </si>
  <si>
    <t>상주 곶감 반건시 건시 실속형 선물세트 대봉 못난이</t>
  </si>
  <si>
    <t>[달콤한인생] 유기농 홍도라지청 280g</t>
  </si>
  <si>
    <t>[1+1] 건시 선물세트 1.2kg  2개</t>
  </si>
  <si>
    <t>532-17-01799</t>
  </si>
  <si>
    <t>G.I.F&amp;T</t>
  </si>
  <si>
    <t>[달콤한인생] 유기농 생강청+대추청 선물세트</t>
  </si>
  <si>
    <t>[상주토성곶감] 건시 선물세트 1.5kg  1개</t>
  </si>
  <si>
    <t>[상주토성곶감] 건시 선물세트 2.5kg  1개</t>
  </si>
  <si>
    <t>[달콤한인생] 유기농 홍도라지청+생강청+대추청 선물세트</t>
  </si>
  <si>
    <t>[상주토성곶감] 건시 선물세트 1.2kg  1개</t>
  </si>
  <si>
    <t>도울에프앤비</t>
  </si>
  <si>
    <t>[아기과자1단계] 유기농 단호박 롱스틱 (25g)</t>
  </si>
  <si>
    <t>무주 반딧불 산골 호두말이 곶감말이 반건시 곶감선물세트 과일세트</t>
  </si>
  <si>
    <t>[아기과자3단계] 지구대장 유기농 옐로우 스틱 (45g)</t>
  </si>
  <si>
    <t>선물용 200gX6개 진공포장 /쌀 흑미 찹쌀 선택/당일도정 특등급</t>
  </si>
  <si>
    <t>[아기과자2단계] 지구대장 유기농 베리 롱스틱 (28g)</t>
  </si>
  <si>
    <t>찰흑미 출시/2Kg 소포장/랑이네갓도정쌀 선물용 단체선물</t>
  </si>
  <si>
    <t>[굿디자인선정]옛가마니 선물용 쌀 2.5kg 26년 햅쌀 /당일도정 특등급/ 소포장</t>
  </si>
  <si>
    <t>유기농 핑크나나 뻥튀기 (25g/5입)</t>
  </si>
  <si>
    <t>386-96-01395</t>
  </si>
  <si>
    <t>방울따옴</t>
  </si>
  <si>
    <t>현미 5Kg / 26년 햅쌀 랑이네 갓도정쌀 강화섬쌀 지퍼백 당일도정</t>
  </si>
  <si>
    <t>농업회사법인 (주) 초록원</t>
  </si>
  <si>
    <t>유기농 매실엑기스 (660g)</t>
  </si>
  <si>
    <t>25년 햅쌀 나들미 10Kg 강화섬쌀 최근 도정 신선한 랑이네 갓 도정쌀 정미소직판</t>
  </si>
  <si>
    <t>초록원 유기농 딸기잼(580g)</t>
  </si>
  <si>
    <t>25년 햅쌀 백진주 10Kg 강화섬쌀 최근 도정 신선한 랑이네 갓 도정쌀 정미소직판</t>
  </si>
  <si>
    <t>초록원 무농약 딸기로 만든 딸기잼(580g)</t>
  </si>
  <si>
    <t>25년 햇 찹쌀 10Kg 강화섬쌀 최근 도정 신선한 랑이네 갓 도정쌀 정미소직판</t>
  </si>
  <si>
    <t>1kg 3개 선물세트(백미  7분도) 26년 햅쌀/ 당일도정 특등급/소포장</t>
  </si>
  <si>
    <t>유기농 쌀 떡국떡 (500g X 3개)</t>
  </si>
  <si>
    <t>26년 햅쌀출시/10Kg 강화섬쌀 모음/최근 도정 신선한 랑이네 갓 도정쌀 정미소직판</t>
  </si>
  <si>
    <t>유기농 쌀 떡볶이떡 (500g X 1개)</t>
  </si>
  <si>
    <t>백미·7분도 5kg/26년 햅쌀/당일도정 특등급/랑이네갓도정쌀 지퍼백포장</t>
  </si>
  <si>
    <t>454-96-00874</t>
  </si>
  <si>
    <t>오나라네맛좋은딸기</t>
  </si>
  <si>
    <t>유기농 현미로 만든 떡국떡 (500g X 3개)</t>
  </si>
  <si>
    <t>1kg 선물용 와인상자/26년 햅쌀/당일도정 특등급 선물용 정미소직판</t>
  </si>
  <si>
    <t>유기농 현미로 만든 떡볶이떡 (500g X 1개)</t>
  </si>
  <si>
    <t>2kg 백미/26년 햅쌀/당일도정 특등급 선물용 정미소직판</t>
  </si>
  <si>
    <t>2kg 7분도 현미/26년 햅쌀/당일도정 특등급 선물용 정미소직판</t>
  </si>
  <si>
    <t>유기농 영양12곡 미숫가루 (400g X 1개)</t>
  </si>
  <si>
    <t>100g 14개입/26년 햅쌀 랑이네갓도정쌀 /소포장 선물 캠핑용 당일도정 특등급</t>
  </si>
  <si>
    <t>유기농 세척 영양 12곡 (2kg X 1개)</t>
  </si>
  <si>
    <t>100g 7개입/26년 햅쌀 랑이네갓도정쌀 /소포장 선물 캠핑용 당일도정 특등급</t>
  </si>
  <si>
    <t>가뿐한 무농약 로메인 샐러드믹스 210g(70g x 3입)</t>
  </si>
  <si>
    <t>200g 낱개 26년 햅쌀 /당일도정 특등급/소포장 선물 캠핑용</t>
  </si>
  <si>
    <t>100g 낱개 26년 햅쌀 /당일도정 특등급/ 소포장 선물 캠핑용</t>
  </si>
  <si>
    <t>농업회사법인 주식회사 드레스푸드</t>
  </si>
  <si>
    <t>820-81-03211</t>
  </si>
  <si>
    <t>드레스푸드 만능소스 핫소스 비빔면소스 저당소스 무설탕소스 스틱형 튜브형</t>
  </si>
  <si>
    <t>가뿐한 무농약 루꼴라 샐러드믹스 210g(70g x 3입)</t>
  </si>
  <si>
    <t>드레스푸드 고추장소스 만능소스 칠리소스 드레싱 샐러드소스</t>
  </si>
  <si>
    <t>무농약 스마트팜 소프트믹스 샐러드</t>
  </si>
  <si>
    <t>해피팜땅콩버터</t>
  </si>
  <si>
    <t>무농약 스마트팜 트리플믹스 샐러드</t>
  </si>
  <si>
    <t>해피팜구운땅콩</t>
  </si>
  <si>
    <t>[소용량] 무농약 손질 양상추 샐러드 (60g)</t>
  </si>
  <si>
    <t>장기선마농원</t>
  </si>
  <si>
    <t>172-60-00288</t>
  </si>
  <si>
    <t>참마 산마 깍은마 손질마 100g 7팩 200g 5팩[당일손질]</t>
  </si>
  <si>
    <t>무농약 스마트팜 손질 양상추</t>
  </si>
  <si>
    <t>국내산 껍질 벗긴 참마 분말 마가루 150g</t>
  </si>
  <si>
    <t>참마빵 연천 마빵 구운마빵 5개 장기선마카페</t>
  </si>
  <si>
    <t>친환경 스마트팜 양상추 (1통, 150g)</t>
  </si>
  <si>
    <t>오미자청 문경오미자청 진액 1 000ml</t>
  </si>
  <si>
    <t>무농약 베이비 채소 샐러드 (100g)</t>
  </si>
  <si>
    <t>뻥튀기 다이어트간식 임산부간식 오미자사과꽃뻥 (접시형)</t>
  </si>
  <si>
    <t>국내산 무농약 후레쉬가든 샐러드 (250g X 1개)</t>
  </si>
  <si>
    <t>878-91-00963</t>
  </si>
  <si>
    <t>뻥튀기 다이어트간식 임산부간식 오미자사과꽃뻥(동전형)</t>
  </si>
  <si>
    <t>감귤소나이</t>
  </si>
  <si>
    <t>닥터애그</t>
  </si>
  <si>
    <t>예다움곶감</t>
  </si>
  <si>
    <t>GAP 무농약 느타리버섯 (200g x 1개)</t>
  </si>
  <si>
    <t>540-96-00855</t>
  </si>
  <si>
    <t>예다움 상주곶감 반건시 추석 명절 상견례 선물세트 곶감단지 크림치즈호두말이</t>
  </si>
  <si>
    <t>예다움 상주 곶감 프리미엄 반건시 30과 추석 명절 부모님 상견례 선물세트</t>
  </si>
  <si>
    <t>GAP 무농약 팽이버섯 (360g)</t>
  </si>
  <si>
    <t>예다움 상주 곶감 건시 실속형 가정용 감또개 못난이 곶감</t>
  </si>
  <si>
    <t>GAP 무농약 팽이버섯 (150g x 1개)</t>
  </si>
  <si>
    <t>예다움 상주 곶감 반건시 정2호 추석 명절 부모님 상견례 선물세트 30과</t>
  </si>
  <si>
    <t>[밀리브] 유기농현미 1kg</t>
  </si>
  <si>
    <t>예다움 상주 곶감 반건시 크림치즈호두말이 곶감단지 가정용 디저트 추석 선물세트 와인안주</t>
  </si>
  <si>
    <t>[밀리브] 유기농현미 3kg</t>
  </si>
  <si>
    <t>예다움 상주 곶감 VIP 1호 추석 명절 선물세트 특대 반건시 곶감단지 크림치즈말이 40과</t>
  </si>
  <si>
    <t>[밀리브] 유기농 찰현미 1kg</t>
  </si>
  <si>
    <t>예다움 상주 곶감 혼합1호 추석 명절 부모님 선물세트 반건시 대과 크림치즈호두말이 30과</t>
  </si>
  <si>
    <t>예다움 상주 곶감 혼합2호 추석 명절 부모님 상견례 선물세트 반건시 대과 곶감단지 30과</t>
  </si>
  <si>
    <t>[밀리브] 유기농 찰흑미 1kg</t>
  </si>
  <si>
    <t>예다움 상주 곶감 혼합3호 추석 명절 선물세트 반건시 곶감단지 크림치즈호두말이 30과</t>
  </si>
  <si>
    <t>[밀리브] 유기농 찰흑미 3kg</t>
  </si>
  <si>
    <t>예다움 상주곶감 VIP 2호 추석 명절 선물세트 왕반건시 곶감단지 크림치즈말이 36과</t>
  </si>
  <si>
    <t>[밀리브] 유기농 새싹발아 현미 1kg</t>
  </si>
  <si>
    <t>예다움 상주 곶감 VIP 3호 추석 명절 부모님 상견례 선물세트 특대 반건시 40과</t>
  </si>
  <si>
    <t>[밀리브] 유기농 새싹발아 찰현미 1kg</t>
  </si>
  <si>
    <t>상주 곶감 반건시 혼합 9구 15구 곶감단지 크림치즈 호두말이 디저트 실속형 추석 선물세트</t>
  </si>
  <si>
    <t>[밀리브] 유기농 새싹발아 찰흑미 1kg</t>
  </si>
  <si>
    <t>예다움 상주 곶감 프리미엄 특대 반건시 (30과) 추석 명절 부모님 상견례 선물세트</t>
  </si>
  <si>
    <t>예다움 상주 곶감 프리미엄 왕 반건시 24과 추석 명절 부모님 상견례 선물세트</t>
  </si>
  <si>
    <t>예다움 상주 곶감 정3호 추석 명절 부모님 상견례 선물세트 반건시 크림치즈호두말이 30과</t>
  </si>
  <si>
    <t>예다움 상주 곶감 반건시 곶감단지 크림치즈호두말이 추석 명절 부모님 상견례 혼합 선물세트</t>
  </si>
  <si>
    <t>오복농산영농조합법인</t>
  </si>
  <si>
    <t>404-81-37601</t>
  </si>
  <si>
    <t>오복농산 국내산 저온압착 전통기름 3종 참기름 들기름 생들기름 180ml 250ml</t>
  </si>
  <si>
    <t>[당일착유] 고창 오복농산 냉압착 국산 참기름 들기름 생들기름 180ml (신선도 보장)</t>
  </si>
  <si>
    <t>[바우뜨락] 유기농 흰민들레즙 (100ml*20팩)</t>
  </si>
  <si>
    <t>[오복농산] 햇 생옥수수 냉동 미백 흑찰옥수수</t>
  </si>
  <si>
    <t>햇 우거지 무청시래기 데친 시래기 나물 올식</t>
  </si>
  <si>
    <t>[바우뜨락] 유기농 모과포도즙 (100ml*20봉)</t>
  </si>
  <si>
    <t>[오복농산]저온압착 국내산 통참깨 착유한 참기름 들기름180ml/250ml 선물세트포장</t>
  </si>
  <si>
    <t>[바우뜨락] 유기농 와인초 오디차 (100ml*30팩)</t>
  </si>
  <si>
    <t>맑은농장</t>
  </si>
  <si>
    <t>577-94-01721</t>
  </si>
  <si>
    <t>프리미엄 맑은농장 김천자두 3kg(왕왕특고당도) 후무사자두</t>
  </si>
  <si>
    <t>바우뜨락 유기농 오디</t>
  </si>
  <si>
    <t>고당도 맑은농장 김천자두 3kg(왕특고당도) 후무사자두</t>
  </si>
  <si>
    <t>새콤달콤 맑은농장 김천자두 3kg(특품) 후무사자두</t>
  </si>
  <si>
    <t>[바우뜨락] 무알콜와인 뜨락에 꿈(프리미엄포도주스) 750ml</t>
  </si>
  <si>
    <t>프리미엄 맑은농장 김천자두 5kg(왕왕특고당도) 도담자두 후무사자두</t>
  </si>
  <si>
    <t>[바우뜨락] 유기농 청포도</t>
  </si>
  <si>
    <t>고당도 맑은농장 김천자두 5kg(왕특고당도) 후무사자두</t>
  </si>
  <si>
    <t>유기농 파머스 팝콘 (70g x 1개)</t>
  </si>
  <si>
    <t>새콤달콤 맑은농장 김천자두 5kg(특품) 후무사자두</t>
  </si>
  <si>
    <t>파미농원(파미가평강황)</t>
  </si>
  <si>
    <t>유기농 강황 식혜 150ml 10팩 2박스</t>
  </si>
  <si>
    <t>과즙풍부 맑은농장 김천자두 5kg(상품) 후무사자두</t>
  </si>
  <si>
    <t>품질보장 황토밭 맑은농장 김천자두 3kg(왕왕특고당도) 후무사자두</t>
  </si>
  <si>
    <t>품질대박 황토밭 맑은농장 김천자두 5kg(왕왕특고당도) 후무사자두</t>
  </si>
  <si>
    <t>[현재농원] 경북 영주 직접생산 유기농 고춧가루 500g 200g 90g (국산 100%) [굵기 : 보통/고운(고추장용)]</t>
  </si>
  <si>
    <t>영산강푸드</t>
  </si>
  <si>
    <t>776-41-01486</t>
  </si>
  <si>
    <t>100% 국내산 당일생산 전라도 석박지 2kg  1개</t>
  </si>
  <si>
    <t>100% 국내산 당일생산 전라도 열무김치 2kg  1개</t>
  </si>
  <si>
    <t>[현재농원] 경북 영주 유기농 고춧가루 90g (국산 100%)</t>
  </si>
  <si>
    <t>안동사과 3kg 5kg 부사 못난이사과 고당도</t>
  </si>
  <si>
    <t>[현재농원] 경북 영주 무농약 청결 건고춧잎 건고추잎 30g</t>
  </si>
  <si>
    <t>안동사과 10kg 부사 못난이사과 가정용</t>
  </si>
  <si>
    <t>[현재농원] 경북 영주 유기농 고춧가루 200g (국산 100%) [굵기:보통]</t>
  </si>
  <si>
    <t>안동 흠과 주스용 쥬스용 사과 랜덤과 5kg 10kg</t>
  </si>
  <si>
    <t>[현재농원] 유기농 백태 240g  500g</t>
  </si>
  <si>
    <t>안동 가정용 꼬마 흠과 미니 못난이사과 5kg</t>
  </si>
  <si>
    <t>502-93-44001</t>
  </si>
  <si>
    <t>샤론포도농원</t>
  </si>
  <si>
    <t>아일랜드마켓 농업회사법인 유한회사</t>
  </si>
  <si>
    <t>849-88-03360</t>
  </si>
  <si>
    <t>무첨가 국내산 우도 프리미넛 땅콩버터 420g (당일제조 무가당 땅콩잼)</t>
  </si>
  <si>
    <t>[현재농원] 유기농 청고춧가루 90g (국산 100%)</t>
  </si>
  <si>
    <t>무첨가 국내산 우도 프리미넛 땅콩버터 230g (당일제조 무가당 땅콩잼)</t>
  </si>
  <si>
    <t>[현재농원] 국산 100% 유기농 표고버섯 백화고 50g  100g</t>
  </si>
  <si>
    <t>제주 우도 땅콩 프리미넛 볶음땅콩 550g 당일제조 국내산 우도</t>
  </si>
  <si>
    <t>쿠시룽</t>
  </si>
  <si>
    <t>136-04-11105</t>
  </si>
  <si>
    <t>[정담은 농장]쿠시룽 현미누룽지 세트  대(30개입) 유기농1분도현미 명절선물 답례품 간식</t>
  </si>
  <si>
    <t>[현재농원] 국산 유기농 통들깨 100g / 국산 유기농 볶음 통들깨 80g (간식 추천)</t>
  </si>
  <si>
    <t>쿠시룽 프리미엄 국내산 누룽지 현미 건강 간식 세트 고소한 유기농 추석선물세트 6가지맛</t>
  </si>
  <si>
    <t>[현재농원] 유기농 날콩 천연조미료가루 200g (국산 100%)</t>
  </si>
  <si>
    <t>해나루발효식품</t>
  </si>
  <si>
    <t>111-03-63698</t>
  </si>
  <si>
    <t>전통항아리 발효액 12가지 혼합원액 인삼열매 750ml 2병세트</t>
  </si>
  <si>
    <t>[현재농원] 유기농 볶음콩 천연조미료가루 200g (국산 100%)</t>
  </si>
  <si>
    <t>(# 특2호  특허상품)  전통항아리에서 자연발효 숙성된  #12가지혼합발효차+솔순발효차 = 750ml 2병 셋</t>
  </si>
  <si>
    <t>(# 특3호  특허상품) 전통항아리에서 자연발효 숙성된  #12가지혼합발효차+수세미발효차 = 750ml 2병 셋</t>
  </si>
  <si>
    <t>478-50-00760</t>
  </si>
  <si>
    <t>푸드스토리</t>
  </si>
  <si>
    <t>유기농 반건조 청무화과 말랭이 100g /국산 유기농 명인 건무화과 건과일 말린 건조과일</t>
  </si>
  <si>
    <t>(# 특4호  특허상품)  전통항아리에서 자연발효 숙성된 #12가지혼합발효차+매실발효차= 750ml  2병 셋</t>
  </si>
  <si>
    <t>유기농 명인 청무화과 말랭이 200g 낱개포장 /건무화과 말린 반건조 말린 건과과일</t>
  </si>
  <si>
    <t>#인삼열매# 미국FDA등록된 인삼열매 발효차는 HACCP시설에서 전통항아리로 발효숙성시킨 명품발효차로 질병의 면역력은 높이고  노화를 낮추는 특허제품</t>
  </si>
  <si>
    <t>#산사# 미국FDA등록된 산사 발효차는 HACCP시설에서 전통항아리로 발효숙성시킨 명품발효차로 질병의 면역력은 높이고  노화를 낮추는 특허제품</t>
  </si>
  <si>
    <t>유기농 수제 청무화과말랭이 300g / 반건조 건조무화과 건과일 건무화과 말린과일 건조과일</t>
  </si>
  <si>
    <t>#포도# 미국FDA등록된 포도발효차는 HACCP시설에서 전통항아리로 발효숙성시킨 명품발효차로 질병의 면역력은 높이고  노화를 낮추는 특허제품</t>
  </si>
  <si>
    <t>[여화원]프라이빗 가든 유기농 로즈마리 잎차 40g 티인퓨져 저온건조 선물세트</t>
  </si>
  <si>
    <t>(복숭아) 미국FDA등록된 복숭아발효액은 HACCP시설에서 전통항아리로 발효숙성시킨 명품발효액으로 질병의 면역력은 높이고  노화를 낮추는 특허제품</t>
  </si>
  <si>
    <t>[여화원]국산 유기농 로즈마리홀 허브 말린 건잎 40g /허브잎 향신료 허브차 허브티</t>
  </si>
  <si>
    <t>(특허상품) #개똥쑥# 전통항아리에서 자연발효 배양하여 '면역력은 높이고 노화를 낮추는'  해나루 개똥쑥 발효차. 750ml</t>
  </si>
  <si>
    <t>(특허상품) #수세미#  전통항아리에서 자연발효 배양하여 '면역력은 높이고 노화를 낮추는'  해나루 수세미 발효차. 750ml</t>
  </si>
  <si>
    <t>[여화원]유기농명인이 직접 키우는 유기농 로즈마리 생잎 50g</t>
  </si>
  <si>
    <t>(특허상품) #쇠비름# 전통항아리에서 자연발효 배양하여 '면역력은 높이고 노화를 낮추는'  해나루 쇠비름(오행초) 발효차. 750ml</t>
  </si>
  <si>
    <t>히카마 올담농원 거제산 히카마 뿌리차 고소하고 부드러운 국산 티백차 60티백  40티백  20티백</t>
  </si>
  <si>
    <t>(특허상품) #솔순# 전통항아리에서 자연발효 숙성한 제품으로 '면역력은 높이고 노화를 낮추는'  해나루 솔순 발효차. 750ml</t>
  </si>
  <si>
    <t>(특허상품  미나리) 전통항아리에서 자연발효 배양하여 '면역력은 높이고 노화를 낮추는'  해나루 미나리 발효차. 750ml</t>
  </si>
  <si>
    <t>농촌융복합 최우수상 [꼬샤꼬샤] 유기농 보리차 100ml 스파우트형 30개입  1개</t>
  </si>
  <si>
    <t>(특허상품) #브로콜리# 전통항아리에서 자연발효 배양하여 '면역력은 높이고 노화를 낮추는'  해나루 브로콜리 발효차. 750ml</t>
  </si>
  <si>
    <t>농촌융복합 최우수상 [꼬샤꼬샤] 유기농 보리차 100ml 스파우트형 30개입  2개</t>
  </si>
  <si>
    <t>(특허제품) #양파# 전통항아리에서 자연발효 배양하여 '면역력은 높이고 노화를 낮추는'  해나루 양파 발효차. 750ml</t>
  </si>
  <si>
    <t>농촌융복합 최우수상 [꼬샤꼬샤] 유기농 보리차 100ml 스파우트형 30개입  3개</t>
  </si>
  <si>
    <t>(12가지혼합발효액) 미국FDA등록한 발효차는 장내환경을 개선하여 면역력은 높이고  노화는 낮추는 특허제품. 750ml</t>
  </si>
  <si>
    <t>(특허상품) #매실# 전통항아리에서 자연발효 숙성된 제품으로 '면역력은 높이고 노화를 낮추는'  해나루 매실 발효차. 750ml</t>
  </si>
  <si>
    <t>153양봉원</t>
  </si>
  <si>
    <t>312-06-28581</t>
  </si>
  <si>
    <t>(153양봉원) 국산 천연벌꿀 숙성꿀 숙성아카시아꿀 2.4kg</t>
  </si>
  <si>
    <t>참나무 표고버섯 유기농 슬라이스 건표고버섯 통 건표고버섯(200g)</t>
  </si>
  <si>
    <t>국산천연벌꿀 곰돌이꿀 250g 벚꽃 아카시아 야생화 피나무</t>
  </si>
  <si>
    <t>유기농 건표고버섯 슬라이스  통버섯 100g</t>
  </si>
  <si>
    <t>153양봉원 스틱꿀 대용량15g 국산 천연벌꿀 아카시아꿀 야생화 밤 48개 선물답례품</t>
  </si>
  <si>
    <t>당일수확 국산 제주산 100% 생블루베리 생과 1kg</t>
  </si>
  <si>
    <t>유기농 표고칩 건표고버섯(80g) 참나무 표고버섯</t>
  </si>
  <si>
    <t>국민닭갈비 두루푸드 춘천닭갈비 택배 홈파티 캠핑요리</t>
  </si>
  <si>
    <t>두루푸드 국민닭갈비 춘천닭갈비 택배 홈파티 캠핑요리 전통맛</t>
  </si>
  <si>
    <t>참나무 표고버섯으로 만든 표고버섯 분말 80g</t>
  </si>
  <si>
    <t>두루푸드 국민닭갈비 춘천닭갈비 택배 홈파티 캠핑요리 간장닭갈비</t>
  </si>
  <si>
    <t>더 편리한 표고버섯 3종 세트(통버섯 슬라이스 표고칩)</t>
  </si>
  <si>
    <t>두루푸드 국민닭갈비 춘천닭갈비 택배 홈파티 캠핑요리 허브소금닭갈비</t>
  </si>
  <si>
    <t>두루푸드 국민닭갈비 춘천닭갈비 택배 홈파티 캠핑요리 올인원세트 3인용 / 1.5인용</t>
  </si>
  <si>
    <t>유기농 동고 3종 표고버섯 선물세트(250g  통버섯  표고칩  슬라이스)</t>
  </si>
  <si>
    <t>두루푸드 국민닭갈비 춘천닭갈비 택배 홈파티 캠핑요리 숯불닭갈비</t>
  </si>
  <si>
    <t>풍년주식회사농업회사법인</t>
  </si>
  <si>
    <t>참나무 표고버섯 유기농 슬라이스 건표고버섯(200g)</t>
  </si>
  <si>
    <t>125-86-20444</t>
  </si>
  <si>
    <t>경기 평택 오성쌀 20kg  1개</t>
  </si>
  <si>
    <t>경기 평택 오성쌀 10kg  1개</t>
  </si>
  <si>
    <t>참나무 표고버섯 유기농 통 건표고버섯(200g)</t>
  </si>
  <si>
    <t>경기 평택 찹쌀 10kg</t>
  </si>
  <si>
    <t>명장이 선택한 백화고 흑화고 슬라이스 표고버섯 선물세트 4종</t>
  </si>
  <si>
    <t>3대째 평택쌀(찰진쌀) 20kg  1개</t>
  </si>
  <si>
    <t>3대째 평택쌀(찰진쌀) 10kg  1개</t>
  </si>
  <si>
    <t>하누리 영이천 직접재배 유기농 스테비아(  농축액 감미료) 10ml 10포  1개</t>
  </si>
  <si>
    <t>726-87-00175</t>
  </si>
  <si>
    <t>농업회사법인 주식회사 미담</t>
  </si>
  <si>
    <t>주식회사 강평농업회사법인</t>
  </si>
  <si>
    <t>642-81-00628</t>
  </si>
  <si>
    <t>농협선별 고당도 스테비아 방울토마토 단마토 1kg 2kg[비오채]</t>
  </si>
  <si>
    <t>하누리영이 직접 재배 영이천 유비아 스틱 (유기농 스테비아&amp; 아로니아) 3g  10개</t>
  </si>
  <si>
    <t>무선별 대추방울토마토 로얄과 혼합과 당일수확 산지직송 1kg  2kg  5kg</t>
  </si>
  <si>
    <t>하누리영이천 국내산 직접재배 유기농 아로니아 분말 가루 파우더 200g</t>
  </si>
  <si>
    <t>인천로컬푸드생산자협동조합</t>
  </si>
  <si>
    <t>131-86-58421</t>
  </si>
  <si>
    <t>강화섬쌀로 만든 시골쌀라면 104g  20개</t>
  </si>
  <si>
    <t>유삼비아(6년근 유기농 흑삼액&amp;스테비아+아로니아) 15ml  30개</t>
  </si>
  <si>
    <t>강화섬쌀로 만든 시골쌀라면 104g  10개</t>
  </si>
  <si>
    <t>강화섬쌀로 만든 시골쌀라면 104g  5개</t>
  </si>
  <si>
    <t>[인천직구]정들콩 전통 조청 고추장 3kg 수제고추장</t>
  </si>
  <si>
    <t>하누리영이 직접 재배 영이天 유기농 아로니아 청 750ml  1개</t>
  </si>
  <si>
    <t>[인천직구]정들콩 재래식 전통 집 된장 3kg 수제된장 국내산 콩</t>
  </si>
  <si>
    <t>[인천직구]정들콩 전통 조청 고추장 1kg 수제고추장</t>
  </si>
  <si>
    <t>하누리영이 직접 재배 영이천 유비아 스틱 (유기농 스테비아&amp; 아로니아) 3g  30개</t>
  </si>
  <si>
    <t>[인천직구]정들콩 재래식 전통 집 수제된장 1kg</t>
  </si>
  <si>
    <t>영이천 흑 삼 비 아 (6년근 유기농 흑삼액&amp;스테비아+아로니아) 70ml  30개</t>
  </si>
  <si>
    <t>[인천직구]정들콩 전통 국 간장 1L (수제간장 한식간장)</t>
  </si>
  <si>
    <t>유기농  완숙토마토 찰토마토2.5k  5k</t>
  </si>
  <si>
    <t>[인천직구]정들콩 국산콩 무염 청국장 100g 10개입</t>
  </si>
  <si>
    <t>[인천직구]왈순아지매 콩나물누룽지 + 김부각 세트</t>
  </si>
  <si>
    <t>국내산2026년세척유기농건 고추600g</t>
  </si>
  <si>
    <t>[인천직구]왈순아지매 콩나물누룽지 세트 강화쌀 구수한 국내산 누룽지 숭늉 40g (22팩 세트)</t>
  </si>
  <si>
    <t>껍질이 보약 26년 햇 통채루 고구마줄기 껍질째 통째로 먹는 고구마순 1kg 2kg</t>
  </si>
  <si>
    <t>[인천직구]강화 벌꿀 꿀벌 먹는 화분 (비폴렌) 1kg</t>
  </si>
  <si>
    <t>[인천직구] 인천드레 강화 천연 벌꿀 아카시아꿀 야생화꿀 잡화꿀 1.2kg</t>
  </si>
  <si>
    <t>여주 햇고구마 2kg 국산 꿀고구마 호박고구마 밤고구마</t>
  </si>
  <si>
    <t>[인천직구]강화 천연 벌꿀 3종 선물세트  명절 답례품</t>
  </si>
  <si>
    <t>350-86-02760</t>
  </si>
  <si>
    <t>농업회사법인 주식회사 미프레쉬</t>
  </si>
  <si>
    <t>[인천직구]강화 벌꿀 꿀벌 먹는 화분 500g</t>
  </si>
  <si>
    <t>[여주능서농원] 고구마 5KG 꿀고구마 소담미 산지직송 호박 밤</t>
  </si>
  <si>
    <t>정들콩전통장세트3종(된장+고추장+간장)</t>
  </si>
  <si>
    <t>[여주능서농원] 국산 고구마말랭이 무첨가 영양간식 꿀고구마 소담미  60g  10개</t>
  </si>
  <si>
    <t>[인천직구]강화 천연 벌꿀 아카시아꿀 허니스틱 꿀 스틱 선물세트</t>
  </si>
  <si>
    <t>[인천직구] 인천드레 강화 천연 벌꿀 아카시아 야생화 잡화 2.4kg</t>
  </si>
  <si>
    <t>[여주능서농원] 소담미스틱 국산꿀고구마 다이어트 간식 영양 식사대용 20g</t>
  </si>
  <si>
    <t>[인천직구]천연 벌꿀 2종 선물세트 아카시아꿀 잡화꿀 야생화꿀 추석 답례품</t>
  </si>
  <si>
    <t>[여주능서농원] 국산 고구마말랭이 무첨가 영양간식 꿀고구마 소담미  60g  20개</t>
  </si>
  <si>
    <t>[인천직구]빚고담고 장아찌 혼합장 1L 만능장</t>
  </si>
  <si>
    <t>[여주능서농원] 국산 고구마말랭이 무첨가 영양간식 꿀고구마 소담미  60g  40개</t>
  </si>
  <si>
    <t>[인천직구]빚고담고 저염 장아찌 4종 선물세트(셀러리/깻잎/쪽파/순무쭈글이)</t>
  </si>
  <si>
    <t>새힘성주참외라이프</t>
  </si>
  <si>
    <t>418-98-34367</t>
  </si>
  <si>
    <t>성주참외 프리미엄 선물용 고당도 3kg  5kg 중 대과 꿀참외 산지직송</t>
  </si>
  <si>
    <t>유기농복숭아/백도/4.0kg/무료배송</t>
  </si>
  <si>
    <t>(정품A) 성주참외 고당도 꿀참외 대과 고당도 3KG  5KG 선물용 산지직송</t>
  </si>
  <si>
    <t>산지직송 고당도 성주 제철 꿀 참외 중과 2kg 3kg 5kg 선물 세트 가정용 못난이</t>
  </si>
  <si>
    <t>[100% 국산 유기농] 26년산 고대곡물 호라산밀 파로 쌀 중 택일</t>
  </si>
  <si>
    <t>성주 참외 고당도 꼬마 중과 가정용 당조 2kg</t>
  </si>
  <si>
    <t>26년산 귀리 국산 유기농 귀리쌀 1kg</t>
  </si>
  <si>
    <t>성주참외 중-대과 고당도 실속형 5kg 10kg 꿀참외 선물용 못난이 산지직송</t>
  </si>
  <si>
    <t>온드리목장 무가당 꾸덕한 그릭요거트 100g x 3개</t>
  </si>
  <si>
    <t>26년산 국산 유기농 보리 흑보리 찰보리 쌀 1kg</t>
  </si>
  <si>
    <t>새암농장</t>
  </si>
  <si>
    <t>761-38-00336</t>
  </si>
  <si>
    <t>쌀 그래 초코샌드 리얼 초콜릿 샌드 유기농 쌀과자 사무실간식 아이간식 건강한 과자 글루텐</t>
  </si>
  <si>
    <t>26년도 햇곡 기장쌀 국산 유기농 찰기장 좁쌀 1kg</t>
  </si>
  <si>
    <t>쌀그래 아몬드 서리태 라이스칩 아몬드 서리태 누룽지 쌀과자 무설탕 저염 아이간식 새암농장</t>
  </si>
  <si>
    <t>쌀그래 초코샌드 라이스 칩 선물세트 새암농장 리얼초콜릿 샌드 유기농 쌀과자 282g</t>
  </si>
  <si>
    <t>25년산 햇곡 차조 국산 유기농 500g</t>
  </si>
  <si>
    <t>버섯 페스토 우마미 깊은 수제 만능 버섯소스 파스타 리조또 주먹밥 이유식 잼대용 180g</t>
  </si>
  <si>
    <t>25년 유기농 햇곡 햅 쌀 백미 2kg</t>
  </si>
  <si>
    <t>손질이필요없는 무농약 건목이버섯 새암농장 생 잡채 미루나무 모기 버섯 50g 천연물광팩</t>
  </si>
  <si>
    <t>생목이버섯 500g 손질이필요없는 국내산 친환경 GAP 선물셋트 잡채 건 모기버섯</t>
  </si>
  <si>
    <t>25년 햇곡 국산 유기농 현미 찰현미 쌀 2kg</t>
  </si>
  <si>
    <t>수확의 정석</t>
  </si>
  <si>
    <t>453-94-01880</t>
  </si>
  <si>
    <t>[오이 9kg] [수확의 정석] 스마트팜 GAP 인증 백다다기(약 40개 내외)</t>
  </si>
  <si>
    <t>25년산 국산 유기농 찰 수수 1kg</t>
  </si>
  <si>
    <t>[오이 3kg] [수확의 정석] 스마트팜 GAP 인증 백다다기(약 13~14개)</t>
  </si>
  <si>
    <t>[오이 1.5kg] [수확의 정석] 스마트팜 GAP 인증 백다다기(약 6~7개)</t>
  </si>
  <si>
    <t>25년산 서리태 국산 유기농 검정 검은 콩 1kg</t>
  </si>
  <si>
    <t>[농할쿠폰] 대왕님표 여주쌀 진상미 25년산 상등급 당일도정 10kg  1개</t>
  </si>
  <si>
    <t>25년산 국산 유기농 오색 현미 쌀 1kg</t>
  </si>
  <si>
    <t>여주시농협RPC 대왕님표 여주쌀 진상미 25년산 상등급 당일도정 10kg  2개</t>
  </si>
  <si>
    <t>25년산 국산 유기농 홍미 쌀 1kg</t>
  </si>
  <si>
    <t>[농할쿠폰] 대왕님표 여주쌀 진상 현미 25년산 당일도정 10kg  1개</t>
  </si>
  <si>
    <t>25년산 국산 유기농 녹미 쌀 1kg</t>
  </si>
  <si>
    <t>여주시농협RPC 대왕님표 여주쌀 진상 현미 25년산 당일도정 10kg  2개</t>
  </si>
  <si>
    <t>의령부자망개떡</t>
  </si>
  <si>
    <t>608-18-95776</t>
  </si>
  <si>
    <t>선물하기 좋은 국산팥을 사용한 수제 의령 부자 망개떡 40개</t>
  </si>
  <si>
    <t>25년산 국산 유기농 찰 흑미 검정쌀 1kg</t>
  </si>
  <si>
    <t>25년산 국산 유기농 찹쌀 1kg</t>
  </si>
  <si>
    <t>수리취 의령망개떡 40개</t>
  </si>
  <si>
    <t>유기농 국산 오트밀 압착 귀리 350g</t>
  </si>
  <si>
    <t>사탕수수 원당으로 숙성하고 국산 생강으로 착즙한 부자생강청 520g</t>
  </si>
  <si>
    <t>성주참외보화농장</t>
  </si>
  <si>
    <t>성주참외 프리미엄 특품 꿀 참외 중과 선물용 고당도 2kg 3kg 5kg</t>
  </si>
  <si>
    <t>25년산 저속노화 잡곡 밥 국산 유기농 혼합 쌀 1kg</t>
  </si>
  <si>
    <t>성주 참외 10kg 프리미엄 특품 중과 고당도 꿀 참외 보화 농장 산지 직송</t>
  </si>
  <si>
    <t>25년산 저속노화 잡곡 밥 국산 유기농 혼합 쌀 1kg + 1kg</t>
  </si>
  <si>
    <t>성주참외 2kg 3kg 5kg 10kg 가정용 비품 고당도 꿀참외 보화농장 산지직송</t>
  </si>
  <si>
    <t>신기농원</t>
  </si>
  <si>
    <t>540-25-00229</t>
  </si>
  <si>
    <t>애플링 국산 동결건조 사과칩·배칩 무첨가 건강간식 어린이 유아</t>
  </si>
  <si>
    <t>유기농 국산 100% 밥에 뿌려먹는 강황 가루 분말 100g</t>
  </si>
  <si>
    <t>[신기농원]땡글땡글 문경 햇체리 1kg</t>
  </si>
  <si>
    <t>햇곡 국산 유기농 귀리 혼합 10곡 잡곡 쌀 800g</t>
  </si>
  <si>
    <t>애플링 딸기칩 10봉 국산100% 동결건조 / 아기부터 온가족 건강간식</t>
  </si>
  <si>
    <t>방목 유기농 계란 10구 난각번호1번 무항생제 유정란 난각1번 달걀</t>
  </si>
  <si>
    <t>애플링 동결건조 사과 배칩20g 딸기칩15g 3팩 국산100% 무첨가 간식</t>
  </si>
  <si>
    <t>애플링 국내산 동결건조 사과칩 20g x3봉/ 아기간식 건강과일간식</t>
  </si>
  <si>
    <t>상주토성곶감농원</t>
  </si>
  <si>
    <t>국산 유기농 3년숙성 매실청 매실액기스 매실액 300ml</t>
  </si>
  <si>
    <t>애플링 국산 동결건조 사과칩·배칩 자유구성 / 유아 휴대용 건강간식</t>
  </si>
  <si>
    <t>국산 유기농 3년숙성 감 식초 자연발효 원액  300ml</t>
  </si>
  <si>
    <t>애플링 국산 동결건조 배칩 3팩 / 무첨가 건강간식 아기간식</t>
  </si>
  <si>
    <t>애플링 국산 딸기칩3봉 무첨가 동결건조 과일칩 어린이 유아 건강간식</t>
  </si>
  <si>
    <t>26년산 국산 유기농 찰 보리 쌀 1kg</t>
  </si>
  <si>
    <t>애플링 하루 한 팩 모듬과일칩 4g 사과·배·딸기혼합/국산 동결건조 /어린이 건강간식</t>
  </si>
  <si>
    <t>25년산 깬 서리태 국산 유기농 검정 검은 콩 500g</t>
  </si>
  <si>
    <t>애플링 국산 동결건조 사과·배칩 3팩 자유선택 유아 어린이 건강간식 .다이어트</t>
  </si>
  <si>
    <t>농업회사법인 혜성주식회사</t>
  </si>
  <si>
    <t>834-86-00464</t>
  </si>
  <si>
    <t>답운농장 큰며느리 유기농고춧가루 250g</t>
  </si>
  <si>
    <t>햇곡 국산 친환경 어린이 혼합곡 잡곡 쌀 800g</t>
  </si>
  <si>
    <t>울진군 해풍맞은 벌집꿀 [사양벌꿀] 450g</t>
  </si>
  <si>
    <t>25년산 국산 유기농 찰 현미 찹쌀 2kg</t>
  </si>
  <si>
    <t>답운농장 큰며느리가 정성으로 만든 영양가득 [홍삼누룽지외 5종 세트상품 ]</t>
  </si>
  <si>
    <t>답운농장 큰며느리 차3종세트  20티백  3종 세트</t>
  </si>
  <si>
    <t>[100% 국산 유기농] 현미 귀리 잡곡 즉석 밥 180g  6개</t>
  </si>
  <si>
    <t>울진군 해풍맞은 스틱벌꿀 [토종벌꿀]  1포 10g이상 총30개 스틱</t>
  </si>
  <si>
    <t>[100% 국산 유기농] 현미 귀리 잡곡 즉석 밥 180g  24개</t>
  </si>
  <si>
    <t>달아유과수원</t>
  </si>
  <si>
    <t>821-15-02618</t>
  </si>
  <si>
    <t>달과 복숭아 1.5kg | 특대과 5~7입 | 프리미엄 백도 | 선물용</t>
  </si>
  <si>
    <t>대추방울토마토 GAP 신선한 산지직송 3kg 1.5kg 로얄과 현대농장 방울 토마토</t>
  </si>
  <si>
    <t>GAP 현대농장 수퍼방토 1.5kg 산지직송 신선보장 대추 방울 토마토</t>
  </si>
  <si>
    <t>오색 대추 방울 토마토 GAP 3kg 1.5kg 현대농장 수퍼방토</t>
  </si>
  <si>
    <t>[100% 국산 유기농] 현미 귀리 잡곡 즉석 밥 180g  48개</t>
  </si>
  <si>
    <t>1.5kg - mix 오색+빨강 대추 방울 토마토 GAP 현대농장 수퍼방토</t>
  </si>
  <si>
    <t>수경재배 당일수확 청상추 2kg 4kg [원산지 - 경남 고성]</t>
  </si>
  <si>
    <t>수경재배 당일수확 꽃상추 2kg 4kg [원산지 - 경남 고성]</t>
  </si>
  <si>
    <t>25년산 유기농 바나듐 쌀 햇곡 백미 2kg</t>
  </si>
  <si>
    <t>제주 미니밤단호박 못난이단호박  하우스단호박 1kg 2kg 3kg 5kg 10kg 가정용 산지직송</t>
  </si>
  <si>
    <t>[제주점순이네]제주 대정 마늘 햇마늘 알마늘 1kg 2.5kg 4.5kg 9kg</t>
  </si>
  <si>
    <t>쪽파 종구 10kg 쪽파 종구 10kg  1개</t>
  </si>
  <si>
    <t>25년산 유기농 바나듐 쌀 찰흑진주 흑미 2kg</t>
  </si>
  <si>
    <t>산지직송 달콤한 코코벨 대추방울토마토 [GAP] 하루방토 파밍데이즈 로얄과 1kg  2kg</t>
  </si>
  <si>
    <t>(주)한마당</t>
  </si>
  <si>
    <t>670-81-01262</t>
  </si>
  <si>
    <t>오동리 들기름막국수 글루텐프리 쫄깃한 식감의 국내산 100% 메밀 막국수</t>
  </si>
  <si>
    <t>25년산 국산 유기농 찹쌀 가루 쌀 건식 이유식 500g</t>
  </si>
  <si>
    <t>파주장단콩으로 만든 걸쭉하고 고소한 콩국물(1년 상온보관)</t>
  </si>
  <si>
    <t>파주장단콩 진하고 걸쭉한 생면 콩국수 680g</t>
  </si>
  <si>
    <t>글루텐프리 국산 100% 메밀면 콩국수 660g</t>
  </si>
  <si>
    <t>카페인없는차 흑하랑 유기농 상추 차 국산 숙면 잠오는 꿀잠 음료 티백</t>
  </si>
  <si>
    <t>308-81-31629</t>
  </si>
  <si>
    <t>영농조합법인아농이</t>
  </si>
  <si>
    <t>짜먹는 걸쭉한 파주장단콩 콩국물 5팩(150g/팩 상온보관)</t>
  </si>
  <si>
    <t>소이밀 파주장단콩과 양평유기농쌀로 만든 식물성 고단백 영양식 5팩(150g/1팩 상온보관)</t>
  </si>
  <si>
    <t>오동리팥죽 국내산 팥과 찹쌀로 만든 달지 않은 동지새알팥죽(680g 1~2인분)</t>
  </si>
  <si>
    <t>전주찬방 전국김치품평회 4회수상 유기농 포기김치 1kg  1개</t>
  </si>
  <si>
    <t>오동리 팥물 국내산 팥만으로 만든 달지않은 팥물(상온보관 500ml)</t>
  </si>
  <si>
    <t>오동리 건강한팥물 국내산 팥으로 만든 무설탕 무소금 팥물(상온보관 500ml)</t>
  </si>
  <si>
    <t>전주찬방 전국김치품평회 4회수상 유기농 포기김치 3kg  1개</t>
  </si>
  <si>
    <t>국내산 찹쌀로 만든 쫀득한 오동리 새알심 1.8kg (180gx10팩)</t>
  </si>
  <si>
    <t>전주찬방 전국김치품평회 4회수상 유기농 포기김치 5kg  1개</t>
  </si>
  <si>
    <t>국내산 팥으로 만든 자가생면 팥칼국수(700g)</t>
  </si>
  <si>
    <t>전주찬방 전국김치품평회 4회수상 유기농 포기김치 10kg  1개</t>
  </si>
  <si>
    <t>296-81-01216</t>
  </si>
  <si>
    <t>농업회사법인하늘농원주식회사</t>
  </si>
  <si>
    <t>오동리 메밀팥칼국수 글루텐프리 국산 100% 메밀면 팥칼국수(660g)</t>
  </si>
  <si>
    <t>전주찬방 전국김치품평회 4회수상 유기농 백김치 1kg  1개</t>
  </si>
  <si>
    <t>[인천직구] 인천드레 강화 천연 벌꿀 아카시아꿀 잡화꿀 500g</t>
  </si>
  <si>
    <t>전주찬방 전국김치품평회 4회수상 유기농 백김치 3kg  1개</t>
  </si>
  <si>
    <t>상주곶감대장</t>
  </si>
  <si>
    <t>511-90-56233</t>
  </si>
  <si>
    <t>상주곶감 명절선물세트 대봉 건시 반건시 가정용 못난이곶감 실속형</t>
  </si>
  <si>
    <t>전주찬방 전국김치품평회 4회수상 유기농 백김치 5kg  1개</t>
  </si>
  <si>
    <t>상주곶감 명절선물세트 흑인삼 먹고 자란 대봉 건시 반건시 곶감 프리미엄 보자기 포장</t>
  </si>
  <si>
    <t>전주찬방 전국김치품평회 4회수상 유기농 백김치 10kg  1개</t>
  </si>
  <si>
    <t>자연건조 대봉반건시 설 추석 명절 선물세트 곶감대장 상주곶감 반건시 프리미엄 보자기포장</t>
  </si>
  <si>
    <t>전주찬방 전국김치품평회 4회수상 유기농 깍두기 1kg  1개</t>
  </si>
  <si>
    <t>상주 곶감 건시 대봉 반건시 설날 추석 명절 혼합 선물세트 보자기포장</t>
  </si>
  <si>
    <t>271-88-03422</t>
  </si>
  <si>
    <t>농업회사법인 주식회사 해리농부</t>
  </si>
  <si>
    <t>전주찬방 전국김치품평회 4회수상 유기농 깍두기 3kg  1개</t>
  </si>
  <si>
    <t>상주 곶감 설날 추석 명품 개별포장 건시 반건시 용과 선물세트</t>
  </si>
  <si>
    <t>신비복숭아 복숭아 대극천 납작 천도 거반도 딱딱이 옐로드림 황도 백도 1kg</t>
  </si>
  <si>
    <t>전주찬방 전국김치품평회 4회수상 유기농 깍두기 5kg  1개</t>
  </si>
  <si>
    <t>땡큐베리블루팜</t>
  </si>
  <si>
    <t>721-34-00290</t>
  </si>
  <si>
    <t>블루베리콩포트 블루베리잼 150g 3병</t>
  </si>
  <si>
    <t>블루베리가 알알이 살아있는 콩포트잼 블루베리잼 500g</t>
  </si>
  <si>
    <t>땅끝사랑농원 1k 해남 무화과 고당도 하우스 무농약 당일수확 1kg  12개</t>
  </si>
  <si>
    <t>블루베리에 퐁당 빠진 딸기잼 콩포트 150g 3병 상품</t>
  </si>
  <si>
    <t>블루베리에 퐁당 빠진 딸기잼 콩포트 500g 블딸잼</t>
  </si>
  <si>
    <t>땅끝사랑농원 3k 해남 무화과 고당도 하우스 무농약 당일수확 3kg  36개</t>
  </si>
  <si>
    <t>달콤한 참외 동결건조 후레이크 18g 10봉</t>
  </si>
  <si>
    <t>땅끝사랑농원 2k 해남 무화과 고당도 하우스 무농약 당일수확 2kg  24개</t>
  </si>
  <si>
    <t>딸기 동결건조 칩 후레이크 15g 10봉</t>
  </si>
  <si>
    <t>593-91-01533</t>
  </si>
  <si>
    <t>팜166</t>
  </si>
  <si>
    <t>블루베리에 퐁당 빠진 잼 3종 콩포트 세트 땡큐베리블루팜</t>
  </si>
  <si>
    <t>땅끝사랑농원 4k 해남 무화과 고당도 하우스 무농약 당일수확 4kg  48개</t>
  </si>
  <si>
    <t>땡큐베리딸기잼 콩포트 530g 땡큐베리블루팜</t>
  </si>
  <si>
    <t>유기농 미니파프리카1.5kg (토양재배)</t>
  </si>
  <si>
    <t>제이제이</t>
  </si>
  <si>
    <t>448-93-01936</t>
  </si>
  <si>
    <t>[왕특대과] 복숭아 황도 백도 딱딱이 부드러운  4kg</t>
  </si>
  <si>
    <t>씨없는 청도 반시 감말랭이 500g  1kg</t>
  </si>
  <si>
    <t>부드러운 말랭이 복숭아 1.5kg</t>
  </si>
  <si>
    <t>청도 복숭아 왕특대과  특대과 특판전! 16과 (물복 딱복 부드러운 말랭이 말랑이 말랭 말랑 딱딱이 아삭이 털 복숭아) 4kg</t>
  </si>
  <si>
    <t>청도 복숭아 왕특대과  특대과 특판전! 14과 (물복 딱복 부드러운 말랭이 말랑이 말랭 말랑 딱딱이 아삭이 털 복숭아) 4kg</t>
  </si>
  <si>
    <t>유기농 미니파프리카 1kg</t>
  </si>
  <si>
    <t>청도 복숭아 왕특대과  특대과 특판전! 12과 (물복 딱복 부드러운 말랭이 말랑이 말랭 말랑 딱딱이 아삭이 털 복숭아) 4kg</t>
  </si>
  <si>
    <t>신비복숭아 복숭아 산지직송 털 없는 제철복숭아 2kg</t>
  </si>
  <si>
    <t>아그데뜰 고급선물 전통발효 보리수 열매 발효차 /효소 청 엑기스</t>
  </si>
  <si>
    <t>청도 씨없는 감말랭이 지퍼팩 500g  1개</t>
  </si>
  <si>
    <t>청도 씨없는 감말랭이 지퍼팩 1kg  1개</t>
  </si>
  <si>
    <t>아그데뜰 전통발효 보리수 열매 발효차 / 보리수효소</t>
  </si>
  <si>
    <t>씨없는 청도반시 감 연시 약시 홍시 5kg</t>
  </si>
  <si>
    <t>별마루농원</t>
  </si>
  <si>
    <t>508-90-95905</t>
  </si>
  <si>
    <t>복숭아 황도복숭아 백도 쫀득이 딱딱이 3kg 별마루농원</t>
  </si>
  <si>
    <t>[오플룻트] 유럽종 완숙 못난이 토마토 델라토 5kg</t>
  </si>
  <si>
    <t>무 농약 생 표고버섯을 햇볕에 잘 말려 자연 건조한 국내산 사천 건 표고버섯 100g</t>
  </si>
  <si>
    <t>팜(Farm) 166</t>
  </si>
  <si>
    <t>자두 대석 5kg GAP 노지 의성 옥자두 로얄대석 고당도 임산부 당일수확 산지직송</t>
  </si>
  <si>
    <t>사천숲속표고GAP  친환경무농약 생표고버섯1kg</t>
  </si>
  <si>
    <t>자두 후무사 도담자두 의성옥자두  3kg 5kg GAP</t>
  </si>
  <si>
    <t>버섯놀이터 사천숲속표고 친환경 건표고버섯 선물세트</t>
  </si>
  <si>
    <t>복숭아 마도카 납작 황도 백도 의성 딱딱이 고당도 산지직송 4kg 제철 말랑이 딱복</t>
  </si>
  <si>
    <t>복숭아 납작 거반도 의성 GAP 유럽 도넛 ufo복숭아 2kg</t>
  </si>
  <si>
    <t>유기농 햇 찰옥수수 흑찰옥수수 미백옥수수 / 구룡농원 냉동 삶은 찐옥수수 강원도품종</t>
  </si>
  <si>
    <t>영프로식품</t>
  </si>
  <si>
    <t>185-96-01074</t>
  </si>
  <si>
    <t>단양 전통 집고추장 마늘쫑장아찌 400g</t>
  </si>
  <si>
    <t>100% 국산 경기 여주산 햇고춧가루 500g</t>
  </si>
  <si>
    <t>영프로 전통 재래식 시골 집된장 고추장 간장 선물세트</t>
  </si>
  <si>
    <t>단양 3년 숙성 국산 콩 전통 재래식 시골 집된장 500g</t>
  </si>
  <si>
    <t>유기농 잡곡 2kg(1kg x 2팩) 혼합곡</t>
  </si>
  <si>
    <t>단양 4년 숙성 국산 콩 전통 재래식 시골 집 진간장 350ml</t>
  </si>
  <si>
    <t>해남 민지맘 유기농 잡곡 5kg 혼합곡(8곡)</t>
  </si>
  <si>
    <t>단양 4년 숙성 국산 콩 전통 재래식 시골 집 진간장 500ml</t>
  </si>
  <si>
    <t>국내산 전통 한식 간장으로 담은 수제 밑반찬 두릅장아찌 800g</t>
  </si>
  <si>
    <t>2026년 국산 햇 귀리 쌀 (850g x 3팩)</t>
  </si>
  <si>
    <t>농업회사법인 주식회사 더자인</t>
  </si>
  <si>
    <t>단양 전통 한식 집간장으로 담은 두릅장아찌 400g</t>
  </si>
  <si>
    <t>해남 유기농 혼합곡 잡곡쌀 3kg(8곡)</t>
  </si>
  <si>
    <t>단양 5년 숙성 국산 콩 전통 재래식 시골 집된장 2kg</t>
  </si>
  <si>
    <t>단양 전통 집고추장 국산 마늘장아찌 400g</t>
  </si>
  <si>
    <t>해남 민지맘  유기농 잡곡 쌀 10kg(1kg 10팩) 혼합곡</t>
  </si>
  <si>
    <t>단양 전통 집고추장 국산 마늘장아찌 800g</t>
  </si>
  <si>
    <t>행복한농부민지맘의 햇 무농약 작두콩차 90g</t>
  </si>
  <si>
    <t>전통 한식 집 간장으로 담은 뽕잎 장아찌 800g</t>
  </si>
  <si>
    <t>단양 전통 한식 집 간장 할라피뇨 국산 궁채 모듬장아찌 800g</t>
  </si>
  <si>
    <t>26년 국내산 해남 민지맘 무농약 작두콩차 270g(90g x 3팩) 선물용</t>
  </si>
  <si>
    <t>단양 국산 전통 발효 옛날 보리고추장 2kg</t>
  </si>
  <si>
    <t>전통 집간장으로 담은 뽕잎장아찌 400g</t>
  </si>
  <si>
    <t>단양 전통 시골 집고추장 마늘쫑장아찌 800g</t>
  </si>
  <si>
    <t>단양 3년 숙성 국산 콩 전통 수제 재래식 시골 집된장 2kg</t>
  </si>
  <si>
    <t>단양 영프로식품 1년 숙성 전통 집 보리고추장 1kg</t>
  </si>
  <si>
    <t>영프로 100% 국내산 콩 전통 3년 숙성 재래식 시골 집 된장 1kg</t>
  </si>
  <si>
    <t>시즌드시즌</t>
  </si>
  <si>
    <t>677-87-02304</t>
  </si>
  <si>
    <t>수면에 좋은 카페인 없는 차 - '사계'차 선물세트 [프리미엄 티하우스 시즌드시즌]</t>
  </si>
  <si>
    <t>수면에 좋은 카페인 없는 차 - 프리미엄 7종 샘플러: 봄  여름  가을  겨울  아침  오후  밤</t>
  </si>
  <si>
    <t>수면에 좋은 카페인 없는 차 - 봄  여름  가을  겨울_프리미엄 티하우스 시즌드시즌 '사계'티</t>
  </si>
  <si>
    <t>수면에 좋은 카페인 없는 차 - 아침  오후  밤- 시즌드시즌 '하루'티</t>
  </si>
  <si>
    <t>슬기로운 청년농부</t>
  </si>
  <si>
    <t>145-29-01924</t>
  </si>
  <si>
    <t>리트리 배즙 착즙주스 배주스 원액 100% 120ml 15개입</t>
  </si>
  <si>
    <t>단양 영프로 1년숙성 전통 시골 집 보리고추장 500g</t>
  </si>
  <si>
    <t>(주)페어베이커리</t>
  </si>
  <si>
    <t>116-81-97167</t>
  </si>
  <si>
    <t>신선한 우리밀 앉은키밀 공정무역 우리밀 한입스콘 구움과자 디저트 플레인  100g  1개</t>
  </si>
  <si>
    <t>신선한 우리밀 앉은키밀 공정무역 우리밀 한입스콘 구움과자 디저트 초코칩  100g  1개</t>
  </si>
  <si>
    <t>신선한 우리밀 앉은키밀 공정무역 우리밀 한입스콘 구움과자 디저트 바다김  100g  1개</t>
  </si>
  <si>
    <t>통밀 식이섬유 공정무역 우리밀 한입스콘 구움과자 디저트 오트밀 레이즌  100g  1개</t>
  </si>
  <si>
    <t>신선한 우리밀 앉은키밀 공정무역 우리밀 한입스콘 구움과자 디저트 쑥고물  100g  1개</t>
  </si>
  <si>
    <t>햇밀 공정무역 우리밀 한입스콘 구움과자 5종 세트</t>
  </si>
  <si>
    <t>그로운</t>
  </si>
  <si>
    <t>570-93-01757</t>
  </si>
  <si>
    <t>[그로운] 뿌리가 살아있는 무농약 유러피안 샐러드 상추6종 산지직송 유럽 상추 로메인 버터헤드</t>
  </si>
  <si>
    <t>농장직송 케일 쌈 그린스무디 2kg  1개</t>
  </si>
  <si>
    <t>농장직송 케일 쌈 그린스무디 1kg  1개</t>
  </si>
  <si>
    <t>농장직송 케일 쌈 그린스무디 500g  1개</t>
  </si>
  <si>
    <t>농장직송 적근대 2kg  1개</t>
  </si>
  <si>
    <t>농장직송 적근대 1kg  1개</t>
  </si>
  <si>
    <t>농업회사법인 제프런 주식회사</t>
  </si>
  <si>
    <t>농장직송 적근대 500g  1개</t>
  </si>
  <si>
    <t>농장직송 적근대 300g  1개</t>
  </si>
  <si>
    <t>농장직송 적겨자 잎 쌈채소 2kg  1개</t>
  </si>
  <si>
    <t>농장직송 적겨자 잎 쌈채소 1kg  1개</t>
  </si>
  <si>
    <t>농장직송 적겨자 잎 쌈채소 500g  1개</t>
  </si>
  <si>
    <t>농장직송 적겨자 잎 쌈채소 300g  1개</t>
  </si>
  <si>
    <t>당일수확 생바질 스위트 식용허브 1kg  1개</t>
  </si>
  <si>
    <t>당일수확 생바질 스위트 식용허브 500g  1개</t>
  </si>
  <si>
    <t>당일수확 생바질 스위트 식용허브 300g  1개</t>
  </si>
  <si>
    <t>당일수확 생바질 스위트 식용허브 100g  1개</t>
  </si>
  <si>
    <t>농장직송 와일드루꼴라 300g  1개</t>
  </si>
  <si>
    <t>391-87-03582</t>
  </si>
  <si>
    <t>농업회사법인 주식회사 그린모먼트</t>
  </si>
  <si>
    <t>농장직송 와일드루꼴라 500g  1개</t>
  </si>
  <si>
    <t>농장직송 와일드루꼴라 1kg  1개</t>
  </si>
  <si>
    <t>농장직송 케일 쌈 주스 그린스무디 쌈채소 샐러드야채 당일수확 2kg  1개</t>
  </si>
  <si>
    <t>농장직송 케일 쌈 주스 그린스무디 쌈채소 샐러드야채 당일수확 1kg  1개</t>
  </si>
  <si>
    <t>농장직송 케일 쌈 주스 그린스무디 쌈채소 샐러드야채 당일수확 500g  1개</t>
  </si>
  <si>
    <t>딜 허브 생잎 차지키소스 레몬딜버터 50g 100g</t>
  </si>
  <si>
    <t>비타민채소 그린비타민 다채 샐러드야채 특수야채 이유식재료 1kg 500g</t>
  </si>
  <si>
    <t>로메인 적로메인 농장직송 발송당일수확 1kg 2kg 샐러드야채 쌈채소</t>
  </si>
  <si>
    <t>로메인  청로메인 500g 1kg 농장직송 당일수확</t>
  </si>
  <si>
    <t>루꼴라 로켓 로케트 300g  1개</t>
  </si>
  <si>
    <t>루꼴라 로켓 로케트 500g  1개</t>
  </si>
  <si>
    <t>432-01-02406</t>
  </si>
  <si>
    <t>건강드림</t>
  </si>
  <si>
    <t>루꼴라 로켓 로케트 1kg  1개</t>
  </si>
  <si>
    <t>로즈마리생잎 모히또용 데코용 허브 농장직송 당일수확 - 50g 100g</t>
  </si>
  <si>
    <t>로즈마리 허브 생잎 50g 100g 모히또용 데코용 농장직송 당일수확</t>
  </si>
  <si>
    <t>농장직송 치커리 쌈채소 샐러드야채 500g  1개</t>
  </si>
  <si>
    <t>국내산 상황버섯  실속형(연천 상황조은농장 상황버섯) 200g</t>
  </si>
  <si>
    <t>국내산 상황버섯  실속형(연천 상황조은농장 상황버섯) 500g</t>
  </si>
  <si>
    <t>담아토</t>
  </si>
  <si>
    <t>623-92-02179</t>
  </si>
  <si>
    <t>토마토</t>
  </si>
  <si>
    <t>농업회사법인 자연애에프앤비(주)</t>
  </si>
  <si>
    <t>123-86-43136</t>
  </si>
  <si>
    <t>전통 진명차 수제한차 2종 국산 목에 좋은 차 교수님 건강 선물 세트 20티백</t>
  </si>
  <si>
    <t>교수님 무카페인 귤피 도라지 박하 목에 좋은 3종 차선물세트 선물용차 60티백</t>
  </si>
  <si>
    <t>고급 티백 전통차 어르신 남자친구 부모님 인사 진명차 한차 4호 선물 세트</t>
  </si>
  <si>
    <t>선물하기 좋은 카페인 없는 마시는 프리미엄 블렌딩 차 3종 선물세트 30티백</t>
  </si>
  <si>
    <t>국내산 설탕 없어 달지 않은 생강차 50티백</t>
  </si>
  <si>
    <t>국내산 임산부 달지 않은 수제 건 대추 차 티백 50개입  1개</t>
  </si>
  <si>
    <t>262-27-01939</t>
  </si>
  <si>
    <t>박사기름</t>
  </si>
  <si>
    <t>국내산 국산 구수한 볶은 작두콩차 티백 50개입  1개</t>
  </si>
  <si>
    <t>구수한 국산 뽕나무잎 상엽차 50티백</t>
  </si>
  <si>
    <t>운동할때 마시는 국내산 구수한 우엉차 티백 50개입  1개</t>
  </si>
  <si>
    <t>한국식 페퍼민트 국내산 목에 좋은 코뻥 박하차 티백 50개입  1개</t>
  </si>
  <si>
    <t>국내산 밤티 밤속껍질 율피 밤차 50티백</t>
  </si>
  <si>
    <t>물대신 마시기 좋은 향긋한 귤피차 50티백</t>
  </si>
  <si>
    <t>당 없는 호박 현미 팥 차 20티백</t>
  </si>
  <si>
    <t>몸에 좋은 대추 생강 차 20티백</t>
  </si>
  <si>
    <t>미세먼지 목에 좋은 도라지 작두콩 차 20티백</t>
  </si>
  <si>
    <t>문경초록마을</t>
  </si>
  <si>
    <t>319-94-01654</t>
  </si>
  <si>
    <t>문경초록마을 2025년 GAP 백두대간의 자연담수로 재배한 우렁이쌀 4kg</t>
  </si>
  <si>
    <t>문경초록마을 2025년 GAP 백두대간 자연담수로 재배한 문경 청정미 우렁이쌀 3kg</t>
  </si>
  <si>
    <t>문경초록마을 2025년 GAP 우렁이농업으로 재배한 백두대간 청정미 향미쌀 4kg</t>
  </si>
  <si>
    <t>문경초록마을 흙속의 진주 금왕감자 5kg 혼합</t>
  </si>
  <si>
    <t>문경초록마을 엄마손 콩 국내산 100% 서리태 속청 1kg 2kg</t>
  </si>
  <si>
    <t>복숭아집밤비네</t>
  </si>
  <si>
    <t>(Signature) 밤비네 햇사레 복숭아</t>
  </si>
  <si>
    <t>고소애 초코칩쿠키 패키지상품(50g 5개입)</t>
  </si>
  <si>
    <t>고소애 아몬드쿠키 패키지상품(50g 5개입)</t>
  </si>
  <si>
    <t>문경초록마을 청정자연에서 자란 흙속의 진주 금왕감자 10kg 혼합</t>
  </si>
  <si>
    <t>[오복농산]전북고창 2026년 햇 오디 냉동 생과 5kg [진공포장] 뽕나무 열매</t>
  </si>
  <si>
    <t>[오복농산] 구수하게 볶은 돼지감자/ 돼지감자차 150g</t>
  </si>
  <si>
    <t>[오복농산] 박 계영님의 건 여주 / 여주차</t>
  </si>
  <si>
    <t>가정용 가공용 배즙용 요리용 경기G마크 GAP 저탄소 농산물 평화농원 먹골배 15kg</t>
  </si>
  <si>
    <t>알찬연근팜</t>
  </si>
  <si>
    <t>604-02-68674</t>
  </si>
  <si>
    <t>거반도 유럽 복숭아 납작 신비복숭아 신선 천도 딱딱이 옐로드림</t>
  </si>
  <si>
    <t>시내들</t>
  </si>
  <si>
    <t>112-28-97097</t>
  </si>
  <si>
    <t>순희엄마 수제 천연발효 쓴맛없는 여주식초 선물세트 500mlX2개</t>
  </si>
  <si>
    <t>순희엄마 순정마초 흑마늘 천연발효 식초 2병 1000ml 선물세트</t>
  </si>
  <si>
    <t>농업회사법인버섯마루유한회사</t>
  </si>
  <si>
    <t>418-81-43306</t>
  </si>
  <si>
    <t>가득 담은 버섯 영양밥 즉석밥 국산 무농약 고식이섬유 간편식 약밥 160g  4개</t>
  </si>
  <si>
    <t>가득 담은 버섯 영양밥 즉석밥 국산 무농약 고식이섬유 간편식 약밥 160g  10개</t>
  </si>
  <si>
    <t>※ 유기농</t>
  </si>
  <si>
    <t>달달 향긋한 경산 신품종 망고복숭아 옐로복숭아 900g 1.8kg</t>
  </si>
  <si>
    <t>버섯 그대로 5종 국산 무농약 모둠 버섯 요리 키트 48g  1개</t>
  </si>
  <si>
    <t>버섯 그대로 5종 국산 무농약 모둠 버섯 요리 키트 48g  3개</t>
  </si>
  <si>
    <t>버섯 그대로 5종 국산 무농약 모둠 버섯 요리 키트 48g  5개</t>
  </si>
  <si>
    <t>버섯 그대로 톡톡 국산 무농약 말린 버섯 모둠 요리용</t>
  </si>
  <si>
    <t>농업회사법인 주식회사 싸주아리</t>
  </si>
  <si>
    <t>137-86-09516</t>
  </si>
  <si>
    <t>쑥즙 강화약쑥즙 싸주아리 유기농 3년숙성 추출액 사자발쑥 인진 액기스 엑기스 진액 무농약</t>
  </si>
  <si>
    <t>길경영농조합법인</t>
  </si>
  <si>
    <t>126-86-80182</t>
  </si>
  <si>
    <t>청청하루 무농약 도라지청 300g  1개</t>
  </si>
  <si>
    <t>청청하루 무농약 도라지청 600g  1개</t>
  </si>
  <si>
    <t>길경농원 청청하루 무농약 도라지 분말 가루 100g</t>
  </si>
  <si>
    <t>길경농원 국산 식품명인 콩고물 도라지정과 250g</t>
  </si>
  <si>
    <t>137-91-64304</t>
  </si>
  <si>
    <t>강화오이총각</t>
  </si>
  <si>
    <t>청청하루 식품명인 궁중 도라지정과 250g  2개</t>
  </si>
  <si>
    <t>길경농원 국산 도라지즙 3년근 6년근 도라지배즙 청청하루</t>
  </si>
  <si>
    <t>길경농원 청청하루 무농약 도라지청 150g 4병 명절 부모님 선물 세트</t>
  </si>
  <si>
    <t>식품명인 프리미엄 도라지 4종선물세트 도라지정과  도라지청  도라지차 명절 선물 답례품</t>
  </si>
  <si>
    <t>청청하루 무농약 구수한 도라지차 20티백 PLA 생분해망사</t>
  </si>
  <si>
    <t>식품명인 콩고물 도라지정과 도라지차 선물세트 250g 2개입</t>
  </si>
  <si>
    <t>길경농원 청청하루 도라지청 스틱 홍도라지청 키즈 국산 명절 선물</t>
  </si>
  <si>
    <t>청청하루 우리 아이 홍도라지청 스틱 어린이 도라지청 배도라지청</t>
  </si>
  <si>
    <t>식품명인 국산 도라지 선물세트 도라지청 도라지차 콩고물 도라지정과 상견례 답례품 명절</t>
  </si>
  <si>
    <t>길경농원 도라지 6년근 도라지즙 도라지엑기스 길경 청청하루</t>
  </si>
  <si>
    <t>청청하루 식품명인 궁중 도라지정과 250g  1개</t>
  </si>
  <si>
    <t>길경농원 국산 식품명인 도라지정과 선물세트 1kg 상견례 명절 이바지 선물</t>
  </si>
  <si>
    <t>길경농원 식품명인 국산 코코아 도라지정과 실속형</t>
  </si>
  <si>
    <t>길경농원 청청하루 꼬다리 도라지정과 120g</t>
  </si>
  <si>
    <t>농업회사법인연꽃정원(유)</t>
  </si>
  <si>
    <t>351-81-01207</t>
  </si>
  <si>
    <t>연꽃정원 유기농연근차  유기농연잎차</t>
  </si>
  <si>
    <t>연꽃정원 연잎밥</t>
  </si>
  <si>
    <t>616-26-53957</t>
  </si>
  <si>
    <t>탐라몰</t>
  </si>
  <si>
    <t>연꽃정원 유기농 연근조림/연근조림</t>
  </si>
  <si>
    <t>하늘바라기</t>
  </si>
  <si>
    <t>608-03-39557</t>
  </si>
  <si>
    <t>유기농 꽃차 메리골드차 15g  7g 마리골드 금잔화</t>
  </si>
  <si>
    <t>덖음 수제차 목련 꽃차 9g  4g 신이화차</t>
  </si>
  <si>
    <t>유기농 수제차 당아욱 꽃차 4g   2g 블루멜로우티</t>
  </si>
  <si>
    <t>국화차 중 일품 홑겹꽃 감국차 33g</t>
  </si>
  <si>
    <t>덖음으로 향이 풍부한 맨드라미꽃차 7g 맨드라미차</t>
  </si>
  <si>
    <t>788-81-03144</t>
  </si>
  <si>
    <t>농업회사법인 주식회사 비에이비</t>
  </si>
  <si>
    <t>농부가 키운 유기농꽃차 구절초차 17g</t>
  </si>
  <si>
    <t>유기농 전통차 당아욱 꽃차 2g 블루멜로우티</t>
  </si>
  <si>
    <t>진짜 국화차는 유기농 감국차 16g  33g</t>
  </si>
  <si>
    <t>유기농차 목련 꽃차 4g 신이화차</t>
  </si>
  <si>
    <t>농부가 키운 유기농차 구절초차 8g</t>
  </si>
  <si>
    <t>유기농 맨드라미꽃차 3g 맨드라미차</t>
  </si>
  <si>
    <t>유기농 꽃차 소드림 2종 선물세트(메리골드  당아욱꽃차  목련꽃)</t>
  </si>
  <si>
    <t>유기농 꽃차 다드림 2종 선물세트(메리골드  당아욱꽃차  목련꽃)</t>
  </si>
  <si>
    <t>균일가 유기농 꽃차 2종 선물세트(벚꽃 메리골드 당아욱 아카시아 등)</t>
  </si>
  <si>
    <t>유기농 3종 꽃차선물세트(메리골드차 국화차 목련 등)</t>
  </si>
  <si>
    <t>유기농 3종 꽃차세트(당아욱 메리골드꽃차 목련 아카시아 벚꽃)</t>
  </si>
  <si>
    <t>영산강 푸드</t>
  </si>
  <si>
    <t>유기농 4종 꽃차세트(선택형) 감국 매화 메리골드 맨드라미 등</t>
  </si>
  <si>
    <t>국내산 유기농 꽃차 4종 선물세트(맨드라미3g + 메리골드7g + 목련4g + 당아욱2g)</t>
  </si>
  <si>
    <t>덖음차 유기농 햇 볶은 작두콩차 80g</t>
  </si>
  <si>
    <t>유기농꽃차 메리골드차 마리골드 금잔화 15g  4개</t>
  </si>
  <si>
    <t>덖음차 유기농 햇 볶은 작두콩차 80g  10개</t>
  </si>
  <si>
    <t>도하팜</t>
  </si>
  <si>
    <t>677-97-01944</t>
  </si>
  <si>
    <t>도하팜 업소용 대용량 프릴아이스</t>
  </si>
  <si>
    <t>[도하팜][버터헤드 단품] 수경재배 무농약 GAP 유럽샐러드 유럽 상추</t>
  </si>
  <si>
    <t>[도하팜] [프릴아이스] 무농약 프리미엄 수경재배 유럽 샐러드채소 농장직송 유럽 상추</t>
  </si>
  <si>
    <t>[도하팜] [유러피안 모듬 믹스] 무농약 채소 샐러드 쌈채소 유럽 상추</t>
  </si>
  <si>
    <t>순희엄마 수제 천연발효 사과식초 애사비 1000ml 선물세트</t>
  </si>
  <si>
    <t>(주)케이에프지(KFG Co., Ltd.)</t>
  </si>
  <si>
    <t>청청하루 무농약 도라지청 300g  2개</t>
  </si>
  <si>
    <t>청청하루 무농약 도라지청 300g  3개</t>
  </si>
  <si>
    <t>청청하루 무농약 도라지청 600g  2개</t>
  </si>
  <si>
    <t>청청하루 무농약 도라지청 600g  3개</t>
  </si>
  <si>
    <t>청청하루 식품명인 궁중 도라지정과 250g  3개</t>
  </si>
  <si>
    <t>지리산황금농원</t>
  </si>
  <si>
    <t>청청하루 식품명인 궁중 도라지정과 500g  1개</t>
  </si>
  <si>
    <t>청청하루 식품명인 궁중 도라지정과 500g  2개</t>
  </si>
  <si>
    <t>청청하루 식품명인 궁중 도라지정과 500g  3개</t>
  </si>
  <si>
    <t>청청하루 무농약 도라지 100% 도라지청</t>
  </si>
  <si>
    <t>품질보장 황토밭 맑은농장 김천자두 3kg(왕왕특고당도) 도담자두</t>
  </si>
  <si>
    <t>품질대박 황토밭 맑은농장 김천자두 5kg(왕왕특고당도) 도담자두</t>
  </si>
  <si>
    <t>국산 무농약 상황버섯 건조+진액혼합세트 효도선물 GAP인증 친환경 부모님선물</t>
  </si>
  <si>
    <t>국내산 무농약 GAP 건조상황버섯 선물세트 150g 300g 부모님 추석선물</t>
  </si>
  <si>
    <t>국내산 무농약 GAP 인증 원료 상황버섯진액 부모님 추석선물 45포  1개</t>
  </si>
  <si>
    <t>국내산 무농약 GAP 인증 원료 상황버섯진액 부모님 추석선물 25포  1개</t>
  </si>
  <si>
    <t>국내산 무농약 GAP 인증 원료 상황버섯진액 부모님 추석선물 15포  1개</t>
  </si>
  <si>
    <t>국내산 무농약 GAP인증 건조 상황버섯 70g 부모님 추석 선물세트</t>
  </si>
  <si>
    <t>국내산 무농약 GAP인증 건조 상황버섯 140g 부모님 추석 선물세트</t>
  </si>
  <si>
    <t>안동기찬농원</t>
  </si>
  <si>
    <t>317-39-00698</t>
  </si>
  <si>
    <t>으랏차차 푸룬 - 빅퍼플</t>
  </si>
  <si>
    <t>491-96-01789</t>
  </si>
  <si>
    <t>온전히팜</t>
  </si>
  <si>
    <t>문경 오미자 청 원액 생오미자 당절임 (흰설탕)</t>
  </si>
  <si>
    <t>문경 오미자 원액 행복한 오미자청 1.5L</t>
  </si>
  <si>
    <t>문경 오미자 원액 행복한 오미자청 1.5L (흰설탕) 2병</t>
  </si>
  <si>
    <t>문경 오미자 원액 행복한 오미자청 1.5L 4병</t>
  </si>
  <si>
    <t>775-86-01989</t>
  </si>
  <si>
    <t>농업회사법인 유한회사 늘품연</t>
  </si>
  <si>
    <t>문경 오미자 2025년 생오미자 당절임 (원당)</t>
  </si>
  <si>
    <t>문경 오미자 원액 행복한 오미자청 1.5L (비정제 원당)</t>
  </si>
  <si>
    <t>해피메이킹 문경 행복한 오미자 생 오미자 청</t>
  </si>
  <si>
    <t>문경 오미자 원액  오미자럽 오미자청 1.5L 4병</t>
  </si>
  <si>
    <t>문경 오미자 원액 행복한 오미자청 1.5L (비정제 원당) 2병</t>
  </si>
  <si>
    <t>문경 오미자 원액  오미자럽 오미자청 1.5L</t>
  </si>
  <si>
    <t>문경 오미자 원액 행복한 오미자청1.5L(비정제 원당) 4병</t>
  </si>
  <si>
    <t>문경 오미자 2025년 생오미자 당절임 (흰설탕)</t>
  </si>
  <si>
    <t>문경 오미자 원액 행복한 오미자청 500ml</t>
  </si>
  <si>
    <t>문경 오미자 원액 행복한 오미자청 500ml 두병</t>
  </si>
  <si>
    <t>문경 오미자 원액  오미자럽 오미자청 1.5L 2병</t>
  </si>
  <si>
    <t>[예약] 추석선물 친환경 무농약 프리미엄 싱싱달콤 머스크 천적 멜론 메론 3수 7kg이상</t>
  </si>
  <si>
    <t>2022 문경 햇오미자 당절임 국내산 100%</t>
  </si>
  <si>
    <t>[예약] 추석선물 프리미엄 무농약 고당도 산지직송 머스크 설향 하미과 천적 메론 멜론 2수</t>
  </si>
  <si>
    <t>햇연근 무농약 흙연근 슬라이스 말린연근</t>
  </si>
  <si>
    <t>표고버섯 선물세트 흑화고 백화고 추석 설날 명절</t>
  </si>
  <si>
    <t>채씨네 표고 버섯 선물세트 추석 설날 명절 참나무</t>
  </si>
  <si>
    <t>채씨네 국내산 건 표고버섯 선물세트 백화고 흑화고 추석 명절 설날</t>
  </si>
  <si>
    <t>표고버섯 선물세트 흑화고 500g</t>
  </si>
  <si>
    <t>농부가바로팜 무항생제 동물복지 유정란 초란 60구 신선계란 난각번호2번</t>
  </si>
  <si>
    <t>농부가바로팜 무항생제 Non-Gmo 동물복지 유정란 초란 60구 신선계란 난각번호2번</t>
  </si>
  <si>
    <t>[품질책임보상] 국내산 깐마늘 1kg 다진마늘 꼭지제거 햇 통마늘</t>
  </si>
  <si>
    <t>[농할쿠폰20%] 국내산 양파 26년 햇양파 무안양파 3kg 5kg</t>
  </si>
  <si>
    <t>먹골배 원황배 배 고당도 제철 햇배 국산 신품종 과일 5kg</t>
  </si>
  <si>
    <t>5kg 먹골배 선물용</t>
  </si>
  <si>
    <t>먹골배 선물용 배 고당도 제철 햇배 국산 신품종 과일 7.5kg</t>
  </si>
  <si>
    <t>먹골배 원황배 배 고당도 제철 햇배 국산 신품종 과일 7.5kg</t>
  </si>
  <si>
    <t>제주산 땅콩호박 버터넛스쿼시 3kg 5kg 10kg</t>
  </si>
  <si>
    <t>메론3수</t>
  </si>
  <si>
    <t>381-44-00882</t>
  </si>
  <si>
    <t>메이</t>
  </si>
  <si>
    <t>품질대박 맑은농장 김천포도 4kg(특품) 미화희낭만홍안 미인포도</t>
  </si>
  <si>
    <t>품질보장 맑은농장 김천포도 2kg(특품) 미화희낭만홍안 미인포도</t>
  </si>
  <si>
    <t>맑은농장 김천포도 4kg(못난이) 미화희낭만홍안 미인포도</t>
  </si>
  <si>
    <t>맑은농장 김천포도 4kg(상품) 미화희낭만홍안 미인포도 - 4수이하  8수이상</t>
  </si>
  <si>
    <t>맑은농장 김천포도 2kg(못난이) 미화희낭만홍안 미인포도</t>
  </si>
  <si>
    <t>맑은농장 김천포도 2kg(상품) 미화희낭만홍안 미인포도 - 2수또는5수이상</t>
  </si>
  <si>
    <t>맑은농장 김천포도 2kg(특품) 미화희낭만홍안 미인포도</t>
  </si>
  <si>
    <t>영프로 100% 국내산 콩 전통 된장 1키로 시골 집 보리고추장 1키로 간장 500ml</t>
  </si>
  <si>
    <t>영프로 100% 국내산 콩 전통된장 1키로 시골 집 보리고추장1키로</t>
  </si>
  <si>
    <t>영프로 100% 국내산 콩 전통 3년 숙성 재래식시골 집 된장 1kg  전통 간장 1.5L</t>
  </si>
  <si>
    <t>영프로 100% 국내산 콩 전통 5년 숙성 재래식 시골 집 된장 2kg  전통 간장 1L</t>
  </si>
  <si>
    <t>영프로 100% 국내산 콩 전통 3년 숙성 재래식 시골 집 된장 2kg  전통 간장 1L</t>
  </si>
  <si>
    <t>영프로 전통 시골 집고추장 마늘쫑장아찌 400g 마늘장아찌 400g</t>
  </si>
  <si>
    <t>영프로 전통 시골 집고추장 마늘쫑장아찌 800g 마늘장아찌 800g</t>
  </si>
  <si>
    <t>종이포장 경기G마크 GAP 저탄소 농산물 평화농원 먹골배 신고배 명절과일 햇배 3kg</t>
  </si>
  <si>
    <t>경기G마크 GAP 저탄소 농산물 평화농원 먹골배 신고배 선물배 명절과일 햇배  5kg 7.5kg 15kg</t>
  </si>
  <si>
    <t>ESG 종이포장 경기G마크 GAP 저탄소 농산물 평화농원 먹골배 황금배 신고배 선물배 명절과일 햇배  7.5kg 15kg</t>
  </si>
  <si>
    <t>운림가 55년전통 대용량 전라도 국산 배추 김장 포기 김치 5kg</t>
  </si>
  <si>
    <t>운림가 55년전통 국산 전라도 묵은지 2kg 저온 숙성 익은 김치</t>
  </si>
  <si>
    <t>운림가 55년전통 국산 전라도 쪽 파김치 1kg</t>
  </si>
  <si>
    <t>운림가 55년전통 국산 전라도 알타리 총각김치 2kg</t>
  </si>
  <si>
    <t>555-28-01518</t>
  </si>
  <si>
    <t>현주농장</t>
  </si>
  <si>
    <t>청청하루 무농약 도라지청 150g  1개</t>
  </si>
  <si>
    <t>식품명인 콩고물 도라지정과 선물세트 20g 10개입</t>
  </si>
  <si>
    <t>참외쀼</t>
  </si>
  <si>
    <t>210-97-02245</t>
  </si>
  <si>
    <t>농부부부가 키운 고당도 성주 참외 당일수확 3.3KG</t>
  </si>
  <si>
    <t>수박 고당도 꿀 수박 프리미엄 당도선별 하우스 제철과일 고창 맹동 산지직송</t>
  </si>
  <si>
    <t>자두 후무사 도담 추희 피자두 고당도 와촌 김천 1kg</t>
  </si>
  <si>
    <t>메론 제철 설향 하미과 그린 골드 머스크메론 프리미엄 산지직송 고당도 멜론 선물세트 가정용</t>
  </si>
  <si>
    <t>농부부부가 키운 고당도 성주 참외 당일수확 5.5kg</t>
  </si>
  <si>
    <t>(주)율림에프앤비 농업회사법인</t>
  </si>
  <si>
    <t>886-86-03308</t>
  </si>
  <si>
    <t>농업회사법인 그레프 주식회사</t>
  </si>
  <si>
    <t>농업회사법인 주식회사 노스팜</t>
  </si>
  <si>
    <t>(주)더바른컴퍼니</t>
  </si>
  <si>
    <t>880-17-02847</t>
  </si>
  <si>
    <t>너른그린</t>
  </si>
  <si>
    <t>상주아람곶감 영농조합법인</t>
  </si>
  <si>
    <t>623-90-01875</t>
  </si>
  <si>
    <t>다소니농장</t>
  </si>
  <si>
    <t>357-18-02554</t>
  </si>
  <si>
    <t>집밥스토리</t>
  </si>
  <si>
    <t>농업회사법인 곤충킹주식회사</t>
  </si>
  <si>
    <t>새힘 성주참외라이프</t>
  </si>
  <si>
    <t>농업회사법인자연애에프앤비(주)</t>
  </si>
  <si>
    <t>182-88-01920</t>
  </si>
  <si>
    <t>안동명가 영농조합법인</t>
  </si>
  <si>
    <t>678-09-01770</t>
  </si>
  <si>
    <t>고향떡집</t>
  </si>
  <si>
    <t>218-96-02728</t>
  </si>
  <si>
    <t>삼산1리개두릅 농산물 농원</t>
  </si>
  <si>
    <t>781-04-02857</t>
  </si>
  <si>
    <t>하람떡방</t>
  </si>
  <si>
    <t>205-67-00156</t>
  </si>
  <si>
    <t>풀빛농장</t>
  </si>
  <si>
    <t>806-87-01465</t>
  </si>
  <si>
    <t>농업회사법인뜬돌농원주식회사</t>
  </si>
  <si>
    <t>159-98-00084</t>
  </si>
  <si>
    <t>지구네밤농원</t>
  </si>
  <si>
    <t>471-91-01719</t>
  </si>
  <si>
    <t>채소집</t>
  </si>
  <si>
    <t>675-81-03509</t>
  </si>
  <si>
    <t>팜올린</t>
  </si>
  <si>
    <t>104-49-01294</t>
  </si>
  <si>
    <t>농장누가</t>
  </si>
  <si>
    <t>674-92-02158</t>
  </si>
  <si>
    <t>더자연사랑</t>
  </si>
  <si>
    <t>343-53-00316</t>
  </si>
  <si>
    <t>그랑농원</t>
  </si>
  <si>
    <t>848-97-01191</t>
  </si>
  <si>
    <t>안동호두농장</t>
  </si>
  <si>
    <t>131-86-58305</t>
  </si>
  <si>
    <t>농업회사법인 주식회사 우리김치</t>
  </si>
  <si>
    <t>303-09-74670</t>
  </si>
  <si>
    <t>시골내음건강</t>
  </si>
  <si>
    <t>주식회사 시즌드시즌</t>
  </si>
  <si>
    <t>농업회사법인 지리산별마루 유한회사</t>
  </si>
  <si>
    <t>292-67-00387</t>
  </si>
  <si>
    <t>꽃신호청신호</t>
  </si>
  <si>
    <t>409-86-39292</t>
  </si>
  <si>
    <t>농업회사법인 주식회사 누리보듬</t>
  </si>
  <si>
    <t>늘푸름</t>
  </si>
  <si>
    <t>768-87-03220</t>
  </si>
  <si>
    <t>농업회사법인 케이에스팜(주)</t>
  </si>
  <si>
    <t>653-87-00241</t>
  </si>
  <si>
    <t>구방한과</t>
  </si>
  <si>
    <t>슬기로운 청년 농부</t>
  </si>
  <si>
    <t>171-94-01673</t>
  </si>
  <si>
    <t>지리산진미농원</t>
  </si>
  <si>
    <t>184-20-01950</t>
  </si>
  <si>
    <t>그린하모니</t>
  </si>
  <si>
    <t>농업회사법인 주식회사 생생초</t>
  </si>
  <si>
    <t>438-81-03064</t>
  </si>
  <si>
    <t>농업회사법인(주) 피어오름</t>
  </si>
  <si>
    <t>주식회사 열두달</t>
  </si>
  <si>
    <t>농업회사법인연꽃정원유한회사</t>
  </si>
  <si>
    <t>씨튼장애인직업재활센터</t>
  </si>
  <si>
    <t>행복우리식품영농조합</t>
  </si>
  <si>
    <t>내기마을</t>
  </si>
  <si>
    <t>안동시 북후면</t>
  </si>
  <si>
    <t>679-54-00740</t>
  </si>
  <si>
    <t>함께하는 근남면 사람들</t>
  </si>
  <si>
    <t>가야산아래</t>
  </si>
  <si>
    <t>평해마을</t>
  </si>
  <si>
    <t>인천드레</t>
  </si>
  <si>
    <t>851-18-01907</t>
  </si>
  <si>
    <t>대구/영천 마을</t>
  </si>
  <si>
    <t>279-86-00070</t>
  </si>
  <si>
    <t>두레마을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</si>
</sst>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#,##0_ "/>
    <numFmt numFmtId="166" formatCode="###\-##\-#####"/>
  </numFmts>
  <fonts count="13">
    <font>
      <sz val="11.0"/>
      <color theme="1"/>
      <name val="Calibri"/>
      <scheme val="minor"/>
    </font>
    <font>
      <sz val="11.0"/>
      <color theme="1"/>
      <name val="Malgun Gothic"/>
    </font>
    <font>
      <b/>
      <sz val="18.0"/>
      <color theme="1"/>
      <name val="Malgun Gothic"/>
    </font>
    <font>
      <b/>
      <sz val="12.0"/>
      <color theme="1"/>
      <name val="Malgun Gothic"/>
    </font>
    <font>
      <sz val="12.0"/>
      <color theme="1"/>
      <name val="Malgun Gothic"/>
    </font>
    <font>
      <b/>
      <sz val="11.0"/>
      <color theme="1"/>
      <name val="Malgun Gothic"/>
    </font>
    <font>
      <b/>
      <sz val="16.0"/>
      <color theme="1"/>
      <name val="Malgun Gothic"/>
    </font>
    <font/>
    <font>
      <sz val="10.0"/>
      <color theme="1"/>
      <name val="Malgun Gothic"/>
    </font>
    <font>
      <b/>
      <sz val="11.0"/>
      <color rgb="FFFF0000"/>
      <name val="Malgun Gothic"/>
    </font>
    <font>
      <b/>
      <sz val="11.0"/>
      <color theme="0"/>
      <name val="Malgun Gothic"/>
    </font>
    <font>
      <sz val="11.0"/>
      <color rgb="FFFF0000"/>
      <name val="Malgun Gothic"/>
    </font>
    <font>
      <sz val="11.0"/>
      <color theme="1"/>
      <name val="나눔고딕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DEEAF6"/>
        <bgColor rgb="FFDEEAF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</fills>
  <borders count="12">
    <border/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vertical="center"/>
    </xf>
    <xf borderId="0" fillId="0" fontId="1" numFmtId="0" xfId="0" applyAlignment="1" applyFont="1">
      <alignment horizontal="center" vertical="center"/>
    </xf>
    <xf borderId="2" fillId="3" fontId="3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vertical="center"/>
    </xf>
    <xf borderId="0" fillId="0" fontId="1" numFmtId="3" xfId="0" applyAlignment="1" applyFont="1" applyNumberFormat="1">
      <alignment vertical="center"/>
    </xf>
    <xf borderId="1" fillId="2" fontId="4" numFmtId="164" xfId="0" applyAlignment="1" applyBorder="1" applyFill="1" applyFont="1" applyNumberFormat="1">
      <alignment vertical="center"/>
    </xf>
    <xf borderId="0" fillId="0" fontId="5" numFmtId="0" xfId="0" applyAlignment="1" applyFont="1">
      <alignment horizontal="center" vertical="center"/>
    </xf>
    <xf borderId="3" fillId="0" fontId="5" numFmtId="0" xfId="0" applyAlignment="1" applyBorder="1" applyFont="1">
      <alignment vertical="bottom"/>
    </xf>
    <xf borderId="4" fillId="4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vertical="center"/>
    </xf>
    <xf borderId="4" fillId="5" fontId="5" numFmtId="0" xfId="0" applyAlignment="1" applyBorder="1" applyFill="1" applyFont="1">
      <alignment horizontal="center" vertical="center"/>
    </xf>
    <xf borderId="5" fillId="6" fontId="5" numFmtId="0" xfId="0" applyAlignment="1" applyBorder="1" applyFill="1" applyFont="1">
      <alignment horizontal="center" shrinkToFit="0" vertical="center" wrapText="1"/>
    </xf>
    <xf borderId="4" fillId="4" fontId="5" numFmtId="165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4" fillId="5" fontId="5" numFmtId="165" xfId="0" applyAlignment="1" applyBorder="1" applyFill="1" applyFont="1" applyNumberFormat="1">
      <alignment horizontal="center" vertical="center"/>
    </xf>
    <xf borderId="6" fillId="7" fontId="5" numFmtId="0" xfId="0" applyAlignment="1" applyBorder="1" applyFill="1" applyFont="1">
      <alignment horizontal="center" shrinkToFit="0" vertical="center" wrapText="1"/>
    </xf>
    <xf borderId="7" fillId="0" fontId="7" numFmtId="0" xfId="0" applyAlignment="1" applyBorder="1" applyFont="1">
      <alignment vertical="center"/>
    </xf>
    <xf borderId="4" fillId="8" fontId="5" numFmtId="165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vertical="center"/>
    </xf>
    <xf borderId="8" fillId="0" fontId="7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1" fillId="2" fontId="1" numFmtId="9" xfId="0" applyAlignment="1" applyBorder="1" applyFill="1" applyFont="1" applyNumberFormat="1">
      <alignment vertical="center"/>
    </xf>
    <xf borderId="1" fillId="2" fontId="1" numFmtId="164" xfId="0" applyAlignment="1" applyBorder="1" applyFill="1" applyFont="1" applyNumberFormat="1">
      <alignment vertical="center"/>
    </xf>
    <xf borderId="6" fillId="9" fontId="5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vertical="center"/>
    </xf>
    <xf borderId="1" fillId="2" fontId="8" numFmtId="0" xfId="0" applyAlignment="1" applyBorder="1" applyFill="1" applyFont="1">
      <alignment vertical="center"/>
    </xf>
    <xf borderId="9" fillId="0" fontId="7" numFmtId="0" xfId="0" applyAlignment="1" applyBorder="1" applyFont="1">
      <alignment vertical="center"/>
    </xf>
    <xf borderId="1" fillId="10" fontId="9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center" shrinkToFit="0" vertical="center" wrapText="1"/>
    </xf>
    <xf borderId="4" fillId="0" fontId="1" numFmtId="3" xfId="0" applyAlignment="1" applyBorder="1" applyFont="1" applyNumberFormat="1">
      <alignment vertical="center"/>
    </xf>
    <xf borderId="1" fillId="10" fontId="1" numFmtId="0" xfId="0" applyAlignment="1" applyBorder="1" applyFill="1" applyFont="1">
      <alignment horizontal="center" vertical="center"/>
    </xf>
    <xf borderId="4" fillId="9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1" fillId="10" fontId="9" numFmtId="164" xfId="0" applyAlignment="1" applyBorder="1" applyFill="1" applyFont="1" applyNumberFormat="1">
      <alignment horizontal="center" vertical="center"/>
    </xf>
    <xf borderId="4" fillId="6" fontId="5" numFmtId="3" xfId="0" applyAlignment="1" applyBorder="1" applyFill="1" applyFont="1" applyNumberFormat="1">
      <alignment vertical="bottom"/>
    </xf>
    <xf borderId="4" fillId="11" fontId="10" numFmtId="0" xfId="0" applyAlignment="1" applyBorder="1" applyFill="1" applyFont="1">
      <alignment horizontal="center" vertical="center"/>
    </xf>
    <xf borderId="4" fillId="7" fontId="5" numFmtId="3" xfId="0" applyAlignment="1" applyBorder="1" applyFill="1" applyFont="1" applyNumberFormat="1">
      <alignment vertical="bottom"/>
    </xf>
    <xf borderId="4" fillId="0" fontId="1" numFmtId="3" xfId="0" applyAlignment="1" applyBorder="1" applyFont="1" applyNumberFormat="1">
      <alignment vertical="bottom"/>
    </xf>
    <xf borderId="4" fillId="11" fontId="10" numFmtId="164" xfId="0" applyAlignment="1" applyBorder="1" applyFill="1" applyFont="1" applyNumberFormat="1">
      <alignment horizontal="center" vertical="center"/>
    </xf>
    <xf borderId="4" fillId="9" fontId="5" numFmtId="3" xfId="0" applyAlignment="1" applyBorder="1" applyFill="1" applyFont="1" applyNumberFormat="1">
      <alignment vertical="bottom"/>
    </xf>
    <xf borderId="4" fillId="2" fontId="1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6" fontId="9" numFmtId="0" xfId="0" applyAlignment="1" applyBorder="1" applyFill="1" applyFont="1">
      <alignment horizontal="center" shrinkToFit="0" vertical="center" wrapText="1"/>
    </xf>
    <xf borderId="4" fillId="2" fontId="1" numFmtId="49" xfId="0" applyAlignment="1" applyBorder="1" applyFill="1" applyFont="1" applyNumberFormat="1">
      <alignment horizontal="center" vertical="center"/>
    </xf>
    <xf borderId="4" fillId="2" fontId="1" numFmtId="166" xfId="0" applyAlignment="1" applyBorder="1" applyFill="1" applyFont="1" applyNumberFormat="1">
      <alignment horizontal="center" vertical="center"/>
    </xf>
    <xf borderId="4" fillId="6" fontId="9" numFmtId="3" xfId="0" applyAlignment="1" applyBorder="1" applyFill="1" applyFont="1" applyNumberFormat="1">
      <alignment vertical="bottom"/>
    </xf>
    <xf borderId="4" fillId="2" fontId="1" numFmtId="164" xfId="0" applyAlignment="1" applyBorder="1" applyFill="1" applyFont="1" applyNumberFormat="1">
      <alignment horizontal="right" vertical="center"/>
    </xf>
    <xf borderId="4" fillId="3" fontId="1" numFmtId="49" xfId="0" applyAlignment="1" applyBorder="1" applyFill="1" applyFont="1" applyNumberFormat="1">
      <alignment horizontal="center" vertical="center"/>
    </xf>
    <xf borderId="4" fillId="4" fontId="1" numFmtId="49" xfId="0" applyAlignment="1" applyBorder="1" applyFill="1" applyFont="1" applyNumberForma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3" fontId="1" numFmtId="164" xfId="0" applyAlignment="1" applyBorder="1" applyFill="1" applyFont="1" applyNumberFormat="1">
      <alignment horizontal="right" vertical="center"/>
    </xf>
    <xf borderId="1" fillId="3" fontId="1" numFmtId="0" xfId="0" applyAlignment="1" applyBorder="1" applyFill="1" applyFont="1">
      <alignment horizontal="center" vertical="center"/>
    </xf>
    <xf borderId="4" fillId="2" fontId="1" numFmtId="166" xfId="0" applyAlignment="1" applyBorder="1" applyFill="1" applyFont="1" applyNumberFormat="1">
      <alignment horizontal="left" vertical="center"/>
    </xf>
    <xf borderId="4" fillId="2" fontId="11" numFmtId="164" xfId="0" applyAlignment="1" applyBorder="1" applyFill="1" applyFont="1" applyNumberFormat="1">
      <alignment horizontal="center" vertical="center"/>
    </xf>
    <xf borderId="4" fillId="2" fontId="1" numFmtId="164" xfId="0" applyAlignment="1" applyBorder="1" applyFill="1" applyFont="1" applyNumberFormat="1">
      <alignment horizontal="center" vertical="center"/>
    </xf>
    <xf borderId="4" fillId="2" fontId="1" numFmtId="0" xfId="0" applyAlignment="1" applyBorder="1" applyFill="1" applyFont="1">
      <alignment horizontal="left" vertical="center"/>
    </xf>
    <xf borderId="10" fillId="2" fontId="1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left" vertical="center"/>
    </xf>
    <xf borderId="4" fillId="3" fontId="1" numFmtId="164" xfId="0" applyAlignment="1" applyBorder="1" applyFill="1" applyFont="1" applyNumberFormat="1">
      <alignment horizontal="center" vertical="center"/>
    </xf>
    <xf borderId="6" fillId="6" fontId="5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4" fillId="0" fontId="1" numFmtId="49" xfId="0" applyAlignment="1" applyBorder="1" applyFont="1" applyNumberForma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vertical="center"/>
    </xf>
    <xf borderId="6" fillId="0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4" fillId="3" fontId="5" numFmtId="3" xfId="0" applyAlignment="1" applyBorder="1" applyFill="1" applyFont="1" applyNumberFormat="1">
      <alignment vertical="bottom"/>
    </xf>
    <xf borderId="4" fillId="3" fontId="1" numFmtId="3" xfId="0" applyAlignment="1" applyBorder="1" applyFill="1" applyFont="1" applyNumberFormat="1">
      <alignment readingOrder="0" vertical="bottom"/>
    </xf>
    <xf borderId="4" fillId="3" fontId="1" numFmtId="3" xfId="0" applyAlignment="1" applyBorder="1" applyFill="1" applyFont="1" applyNumberFormat="1">
      <alignment vertical="bottom"/>
    </xf>
    <xf borderId="4" fillId="0" fontId="1" numFmtId="164" xfId="0" applyAlignment="1" applyBorder="1" applyFont="1" applyNumberFormat="1">
      <alignment horizontal="center" vertical="center"/>
    </xf>
    <xf borderId="1" fillId="2" fontId="4" numFmtId="164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4" fillId="2" fontId="12" numFmtId="0" xfId="0" applyAlignment="1" applyBorder="1" applyFill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bottom"/>
    </xf>
    <xf borderId="2" fillId="12" fontId="3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vertical="bottom"/>
    </xf>
    <xf borderId="4" fillId="0" fontId="1" numFmtId="0" xfId="0" applyAlignment="1" applyBorder="1" applyFont="1">
      <alignment readingOrder="0" vertical="center"/>
    </xf>
    <xf borderId="11" fillId="2" fontId="1" numFmtId="0" xfId="0" applyAlignment="1" applyBorder="1" applyFill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2" fontId="1" numFmtId="164" xfId="0" applyAlignment="1" applyFill="1" applyFont="1" applyNumberForma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2" fontId="1" numFmtId="164" xfId="0" applyAlignment="1" applyFill="1" applyFont="1" applyNumberFormat="1">
      <alignment horizontal="center" vertical="center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13" width="15.0"/>
    <col customWidth="1" min="14" max="26" width="8.71"/>
  </cols>
  <sheetData>
    <row r="1" ht="17.25" customHeight="1">
      <c r="A1" s="1"/>
      <c r="B1" s="5" t="s">
        <v>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7.25" customHeight="1">
      <c r="A3" s="1"/>
      <c r="B3" s="1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7.25" customHeight="1">
      <c r="A4" s="1"/>
      <c r="B4" s="15" t="s">
        <v>5</v>
      </c>
      <c r="C4" s="15" t="s">
        <v>10</v>
      </c>
      <c r="D4" s="19" t="s">
        <v>11</v>
      </c>
      <c r="E4" s="20"/>
      <c r="F4" s="20"/>
      <c r="G4" s="20"/>
      <c r="H4" s="20"/>
      <c r="I4" s="20"/>
      <c r="J4" s="23"/>
      <c r="K4" s="27" t="s">
        <v>15</v>
      </c>
      <c r="L4" s="20"/>
      <c r="M4" s="23"/>
    </row>
    <row r="5" ht="17.25" customHeight="1">
      <c r="A5" s="1"/>
      <c r="B5" s="30"/>
      <c r="C5" s="30"/>
      <c r="D5" s="32" t="s">
        <v>24</v>
      </c>
      <c r="E5" s="32" t="s">
        <v>25</v>
      </c>
      <c r="F5" s="32" t="s">
        <v>26</v>
      </c>
      <c r="G5" s="32" t="s">
        <v>27</v>
      </c>
      <c r="H5" s="32" t="s">
        <v>28</v>
      </c>
      <c r="I5" s="32" t="s">
        <v>29</v>
      </c>
      <c r="J5" s="32" t="s">
        <v>21</v>
      </c>
      <c r="K5" s="35" t="s">
        <v>24</v>
      </c>
      <c r="L5" s="35" t="s">
        <v>25</v>
      </c>
      <c r="M5" s="35" t="s">
        <v>21</v>
      </c>
    </row>
    <row r="6" ht="17.25" customHeight="1">
      <c r="A6" s="1"/>
      <c r="B6" s="36" t="s">
        <v>32</v>
      </c>
      <c r="C6" s="38">
        <f>D6+K6</f>
        <v>340</v>
      </c>
      <c r="D6" s="40">
        <f t="shared" ref="D6:D8" si="1">SUM(E6:J6)</f>
        <v>285</v>
      </c>
      <c r="E6" s="41">
        <v>136.0</v>
      </c>
      <c r="F6" s="41">
        <v>53.0</v>
      </c>
      <c r="G6" s="41">
        <v>47.0</v>
      </c>
      <c r="H6" s="41">
        <v>24.0</v>
      </c>
      <c r="I6" s="41">
        <v>9.0</v>
      </c>
      <c r="J6" s="41">
        <v>16.0</v>
      </c>
      <c r="K6" s="43">
        <f t="shared" ref="K6:K8" si="2">SUM(L6:M6)</f>
        <v>55</v>
      </c>
      <c r="L6" s="41">
        <v>26.0</v>
      </c>
      <c r="M6" s="41">
        <v>29.0</v>
      </c>
    </row>
    <row r="7" ht="17.25" customHeight="1">
      <c r="A7" s="1"/>
      <c r="B7" s="46" t="s">
        <v>57</v>
      </c>
      <c r="C7" s="49">
        <f>SUM(D7,K7)</f>
        <v>218</v>
      </c>
      <c r="D7" s="40">
        <f t="shared" si="1"/>
        <v>186</v>
      </c>
      <c r="E7" s="41">
        <v>82.0</v>
      </c>
      <c r="F7" s="41">
        <v>36.0</v>
      </c>
      <c r="G7" s="41">
        <v>32.0</v>
      </c>
      <c r="H7" s="41">
        <v>17.0</v>
      </c>
      <c r="I7" s="41">
        <v>6.0</v>
      </c>
      <c r="J7" s="41">
        <v>13.0</v>
      </c>
      <c r="K7" s="43">
        <f t="shared" si="2"/>
        <v>32</v>
      </c>
      <c r="L7" s="41">
        <v>16.0</v>
      </c>
      <c r="M7" s="41">
        <v>16.0</v>
      </c>
    </row>
    <row r="8" ht="17.25" customHeight="1">
      <c r="A8" s="1"/>
      <c r="B8" s="36" t="s">
        <v>75</v>
      </c>
      <c r="C8" s="38">
        <f>D8+K8</f>
        <v>1305</v>
      </c>
      <c r="D8" s="40">
        <f t="shared" si="1"/>
        <v>1130</v>
      </c>
      <c r="E8" s="41">
        <v>388.0</v>
      </c>
      <c r="F8" s="41">
        <v>258.0</v>
      </c>
      <c r="G8" s="41">
        <v>313.0</v>
      </c>
      <c r="H8" s="41">
        <v>55.0</v>
      </c>
      <c r="I8" s="41">
        <v>29.0</v>
      </c>
      <c r="J8" s="41">
        <v>87.0</v>
      </c>
      <c r="K8" s="43">
        <f t="shared" si="2"/>
        <v>175</v>
      </c>
      <c r="L8" s="41">
        <v>85.0</v>
      </c>
      <c r="M8" s="41">
        <v>90.0</v>
      </c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17.25" customHeight="1">
      <c r="A10" s="1"/>
      <c r="B10" s="11" t="s">
        <v>80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7.25" customHeight="1">
      <c r="A11" s="1"/>
      <c r="B11" s="15" t="s">
        <v>5</v>
      </c>
      <c r="C11" s="15" t="s">
        <v>10</v>
      </c>
      <c r="D11" s="19" t="s">
        <v>11</v>
      </c>
      <c r="E11" s="20"/>
      <c r="F11" s="20"/>
      <c r="G11" s="20"/>
      <c r="H11" s="20"/>
      <c r="I11" s="20"/>
      <c r="J11" s="23"/>
      <c r="K11" s="27" t="s">
        <v>15</v>
      </c>
      <c r="L11" s="20"/>
      <c r="M11" s="23"/>
    </row>
    <row r="12" ht="17.25" customHeight="1">
      <c r="A12" s="1"/>
      <c r="B12" s="30"/>
      <c r="C12" s="30"/>
      <c r="D12" s="32" t="s">
        <v>24</v>
      </c>
      <c r="E12" s="32" t="s">
        <v>25</v>
      </c>
      <c r="F12" s="32" t="s">
        <v>26</v>
      </c>
      <c r="G12" s="32" t="s">
        <v>27</v>
      </c>
      <c r="H12" s="32" t="s">
        <v>28</v>
      </c>
      <c r="I12" s="32" t="s">
        <v>29</v>
      </c>
      <c r="J12" s="32" t="s">
        <v>21</v>
      </c>
      <c r="K12" s="35" t="s">
        <v>24</v>
      </c>
      <c r="L12" s="35" t="s">
        <v>25</v>
      </c>
      <c r="M12" s="35" t="s">
        <v>21</v>
      </c>
    </row>
    <row r="13" ht="17.25" customHeight="1">
      <c r="A13" s="1"/>
      <c r="B13" s="36" t="s">
        <v>95</v>
      </c>
      <c r="C13" s="38" t="str">
        <f>D13+K13</f>
        <v>#ERROR!</v>
      </c>
      <c r="D13" s="40">
        <f>SUM(E13:J13)</f>
        <v>98962900</v>
      </c>
      <c r="E13" s="41">
        <f>SUMIF('①농산물raw'!$A$6:$A$445,E$12,'①농산물raw'!$H$6:$H$445)</f>
        <v>0</v>
      </c>
      <c r="F13" s="41">
        <f>SUMIF('①농산물raw'!$A$6:$A$445,F$12,'①농산물raw'!$H$6:$H$445)</f>
        <v>76647920</v>
      </c>
      <c r="G13" s="41">
        <f>SUMIF('①농산물raw'!$A$6:$A$445,G$12,'①농산물raw'!$H$6:$H$445)</f>
        <v>22314980</v>
      </c>
      <c r="H13" s="41">
        <f>SUMIF('①농산물raw'!$A$6:$A$445,H$12,'①농산물raw'!$H$6:$H$445)</f>
        <v>0</v>
      </c>
      <c r="I13" s="41">
        <f>SUMIF('①농산물raw'!$A$6:$A$445,I$12,'①농산물raw'!$H$6:$H$445)</f>
        <v>0</v>
      </c>
      <c r="J13" s="41">
        <f>SUMIF('①농산물raw'!$A$6:$A$445,J$12,'①농산물raw'!$H$6:$H$445)</f>
        <v>0</v>
      </c>
      <c r="K13" s="43" t="str">
        <f>SUM(L13:M13)</f>
        <v>#ERROR!</v>
      </c>
      <c r="L13" s="41" t="str">
        <f>SUMIF(②유기농raw!#REF!,L$12,②유기농raw!#REF!)</f>
        <v>#ERROR!</v>
      </c>
      <c r="M13" s="41" t="str">
        <f>SUMIF(②유기농raw!#REF!,M$12,②유기농raw!#REF!)</f>
        <v>#ERROR!</v>
      </c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7.25" customHeight="1">
      <c r="A15" s="1"/>
      <c r="B15" s="11" t="s">
        <v>163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7.25" customHeight="1">
      <c r="A16" s="1"/>
      <c r="B16" s="15" t="s">
        <v>5</v>
      </c>
      <c r="C16" s="15" t="s">
        <v>10</v>
      </c>
      <c r="D16" s="19" t="s">
        <v>11</v>
      </c>
      <c r="E16" s="20"/>
      <c r="F16" s="20"/>
      <c r="G16" s="20"/>
      <c r="H16" s="20"/>
      <c r="I16" s="20"/>
      <c r="J16" s="23"/>
      <c r="K16" s="27" t="s">
        <v>15</v>
      </c>
      <c r="L16" s="20"/>
      <c r="M16" s="23"/>
    </row>
    <row r="17" ht="17.25" customHeight="1">
      <c r="A17" s="1"/>
      <c r="B17" s="30"/>
      <c r="C17" s="30"/>
      <c r="D17" s="32" t="s">
        <v>24</v>
      </c>
      <c r="E17" s="32" t="s">
        <v>25</v>
      </c>
      <c r="F17" s="32" t="s">
        <v>26</v>
      </c>
      <c r="G17" s="32" t="s">
        <v>27</v>
      </c>
      <c r="H17" s="32" t="s">
        <v>28</v>
      </c>
      <c r="I17" s="32" t="s">
        <v>29</v>
      </c>
      <c r="J17" s="32" t="s">
        <v>21</v>
      </c>
      <c r="K17" s="35" t="s">
        <v>24</v>
      </c>
      <c r="L17" s="35" t="s">
        <v>25</v>
      </c>
      <c r="M17" s="35" t="s">
        <v>21</v>
      </c>
    </row>
    <row r="18" ht="17.25" customHeight="1">
      <c r="A18" s="1"/>
      <c r="B18" s="36" t="s">
        <v>12</v>
      </c>
      <c r="C18" s="38" t="str">
        <f>D18+K18</f>
        <v>#ERROR!</v>
      </c>
      <c r="D18" s="40">
        <f>SUM(E18:J18)</f>
        <v>1480449370</v>
      </c>
      <c r="E18" s="41">
        <f>SUMIF('①농산물raw'!$A$6:$A$445,E$17,'①농산물raw'!$G$6:$G$445)</f>
        <v>0</v>
      </c>
      <c r="F18" s="41">
        <f>SUMIF('①농산물raw'!$A$6:$A$445,F$17,'①농산물raw'!$G$6:$G$445)</f>
        <v>1348440770</v>
      </c>
      <c r="G18" s="41">
        <f>SUMIF('①농산물raw'!$A$6:$A$445,G$17,'①농산물raw'!$G$6:$G$445)</f>
        <v>132008600</v>
      </c>
      <c r="H18" s="41">
        <f>SUMIF('①농산물raw'!$A$6:$A$445,H$17,'①농산물raw'!$G$6:$G$445)</f>
        <v>0</v>
      </c>
      <c r="I18" s="41">
        <f>SUMIF('①농산물raw'!$A$6:$A$445,I$17,'①농산물raw'!$G$6:$G$445)</f>
        <v>0</v>
      </c>
      <c r="J18" s="41">
        <f>SUMIF('①농산물raw'!$A$6:$A$445,J$17,'①농산물raw'!$G$6:$G$445)</f>
        <v>0</v>
      </c>
      <c r="K18" s="43" t="str">
        <f>SUM(L18:M18)</f>
        <v>#ERROR!</v>
      </c>
      <c r="L18" s="41" t="str">
        <f>SUMIF(②유기농raw!#REF!,L$17,②유기농raw!#REF!)</f>
        <v>#ERROR!</v>
      </c>
      <c r="M18" s="41" t="str">
        <f>SUMIF(②유기농raw!#REF!,M$17,②유기농raw!#REF!)</f>
        <v>#ERROR!</v>
      </c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7.25" customHeight="1">
      <c r="A20" s="1"/>
      <c r="B20" s="11" t="s">
        <v>236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7.25" customHeight="1">
      <c r="A21" s="1"/>
      <c r="B21" s="15" t="s">
        <v>5</v>
      </c>
      <c r="C21" s="15" t="s">
        <v>10</v>
      </c>
      <c r="D21" s="19" t="s">
        <v>11</v>
      </c>
      <c r="E21" s="20"/>
      <c r="F21" s="20"/>
      <c r="G21" s="20"/>
      <c r="H21" s="20"/>
      <c r="I21" s="20"/>
      <c r="J21" s="23"/>
      <c r="K21" s="27" t="s">
        <v>15</v>
      </c>
      <c r="L21" s="20"/>
      <c r="M21" s="23"/>
    </row>
    <row r="22" ht="17.25" customHeight="1">
      <c r="A22" s="1"/>
      <c r="B22" s="30"/>
      <c r="C22" s="30"/>
      <c r="D22" s="32" t="s">
        <v>24</v>
      </c>
      <c r="E22" s="32" t="s">
        <v>25</v>
      </c>
      <c r="F22" s="32" t="s">
        <v>26</v>
      </c>
      <c r="G22" s="32" t="s">
        <v>27</v>
      </c>
      <c r="H22" s="32" t="s">
        <v>28</v>
      </c>
      <c r="I22" s="32" t="s">
        <v>29</v>
      </c>
      <c r="J22" s="32" t="s">
        <v>21</v>
      </c>
      <c r="K22" s="35" t="s">
        <v>24</v>
      </c>
      <c r="L22" s="35" t="s">
        <v>25</v>
      </c>
      <c r="M22" s="35" t="s">
        <v>21</v>
      </c>
    </row>
    <row r="23" ht="17.25" customHeight="1">
      <c r="A23" s="1"/>
      <c r="B23" s="36" t="s">
        <v>9</v>
      </c>
      <c r="C23" s="38" t="str">
        <f>D23+K23</f>
        <v>#ERROR!</v>
      </c>
      <c r="D23" s="40">
        <f>SUM(E23:J23)</f>
        <v>73605</v>
      </c>
      <c r="E23" s="41">
        <f>SUMIF('①농산물raw'!$A$6:$A$445,E$22,'①농산물raw'!$F$6:$F$445)</f>
        <v>0</v>
      </c>
      <c r="F23" s="41">
        <f>SUMIF('①농산물raw'!$A$6:$A$445,F$22,'①농산물raw'!$F$6:$F$445)</f>
        <v>68093</v>
      </c>
      <c r="G23" s="41">
        <f>SUMIF('①농산물raw'!$A$6:$A$445,G$22,'①농산물raw'!$F$6:$F$445)</f>
        <v>5512</v>
      </c>
      <c r="H23" s="41">
        <f>SUMIF('①농산물raw'!$A$6:$A$445,H$22,'①농산물raw'!$F$6:$F$445)</f>
        <v>0</v>
      </c>
      <c r="I23" s="41">
        <f>SUMIF('①농산물raw'!$A$6:$A$445,I$22,'①농산물raw'!$F$6:$F$445)</f>
        <v>0</v>
      </c>
      <c r="J23" s="41">
        <f>SUMIF('①농산물raw'!$A$6:$A$445,J$22,'①농산물raw'!$F$6:$F$445)</f>
        <v>0</v>
      </c>
      <c r="K23" s="43" t="str">
        <f>SUM(L23:M23)</f>
        <v>#ERROR!</v>
      </c>
      <c r="L23" s="41" t="str">
        <f>SUMIF(②유기농raw!#REF!,L$22,②유기농raw!#REF!)</f>
        <v>#ERROR!</v>
      </c>
      <c r="M23" s="41" t="str">
        <f>SUMIF(②유기농raw!#REF!,M$22,②유기농raw!#REF!)</f>
        <v>#ERROR!</v>
      </c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7.25" customHeight="1">
      <c r="A25" s="1"/>
      <c r="B25" s="11" t="s">
        <v>328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7.25" customHeight="1">
      <c r="A26" s="1"/>
      <c r="B26" s="15" t="s">
        <v>5</v>
      </c>
      <c r="C26" s="15" t="s">
        <v>10</v>
      </c>
      <c r="D26" s="19" t="s">
        <v>11</v>
      </c>
      <c r="E26" s="20"/>
      <c r="F26" s="20"/>
      <c r="G26" s="20"/>
      <c r="H26" s="20"/>
      <c r="I26" s="20"/>
      <c r="J26" s="23"/>
      <c r="K26" s="27" t="s">
        <v>15</v>
      </c>
      <c r="L26" s="20"/>
      <c r="M26" s="23"/>
    </row>
    <row r="27" ht="17.25" customHeight="1">
      <c r="A27" s="1"/>
      <c r="B27" s="30"/>
      <c r="C27" s="30"/>
      <c r="D27" s="32" t="s">
        <v>24</v>
      </c>
      <c r="E27" s="32" t="s">
        <v>25</v>
      </c>
      <c r="F27" s="32" t="s">
        <v>26</v>
      </c>
      <c r="G27" s="32" t="s">
        <v>27</v>
      </c>
      <c r="H27" s="32" t="s">
        <v>28</v>
      </c>
      <c r="I27" s="32" t="s">
        <v>29</v>
      </c>
      <c r="J27" s="32" t="s">
        <v>21</v>
      </c>
      <c r="K27" s="35" t="s">
        <v>24</v>
      </c>
      <c r="L27" s="35" t="s">
        <v>25</v>
      </c>
      <c r="M27" s="35" t="s">
        <v>21</v>
      </c>
    </row>
    <row r="28" ht="17.25" customHeight="1">
      <c r="A28" s="1"/>
      <c r="B28" s="36" t="s">
        <v>10</v>
      </c>
      <c r="C28" s="38" t="str">
        <f t="shared" ref="C28:C31" si="5">D28+K28</f>
        <v>#ERROR!</v>
      </c>
      <c r="D28" s="40">
        <f t="shared" ref="D28:D31" si="6">SUM(E28:J28)</f>
        <v>98962900</v>
      </c>
      <c r="E28" s="41">
        <f t="shared" ref="E28:J28" si="3">SUM(E29:E31)</f>
        <v>0</v>
      </c>
      <c r="F28" s="41">
        <f t="shared" si="3"/>
        <v>76647920</v>
      </c>
      <c r="G28" s="41">
        <f t="shared" si="3"/>
        <v>22314980</v>
      </c>
      <c r="H28" s="41">
        <f t="shared" si="3"/>
        <v>0</v>
      </c>
      <c r="I28" s="41">
        <f t="shared" si="3"/>
        <v>0</v>
      </c>
      <c r="J28" s="41">
        <f t="shared" si="3"/>
        <v>0</v>
      </c>
      <c r="K28" s="43" t="str">
        <f t="shared" ref="K28:K31" si="7">SUM(L28:M28)</f>
        <v>#ERROR!</v>
      </c>
      <c r="L28" s="41" t="str">
        <f t="shared" ref="L28:M28" si="4">SUM(L29:L31)</f>
        <v>#ERROR!</v>
      </c>
      <c r="M28" s="41" t="str">
        <f t="shared" si="4"/>
        <v>#ERROR!</v>
      </c>
    </row>
    <row r="29" ht="17.25" customHeight="1">
      <c r="A29" s="1"/>
      <c r="B29" s="53" t="s">
        <v>91</v>
      </c>
      <c r="C29" s="38" t="str">
        <f t="shared" si="5"/>
        <v>#ERROR!</v>
      </c>
      <c r="D29" s="40">
        <f t="shared" si="6"/>
        <v>49729610</v>
      </c>
      <c r="E29" s="41">
        <f>SUMIFS('①농산물raw'!$H$6:$H$445,'①농산물raw'!$A$6:$A$445,E$27,'①농산물raw'!$B$6:$B$445,$B29)</f>
        <v>0</v>
      </c>
      <c r="F29" s="41">
        <f>SUMIFS('①농산물raw'!$H$6:$H$445,'①농산물raw'!$A$6:$A$445,F$27,'①농산물raw'!$B$6:$B$445,$B29)</f>
        <v>40365730</v>
      </c>
      <c r="G29" s="41">
        <f>SUMIFS('①농산물raw'!$H$6:$H$445,'①농산물raw'!$A$6:$A$445,G$27,'①농산물raw'!$B$6:$B$445,$B29)</f>
        <v>9363880</v>
      </c>
      <c r="H29" s="41">
        <f>SUMIFS('①농산물raw'!$H$6:$H$445,'①농산물raw'!$A$6:$A$445,H$27,'①농산물raw'!$B$6:$B$445,$B29)</f>
        <v>0</v>
      </c>
      <c r="I29" s="41">
        <f>SUMIFS('①농산물raw'!$H$6:$H$445,'①농산물raw'!$A$6:$A$445,I$27,'①농산물raw'!$B$6:$B$445,$B29)</f>
        <v>0</v>
      </c>
      <c r="J29" s="41">
        <f>SUMIFS('①농산물raw'!$H$6:$H$445,'①농산물raw'!$A$6:$A$445,J$27,'①농산물raw'!$B$6:$B$445,$B29)</f>
        <v>0</v>
      </c>
      <c r="K29" s="43" t="str">
        <f t="shared" si="7"/>
        <v>#ERROR!</v>
      </c>
      <c r="L29" s="41" t="str">
        <f>SUMIFS(②유기농raw!#REF!,②유기농raw!#REF!,L$27,②유기농raw!#REF!,$B29)</f>
        <v>#ERROR!</v>
      </c>
      <c r="M29" s="41" t="str">
        <f>SUMIFS(②유기농raw!#REF!,②유기농raw!#REF!,M$27,②유기농raw!#REF!,$B29)</f>
        <v>#ERROR!</v>
      </c>
    </row>
    <row r="30" ht="17.25" customHeight="1">
      <c r="A30" s="1"/>
      <c r="B30" s="53" t="s">
        <v>99</v>
      </c>
      <c r="C30" s="38" t="str">
        <f t="shared" si="5"/>
        <v>#ERROR!</v>
      </c>
      <c r="D30" s="40">
        <f t="shared" si="6"/>
        <v>15309010</v>
      </c>
      <c r="E30" s="41">
        <f>SUMIFS('①농산물raw'!$H$6:$H$445,'①농산물raw'!$A$6:$A$445,E$27,'①농산물raw'!$B$6:$B$445,$B30)</f>
        <v>0</v>
      </c>
      <c r="F30" s="41">
        <f>SUMIFS('①농산물raw'!$H$6:$H$445,'①농산물raw'!$A$6:$A$445,F$27,'①농산물raw'!$B$6:$B$445,$B30)</f>
        <v>9906730</v>
      </c>
      <c r="G30" s="41">
        <f>SUMIFS('①농산물raw'!$H$6:$H$445,'①농산물raw'!$A$6:$A$445,G$27,'①농산물raw'!$B$6:$B$445,$B30)</f>
        <v>5402280</v>
      </c>
      <c r="H30" s="41">
        <f>SUMIFS('①농산물raw'!$H$6:$H$445,'①농산물raw'!$A$6:$A$445,H$27,'①농산물raw'!$B$6:$B$445,$B30)</f>
        <v>0</v>
      </c>
      <c r="I30" s="41">
        <f>SUMIFS('①농산물raw'!$H$6:$H$445,'①농산물raw'!$A$6:$A$445,I$27,'①농산물raw'!$B$6:$B$445,$B30)</f>
        <v>0</v>
      </c>
      <c r="J30" s="41">
        <f>SUMIFS('①농산물raw'!$H$6:$H$445,'①농산물raw'!$A$6:$A$445,J$27,'①농산물raw'!$B$6:$B$445,$B30)</f>
        <v>0</v>
      </c>
      <c r="K30" s="43" t="str">
        <f t="shared" si="7"/>
        <v>#ERROR!</v>
      </c>
      <c r="L30" s="41" t="str">
        <f>SUMIFS(②유기농raw!#REF!,②유기농raw!#REF!,L$27,②유기농raw!#REF!,$B30)</f>
        <v>#ERROR!</v>
      </c>
      <c r="M30" s="41" t="str">
        <f>SUMIFS(②유기농raw!#REF!,②유기농raw!#REF!,M$27,②유기농raw!#REF!,$B30)</f>
        <v>#ERROR!</v>
      </c>
    </row>
    <row r="31" ht="17.25" customHeight="1">
      <c r="A31" s="1"/>
      <c r="B31" s="53" t="s">
        <v>63</v>
      </c>
      <c r="C31" s="38" t="str">
        <f t="shared" si="5"/>
        <v>#ERROR!</v>
      </c>
      <c r="D31" s="40">
        <f t="shared" si="6"/>
        <v>33924280</v>
      </c>
      <c r="E31" s="41">
        <f>SUMIFS('①농산물raw'!$H$6:$H$445,'①농산물raw'!$A$6:$A$445,E$27,'①농산물raw'!$B$6:$B$445,$B31)</f>
        <v>0</v>
      </c>
      <c r="F31" s="41">
        <f>SUMIFS('①농산물raw'!$H$6:$H$445,'①농산물raw'!$A$6:$A$445,F$27,'①농산물raw'!$B$6:$B$445,$B31)</f>
        <v>26375460</v>
      </c>
      <c r="G31" s="41">
        <f>SUMIFS('①농산물raw'!$H$6:$H$445,'①농산물raw'!$A$6:$A$445,G$27,'①농산물raw'!$B$6:$B$445,$B31)</f>
        <v>7548820</v>
      </c>
      <c r="H31" s="41">
        <f>SUMIFS('①농산물raw'!$H$6:$H$445,'①농산물raw'!$A$6:$A$445,H$27,'①농산물raw'!$B$6:$B$445,$B31)</f>
        <v>0</v>
      </c>
      <c r="I31" s="41">
        <f>SUMIFS('①농산물raw'!$H$6:$H$445,'①농산물raw'!$A$6:$A$445,I$27,'①농산물raw'!$B$6:$B$445,$B31)</f>
        <v>0</v>
      </c>
      <c r="J31" s="41">
        <f>SUMIFS('①농산물raw'!$H$6:$H$445,'①농산물raw'!$A$6:$A$445,J$27,'①농산물raw'!$B$6:$B$445,$B31)</f>
        <v>0</v>
      </c>
      <c r="K31" s="43" t="str">
        <f t="shared" si="7"/>
        <v>#ERROR!</v>
      </c>
      <c r="L31" s="41" t="str">
        <f>SUMIFS(②유기농raw!#REF!,②유기농raw!#REF!,L$27,②유기농raw!#REF!,$B31)</f>
        <v>#ERROR!</v>
      </c>
      <c r="M31" s="41" t="str">
        <f>SUMIFS(②유기농raw!#REF!,②유기농raw!#REF!,M$27,②유기농raw!#REF!,$B31)</f>
        <v>#ERROR!</v>
      </c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7.25" customHeight="1">
      <c r="A33" s="1"/>
      <c r="B33" s="11" t="s">
        <v>664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7.25" customHeight="1">
      <c r="A34" s="1"/>
      <c r="B34" s="15" t="s">
        <v>5</v>
      </c>
      <c r="C34" s="15" t="s">
        <v>10</v>
      </c>
      <c r="D34" s="19" t="s">
        <v>11</v>
      </c>
      <c r="E34" s="20"/>
      <c r="F34" s="20"/>
      <c r="G34" s="20"/>
      <c r="H34" s="20"/>
      <c r="I34" s="20"/>
      <c r="J34" s="23"/>
      <c r="K34" s="27" t="s">
        <v>15</v>
      </c>
      <c r="L34" s="20"/>
      <c r="M34" s="23"/>
    </row>
    <row r="35" ht="17.25" customHeight="1">
      <c r="A35" s="1"/>
      <c r="B35" s="30"/>
      <c r="C35" s="30"/>
      <c r="D35" s="32" t="s">
        <v>24</v>
      </c>
      <c r="E35" s="32" t="s">
        <v>25</v>
      </c>
      <c r="F35" s="32" t="s">
        <v>26</v>
      </c>
      <c r="G35" s="32" t="s">
        <v>27</v>
      </c>
      <c r="H35" s="32" t="s">
        <v>28</v>
      </c>
      <c r="I35" s="32" t="s">
        <v>29</v>
      </c>
      <c r="J35" s="32" t="s">
        <v>21</v>
      </c>
      <c r="K35" s="35" t="s">
        <v>24</v>
      </c>
      <c r="L35" s="35" t="s">
        <v>25</v>
      </c>
      <c r="M35" s="35" t="s">
        <v>21</v>
      </c>
    </row>
    <row r="36" ht="17.25" customHeight="1">
      <c r="A36" s="1"/>
      <c r="B36" s="36" t="s">
        <v>10</v>
      </c>
      <c r="C36" s="38" t="str">
        <f t="shared" ref="C36:C39" si="10">D36+K36</f>
        <v>#ERROR!</v>
      </c>
      <c r="D36" s="40">
        <f t="shared" ref="D36:D39" si="11">SUM(E36:J36)</f>
        <v>1480449370</v>
      </c>
      <c r="E36" s="41">
        <f t="shared" ref="E36:J36" si="8">SUM(E37:E39)</f>
        <v>0</v>
      </c>
      <c r="F36" s="41">
        <f t="shared" si="8"/>
        <v>1348440770</v>
      </c>
      <c r="G36" s="41">
        <f t="shared" si="8"/>
        <v>132008600</v>
      </c>
      <c r="H36" s="41">
        <f t="shared" si="8"/>
        <v>0</v>
      </c>
      <c r="I36" s="41">
        <f t="shared" si="8"/>
        <v>0</v>
      </c>
      <c r="J36" s="41">
        <f t="shared" si="8"/>
        <v>0</v>
      </c>
      <c r="K36" s="43" t="str">
        <f t="shared" ref="K36:K39" si="12">SUM(L36:M36)</f>
        <v>#ERROR!</v>
      </c>
      <c r="L36" s="41" t="str">
        <f t="shared" ref="L36:M36" si="9">SUM(L37:L39)</f>
        <v>#ERROR!</v>
      </c>
      <c r="M36" s="41" t="str">
        <f t="shared" si="9"/>
        <v>#ERROR!</v>
      </c>
    </row>
    <row r="37" ht="17.25" customHeight="1">
      <c r="A37" s="1"/>
      <c r="B37" s="53" t="s">
        <v>91</v>
      </c>
      <c r="C37" s="38" t="str">
        <f t="shared" si="10"/>
        <v>#ERROR!</v>
      </c>
      <c r="D37" s="40">
        <f t="shared" si="11"/>
        <v>648042030</v>
      </c>
      <c r="E37" s="41">
        <f>SUMIFS('①농산물raw'!$G$6:$G$445,'①농산물raw'!$A$6:$A$445,E$35,'①농산물raw'!$B$6:$B$445,$B37)</f>
        <v>0</v>
      </c>
      <c r="F37" s="41">
        <f>SUMIFS('①농산물raw'!$G$6:$G$445,'①농산물raw'!$A$6:$A$445,F$35,'①농산물raw'!$B$6:$B$445,$B37)</f>
        <v>597566830</v>
      </c>
      <c r="G37" s="41">
        <f>SUMIFS('①농산물raw'!$G$6:$G$445,'①농산물raw'!$A$6:$A$445,G$35,'①농산물raw'!$B$6:$B$445,$B37)</f>
        <v>50475200</v>
      </c>
      <c r="H37" s="41">
        <f>SUMIFS('①농산물raw'!$G$6:$G$445,'①농산물raw'!$A$6:$A$445,H$35,'①농산물raw'!$B$6:$B$445,$B37)</f>
        <v>0</v>
      </c>
      <c r="I37" s="41">
        <f>SUMIFS('①농산물raw'!$G$6:$G$445,'①농산물raw'!$A$6:$A$445,I$35,'①농산물raw'!$B$6:$B$445,$B37)</f>
        <v>0</v>
      </c>
      <c r="J37" s="41">
        <f>SUMIFS('①농산물raw'!$G$6:$G$445,'①농산물raw'!$A$6:$A$445,J$35,'①농산물raw'!$B$6:$B$445,$B37)</f>
        <v>0</v>
      </c>
      <c r="K37" s="43" t="str">
        <f t="shared" si="12"/>
        <v>#ERROR!</v>
      </c>
      <c r="L37" s="41" t="str">
        <f>SUMIFS(②유기농raw!#REF!,②유기농raw!#REF!,L$35,②유기농raw!#REF!,$B37)</f>
        <v>#ERROR!</v>
      </c>
      <c r="M37" s="41" t="str">
        <f>SUMIFS(②유기농raw!#REF!,②유기농raw!#REF!,M$35,②유기농raw!#REF!,$B37)</f>
        <v>#ERROR!</v>
      </c>
    </row>
    <row r="38" ht="17.25" customHeight="1">
      <c r="A38" s="1"/>
      <c r="B38" s="53" t="s">
        <v>99</v>
      </c>
      <c r="C38" s="38" t="str">
        <f t="shared" si="10"/>
        <v>#ERROR!</v>
      </c>
      <c r="D38" s="40">
        <f t="shared" si="11"/>
        <v>154808000</v>
      </c>
      <c r="E38" s="41">
        <f>SUMIFS('①농산물raw'!$G$6:$G$445,'①농산물raw'!$A$6:$A$445,E$35,'①농산물raw'!$B$6:$B$445,$B38)</f>
        <v>0</v>
      </c>
      <c r="F38" s="41">
        <f>SUMIFS('①농산물raw'!$G$6:$G$445,'①농산물raw'!$A$6:$A$445,F$35,'①농산물raw'!$B$6:$B$445,$B38)</f>
        <v>115183100</v>
      </c>
      <c r="G38" s="41">
        <f>SUMIFS('①농산물raw'!$G$6:$G$445,'①농산물raw'!$A$6:$A$445,G$35,'①농산물raw'!$B$6:$B$445,$B38)</f>
        <v>39624900</v>
      </c>
      <c r="H38" s="41">
        <f>SUMIFS('①농산물raw'!$G$6:$G$445,'①농산물raw'!$A$6:$A$445,H$35,'①농산물raw'!$B$6:$B$445,$B38)</f>
        <v>0</v>
      </c>
      <c r="I38" s="41">
        <f>SUMIFS('①농산물raw'!$G$6:$G$445,'①농산물raw'!$A$6:$A$445,I$35,'①농산물raw'!$B$6:$B$445,$B38)</f>
        <v>0</v>
      </c>
      <c r="J38" s="41">
        <f>SUMIFS('①농산물raw'!$G$6:$G$445,'①농산물raw'!$A$6:$A$445,J$35,'①농산물raw'!$B$6:$B$445,$B38)</f>
        <v>0</v>
      </c>
      <c r="K38" s="43" t="str">
        <f t="shared" si="12"/>
        <v>#ERROR!</v>
      </c>
      <c r="L38" s="41" t="str">
        <f>SUMIFS(②유기농raw!#REF!,②유기농raw!#REF!,L$35,②유기농raw!#REF!,$B38)</f>
        <v>#ERROR!</v>
      </c>
      <c r="M38" s="41" t="str">
        <f>SUMIFS(②유기농raw!#REF!,②유기농raw!#REF!,M$35,②유기농raw!#REF!,$B38)</f>
        <v>#ERROR!</v>
      </c>
    </row>
    <row r="39" ht="17.25" customHeight="1">
      <c r="A39" s="1"/>
      <c r="B39" s="53" t="s">
        <v>63</v>
      </c>
      <c r="C39" s="38" t="str">
        <f t="shared" si="10"/>
        <v>#ERROR!</v>
      </c>
      <c r="D39" s="40">
        <f t="shared" si="11"/>
        <v>677599340</v>
      </c>
      <c r="E39" s="41">
        <f>SUMIFS('①농산물raw'!$G$6:$G$445,'①농산물raw'!$A$6:$A$445,E$35,'①농산물raw'!$B$6:$B$445,$B39)</f>
        <v>0</v>
      </c>
      <c r="F39" s="41">
        <f>SUMIFS('①농산물raw'!$G$6:$G$445,'①농산물raw'!$A$6:$A$445,F$35,'①농산물raw'!$B$6:$B$445,$B39)</f>
        <v>635690840</v>
      </c>
      <c r="G39" s="41">
        <f>SUMIFS('①농산물raw'!$G$6:$G$445,'①농산물raw'!$A$6:$A$445,G$35,'①농산물raw'!$B$6:$B$445,$B39)</f>
        <v>41908500</v>
      </c>
      <c r="H39" s="41">
        <f>SUMIFS('①농산물raw'!$G$6:$G$445,'①농산물raw'!$A$6:$A$445,H$35,'①농산물raw'!$B$6:$B$445,$B39)</f>
        <v>0</v>
      </c>
      <c r="I39" s="41">
        <f>SUMIFS('①농산물raw'!$G$6:$G$445,'①농산물raw'!$A$6:$A$445,I$35,'①농산물raw'!$B$6:$B$445,$B39)</f>
        <v>0</v>
      </c>
      <c r="J39" s="41">
        <f>SUMIFS('①농산물raw'!$G$6:$G$445,'①농산물raw'!$A$6:$A$445,J$35,'①농산물raw'!$B$6:$B$445,$B39)</f>
        <v>0</v>
      </c>
      <c r="K39" s="43" t="str">
        <f t="shared" si="12"/>
        <v>#ERROR!</v>
      </c>
      <c r="L39" s="41" t="str">
        <f>SUMIFS(②유기농raw!#REF!,②유기농raw!#REF!,L$35,②유기농raw!#REF!,$B39)</f>
        <v>#ERROR!</v>
      </c>
      <c r="M39" s="41" t="str">
        <f>SUMIFS(②유기농raw!#REF!,②유기농raw!#REF!,M$35,②유기농raw!#REF!,$B39)</f>
        <v>#ERROR!</v>
      </c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7.25" customHeight="1">
      <c r="A41" s="1"/>
      <c r="B41" s="11" t="s">
        <v>966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7.25" customHeight="1">
      <c r="A42" s="1"/>
      <c r="B42" s="15" t="s">
        <v>5</v>
      </c>
      <c r="C42" s="15" t="s">
        <v>10</v>
      </c>
      <c r="D42" s="19" t="s">
        <v>11</v>
      </c>
      <c r="E42" s="20"/>
      <c r="F42" s="20"/>
      <c r="G42" s="20"/>
      <c r="H42" s="20"/>
      <c r="I42" s="20"/>
      <c r="J42" s="23"/>
      <c r="K42" s="27" t="s">
        <v>15</v>
      </c>
      <c r="L42" s="20"/>
      <c r="M42" s="23"/>
    </row>
    <row r="43" ht="17.25" customHeight="1">
      <c r="A43" s="1"/>
      <c r="B43" s="30"/>
      <c r="C43" s="30"/>
      <c r="D43" s="32" t="s">
        <v>24</v>
      </c>
      <c r="E43" s="32" t="s">
        <v>25</v>
      </c>
      <c r="F43" s="32" t="s">
        <v>26</v>
      </c>
      <c r="G43" s="32" t="s">
        <v>27</v>
      </c>
      <c r="H43" s="32" t="s">
        <v>28</v>
      </c>
      <c r="I43" s="32" t="s">
        <v>29</v>
      </c>
      <c r="J43" s="32" t="s">
        <v>21</v>
      </c>
      <c r="K43" s="35" t="s">
        <v>24</v>
      </c>
      <c r="L43" s="35" t="s">
        <v>25</v>
      </c>
      <c r="M43" s="35" t="s">
        <v>21</v>
      </c>
    </row>
    <row r="44" ht="17.25" customHeight="1">
      <c r="A44" s="1"/>
      <c r="B44" s="36" t="s">
        <v>10</v>
      </c>
      <c r="C44" s="38" t="str">
        <f t="shared" ref="C44:C47" si="15">D44+K44</f>
        <v>#ERROR!</v>
      </c>
      <c r="D44" s="40">
        <f t="shared" ref="D44:D47" si="16">SUM(E44:J44)</f>
        <v>73605</v>
      </c>
      <c r="E44" s="41">
        <f t="shared" ref="E44:J44" si="13">SUM(E45:E47)</f>
        <v>0</v>
      </c>
      <c r="F44" s="41">
        <f t="shared" si="13"/>
        <v>68093</v>
      </c>
      <c r="G44" s="41">
        <f t="shared" si="13"/>
        <v>5512</v>
      </c>
      <c r="H44" s="41">
        <f t="shared" si="13"/>
        <v>0</v>
      </c>
      <c r="I44" s="41">
        <f t="shared" si="13"/>
        <v>0</v>
      </c>
      <c r="J44" s="41">
        <f t="shared" si="13"/>
        <v>0</v>
      </c>
      <c r="K44" s="43" t="str">
        <f t="shared" ref="K44:K47" si="17">SUM(L44:M44)</f>
        <v>#ERROR!</v>
      </c>
      <c r="L44" s="41" t="str">
        <f t="shared" ref="L44:M44" si="14">SUM(L45:L47)</f>
        <v>#ERROR!</v>
      </c>
      <c r="M44" s="41" t="str">
        <f t="shared" si="14"/>
        <v>#ERROR!</v>
      </c>
    </row>
    <row r="45" ht="17.25" customHeight="1">
      <c r="A45" s="1"/>
      <c r="B45" s="53" t="s">
        <v>91</v>
      </c>
      <c r="C45" s="38" t="str">
        <f t="shared" si="15"/>
        <v>#ERROR!</v>
      </c>
      <c r="D45" s="40">
        <f t="shared" si="16"/>
        <v>29436</v>
      </c>
      <c r="E45" s="41">
        <f>SUMIFS('①농산물raw'!$F$6:$F$445,'①농산물raw'!$A$6:$A$445,E$43,'①농산물raw'!$B$6:$B$445,$B45)</f>
        <v>0</v>
      </c>
      <c r="F45" s="41">
        <f>SUMIFS('①농산물raw'!$F$6:$F$445,'①농산물raw'!$A$6:$A$445,F$43,'①농산물raw'!$B$6:$B$445,$B45)</f>
        <v>26688</v>
      </c>
      <c r="G45" s="41">
        <f>SUMIFS('①농산물raw'!$F$6:$F$445,'①농산물raw'!$A$6:$A$445,G$43,'①농산물raw'!$B$6:$B$445,$B45)</f>
        <v>2748</v>
      </c>
      <c r="H45" s="41">
        <f>SUMIFS('①농산물raw'!$F$6:$F$445,'①농산물raw'!$A$6:$A$445,H$43,'①농산물raw'!$B$6:$B$445,$B45)</f>
        <v>0</v>
      </c>
      <c r="I45" s="41">
        <f>SUMIFS('①농산물raw'!$F$6:$F$445,'①농산물raw'!$A$6:$A$445,I$43,'①농산물raw'!$B$6:$B$445,$B45)</f>
        <v>0</v>
      </c>
      <c r="J45" s="41">
        <f>SUMIFS('①농산물raw'!$F$6:$F$445,'①농산물raw'!$A$6:$A$445,J$43,'①농산물raw'!$B$6:$B$445,$B45)</f>
        <v>0</v>
      </c>
      <c r="K45" s="43" t="str">
        <f t="shared" si="17"/>
        <v>#ERROR!</v>
      </c>
      <c r="L45" s="41" t="str">
        <f>SUMIFS(②유기농raw!#REF!,②유기농raw!#REF!,L$43,②유기농raw!#REF!,$B45)</f>
        <v>#ERROR!</v>
      </c>
      <c r="M45" s="41" t="str">
        <f>SUMIFS(②유기농raw!#REF!,②유기농raw!#REF!,M$43,②유기농raw!#REF!,$B45)</f>
        <v>#ERROR!</v>
      </c>
    </row>
    <row r="46" ht="17.25" customHeight="1">
      <c r="A46" s="1"/>
      <c r="B46" s="53" t="s">
        <v>99</v>
      </c>
      <c r="C46" s="38" t="str">
        <f t="shared" si="15"/>
        <v>#ERROR!</v>
      </c>
      <c r="D46" s="40">
        <f t="shared" si="16"/>
        <v>5469</v>
      </c>
      <c r="E46" s="41">
        <f>SUMIFS('①농산물raw'!$F$6:$F$445,'①농산물raw'!$A$6:$A$445,E$43,'①농산물raw'!$B$6:$B$445,$B46)</f>
        <v>0</v>
      </c>
      <c r="F46" s="41">
        <f>SUMIFS('①농산물raw'!$F$6:$F$445,'①농산물raw'!$A$6:$A$445,F$43,'①농산물raw'!$B$6:$B$445,$B46)</f>
        <v>4664</v>
      </c>
      <c r="G46" s="41">
        <f>SUMIFS('①농산물raw'!$F$6:$F$445,'①농산물raw'!$A$6:$A$445,G$43,'①농산물raw'!$B$6:$B$445,$B46)</f>
        <v>805</v>
      </c>
      <c r="H46" s="41">
        <f>SUMIFS('①농산물raw'!$F$6:$F$445,'①농산물raw'!$A$6:$A$445,H$43,'①농산물raw'!$B$6:$B$445,$B46)</f>
        <v>0</v>
      </c>
      <c r="I46" s="41">
        <f>SUMIFS('①농산물raw'!$F$6:$F$445,'①농산물raw'!$A$6:$A$445,I$43,'①농산물raw'!$B$6:$B$445,$B46)</f>
        <v>0</v>
      </c>
      <c r="J46" s="41">
        <f>SUMIFS('①농산물raw'!$F$6:$F$445,'①농산물raw'!$A$6:$A$445,J$43,'①농산물raw'!$B$6:$B$445,$B46)</f>
        <v>0</v>
      </c>
      <c r="K46" s="43" t="str">
        <f t="shared" si="17"/>
        <v>#ERROR!</v>
      </c>
      <c r="L46" s="41" t="str">
        <f>SUMIFS(②유기농raw!#REF!,②유기농raw!#REF!,L$43,②유기농raw!#REF!,$B46)</f>
        <v>#ERROR!</v>
      </c>
      <c r="M46" s="41" t="str">
        <f>SUMIFS(②유기농raw!#REF!,②유기농raw!#REF!,M$43,②유기농raw!#REF!,$B46)</f>
        <v>#ERROR!</v>
      </c>
    </row>
    <row r="47" ht="17.25" customHeight="1">
      <c r="A47" s="1"/>
      <c r="B47" s="53" t="s">
        <v>63</v>
      </c>
      <c r="C47" s="38" t="str">
        <f t="shared" si="15"/>
        <v>#ERROR!</v>
      </c>
      <c r="D47" s="40">
        <f t="shared" si="16"/>
        <v>38700</v>
      </c>
      <c r="E47" s="41">
        <f>SUMIFS('①농산물raw'!$F$6:$F$445,'①농산물raw'!$A$6:$A$445,E$43,'①농산물raw'!$B$6:$B$445,$B47)</f>
        <v>0</v>
      </c>
      <c r="F47" s="41">
        <f>SUMIFS('①농산물raw'!$F$6:$F$445,'①농산물raw'!$A$6:$A$445,F$43,'①농산물raw'!$B$6:$B$445,$B47)</f>
        <v>36741</v>
      </c>
      <c r="G47" s="41">
        <f>SUMIFS('①농산물raw'!$F$6:$F$445,'①농산물raw'!$A$6:$A$445,G$43,'①농산물raw'!$B$6:$B$445,$B47)</f>
        <v>1959</v>
      </c>
      <c r="H47" s="41">
        <f>SUMIFS('①농산물raw'!$F$6:$F$445,'①농산물raw'!$A$6:$A$445,H$43,'①농산물raw'!$B$6:$B$445,$B47)</f>
        <v>0</v>
      </c>
      <c r="I47" s="41">
        <f>SUMIFS('①농산물raw'!$F$6:$F$445,'①농산물raw'!$A$6:$A$445,I$43,'①농산물raw'!$B$6:$B$445,$B47)</f>
        <v>0</v>
      </c>
      <c r="J47" s="41">
        <f>SUMIFS('①농산물raw'!$F$6:$F$445,'①농산물raw'!$A$6:$A$445,J$43,'①농산물raw'!$B$6:$B$445,$B47)</f>
        <v>0</v>
      </c>
      <c r="K47" s="43" t="str">
        <f t="shared" si="17"/>
        <v>#ERROR!</v>
      </c>
      <c r="L47" s="41" t="str">
        <f>SUMIFS(②유기농raw!#REF!,②유기농raw!#REF!,L$43,②유기농raw!#REF!,$B47)</f>
        <v>#ERROR!</v>
      </c>
      <c r="M47" s="41" t="str">
        <f>SUMIFS(②유기농raw!#REF!,②유기농raw!#REF!,M$43,②유기농raw!#REF!,$B47)</f>
        <v>#ERROR!</v>
      </c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7.25" customHeight="1">
      <c r="A50" s="1"/>
      <c r="B50" s="5" t="s">
        <v>1226</v>
      </c>
      <c r="C50" s="6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7.25" customHeight="1">
      <c r="A52" s="1"/>
      <c r="B52" s="11" t="s">
        <v>1231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7.25" customHeight="1">
      <c r="A53" s="1"/>
      <c r="B53" s="63" t="s">
        <v>5</v>
      </c>
      <c r="C53" s="23"/>
      <c r="D53" s="36" t="s">
        <v>10</v>
      </c>
      <c r="E53" s="32" t="s">
        <v>25</v>
      </c>
      <c r="F53" s="32" t="s">
        <v>26</v>
      </c>
      <c r="G53" s="32" t="s">
        <v>27</v>
      </c>
      <c r="H53" s="32" t="s">
        <v>28</v>
      </c>
      <c r="I53" s="32" t="s">
        <v>29</v>
      </c>
      <c r="J53" s="32" t="s">
        <v>21</v>
      </c>
      <c r="K53" s="1"/>
      <c r="L53" s="1"/>
      <c r="M53" s="1"/>
    </row>
    <row r="54" ht="17.25" customHeight="1">
      <c r="A54" s="1"/>
      <c r="B54" s="64" t="s">
        <v>57</v>
      </c>
      <c r="C54" s="53" t="s">
        <v>32</v>
      </c>
      <c r="D54" s="38">
        <f>SUMPRODUCT(--('농산물업체'!$C$3:$C$287&lt;&gt;""))</f>
        <v>285</v>
      </c>
      <c r="E54" s="41">
        <f>SUMPRODUCT(--(SUBSTITUTE('농산물업체'!$E$3:$E$287,"롯데온","롯데ON")=E$53))</f>
        <v>136</v>
      </c>
      <c r="F54" s="41">
        <f>SUMPRODUCT(--(SUBSTITUTE('농산물업체'!$E$3:$E$287,"롯데온","롯데ON")=F$53))</f>
        <v>53</v>
      </c>
      <c r="G54" s="41">
        <f>SUMPRODUCT(--(SUBSTITUTE('농산물업체'!$E$3:$E$287,"롯데온","롯데ON")=G$53))</f>
        <v>47</v>
      </c>
      <c r="H54" s="41">
        <f>SUMPRODUCT(--(SUBSTITUTE('농산물업체'!$E$3:$E$287,"롯데온","롯데ON")=H$53))</f>
        <v>24</v>
      </c>
      <c r="I54" s="41">
        <f>SUMPRODUCT(--(SUBSTITUTE('농산물업체'!$E$3:$E$287,"롯데온","롯데ON")=I$53))</f>
        <v>9</v>
      </c>
      <c r="J54" s="41">
        <f>SUMPRODUCT(--(SUBSTITUTE('농산물업체'!$E$3:$E$287,"롯데온","롯데ON")=J$53))</f>
        <v>16</v>
      </c>
      <c r="K54" s="1"/>
      <c r="L54" s="1"/>
      <c r="M54" s="1"/>
    </row>
    <row r="55" ht="17.25" customHeight="1">
      <c r="A55" s="1"/>
      <c r="B55" s="30"/>
      <c r="C55" s="53" t="s">
        <v>75</v>
      </c>
      <c r="D55" s="38">
        <f>SUM(E55:J55)</f>
        <v>440</v>
      </c>
      <c r="E55" s="41">
        <f>COUNTIF('①농산물raw'!$A$6:$A$445,E$53)</f>
        <v>0</v>
      </c>
      <c r="F55" s="41">
        <f>COUNTIF('①농산물raw'!$A$6:$A$445,F$53)</f>
        <v>298</v>
      </c>
      <c r="G55" s="41">
        <f>COUNTIF('①농산물raw'!$A$6:$A$445,G$53)</f>
        <v>142</v>
      </c>
      <c r="H55" s="41">
        <f>COUNTIF('①농산물raw'!$A$6:$A$445,H$53)</f>
        <v>0</v>
      </c>
      <c r="I55" s="41">
        <f>COUNTIF('①농산물raw'!$A$6:$A$445,I$53)</f>
        <v>0</v>
      </c>
      <c r="J55" s="41">
        <f>COUNTIF('①농산물raw'!$A$6:$A$445,J$53)</f>
        <v>0</v>
      </c>
      <c r="K55" s="1"/>
      <c r="L55" s="1"/>
      <c r="M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7.25" customHeight="1">
      <c r="A57" s="1"/>
      <c r="B57" s="11" t="s">
        <v>80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7.25" customHeight="1">
      <c r="A58" s="1"/>
      <c r="B58" s="63" t="s">
        <v>5</v>
      </c>
      <c r="C58" s="23"/>
      <c r="D58" s="36" t="s">
        <v>10</v>
      </c>
      <c r="E58" s="32" t="s">
        <v>25</v>
      </c>
      <c r="F58" s="32" t="s">
        <v>26</v>
      </c>
      <c r="G58" s="32" t="s">
        <v>27</v>
      </c>
      <c r="H58" s="32" t="s">
        <v>28</v>
      </c>
      <c r="I58" s="32" t="s">
        <v>29</v>
      </c>
      <c r="J58" s="32" t="s">
        <v>21</v>
      </c>
      <c r="K58" s="1"/>
      <c r="L58" s="1"/>
      <c r="M58" s="1"/>
    </row>
    <row r="59" ht="17.25" customHeight="1">
      <c r="A59" s="1"/>
      <c r="B59" s="63" t="s">
        <v>10</v>
      </c>
      <c r="C59" s="23"/>
      <c r="D59" s="38">
        <f t="shared" ref="D59:D62" si="19">SUM(E59:J59)</f>
        <v>98962900</v>
      </c>
      <c r="E59" s="41">
        <f t="shared" ref="E59:J59" si="18">E60</f>
        <v>0</v>
      </c>
      <c r="F59" s="41">
        <f t="shared" si="18"/>
        <v>76647920</v>
      </c>
      <c r="G59" s="41">
        <f t="shared" si="18"/>
        <v>22314980</v>
      </c>
      <c r="H59" s="41">
        <f t="shared" si="18"/>
        <v>0</v>
      </c>
      <c r="I59" s="41">
        <f t="shared" si="18"/>
        <v>0</v>
      </c>
      <c r="J59" s="41">
        <f t="shared" si="18"/>
        <v>0</v>
      </c>
      <c r="K59" s="1"/>
      <c r="L59" s="1"/>
      <c r="M59" s="1"/>
    </row>
    <row r="60" ht="17.25" customHeight="1">
      <c r="A60" s="1"/>
      <c r="B60" s="70" t="s">
        <v>57</v>
      </c>
      <c r="C60" s="23"/>
      <c r="D60" s="38">
        <f t="shared" si="19"/>
        <v>98962900</v>
      </c>
      <c r="E60" s="41">
        <f>SUMIF('①농산물raw'!$A$6:$A$445,E$58,'①농산물raw'!$H$6:$H$445)</f>
        <v>0</v>
      </c>
      <c r="F60" s="41">
        <f>SUMIF('①농산물raw'!$A$6:$A$445,F$58,'①농산물raw'!$H$6:$H$445)</f>
        <v>76647920</v>
      </c>
      <c r="G60" s="41">
        <f>SUMIF('①농산물raw'!$A$6:$A$445,G$58,'①농산물raw'!$H$6:$H$445)</f>
        <v>22314980</v>
      </c>
      <c r="H60" s="41">
        <f>SUMIF('①농산물raw'!$A$6:$A$445,H$58,'①농산물raw'!$H$6:$H$445)</f>
        <v>0</v>
      </c>
      <c r="I60" s="41">
        <f>SUMIF('①농산물raw'!$A$6:$A$445,I$58,'①농산물raw'!$H$6:$H$445)</f>
        <v>0</v>
      </c>
      <c r="J60" s="41">
        <f>SUMIF('①농산물raw'!$A$6:$A$445,J$58,'①농산물raw'!$H$6:$H$445)</f>
        <v>0</v>
      </c>
      <c r="K60" s="1"/>
      <c r="L60" s="1"/>
      <c r="M60" s="1"/>
    </row>
    <row r="61" ht="17.25" customHeight="1">
      <c r="A61" s="1"/>
      <c r="B61" s="71" t="s">
        <v>1381</v>
      </c>
      <c r="C61" s="23"/>
      <c r="D61" s="72">
        <f t="shared" si="19"/>
        <v>700000000</v>
      </c>
      <c r="E61" s="73">
        <v>2.5E8</v>
      </c>
      <c r="F61" s="73">
        <v>1.75E8</v>
      </c>
      <c r="G61" s="73">
        <v>1.15E8</v>
      </c>
      <c r="H61" s="74">
        <v>6.0E7</v>
      </c>
      <c r="I61" s="73">
        <v>4.0E7</v>
      </c>
      <c r="J61" s="73">
        <v>6.0E7</v>
      </c>
      <c r="K61" s="1"/>
      <c r="L61" s="1"/>
      <c r="M61" s="1"/>
    </row>
    <row r="62" ht="17.25" customHeight="1">
      <c r="A62" s="1"/>
      <c r="B62" s="70" t="s">
        <v>1399</v>
      </c>
      <c r="C62" s="23"/>
      <c r="D62" s="38">
        <f t="shared" si="19"/>
        <v>601037100</v>
      </c>
      <c r="E62" s="41">
        <f t="shared" ref="E62:J62" si="20">E61-E59</f>
        <v>250000000</v>
      </c>
      <c r="F62" s="41">
        <f t="shared" si="20"/>
        <v>98352080</v>
      </c>
      <c r="G62" s="41">
        <f t="shared" si="20"/>
        <v>92685020</v>
      </c>
      <c r="H62" s="41">
        <f t="shared" si="20"/>
        <v>60000000</v>
      </c>
      <c r="I62" s="41">
        <f t="shared" si="20"/>
        <v>40000000</v>
      </c>
      <c r="J62" s="41">
        <f t="shared" si="20"/>
        <v>60000000</v>
      </c>
      <c r="K62" s="1"/>
      <c r="L62" s="1"/>
      <c r="M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7.25" customHeight="1">
      <c r="A64" s="1"/>
      <c r="B64" s="11" t="s">
        <v>163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7.25" customHeight="1">
      <c r="A65" s="1"/>
      <c r="B65" s="63" t="s">
        <v>5</v>
      </c>
      <c r="C65" s="23"/>
      <c r="D65" s="36" t="s">
        <v>10</v>
      </c>
      <c r="E65" s="32" t="s">
        <v>25</v>
      </c>
      <c r="F65" s="32" t="s">
        <v>26</v>
      </c>
      <c r="G65" s="32" t="s">
        <v>27</v>
      </c>
      <c r="H65" s="32" t="s">
        <v>28</v>
      </c>
      <c r="I65" s="32" t="s">
        <v>29</v>
      </c>
      <c r="J65" s="32" t="s">
        <v>21</v>
      </c>
      <c r="K65" s="1"/>
      <c r="L65" s="1"/>
      <c r="M65" s="1"/>
    </row>
    <row r="66" ht="17.25" customHeight="1">
      <c r="A66" s="1"/>
      <c r="B66" s="63" t="s">
        <v>10</v>
      </c>
      <c r="C66" s="23"/>
      <c r="D66" s="38">
        <f t="shared" ref="D66:D67" si="22">SUM(E66:J66)</f>
        <v>1480449370</v>
      </c>
      <c r="E66" s="41">
        <f t="shared" ref="E66:J66" si="21">E67</f>
        <v>0</v>
      </c>
      <c r="F66" s="41">
        <f t="shared" si="21"/>
        <v>1348440770</v>
      </c>
      <c r="G66" s="41">
        <f t="shared" si="21"/>
        <v>132008600</v>
      </c>
      <c r="H66" s="41">
        <f t="shared" si="21"/>
        <v>0</v>
      </c>
      <c r="I66" s="41">
        <f t="shared" si="21"/>
        <v>0</v>
      </c>
      <c r="J66" s="41">
        <f t="shared" si="21"/>
        <v>0</v>
      </c>
      <c r="K66" s="1"/>
      <c r="L66" s="1"/>
      <c r="M66" s="1"/>
    </row>
    <row r="67" ht="17.25" customHeight="1">
      <c r="A67" s="1"/>
      <c r="B67" s="70" t="s">
        <v>57</v>
      </c>
      <c r="C67" s="23"/>
      <c r="D67" s="38">
        <f t="shared" si="22"/>
        <v>1480449370</v>
      </c>
      <c r="E67" s="41">
        <f>SUMIF('①농산물raw'!$A$6:$A$445,E$65,'①농산물raw'!$G$6:$G$445)</f>
        <v>0</v>
      </c>
      <c r="F67" s="41">
        <f>SUMIF('①농산물raw'!$A$6:$A$445,F$65,'①농산물raw'!$G$6:$G$445)</f>
        <v>1348440770</v>
      </c>
      <c r="G67" s="41">
        <f>SUMIF('①농산물raw'!$A$6:$A$445,G$65,'①농산물raw'!$G$6:$G$445)</f>
        <v>132008600</v>
      </c>
      <c r="H67" s="41">
        <f>SUMIF('①농산물raw'!$A$6:$A$445,H$65,'①농산물raw'!$G$6:$G$445)</f>
        <v>0</v>
      </c>
      <c r="I67" s="41">
        <f>SUMIF('①농산물raw'!$A$6:$A$445,I$65,'①농산물raw'!$G$6:$G$445)</f>
        <v>0</v>
      </c>
      <c r="J67" s="41">
        <f>SUMIF('①농산물raw'!$A$6:$A$445,J$65,'①농산물raw'!$G$6:$G$445)</f>
        <v>0</v>
      </c>
      <c r="K67" s="1"/>
      <c r="L67" s="1"/>
      <c r="M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7.25" customHeight="1">
      <c r="A69" s="1"/>
      <c r="B69" s="11" t="s">
        <v>236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7.25" customHeight="1">
      <c r="A70" s="1"/>
      <c r="B70" s="63" t="s">
        <v>5</v>
      </c>
      <c r="C70" s="23"/>
      <c r="D70" s="36" t="s">
        <v>10</v>
      </c>
      <c r="E70" s="32" t="s">
        <v>25</v>
      </c>
      <c r="F70" s="32" t="s">
        <v>26</v>
      </c>
      <c r="G70" s="32" t="s">
        <v>27</v>
      </c>
      <c r="H70" s="32" t="s">
        <v>28</v>
      </c>
      <c r="I70" s="32" t="s">
        <v>29</v>
      </c>
      <c r="J70" s="32" t="s">
        <v>21</v>
      </c>
      <c r="K70" s="1"/>
      <c r="L70" s="1"/>
      <c r="M70" s="1"/>
    </row>
    <row r="71" ht="17.25" customHeight="1">
      <c r="A71" s="1"/>
      <c r="B71" s="63" t="s">
        <v>10</v>
      </c>
      <c r="C71" s="23"/>
      <c r="D71" s="38">
        <f t="shared" ref="D71:D72" si="24">SUM(E71:J71)</f>
        <v>73605</v>
      </c>
      <c r="E71" s="41">
        <f t="shared" ref="E71:J71" si="23">E72</f>
        <v>0</v>
      </c>
      <c r="F71" s="41">
        <f t="shared" si="23"/>
        <v>68093</v>
      </c>
      <c r="G71" s="41">
        <f t="shared" si="23"/>
        <v>5512</v>
      </c>
      <c r="H71" s="41">
        <f t="shared" si="23"/>
        <v>0</v>
      </c>
      <c r="I71" s="41">
        <f t="shared" si="23"/>
        <v>0</v>
      </c>
      <c r="J71" s="41">
        <f t="shared" si="23"/>
        <v>0</v>
      </c>
      <c r="K71" s="1"/>
      <c r="L71" s="1"/>
      <c r="M71" s="1"/>
    </row>
    <row r="72" ht="17.25" customHeight="1">
      <c r="A72" s="1"/>
      <c r="B72" s="70" t="s">
        <v>57</v>
      </c>
      <c r="C72" s="23"/>
      <c r="D72" s="38">
        <f t="shared" si="24"/>
        <v>73605</v>
      </c>
      <c r="E72" s="41">
        <f>SUMIF('①농산물raw'!$A$6:$A$445,E$70,'①농산물raw'!$F$6:$F$445)</f>
        <v>0</v>
      </c>
      <c r="F72" s="41">
        <f>SUMIF('①농산물raw'!$A$6:$A$445,F$70,'①농산물raw'!$F$6:$F$445)</f>
        <v>68093</v>
      </c>
      <c r="G72" s="41">
        <f>SUMIF('①농산물raw'!$A$6:$A$445,G$70,'①농산물raw'!$F$6:$F$445)</f>
        <v>5512</v>
      </c>
      <c r="H72" s="41">
        <f>SUMIF('①농산물raw'!$A$6:$A$445,H$70,'①농산물raw'!$F$6:$F$445)</f>
        <v>0</v>
      </c>
      <c r="I72" s="41">
        <f>SUMIF('①농산물raw'!$A$6:$A$445,I$70,'①농산물raw'!$F$6:$F$445)</f>
        <v>0</v>
      </c>
      <c r="J72" s="41">
        <f>SUMIF('①농산물raw'!$A$6:$A$445,J$70,'①농산물raw'!$F$6:$F$445)</f>
        <v>0</v>
      </c>
      <c r="K72" s="1"/>
      <c r="L72" s="1"/>
      <c r="M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7.25" customHeight="1">
      <c r="A74" s="1"/>
      <c r="B74" s="11" t="s">
        <v>328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7.25" customHeight="1">
      <c r="A75" s="1"/>
      <c r="B75" s="36" t="s">
        <v>1539</v>
      </c>
      <c r="C75" s="36" t="s">
        <v>5</v>
      </c>
      <c r="D75" s="36" t="s">
        <v>10</v>
      </c>
      <c r="E75" s="32" t="s">
        <v>25</v>
      </c>
      <c r="F75" s="32" t="s">
        <v>26</v>
      </c>
      <c r="G75" s="32" t="s">
        <v>27</v>
      </c>
      <c r="H75" s="32" t="s">
        <v>28</v>
      </c>
      <c r="I75" s="32" t="s">
        <v>29</v>
      </c>
      <c r="J75" s="32" t="s">
        <v>21</v>
      </c>
      <c r="K75" s="1"/>
      <c r="L75" s="1"/>
      <c r="M75" s="1"/>
    </row>
    <row r="76" ht="17.25" customHeight="1">
      <c r="A76" s="1"/>
      <c r="B76" s="63" t="s">
        <v>10</v>
      </c>
      <c r="C76" s="23"/>
      <c r="D76" s="38">
        <f t="shared" ref="D76:D82" si="26">SUM(E76:J76)</f>
        <v>98962900</v>
      </c>
      <c r="E76" s="41">
        <f t="shared" ref="E76:J76" si="25">E77+E79+E81</f>
        <v>0</v>
      </c>
      <c r="F76" s="41">
        <f t="shared" si="25"/>
        <v>76647920</v>
      </c>
      <c r="G76" s="41">
        <f t="shared" si="25"/>
        <v>22314980</v>
      </c>
      <c r="H76" s="41">
        <f t="shared" si="25"/>
        <v>0</v>
      </c>
      <c r="I76" s="41">
        <f t="shared" si="25"/>
        <v>0</v>
      </c>
      <c r="J76" s="41">
        <f t="shared" si="25"/>
        <v>0</v>
      </c>
      <c r="K76" s="1"/>
      <c r="L76" s="1"/>
      <c r="M76" s="1"/>
    </row>
    <row r="77" ht="17.25" customHeight="1">
      <c r="A77" s="1"/>
      <c r="B77" s="64" t="s">
        <v>91</v>
      </c>
      <c r="C77" s="53" t="s">
        <v>24</v>
      </c>
      <c r="D77" s="38">
        <f t="shared" si="26"/>
        <v>49729610</v>
      </c>
      <c r="E77" s="41">
        <f t="shared" ref="E77:J77" si="27">E78</f>
        <v>0</v>
      </c>
      <c r="F77" s="41">
        <f t="shared" si="27"/>
        <v>40365730</v>
      </c>
      <c r="G77" s="41">
        <f t="shared" si="27"/>
        <v>9363880</v>
      </c>
      <c r="H77" s="41">
        <f t="shared" si="27"/>
        <v>0</v>
      </c>
      <c r="I77" s="41">
        <f t="shared" si="27"/>
        <v>0</v>
      </c>
      <c r="J77" s="41">
        <f t="shared" si="27"/>
        <v>0</v>
      </c>
      <c r="K77" s="1"/>
      <c r="L77" s="1"/>
      <c r="M77" s="1"/>
    </row>
    <row r="78" ht="17.25" customHeight="1">
      <c r="A78" s="1"/>
      <c r="B78" s="30"/>
      <c r="C78" s="53" t="s">
        <v>57</v>
      </c>
      <c r="D78" s="38">
        <f t="shared" si="26"/>
        <v>49729610</v>
      </c>
      <c r="E78" s="41">
        <f>SUMIFS('①농산물raw'!$H$6:$H$445,'①농산물raw'!$A$6:$A$445,E$75,'①농산물raw'!$B$6:$B$445,$B77)</f>
        <v>0</v>
      </c>
      <c r="F78" s="41">
        <f>SUMIFS('①농산물raw'!$H$6:$H$445,'①농산물raw'!$A$6:$A$445,F$75,'①농산물raw'!$B$6:$B$445,$B77)</f>
        <v>40365730</v>
      </c>
      <c r="G78" s="41">
        <f>SUMIFS('①농산물raw'!$H$6:$H$445,'①농산물raw'!$A$6:$A$445,G$75,'①농산물raw'!$B$6:$B$445,$B77)</f>
        <v>9363880</v>
      </c>
      <c r="H78" s="41">
        <f>SUMIFS('①농산물raw'!$H$6:$H$445,'①농산물raw'!$A$6:$A$445,H$75,'①농산물raw'!$B$6:$B$445,$B77)</f>
        <v>0</v>
      </c>
      <c r="I78" s="41">
        <f>SUMIFS('①농산물raw'!$H$6:$H$445,'①농산물raw'!$A$6:$A$445,I$75,'①농산물raw'!$B$6:$B$445,$B77)</f>
        <v>0</v>
      </c>
      <c r="J78" s="41">
        <f>SUMIFS('①농산물raw'!$H$6:$H$445,'①농산물raw'!$A$6:$A$445,J$75,'①농산물raw'!$B$6:$B$445,$B77)</f>
        <v>0</v>
      </c>
      <c r="K78" s="1"/>
      <c r="L78" s="1"/>
      <c r="M78" s="1"/>
    </row>
    <row r="79" ht="17.25" customHeight="1">
      <c r="A79" s="1"/>
      <c r="B79" s="64" t="s">
        <v>99</v>
      </c>
      <c r="C79" s="53" t="s">
        <v>24</v>
      </c>
      <c r="D79" s="38">
        <f t="shared" si="26"/>
        <v>15309010</v>
      </c>
      <c r="E79" s="41">
        <f t="shared" ref="E79:J79" si="28">E80</f>
        <v>0</v>
      </c>
      <c r="F79" s="41">
        <f t="shared" si="28"/>
        <v>9906730</v>
      </c>
      <c r="G79" s="41">
        <f t="shared" si="28"/>
        <v>5402280</v>
      </c>
      <c r="H79" s="41">
        <f t="shared" si="28"/>
        <v>0</v>
      </c>
      <c r="I79" s="41">
        <f t="shared" si="28"/>
        <v>0</v>
      </c>
      <c r="J79" s="41">
        <f t="shared" si="28"/>
        <v>0</v>
      </c>
      <c r="K79" s="1"/>
      <c r="L79" s="1"/>
      <c r="M79" s="1"/>
    </row>
    <row r="80" ht="17.25" customHeight="1">
      <c r="A80" s="1"/>
      <c r="B80" s="30"/>
      <c r="C80" s="53" t="s">
        <v>57</v>
      </c>
      <c r="D80" s="38">
        <f t="shared" si="26"/>
        <v>15309010</v>
      </c>
      <c r="E80" s="41">
        <f>SUMIFS('①농산물raw'!$H$6:$H$445,'①농산물raw'!$A$6:$A$445,E$75,'①농산물raw'!$B$6:$B$445,$B79)</f>
        <v>0</v>
      </c>
      <c r="F80" s="41">
        <f>SUMIFS('①농산물raw'!$H$6:$H$445,'①농산물raw'!$A$6:$A$445,F$75,'①농산물raw'!$B$6:$B$445,$B79)</f>
        <v>9906730</v>
      </c>
      <c r="G80" s="41">
        <f>SUMIFS('①농산물raw'!$H$6:$H$445,'①농산물raw'!$A$6:$A$445,G$75,'①농산물raw'!$B$6:$B$445,$B79)</f>
        <v>5402280</v>
      </c>
      <c r="H80" s="41">
        <f>SUMIFS('①농산물raw'!$H$6:$H$445,'①농산물raw'!$A$6:$A$445,H$75,'①농산물raw'!$B$6:$B$445,$B79)</f>
        <v>0</v>
      </c>
      <c r="I80" s="41">
        <f>SUMIFS('①농산물raw'!$H$6:$H$445,'①농산물raw'!$A$6:$A$445,I$75,'①농산물raw'!$B$6:$B$445,$B79)</f>
        <v>0</v>
      </c>
      <c r="J80" s="41">
        <f>SUMIFS('①농산물raw'!$H$6:$H$445,'①농산물raw'!$A$6:$A$445,J$75,'①농산물raw'!$B$6:$B$445,$B79)</f>
        <v>0</v>
      </c>
      <c r="K80" s="1"/>
      <c r="L80" s="1"/>
      <c r="M80" s="1"/>
    </row>
    <row r="81" ht="17.25" customHeight="1">
      <c r="A81" s="1"/>
      <c r="B81" s="64" t="s">
        <v>63</v>
      </c>
      <c r="C81" s="53" t="s">
        <v>24</v>
      </c>
      <c r="D81" s="38">
        <f t="shared" si="26"/>
        <v>33924280</v>
      </c>
      <c r="E81" s="41">
        <f t="shared" ref="E81:J81" si="29">E82</f>
        <v>0</v>
      </c>
      <c r="F81" s="41">
        <f t="shared" si="29"/>
        <v>26375460</v>
      </c>
      <c r="G81" s="41">
        <f t="shared" si="29"/>
        <v>7548820</v>
      </c>
      <c r="H81" s="41">
        <f t="shared" si="29"/>
        <v>0</v>
      </c>
      <c r="I81" s="41">
        <f t="shared" si="29"/>
        <v>0</v>
      </c>
      <c r="J81" s="41">
        <f t="shared" si="29"/>
        <v>0</v>
      </c>
      <c r="K81" s="1"/>
      <c r="L81" s="1"/>
      <c r="M81" s="1"/>
    </row>
    <row r="82" ht="17.25" customHeight="1">
      <c r="A82" s="1"/>
      <c r="B82" s="30"/>
      <c r="C82" s="53" t="s">
        <v>57</v>
      </c>
      <c r="D82" s="38">
        <f t="shared" si="26"/>
        <v>33924280</v>
      </c>
      <c r="E82" s="41">
        <f>SUMIFS('①농산물raw'!$H$6:$H$445,'①농산물raw'!$A$6:$A$445,E$75,'①농산물raw'!$B$6:$B$445,$B81)</f>
        <v>0</v>
      </c>
      <c r="F82" s="41">
        <f>SUMIFS('①농산물raw'!$H$6:$H$445,'①농산물raw'!$A$6:$A$445,F$75,'①농산물raw'!$B$6:$B$445,$B81)</f>
        <v>26375460</v>
      </c>
      <c r="G82" s="41">
        <f>SUMIFS('①농산물raw'!$H$6:$H$445,'①농산물raw'!$A$6:$A$445,G$75,'①농산물raw'!$B$6:$B$445,$B81)</f>
        <v>7548820</v>
      </c>
      <c r="H82" s="41">
        <f>SUMIFS('①농산물raw'!$H$6:$H$445,'①농산물raw'!$A$6:$A$445,H$75,'①농산물raw'!$B$6:$B$445,$B81)</f>
        <v>0</v>
      </c>
      <c r="I82" s="41">
        <f>SUMIFS('①농산물raw'!$H$6:$H$445,'①농산물raw'!$A$6:$A$445,I$75,'①농산물raw'!$B$6:$B$445,$B81)</f>
        <v>0</v>
      </c>
      <c r="J82" s="41">
        <f>SUMIFS('①농산물raw'!$H$6:$H$445,'①농산물raw'!$A$6:$A$445,J$75,'①농산물raw'!$B$6:$B$445,$B81)</f>
        <v>0</v>
      </c>
      <c r="K82" s="1"/>
      <c r="L82" s="1"/>
      <c r="M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7.25" customHeight="1">
      <c r="A84" s="1"/>
      <c r="B84" s="11" t="s">
        <v>664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7.25" customHeight="1">
      <c r="A85" s="1"/>
      <c r="B85" s="36" t="s">
        <v>1539</v>
      </c>
      <c r="C85" s="15" t="s">
        <v>5</v>
      </c>
      <c r="D85" s="36" t="s">
        <v>10</v>
      </c>
      <c r="E85" s="32" t="s">
        <v>25</v>
      </c>
      <c r="F85" s="32" t="s">
        <v>26</v>
      </c>
      <c r="G85" s="32" t="s">
        <v>27</v>
      </c>
      <c r="H85" s="32" t="s">
        <v>28</v>
      </c>
      <c r="I85" s="32" t="s">
        <v>29</v>
      </c>
      <c r="J85" s="32" t="s">
        <v>21</v>
      </c>
      <c r="K85" s="1"/>
      <c r="L85" s="1"/>
      <c r="M85" s="1"/>
    </row>
    <row r="86" ht="17.25" customHeight="1">
      <c r="A86" s="1"/>
      <c r="B86" s="36" t="s">
        <v>10</v>
      </c>
      <c r="C86" s="30"/>
      <c r="D86" s="38">
        <f t="shared" ref="D86:D92" si="31">SUM(E86:J86)</f>
        <v>1480449370</v>
      </c>
      <c r="E86" s="41">
        <f t="shared" ref="E86:J86" si="30">E87+E89+E91</f>
        <v>0</v>
      </c>
      <c r="F86" s="41">
        <f t="shared" si="30"/>
        <v>1348440770</v>
      </c>
      <c r="G86" s="41">
        <f t="shared" si="30"/>
        <v>132008600</v>
      </c>
      <c r="H86" s="41">
        <f t="shared" si="30"/>
        <v>0</v>
      </c>
      <c r="I86" s="41">
        <f t="shared" si="30"/>
        <v>0</v>
      </c>
      <c r="J86" s="41">
        <f t="shared" si="30"/>
        <v>0</v>
      </c>
      <c r="K86" s="1"/>
      <c r="L86" s="1"/>
      <c r="M86" s="1"/>
    </row>
    <row r="87" ht="17.25" customHeight="1">
      <c r="A87" s="1"/>
      <c r="B87" s="64" t="s">
        <v>91</v>
      </c>
      <c r="C87" s="53" t="s">
        <v>24</v>
      </c>
      <c r="D87" s="38">
        <f t="shared" si="31"/>
        <v>648042030</v>
      </c>
      <c r="E87" s="41">
        <f t="shared" ref="E87:J87" si="32">E88</f>
        <v>0</v>
      </c>
      <c r="F87" s="41">
        <f t="shared" si="32"/>
        <v>597566830</v>
      </c>
      <c r="G87" s="41">
        <f t="shared" si="32"/>
        <v>50475200</v>
      </c>
      <c r="H87" s="41">
        <f t="shared" si="32"/>
        <v>0</v>
      </c>
      <c r="I87" s="41">
        <f t="shared" si="32"/>
        <v>0</v>
      </c>
      <c r="J87" s="41">
        <f t="shared" si="32"/>
        <v>0</v>
      </c>
      <c r="K87" s="1"/>
      <c r="L87" s="1"/>
      <c r="M87" s="1"/>
    </row>
    <row r="88" ht="17.25" customHeight="1">
      <c r="A88" s="1"/>
      <c r="B88" s="30"/>
      <c r="C88" s="53" t="s">
        <v>57</v>
      </c>
      <c r="D88" s="38">
        <f t="shared" si="31"/>
        <v>648042030</v>
      </c>
      <c r="E88" s="41">
        <f>SUMIFS('①농산물raw'!$G$6:$G$445,'①농산물raw'!$A$6:$A$445,E$85,'①농산물raw'!$B$6:$B$445,$B87)</f>
        <v>0</v>
      </c>
      <c r="F88" s="41">
        <f>SUMIFS('①농산물raw'!$G$6:$G$445,'①농산물raw'!$A$6:$A$445,F$85,'①농산물raw'!$B$6:$B$445,$B87)</f>
        <v>597566830</v>
      </c>
      <c r="G88" s="41">
        <f>SUMIFS('①농산물raw'!$G$6:$G$445,'①농산물raw'!$A$6:$A$445,G$85,'①농산물raw'!$B$6:$B$445,$B87)</f>
        <v>50475200</v>
      </c>
      <c r="H88" s="41">
        <f>SUMIFS('①농산물raw'!$G$6:$G$445,'①농산물raw'!$A$6:$A$445,H$85,'①농산물raw'!$B$6:$B$445,$B87)</f>
        <v>0</v>
      </c>
      <c r="I88" s="41">
        <f>SUMIFS('①농산물raw'!$G$6:$G$445,'①농산물raw'!$A$6:$A$445,I$85,'①농산물raw'!$B$6:$B$445,$B87)</f>
        <v>0</v>
      </c>
      <c r="J88" s="41">
        <f>SUMIFS('①농산물raw'!$G$6:$G$445,'①농산물raw'!$A$6:$A$445,J$85,'①농산물raw'!$B$6:$B$445,$B87)</f>
        <v>0</v>
      </c>
      <c r="K88" s="1"/>
      <c r="L88" s="1"/>
      <c r="M88" s="1"/>
    </row>
    <row r="89" ht="17.25" customHeight="1">
      <c r="A89" s="1"/>
      <c r="B89" s="64" t="s">
        <v>99</v>
      </c>
      <c r="C89" s="53" t="s">
        <v>24</v>
      </c>
      <c r="D89" s="38">
        <f t="shared" si="31"/>
        <v>154808000</v>
      </c>
      <c r="E89" s="41">
        <f t="shared" ref="E89:J89" si="33">E90</f>
        <v>0</v>
      </c>
      <c r="F89" s="41">
        <f t="shared" si="33"/>
        <v>115183100</v>
      </c>
      <c r="G89" s="41">
        <f t="shared" si="33"/>
        <v>39624900</v>
      </c>
      <c r="H89" s="41">
        <f t="shared" si="33"/>
        <v>0</v>
      </c>
      <c r="I89" s="41">
        <f t="shared" si="33"/>
        <v>0</v>
      </c>
      <c r="J89" s="41">
        <f t="shared" si="33"/>
        <v>0</v>
      </c>
      <c r="K89" s="1"/>
      <c r="L89" s="1"/>
      <c r="M89" s="1"/>
    </row>
    <row r="90" ht="17.25" customHeight="1">
      <c r="A90" s="1"/>
      <c r="B90" s="30"/>
      <c r="C90" s="53" t="s">
        <v>57</v>
      </c>
      <c r="D90" s="38">
        <f t="shared" si="31"/>
        <v>154808000</v>
      </c>
      <c r="E90" s="41">
        <f>SUMIFS('①농산물raw'!$G$6:$G$445,'①농산물raw'!$A$6:$A$445,E$85,'①농산물raw'!$B$6:$B$445,$B89)</f>
        <v>0</v>
      </c>
      <c r="F90" s="41">
        <f>SUMIFS('①농산물raw'!$G$6:$G$445,'①농산물raw'!$A$6:$A$445,F$85,'①농산물raw'!$B$6:$B$445,$B89)</f>
        <v>115183100</v>
      </c>
      <c r="G90" s="41">
        <f>SUMIFS('①농산물raw'!$G$6:$G$445,'①농산물raw'!$A$6:$A$445,G$85,'①농산물raw'!$B$6:$B$445,$B89)</f>
        <v>39624900</v>
      </c>
      <c r="H90" s="41">
        <f>SUMIFS('①농산물raw'!$G$6:$G$445,'①농산물raw'!$A$6:$A$445,H$85,'①농산물raw'!$B$6:$B$445,$B89)</f>
        <v>0</v>
      </c>
      <c r="I90" s="41">
        <f>SUMIFS('①농산물raw'!$G$6:$G$445,'①농산물raw'!$A$6:$A$445,I$85,'①농산물raw'!$B$6:$B$445,$B89)</f>
        <v>0</v>
      </c>
      <c r="J90" s="41">
        <f>SUMIFS('①농산물raw'!$G$6:$G$445,'①농산물raw'!$A$6:$A$445,J$85,'①농산물raw'!$B$6:$B$445,$B89)</f>
        <v>0</v>
      </c>
      <c r="K90" s="1"/>
      <c r="L90" s="1"/>
      <c r="M90" s="1"/>
    </row>
    <row r="91" ht="17.25" customHeight="1">
      <c r="A91" s="1"/>
      <c r="B91" s="64" t="s">
        <v>63</v>
      </c>
      <c r="C91" s="53" t="s">
        <v>24</v>
      </c>
      <c r="D91" s="38">
        <f t="shared" si="31"/>
        <v>677599340</v>
      </c>
      <c r="E91" s="41">
        <f t="shared" ref="E91:J91" si="34">E92</f>
        <v>0</v>
      </c>
      <c r="F91" s="41">
        <f t="shared" si="34"/>
        <v>635690840</v>
      </c>
      <c r="G91" s="41">
        <f t="shared" si="34"/>
        <v>41908500</v>
      </c>
      <c r="H91" s="41">
        <f t="shared" si="34"/>
        <v>0</v>
      </c>
      <c r="I91" s="41">
        <f t="shared" si="34"/>
        <v>0</v>
      </c>
      <c r="J91" s="41">
        <f t="shared" si="34"/>
        <v>0</v>
      </c>
      <c r="K91" s="1"/>
      <c r="L91" s="1"/>
      <c r="M91" s="1"/>
    </row>
    <row r="92" ht="17.25" customHeight="1">
      <c r="A92" s="1"/>
      <c r="B92" s="30"/>
      <c r="C92" s="53" t="s">
        <v>57</v>
      </c>
      <c r="D92" s="38">
        <f t="shared" si="31"/>
        <v>677599340</v>
      </c>
      <c r="E92" s="41">
        <f>SUMIFS('①농산물raw'!$G$6:$G$445,'①농산물raw'!$A$6:$A$445,E$85,'①농산물raw'!$B$6:$B$445,$B91)</f>
        <v>0</v>
      </c>
      <c r="F92" s="41">
        <f>SUMIFS('①농산물raw'!$G$6:$G$445,'①농산물raw'!$A$6:$A$445,F$85,'①농산물raw'!$B$6:$B$445,$B91)</f>
        <v>635690840</v>
      </c>
      <c r="G92" s="41">
        <f>SUMIFS('①농산물raw'!$G$6:$G$445,'①농산물raw'!$A$6:$A$445,G$85,'①농산물raw'!$B$6:$B$445,$B91)</f>
        <v>41908500</v>
      </c>
      <c r="H92" s="41">
        <f>SUMIFS('①농산물raw'!$G$6:$G$445,'①농산물raw'!$A$6:$A$445,H$85,'①농산물raw'!$B$6:$B$445,$B91)</f>
        <v>0</v>
      </c>
      <c r="I92" s="41">
        <f>SUMIFS('①농산물raw'!$G$6:$G$445,'①농산물raw'!$A$6:$A$445,I$85,'①농산물raw'!$B$6:$B$445,$B91)</f>
        <v>0</v>
      </c>
      <c r="J92" s="41">
        <f>SUMIFS('①농산물raw'!$G$6:$G$445,'①농산물raw'!$A$6:$A$445,J$85,'①농산물raw'!$B$6:$B$445,$B91)</f>
        <v>0</v>
      </c>
      <c r="K92" s="1"/>
      <c r="L92" s="1"/>
      <c r="M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7.25" customHeight="1">
      <c r="A94" s="1"/>
      <c r="B94" s="11" t="s">
        <v>966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7.25" customHeight="1">
      <c r="A95" s="1"/>
      <c r="B95" s="36" t="s">
        <v>1539</v>
      </c>
      <c r="C95" s="15" t="s">
        <v>5</v>
      </c>
      <c r="D95" s="36" t="s">
        <v>10</v>
      </c>
      <c r="E95" s="32" t="s">
        <v>25</v>
      </c>
      <c r="F95" s="32" t="s">
        <v>26</v>
      </c>
      <c r="G95" s="32" t="s">
        <v>27</v>
      </c>
      <c r="H95" s="32" t="s">
        <v>28</v>
      </c>
      <c r="I95" s="32" t="s">
        <v>29</v>
      </c>
      <c r="J95" s="32" t="s">
        <v>21</v>
      </c>
      <c r="K95" s="1"/>
      <c r="L95" s="1"/>
      <c r="M95" s="1"/>
    </row>
    <row r="96" ht="17.25" customHeight="1">
      <c r="A96" s="1"/>
      <c r="B96" s="36" t="s">
        <v>10</v>
      </c>
      <c r="C96" s="30"/>
      <c r="D96" s="38">
        <f t="shared" ref="D96:D102" si="36">SUM(E96:J96)</f>
        <v>73605</v>
      </c>
      <c r="E96" s="41">
        <f t="shared" ref="E96:J96" si="35">E97+E99+E101</f>
        <v>0</v>
      </c>
      <c r="F96" s="41">
        <f t="shared" si="35"/>
        <v>68093</v>
      </c>
      <c r="G96" s="41">
        <f t="shared" si="35"/>
        <v>5512</v>
      </c>
      <c r="H96" s="41">
        <f t="shared" si="35"/>
        <v>0</v>
      </c>
      <c r="I96" s="41">
        <f t="shared" si="35"/>
        <v>0</v>
      </c>
      <c r="J96" s="41">
        <f t="shared" si="35"/>
        <v>0</v>
      </c>
      <c r="K96" s="1"/>
      <c r="L96" s="1"/>
      <c r="M96" s="1"/>
    </row>
    <row r="97" ht="17.25" customHeight="1">
      <c r="A97" s="1"/>
      <c r="B97" s="64" t="s">
        <v>91</v>
      </c>
      <c r="C97" s="53" t="s">
        <v>24</v>
      </c>
      <c r="D97" s="38">
        <f t="shared" si="36"/>
        <v>29436</v>
      </c>
      <c r="E97" s="41">
        <f t="shared" ref="E97:J97" si="37">E98</f>
        <v>0</v>
      </c>
      <c r="F97" s="41">
        <f t="shared" si="37"/>
        <v>26688</v>
      </c>
      <c r="G97" s="41">
        <f t="shared" si="37"/>
        <v>2748</v>
      </c>
      <c r="H97" s="41">
        <f t="shared" si="37"/>
        <v>0</v>
      </c>
      <c r="I97" s="41">
        <f t="shared" si="37"/>
        <v>0</v>
      </c>
      <c r="J97" s="41">
        <f t="shared" si="37"/>
        <v>0</v>
      </c>
      <c r="K97" s="1"/>
      <c r="L97" s="1"/>
      <c r="M97" s="1"/>
    </row>
    <row r="98" ht="17.25" customHeight="1">
      <c r="A98" s="1"/>
      <c r="B98" s="30"/>
      <c r="C98" s="53" t="s">
        <v>57</v>
      </c>
      <c r="D98" s="38">
        <f t="shared" si="36"/>
        <v>29436</v>
      </c>
      <c r="E98" s="41">
        <f>SUMIFS('①농산물raw'!$F$6:$F$445,'①농산물raw'!$A$6:$A$445,E$95,'①농산물raw'!$B$6:$B$445,$B97)</f>
        <v>0</v>
      </c>
      <c r="F98" s="41">
        <f>SUMIFS('①농산물raw'!$F$6:$F$445,'①농산물raw'!$A$6:$A$445,F$95,'①농산물raw'!$B$6:$B$445,$B97)</f>
        <v>26688</v>
      </c>
      <c r="G98" s="41">
        <f>SUMIFS('①농산물raw'!$F$6:$F$445,'①농산물raw'!$A$6:$A$445,G$95,'①농산물raw'!$B$6:$B$445,$B97)</f>
        <v>2748</v>
      </c>
      <c r="H98" s="41">
        <f>SUMIFS('①농산물raw'!$F$6:$F$445,'①농산물raw'!$A$6:$A$445,H$95,'①농산물raw'!$B$6:$B$445,$B97)</f>
        <v>0</v>
      </c>
      <c r="I98" s="41">
        <f>SUMIFS('①농산물raw'!$F$6:$F$445,'①농산물raw'!$A$6:$A$445,I$95,'①농산물raw'!$B$6:$B$445,$B97)</f>
        <v>0</v>
      </c>
      <c r="J98" s="41">
        <f>SUMIFS('①농산물raw'!$F$6:$F$445,'①농산물raw'!$A$6:$A$445,J$95,'①농산물raw'!$B$6:$B$445,$B97)</f>
        <v>0</v>
      </c>
      <c r="K98" s="1"/>
      <c r="L98" s="1"/>
      <c r="M98" s="1"/>
    </row>
    <row r="99" ht="17.25" customHeight="1">
      <c r="A99" s="1"/>
      <c r="B99" s="64" t="s">
        <v>99</v>
      </c>
      <c r="C99" s="53" t="s">
        <v>24</v>
      </c>
      <c r="D99" s="38">
        <f t="shared" si="36"/>
        <v>5469</v>
      </c>
      <c r="E99" s="41">
        <f t="shared" ref="E99:J99" si="38">E100</f>
        <v>0</v>
      </c>
      <c r="F99" s="41">
        <f t="shared" si="38"/>
        <v>4664</v>
      </c>
      <c r="G99" s="41">
        <f t="shared" si="38"/>
        <v>805</v>
      </c>
      <c r="H99" s="41">
        <f t="shared" si="38"/>
        <v>0</v>
      </c>
      <c r="I99" s="41">
        <f t="shared" si="38"/>
        <v>0</v>
      </c>
      <c r="J99" s="41">
        <f t="shared" si="38"/>
        <v>0</v>
      </c>
      <c r="K99" s="1"/>
      <c r="L99" s="1"/>
      <c r="M99" s="1"/>
    </row>
    <row r="100" ht="17.25" customHeight="1">
      <c r="A100" s="1"/>
      <c r="B100" s="30"/>
      <c r="C100" s="53" t="s">
        <v>57</v>
      </c>
      <c r="D100" s="38">
        <f t="shared" si="36"/>
        <v>5469</v>
      </c>
      <c r="E100" s="41">
        <f>SUMIFS('①농산물raw'!$F$6:$F$445,'①농산물raw'!$A$6:$A$445,E$95,'①농산물raw'!$B$6:$B$445,$B99)</f>
        <v>0</v>
      </c>
      <c r="F100" s="41">
        <f>SUMIFS('①농산물raw'!$F$6:$F$445,'①농산물raw'!$A$6:$A$445,F$95,'①농산물raw'!$B$6:$B$445,$B99)</f>
        <v>4664</v>
      </c>
      <c r="G100" s="41">
        <f>SUMIFS('①농산물raw'!$F$6:$F$445,'①농산물raw'!$A$6:$A$445,G$95,'①농산물raw'!$B$6:$B$445,$B99)</f>
        <v>805</v>
      </c>
      <c r="H100" s="41">
        <f>SUMIFS('①농산물raw'!$F$6:$F$445,'①농산물raw'!$A$6:$A$445,H$95,'①농산물raw'!$B$6:$B$445,$B99)</f>
        <v>0</v>
      </c>
      <c r="I100" s="41">
        <f>SUMIFS('①농산물raw'!$F$6:$F$445,'①농산물raw'!$A$6:$A$445,I$95,'①농산물raw'!$B$6:$B$445,$B99)</f>
        <v>0</v>
      </c>
      <c r="J100" s="41">
        <f>SUMIFS('①농산물raw'!$F$6:$F$445,'①농산물raw'!$A$6:$A$445,J$95,'①농산물raw'!$B$6:$B$445,$B99)</f>
        <v>0</v>
      </c>
      <c r="K100" s="1"/>
      <c r="L100" s="1"/>
      <c r="M100" s="1"/>
    </row>
    <row r="101" ht="17.25" customHeight="1">
      <c r="A101" s="1"/>
      <c r="B101" s="64" t="s">
        <v>63</v>
      </c>
      <c r="C101" s="53" t="s">
        <v>24</v>
      </c>
      <c r="D101" s="38">
        <f t="shared" si="36"/>
        <v>38700</v>
      </c>
      <c r="E101" s="41">
        <f t="shared" ref="E101:J101" si="39">E102</f>
        <v>0</v>
      </c>
      <c r="F101" s="41">
        <f t="shared" si="39"/>
        <v>36741</v>
      </c>
      <c r="G101" s="41">
        <f t="shared" si="39"/>
        <v>1959</v>
      </c>
      <c r="H101" s="41">
        <f t="shared" si="39"/>
        <v>0</v>
      </c>
      <c r="I101" s="41">
        <f t="shared" si="39"/>
        <v>0</v>
      </c>
      <c r="J101" s="41">
        <f t="shared" si="39"/>
        <v>0</v>
      </c>
      <c r="K101" s="1"/>
      <c r="L101" s="1"/>
      <c r="M101" s="1"/>
    </row>
    <row r="102" ht="17.25" customHeight="1">
      <c r="A102" s="1"/>
      <c r="B102" s="30"/>
      <c r="C102" s="53" t="s">
        <v>57</v>
      </c>
      <c r="D102" s="38">
        <f t="shared" si="36"/>
        <v>38700</v>
      </c>
      <c r="E102" s="41">
        <f>SUMIFS('①농산물raw'!$F$6:$F$445,'①농산물raw'!$A$6:$A$445,E$95,'①농산물raw'!$B$6:$B$445,$B101)</f>
        <v>0</v>
      </c>
      <c r="F102" s="41">
        <f>SUMIFS('①농산물raw'!$F$6:$F$445,'①농산물raw'!$A$6:$A$445,F$95,'①농산물raw'!$B$6:$B$445,$B101)</f>
        <v>36741</v>
      </c>
      <c r="G102" s="41">
        <f>SUMIFS('①농산물raw'!$F$6:$F$445,'①농산물raw'!$A$6:$A$445,G$95,'①농산물raw'!$B$6:$B$445,$B101)</f>
        <v>1959</v>
      </c>
      <c r="H102" s="41">
        <f>SUMIFS('①농산물raw'!$F$6:$F$445,'①농산물raw'!$A$6:$A$445,H$95,'①농산물raw'!$B$6:$B$445,$B101)</f>
        <v>0</v>
      </c>
      <c r="I102" s="41">
        <f>SUMIFS('①농산물raw'!$F$6:$F$445,'①농산물raw'!$A$6:$A$445,I$95,'①농산물raw'!$B$6:$B$445,$B101)</f>
        <v>0</v>
      </c>
      <c r="J102" s="41">
        <f>SUMIFS('①농산물raw'!$F$6:$F$445,'①농산물raw'!$A$6:$A$445,J$95,'①농산물raw'!$B$6:$B$445,$B101)</f>
        <v>0</v>
      </c>
      <c r="K102" s="1"/>
      <c r="L102" s="1"/>
      <c r="M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7.25" customHeight="1">
      <c r="A105" s="1"/>
      <c r="B105" s="82" t="s">
        <v>2177</v>
      </c>
      <c r="C105" s="83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7.25" customHeight="1">
      <c r="A107" s="1"/>
      <c r="B107" s="11" t="s">
        <v>1231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7.25" customHeight="1">
      <c r="A108" s="1"/>
      <c r="B108" s="63" t="s">
        <v>5</v>
      </c>
      <c r="C108" s="23"/>
      <c r="D108" s="36" t="s">
        <v>10</v>
      </c>
      <c r="E108" s="32" t="s">
        <v>25</v>
      </c>
      <c r="F108" s="32" t="s">
        <v>21</v>
      </c>
      <c r="G108" s="1"/>
      <c r="H108" s="1"/>
      <c r="I108" s="1"/>
      <c r="J108" s="1"/>
      <c r="K108" s="1"/>
      <c r="L108" s="1"/>
      <c r="M108" s="1"/>
    </row>
    <row r="109" ht="17.25" customHeight="1">
      <c r="A109" s="1"/>
      <c r="B109" s="64" t="s">
        <v>57</v>
      </c>
      <c r="C109" s="53" t="s">
        <v>32</v>
      </c>
      <c r="D109" s="38">
        <f>SUMPRODUCT(--('유기농업체'!$C$3:$C$57&lt;&gt;""))</f>
        <v>55</v>
      </c>
      <c r="E109" s="41">
        <f>SUMPRODUCT(--(SUBSTITUTE('유기농업체'!$E$3:$E$57,"롯데온","롯데ON")=E$108))</f>
        <v>26</v>
      </c>
      <c r="F109" s="41">
        <f>SUMPRODUCT(--(SUBSTITUTE('유기농업체'!$E$3:$E$57,"롯데온","롯데ON")=F$108))</f>
        <v>29</v>
      </c>
      <c r="G109" s="1"/>
      <c r="H109" s="1"/>
      <c r="I109" s="1"/>
      <c r="J109" s="1"/>
      <c r="K109" s="1"/>
      <c r="L109" s="1"/>
      <c r="M109" s="1"/>
    </row>
    <row r="110" ht="17.25" customHeight="1">
      <c r="A110" s="1"/>
      <c r="B110" s="30"/>
      <c r="C110" s="53" t="s">
        <v>75</v>
      </c>
      <c r="D110" s="38" t="str">
        <f>SUM(E110:F110)</f>
        <v>#ERROR!</v>
      </c>
      <c r="E110" s="41" t="str">
        <f>COUNTIF(②유기농raw!#REF!,E$108)</f>
        <v>#ERROR!</v>
      </c>
      <c r="F110" s="41" t="str">
        <f>COUNTIF(②유기농raw!#REF!,F$108)</f>
        <v>#ERROR!</v>
      </c>
      <c r="G110" s="1"/>
      <c r="H110" s="1"/>
      <c r="I110" s="1"/>
      <c r="J110" s="1"/>
      <c r="K110" s="1"/>
      <c r="L110" s="1"/>
      <c r="M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7.25" customHeight="1">
      <c r="A112" s="1"/>
      <c r="B112" s="11" t="s">
        <v>80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7.25" customHeight="1">
      <c r="A113" s="1"/>
      <c r="B113" s="63" t="s">
        <v>5</v>
      </c>
      <c r="C113" s="23"/>
      <c r="D113" s="36" t="s">
        <v>10</v>
      </c>
      <c r="E113" s="32" t="s">
        <v>25</v>
      </c>
      <c r="F113" s="32" t="s">
        <v>21</v>
      </c>
      <c r="G113" s="1"/>
      <c r="H113" s="1"/>
      <c r="I113" s="1"/>
      <c r="J113" s="1"/>
      <c r="K113" s="1"/>
      <c r="L113" s="1"/>
      <c r="M113" s="1"/>
    </row>
    <row r="114" ht="17.25" customHeight="1">
      <c r="A114" s="1"/>
      <c r="B114" s="63" t="s">
        <v>10</v>
      </c>
      <c r="C114" s="23"/>
      <c r="D114" s="38" t="str">
        <f t="shared" ref="D114:D117" si="41">SUM(E114:F114)</f>
        <v>#ERROR!</v>
      </c>
      <c r="E114" s="41" t="str">
        <f t="shared" ref="E114:F114" si="40">E115</f>
        <v>#ERROR!</v>
      </c>
      <c r="F114" s="41" t="str">
        <f t="shared" si="40"/>
        <v>#ERROR!</v>
      </c>
      <c r="G114" s="1"/>
      <c r="H114" s="1"/>
      <c r="I114" s="1"/>
      <c r="J114" s="1"/>
      <c r="K114" s="1"/>
      <c r="L114" s="1"/>
      <c r="M114" s="1"/>
    </row>
    <row r="115" ht="17.25" customHeight="1">
      <c r="A115" s="1"/>
      <c r="B115" s="70" t="s">
        <v>57</v>
      </c>
      <c r="C115" s="23"/>
      <c r="D115" s="38" t="str">
        <f t="shared" si="41"/>
        <v>#ERROR!</v>
      </c>
      <c r="E115" s="41" t="str">
        <f>SUMIF(②유기농raw!#REF!,E$113,②유기농raw!#REF!)</f>
        <v>#ERROR!</v>
      </c>
      <c r="F115" s="41" t="str">
        <f>SUMIF(②유기농raw!#REF!,F$113,②유기농raw!#REF!)</f>
        <v>#ERROR!</v>
      </c>
      <c r="G115" s="1"/>
      <c r="H115" s="1"/>
      <c r="I115" s="1"/>
      <c r="J115" s="1"/>
      <c r="K115" s="1"/>
      <c r="L115" s="1"/>
      <c r="M115" s="1"/>
    </row>
    <row r="116" ht="17.25" customHeight="1">
      <c r="A116" s="1"/>
      <c r="B116" s="70" t="s">
        <v>1381</v>
      </c>
      <c r="C116" s="23"/>
      <c r="D116" s="38">
        <f t="shared" si="41"/>
        <v>100000000</v>
      </c>
      <c r="E116" s="41">
        <v>5.0E7</v>
      </c>
      <c r="F116" s="41">
        <v>5.0E7</v>
      </c>
      <c r="G116" s="1"/>
      <c r="H116" s="1"/>
      <c r="I116" s="1"/>
      <c r="J116" s="1"/>
      <c r="K116" s="1"/>
      <c r="L116" s="1"/>
      <c r="M116" s="1"/>
    </row>
    <row r="117" ht="17.25" customHeight="1">
      <c r="A117" s="1"/>
      <c r="B117" s="70" t="s">
        <v>1399</v>
      </c>
      <c r="C117" s="23"/>
      <c r="D117" s="38" t="str">
        <f t="shared" si="41"/>
        <v>#ERROR!</v>
      </c>
      <c r="E117" s="41" t="str">
        <f t="shared" ref="E117:F117" si="42">E116-E114</f>
        <v>#ERROR!</v>
      </c>
      <c r="F117" s="41" t="str">
        <f t="shared" si="42"/>
        <v>#ERROR!</v>
      </c>
      <c r="G117" s="1"/>
      <c r="H117" s="1"/>
      <c r="I117" s="1"/>
      <c r="J117" s="1"/>
      <c r="K117" s="1"/>
      <c r="L117" s="1"/>
      <c r="M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7.25" customHeight="1">
      <c r="A119" s="1"/>
      <c r="B119" s="11" t="s">
        <v>163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7.25" customHeight="1">
      <c r="A120" s="1"/>
      <c r="B120" s="63" t="s">
        <v>5</v>
      </c>
      <c r="C120" s="23"/>
      <c r="D120" s="36" t="s">
        <v>10</v>
      </c>
      <c r="E120" s="32" t="s">
        <v>25</v>
      </c>
      <c r="F120" s="32" t="s">
        <v>21</v>
      </c>
      <c r="G120" s="1"/>
      <c r="H120" s="1"/>
      <c r="I120" s="1"/>
      <c r="J120" s="1"/>
      <c r="K120" s="1"/>
      <c r="L120" s="1"/>
      <c r="M120" s="1"/>
    </row>
    <row r="121" ht="17.25" customHeight="1">
      <c r="A121" s="1"/>
      <c r="B121" s="63" t="s">
        <v>10</v>
      </c>
      <c r="C121" s="23"/>
      <c r="D121" s="38" t="str">
        <f t="shared" ref="D121:D122" si="44">SUM(E121:F121)</f>
        <v>#ERROR!</v>
      </c>
      <c r="E121" s="41" t="str">
        <f t="shared" ref="E121:F121" si="43">E122</f>
        <v>#ERROR!</v>
      </c>
      <c r="F121" s="41" t="str">
        <f t="shared" si="43"/>
        <v>#ERROR!</v>
      </c>
      <c r="G121" s="1"/>
      <c r="H121" s="1"/>
      <c r="I121" s="1"/>
      <c r="J121" s="1"/>
      <c r="K121" s="1"/>
      <c r="L121" s="1"/>
      <c r="M121" s="1"/>
    </row>
    <row r="122" ht="17.25" customHeight="1">
      <c r="A122" s="1"/>
      <c r="B122" s="70" t="s">
        <v>57</v>
      </c>
      <c r="C122" s="23"/>
      <c r="D122" s="38" t="str">
        <f t="shared" si="44"/>
        <v>#ERROR!</v>
      </c>
      <c r="E122" s="41" t="str">
        <f>SUMIF(②유기농raw!#REF!,E$120,②유기농raw!#REF!)</f>
        <v>#ERROR!</v>
      </c>
      <c r="F122" s="41" t="str">
        <f>SUMIF(②유기농raw!#REF!,F$120,②유기농raw!#REF!)</f>
        <v>#ERROR!</v>
      </c>
      <c r="G122" s="1"/>
      <c r="H122" s="1"/>
      <c r="I122" s="1"/>
      <c r="J122" s="1"/>
      <c r="K122" s="1"/>
      <c r="L122" s="1"/>
      <c r="M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7.25" customHeight="1">
      <c r="A124" s="1"/>
      <c r="B124" s="11" t="s">
        <v>236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7.25" customHeight="1">
      <c r="A125" s="1"/>
      <c r="B125" s="63" t="s">
        <v>5</v>
      </c>
      <c r="C125" s="23"/>
      <c r="D125" s="36" t="s">
        <v>10</v>
      </c>
      <c r="E125" s="32" t="s">
        <v>25</v>
      </c>
      <c r="F125" s="32" t="s">
        <v>21</v>
      </c>
      <c r="G125" s="1"/>
      <c r="H125" s="1"/>
      <c r="I125" s="1"/>
      <c r="J125" s="1"/>
      <c r="K125" s="1"/>
      <c r="L125" s="1"/>
      <c r="M125" s="1"/>
    </row>
    <row r="126" ht="17.25" customHeight="1">
      <c r="A126" s="1"/>
      <c r="B126" s="63" t="s">
        <v>10</v>
      </c>
      <c r="C126" s="23"/>
      <c r="D126" s="38" t="str">
        <f t="shared" ref="D126:D127" si="46">SUM(E126:F126)</f>
        <v>#ERROR!</v>
      </c>
      <c r="E126" s="41" t="str">
        <f t="shared" ref="E126:F126" si="45">E127</f>
        <v>#ERROR!</v>
      </c>
      <c r="F126" s="41" t="str">
        <f t="shared" si="45"/>
        <v>#ERROR!</v>
      </c>
      <c r="G126" s="1"/>
      <c r="H126" s="1"/>
      <c r="I126" s="1"/>
      <c r="J126" s="1"/>
      <c r="K126" s="1"/>
      <c r="L126" s="1"/>
      <c r="M126" s="1"/>
    </row>
    <row r="127" ht="17.25" customHeight="1">
      <c r="A127" s="1"/>
      <c r="B127" s="70" t="s">
        <v>57</v>
      </c>
      <c r="C127" s="23"/>
      <c r="D127" s="38" t="str">
        <f t="shared" si="46"/>
        <v>#ERROR!</v>
      </c>
      <c r="E127" s="41" t="str">
        <f>SUMIF(②유기농raw!#REF!,E$125,②유기농raw!#REF!)</f>
        <v>#ERROR!</v>
      </c>
      <c r="F127" s="41" t="str">
        <f>SUMIF(②유기농raw!#REF!,F$125,②유기농raw!#REF!)</f>
        <v>#ERROR!</v>
      </c>
      <c r="G127" s="1"/>
      <c r="H127" s="1"/>
      <c r="I127" s="1"/>
      <c r="J127" s="1"/>
      <c r="K127" s="1"/>
      <c r="L127" s="1"/>
      <c r="M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7.25" customHeight="1">
      <c r="A129" s="1"/>
      <c r="B129" s="11" t="s">
        <v>328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7.25" customHeight="1">
      <c r="A130" s="1"/>
      <c r="B130" s="36" t="s">
        <v>1539</v>
      </c>
      <c r="C130" s="15" t="s">
        <v>5</v>
      </c>
      <c r="D130" s="36" t="s">
        <v>10</v>
      </c>
      <c r="E130" s="32" t="s">
        <v>25</v>
      </c>
      <c r="F130" s="32" t="s">
        <v>21</v>
      </c>
      <c r="G130" s="1"/>
      <c r="H130" s="1"/>
      <c r="I130" s="1"/>
      <c r="J130" s="1"/>
      <c r="K130" s="1"/>
      <c r="L130" s="1"/>
      <c r="M130" s="1"/>
    </row>
    <row r="131" ht="17.25" customHeight="1">
      <c r="A131" s="1"/>
      <c r="B131" s="36" t="s">
        <v>10</v>
      </c>
      <c r="C131" s="30"/>
      <c r="D131" s="38" t="str">
        <f t="shared" ref="D131:D137" si="48">SUM(E131:F131)</f>
        <v>#ERROR!</v>
      </c>
      <c r="E131" s="41" t="str">
        <f t="shared" ref="E131:F131" si="47">E132+E134+E136</f>
        <v>#ERROR!</v>
      </c>
      <c r="F131" s="41" t="str">
        <f t="shared" si="47"/>
        <v>#ERROR!</v>
      </c>
      <c r="G131" s="1"/>
      <c r="H131" s="1"/>
      <c r="I131" s="1"/>
      <c r="J131" s="1"/>
      <c r="K131" s="1"/>
      <c r="L131" s="1"/>
      <c r="M131" s="1"/>
    </row>
    <row r="132" ht="17.25" customHeight="1">
      <c r="A132" s="1"/>
      <c r="B132" s="64" t="s">
        <v>91</v>
      </c>
      <c r="C132" s="53" t="s">
        <v>24</v>
      </c>
      <c r="D132" s="38" t="str">
        <f t="shared" si="48"/>
        <v>#ERROR!</v>
      </c>
      <c r="E132" s="41" t="str">
        <f t="shared" ref="E132:F132" si="49">E133</f>
        <v>#ERROR!</v>
      </c>
      <c r="F132" s="41" t="str">
        <f t="shared" si="49"/>
        <v>#ERROR!</v>
      </c>
      <c r="G132" s="1"/>
      <c r="H132" s="1"/>
      <c r="I132" s="1"/>
      <c r="J132" s="1"/>
      <c r="K132" s="1"/>
      <c r="L132" s="1"/>
      <c r="M132" s="1"/>
    </row>
    <row r="133" ht="17.25" customHeight="1">
      <c r="A133" s="1"/>
      <c r="B133" s="30"/>
      <c r="C133" s="53" t="s">
        <v>57</v>
      </c>
      <c r="D133" s="38" t="str">
        <f t="shared" si="48"/>
        <v>#ERROR!</v>
      </c>
      <c r="E133" s="41" t="str">
        <f>SUMIFS(②유기농raw!#REF!,②유기농raw!#REF!,E$130,②유기농raw!#REF!,$B132)</f>
        <v>#ERROR!</v>
      </c>
      <c r="F133" s="41" t="str">
        <f>SUMIFS(②유기농raw!#REF!,②유기농raw!#REF!,F$130,②유기농raw!#REF!,$B132)</f>
        <v>#ERROR!</v>
      </c>
      <c r="G133" s="1"/>
      <c r="H133" s="1"/>
      <c r="I133" s="1"/>
      <c r="J133" s="1"/>
      <c r="K133" s="1"/>
      <c r="L133" s="1"/>
      <c r="M133" s="1"/>
    </row>
    <row r="134" ht="17.25" customHeight="1">
      <c r="A134" s="1"/>
      <c r="B134" s="64" t="s">
        <v>99</v>
      </c>
      <c r="C134" s="53" t="s">
        <v>24</v>
      </c>
      <c r="D134" s="38" t="str">
        <f t="shared" si="48"/>
        <v>#ERROR!</v>
      </c>
      <c r="E134" s="41" t="str">
        <f t="shared" ref="E134:F134" si="50">E135</f>
        <v>#ERROR!</v>
      </c>
      <c r="F134" s="41" t="str">
        <f t="shared" si="50"/>
        <v>#ERROR!</v>
      </c>
      <c r="G134" s="1"/>
      <c r="H134" s="1"/>
      <c r="I134" s="1"/>
      <c r="J134" s="1"/>
      <c r="K134" s="1"/>
      <c r="L134" s="1"/>
      <c r="M134" s="1"/>
    </row>
    <row r="135" ht="17.25" customHeight="1">
      <c r="A135" s="1"/>
      <c r="B135" s="30"/>
      <c r="C135" s="53" t="s">
        <v>57</v>
      </c>
      <c r="D135" s="38" t="str">
        <f t="shared" si="48"/>
        <v>#ERROR!</v>
      </c>
      <c r="E135" s="41" t="str">
        <f>SUMIFS(②유기농raw!#REF!,②유기농raw!#REF!,E$130,②유기농raw!#REF!,$B134)</f>
        <v>#ERROR!</v>
      </c>
      <c r="F135" s="41" t="str">
        <f>SUMIFS(②유기농raw!#REF!,②유기농raw!#REF!,F$130,②유기농raw!#REF!,$B134)</f>
        <v>#ERROR!</v>
      </c>
      <c r="G135" s="1"/>
      <c r="H135" s="1"/>
      <c r="I135" s="1"/>
      <c r="J135" s="1"/>
      <c r="K135" s="1"/>
      <c r="L135" s="1"/>
      <c r="M135" s="1"/>
    </row>
    <row r="136" ht="17.25" customHeight="1">
      <c r="A136" s="1"/>
      <c r="B136" s="64" t="s">
        <v>63</v>
      </c>
      <c r="C136" s="53" t="s">
        <v>24</v>
      </c>
      <c r="D136" s="38" t="str">
        <f t="shared" si="48"/>
        <v>#ERROR!</v>
      </c>
      <c r="E136" s="41" t="str">
        <f t="shared" ref="E136:F136" si="51">E137</f>
        <v>#ERROR!</v>
      </c>
      <c r="F136" s="41" t="str">
        <f t="shared" si="51"/>
        <v>#ERROR!</v>
      </c>
      <c r="G136" s="1"/>
      <c r="H136" s="1"/>
      <c r="I136" s="1"/>
      <c r="J136" s="1"/>
      <c r="K136" s="1"/>
      <c r="L136" s="1"/>
      <c r="M136" s="1"/>
    </row>
    <row r="137" ht="17.25" customHeight="1">
      <c r="A137" s="1"/>
      <c r="B137" s="30"/>
      <c r="C137" s="53" t="s">
        <v>57</v>
      </c>
      <c r="D137" s="38" t="str">
        <f t="shared" si="48"/>
        <v>#ERROR!</v>
      </c>
      <c r="E137" s="41" t="str">
        <f>SUMIFS(②유기농raw!#REF!,②유기농raw!#REF!,E$130,②유기농raw!#REF!,$B136)</f>
        <v>#ERROR!</v>
      </c>
      <c r="F137" s="41" t="str">
        <f>SUMIFS(②유기농raw!#REF!,②유기농raw!#REF!,F$130,②유기농raw!#REF!,$B136)</f>
        <v>#ERROR!</v>
      </c>
      <c r="G137" s="1"/>
      <c r="H137" s="1"/>
      <c r="I137" s="1"/>
      <c r="J137" s="1"/>
      <c r="K137" s="1"/>
      <c r="L137" s="1"/>
      <c r="M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7.25" customHeight="1">
      <c r="A139" s="1"/>
      <c r="B139" s="11" t="s">
        <v>664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7.25" customHeight="1">
      <c r="A140" s="1"/>
      <c r="B140" s="36" t="s">
        <v>1539</v>
      </c>
      <c r="C140" s="15" t="s">
        <v>5</v>
      </c>
      <c r="D140" s="36" t="s">
        <v>10</v>
      </c>
      <c r="E140" s="32" t="s">
        <v>25</v>
      </c>
      <c r="F140" s="32" t="s">
        <v>21</v>
      </c>
      <c r="G140" s="1"/>
      <c r="H140" s="1"/>
      <c r="I140" s="1"/>
      <c r="J140" s="1"/>
      <c r="K140" s="1"/>
      <c r="L140" s="1"/>
      <c r="M140" s="1"/>
    </row>
    <row r="141" ht="17.25" customHeight="1">
      <c r="A141" s="1"/>
      <c r="B141" s="36" t="s">
        <v>10</v>
      </c>
      <c r="C141" s="30"/>
      <c r="D141" s="38" t="str">
        <f t="shared" ref="D141:D147" si="53">SUM(E141:F141)</f>
        <v>#ERROR!</v>
      </c>
      <c r="E141" s="41" t="str">
        <f t="shared" ref="E141:F141" si="52">E142+E144+E146</f>
        <v>#ERROR!</v>
      </c>
      <c r="F141" s="41" t="str">
        <f t="shared" si="52"/>
        <v>#ERROR!</v>
      </c>
      <c r="G141" s="1"/>
      <c r="H141" s="1"/>
      <c r="I141" s="1"/>
      <c r="J141" s="1"/>
      <c r="K141" s="1"/>
      <c r="L141" s="1"/>
      <c r="M141" s="1"/>
    </row>
    <row r="142" ht="17.25" customHeight="1">
      <c r="A142" s="1"/>
      <c r="B142" s="64" t="s">
        <v>91</v>
      </c>
      <c r="C142" s="53" t="s">
        <v>24</v>
      </c>
      <c r="D142" s="38" t="str">
        <f t="shared" si="53"/>
        <v>#ERROR!</v>
      </c>
      <c r="E142" s="41" t="str">
        <f t="shared" ref="E142:F142" si="54">E143</f>
        <v>#ERROR!</v>
      </c>
      <c r="F142" s="41" t="str">
        <f t="shared" si="54"/>
        <v>#ERROR!</v>
      </c>
      <c r="G142" s="1"/>
      <c r="H142" s="1"/>
      <c r="I142" s="1"/>
      <c r="J142" s="1"/>
      <c r="K142" s="1"/>
      <c r="L142" s="1"/>
      <c r="M142" s="1"/>
    </row>
    <row r="143" ht="17.25" customHeight="1">
      <c r="A143" s="1"/>
      <c r="B143" s="30"/>
      <c r="C143" s="53" t="s">
        <v>57</v>
      </c>
      <c r="D143" s="38" t="str">
        <f t="shared" si="53"/>
        <v>#ERROR!</v>
      </c>
      <c r="E143" s="41" t="str">
        <f>SUMIFS(②유기농raw!#REF!,②유기농raw!#REF!,E$140,②유기농raw!#REF!,$B142)</f>
        <v>#ERROR!</v>
      </c>
      <c r="F143" s="41" t="str">
        <f>SUMIFS(②유기농raw!#REF!,②유기농raw!#REF!,F$140,②유기농raw!#REF!,$B142)</f>
        <v>#ERROR!</v>
      </c>
      <c r="G143" s="1"/>
      <c r="H143" s="1"/>
      <c r="I143" s="1"/>
      <c r="J143" s="1"/>
      <c r="K143" s="1"/>
      <c r="L143" s="1"/>
      <c r="M143" s="1"/>
    </row>
    <row r="144" ht="17.25" customHeight="1">
      <c r="A144" s="1"/>
      <c r="B144" s="64" t="s">
        <v>99</v>
      </c>
      <c r="C144" s="53" t="s">
        <v>24</v>
      </c>
      <c r="D144" s="38" t="str">
        <f t="shared" si="53"/>
        <v>#ERROR!</v>
      </c>
      <c r="E144" s="41" t="str">
        <f t="shared" ref="E144:F144" si="55">E145</f>
        <v>#ERROR!</v>
      </c>
      <c r="F144" s="41" t="str">
        <f t="shared" si="55"/>
        <v>#ERROR!</v>
      </c>
      <c r="G144" s="1"/>
      <c r="H144" s="1"/>
      <c r="I144" s="1"/>
      <c r="J144" s="1"/>
      <c r="K144" s="1"/>
      <c r="L144" s="1"/>
      <c r="M144" s="1"/>
    </row>
    <row r="145" ht="17.25" customHeight="1">
      <c r="A145" s="1"/>
      <c r="B145" s="30"/>
      <c r="C145" s="53" t="s">
        <v>57</v>
      </c>
      <c r="D145" s="38" t="str">
        <f t="shared" si="53"/>
        <v>#ERROR!</v>
      </c>
      <c r="E145" s="41" t="str">
        <f>SUMIFS(②유기농raw!#REF!,②유기농raw!#REF!,E$140,②유기농raw!#REF!,$B144)</f>
        <v>#ERROR!</v>
      </c>
      <c r="F145" s="41" t="str">
        <f>SUMIFS(②유기농raw!#REF!,②유기농raw!#REF!,F$140,②유기농raw!#REF!,$B144)</f>
        <v>#ERROR!</v>
      </c>
      <c r="G145" s="1"/>
      <c r="H145" s="1"/>
      <c r="I145" s="1"/>
      <c r="J145" s="1"/>
      <c r="K145" s="1"/>
      <c r="L145" s="1"/>
      <c r="M145" s="1"/>
    </row>
    <row r="146" ht="17.25" customHeight="1">
      <c r="A146" s="1"/>
      <c r="B146" s="64" t="s">
        <v>63</v>
      </c>
      <c r="C146" s="53" t="s">
        <v>24</v>
      </c>
      <c r="D146" s="38" t="str">
        <f t="shared" si="53"/>
        <v>#ERROR!</v>
      </c>
      <c r="E146" s="41" t="str">
        <f t="shared" ref="E146:F146" si="56">E147</f>
        <v>#ERROR!</v>
      </c>
      <c r="F146" s="41" t="str">
        <f t="shared" si="56"/>
        <v>#ERROR!</v>
      </c>
      <c r="G146" s="1"/>
      <c r="H146" s="1"/>
      <c r="I146" s="1"/>
      <c r="J146" s="1"/>
      <c r="K146" s="1"/>
      <c r="L146" s="1"/>
      <c r="M146" s="1"/>
    </row>
    <row r="147" ht="17.25" customHeight="1">
      <c r="A147" s="1"/>
      <c r="B147" s="30"/>
      <c r="C147" s="53" t="s">
        <v>57</v>
      </c>
      <c r="D147" s="38" t="str">
        <f t="shared" si="53"/>
        <v>#ERROR!</v>
      </c>
      <c r="E147" s="41" t="str">
        <f>SUMIFS(②유기농raw!#REF!,②유기농raw!#REF!,E$140,②유기농raw!#REF!,$B146)</f>
        <v>#ERROR!</v>
      </c>
      <c r="F147" s="41" t="str">
        <f>SUMIFS(②유기농raw!#REF!,②유기농raw!#REF!,F$140,②유기농raw!#REF!,$B146)</f>
        <v>#ERROR!</v>
      </c>
      <c r="G147" s="1"/>
      <c r="H147" s="1"/>
      <c r="I147" s="1"/>
      <c r="J147" s="1"/>
      <c r="K147" s="1"/>
      <c r="L147" s="1"/>
      <c r="M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7.25" customHeight="1">
      <c r="A149" s="1"/>
      <c r="B149" s="11" t="s">
        <v>966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7.25" customHeight="1">
      <c r="A150" s="1"/>
      <c r="B150" s="36" t="s">
        <v>1539</v>
      </c>
      <c r="C150" s="15" t="s">
        <v>5</v>
      </c>
      <c r="D150" s="36" t="s">
        <v>10</v>
      </c>
      <c r="E150" s="32" t="s">
        <v>25</v>
      </c>
      <c r="F150" s="32" t="s">
        <v>21</v>
      </c>
      <c r="G150" s="1"/>
      <c r="H150" s="1"/>
      <c r="I150" s="1"/>
      <c r="J150" s="1"/>
      <c r="K150" s="1"/>
      <c r="L150" s="1"/>
      <c r="M150" s="1"/>
    </row>
    <row r="151" ht="17.25" customHeight="1">
      <c r="A151" s="1"/>
      <c r="B151" s="36" t="s">
        <v>10</v>
      </c>
      <c r="C151" s="30"/>
      <c r="D151" s="38" t="str">
        <f t="shared" ref="D151:D157" si="58">SUM(E151:F151)</f>
        <v>#ERROR!</v>
      </c>
      <c r="E151" s="41" t="str">
        <f t="shared" ref="E151:F151" si="57">E152+E154+E156</f>
        <v>#ERROR!</v>
      </c>
      <c r="F151" s="41" t="str">
        <f t="shared" si="57"/>
        <v>#ERROR!</v>
      </c>
      <c r="G151" s="1"/>
      <c r="H151" s="1"/>
      <c r="I151" s="1"/>
      <c r="J151" s="1"/>
      <c r="K151" s="1"/>
      <c r="L151" s="1"/>
      <c r="M151" s="1"/>
    </row>
    <row r="152" ht="17.25" customHeight="1">
      <c r="A152" s="1"/>
      <c r="B152" s="64" t="s">
        <v>91</v>
      </c>
      <c r="C152" s="53" t="s">
        <v>24</v>
      </c>
      <c r="D152" s="38" t="str">
        <f t="shared" si="58"/>
        <v>#ERROR!</v>
      </c>
      <c r="E152" s="41" t="str">
        <f t="shared" ref="E152:F152" si="59">E153</f>
        <v>#ERROR!</v>
      </c>
      <c r="F152" s="41" t="str">
        <f t="shared" si="59"/>
        <v>#ERROR!</v>
      </c>
      <c r="G152" s="1"/>
      <c r="H152" s="1"/>
      <c r="I152" s="1"/>
      <c r="J152" s="1"/>
      <c r="K152" s="1"/>
      <c r="L152" s="1"/>
      <c r="M152" s="1"/>
    </row>
    <row r="153" ht="17.25" customHeight="1">
      <c r="A153" s="1"/>
      <c r="B153" s="30"/>
      <c r="C153" s="53" t="s">
        <v>57</v>
      </c>
      <c r="D153" s="38" t="str">
        <f t="shared" si="58"/>
        <v>#ERROR!</v>
      </c>
      <c r="E153" s="41" t="str">
        <f>SUMIFS(②유기농raw!#REF!,②유기농raw!#REF!,E$150,②유기농raw!#REF!,$B152)</f>
        <v>#ERROR!</v>
      </c>
      <c r="F153" s="41" t="str">
        <f>SUMIFS(②유기농raw!#REF!,②유기농raw!#REF!,F$150,②유기농raw!#REF!,$B152)</f>
        <v>#ERROR!</v>
      </c>
      <c r="G153" s="1"/>
      <c r="H153" s="1"/>
      <c r="I153" s="1"/>
      <c r="J153" s="1"/>
      <c r="K153" s="1"/>
      <c r="L153" s="1"/>
      <c r="M153" s="1"/>
    </row>
    <row r="154" ht="17.25" customHeight="1">
      <c r="A154" s="1"/>
      <c r="B154" s="64" t="s">
        <v>99</v>
      </c>
      <c r="C154" s="53" t="s">
        <v>24</v>
      </c>
      <c r="D154" s="38" t="str">
        <f t="shared" si="58"/>
        <v>#ERROR!</v>
      </c>
      <c r="E154" s="41" t="str">
        <f t="shared" ref="E154:F154" si="60">E155</f>
        <v>#ERROR!</v>
      </c>
      <c r="F154" s="41" t="str">
        <f t="shared" si="60"/>
        <v>#ERROR!</v>
      </c>
      <c r="G154" s="1"/>
      <c r="H154" s="1"/>
      <c r="I154" s="1"/>
      <c r="J154" s="1"/>
      <c r="K154" s="1"/>
      <c r="L154" s="1"/>
      <c r="M154" s="1"/>
    </row>
    <row r="155" ht="17.25" customHeight="1">
      <c r="A155" s="1"/>
      <c r="B155" s="30"/>
      <c r="C155" s="53" t="s">
        <v>57</v>
      </c>
      <c r="D155" s="38" t="str">
        <f t="shared" si="58"/>
        <v>#ERROR!</v>
      </c>
      <c r="E155" s="41" t="str">
        <f>SUMIFS(②유기농raw!#REF!,②유기농raw!#REF!,E$150,②유기농raw!#REF!,$B154)</f>
        <v>#ERROR!</v>
      </c>
      <c r="F155" s="41" t="str">
        <f>SUMIFS(②유기농raw!#REF!,②유기농raw!#REF!,F$150,②유기농raw!#REF!,$B154)</f>
        <v>#ERROR!</v>
      </c>
      <c r="G155" s="1"/>
      <c r="H155" s="1"/>
      <c r="I155" s="1"/>
      <c r="J155" s="1"/>
      <c r="K155" s="1"/>
      <c r="L155" s="1"/>
      <c r="M155" s="1"/>
    </row>
    <row r="156" ht="17.25" customHeight="1">
      <c r="A156" s="1"/>
      <c r="B156" s="64" t="s">
        <v>63</v>
      </c>
      <c r="C156" s="53" t="s">
        <v>24</v>
      </c>
      <c r="D156" s="38" t="str">
        <f t="shared" si="58"/>
        <v>#ERROR!</v>
      </c>
      <c r="E156" s="41" t="str">
        <f t="shared" ref="E156:F156" si="61">E157</f>
        <v>#ERROR!</v>
      </c>
      <c r="F156" s="41" t="str">
        <f t="shared" si="61"/>
        <v>#ERROR!</v>
      </c>
      <c r="G156" s="1"/>
      <c r="H156" s="1"/>
      <c r="I156" s="1"/>
      <c r="J156" s="1"/>
      <c r="K156" s="1"/>
      <c r="L156" s="1"/>
      <c r="M156" s="1"/>
    </row>
    <row r="157" ht="17.25" customHeight="1">
      <c r="A157" s="1"/>
      <c r="B157" s="30"/>
      <c r="C157" s="53" t="s">
        <v>57</v>
      </c>
      <c r="D157" s="38" t="str">
        <f t="shared" si="58"/>
        <v>#ERROR!</v>
      </c>
      <c r="E157" s="41" t="str">
        <f>SUMIFS(②유기농raw!#REF!,②유기농raw!#REF!,E$150,②유기농raw!#REF!,$B156)</f>
        <v>#ERROR!</v>
      </c>
      <c r="F157" s="41" t="str">
        <f>SUMIFS(②유기농raw!#REF!,②유기농raw!#REF!,F$150,②유기농raw!#REF!,$B156)</f>
        <v>#ERROR!</v>
      </c>
      <c r="G157" s="1"/>
      <c r="H157" s="1"/>
      <c r="I157" s="1"/>
      <c r="J157" s="1"/>
      <c r="K157" s="1"/>
      <c r="L157" s="1"/>
      <c r="M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78">
    <mergeCell ref="B65:C65"/>
    <mergeCell ref="B66:C66"/>
    <mergeCell ref="B67:C67"/>
    <mergeCell ref="B70:C70"/>
    <mergeCell ref="B71:C71"/>
    <mergeCell ref="B72:C72"/>
    <mergeCell ref="B76:C76"/>
    <mergeCell ref="B77:B78"/>
    <mergeCell ref="B79:B80"/>
    <mergeCell ref="B81:B82"/>
    <mergeCell ref="C85:C86"/>
    <mergeCell ref="B87:B88"/>
    <mergeCell ref="B89:B90"/>
    <mergeCell ref="B91:B92"/>
    <mergeCell ref="B99:B100"/>
    <mergeCell ref="B101:B102"/>
    <mergeCell ref="B108:C108"/>
    <mergeCell ref="B109:B110"/>
    <mergeCell ref="B113:C113"/>
    <mergeCell ref="B114:C114"/>
    <mergeCell ref="B115:C115"/>
    <mergeCell ref="B116:C116"/>
    <mergeCell ref="B117:C117"/>
    <mergeCell ref="B120:C120"/>
    <mergeCell ref="B121:C121"/>
    <mergeCell ref="B122:C122"/>
    <mergeCell ref="B125:C125"/>
    <mergeCell ref="B126:C126"/>
    <mergeCell ref="B144:B145"/>
    <mergeCell ref="B146:B147"/>
    <mergeCell ref="C150:C151"/>
    <mergeCell ref="B152:B153"/>
    <mergeCell ref="B154:B155"/>
    <mergeCell ref="B156:B157"/>
    <mergeCell ref="B127:C127"/>
    <mergeCell ref="C130:C131"/>
    <mergeCell ref="B132:B133"/>
    <mergeCell ref="B134:B135"/>
    <mergeCell ref="B136:B137"/>
    <mergeCell ref="C140:C141"/>
    <mergeCell ref="B142:B143"/>
    <mergeCell ref="D16:J16"/>
    <mergeCell ref="K16:M16"/>
    <mergeCell ref="D21:J21"/>
    <mergeCell ref="K21:M21"/>
    <mergeCell ref="D26:J26"/>
    <mergeCell ref="K26:M26"/>
    <mergeCell ref="B4:B5"/>
    <mergeCell ref="C4:C5"/>
    <mergeCell ref="D4:J4"/>
    <mergeCell ref="K4:M4"/>
    <mergeCell ref="C11:C12"/>
    <mergeCell ref="D11:J11"/>
    <mergeCell ref="K11:M11"/>
    <mergeCell ref="B34:B35"/>
    <mergeCell ref="C34:C35"/>
    <mergeCell ref="D34:J34"/>
    <mergeCell ref="K34:M34"/>
    <mergeCell ref="B42:B43"/>
    <mergeCell ref="C42:C43"/>
    <mergeCell ref="D42:J42"/>
    <mergeCell ref="K42:M42"/>
    <mergeCell ref="B11:B12"/>
    <mergeCell ref="B16:B17"/>
    <mergeCell ref="C16:C17"/>
    <mergeCell ref="B21:B22"/>
    <mergeCell ref="C21:C22"/>
    <mergeCell ref="B26:B27"/>
    <mergeCell ref="C26:C27"/>
    <mergeCell ref="B53:C53"/>
    <mergeCell ref="B54:B55"/>
    <mergeCell ref="B58:C58"/>
    <mergeCell ref="B59:C59"/>
    <mergeCell ref="B60:C60"/>
    <mergeCell ref="B61:C61"/>
    <mergeCell ref="B62:C62"/>
    <mergeCell ref="C95:C96"/>
    <mergeCell ref="B97:B9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14"/>
    <col customWidth="1" min="3" max="3" width="16.0"/>
    <col customWidth="1" min="4" max="4" width="34.0"/>
    <col customWidth="1" min="5" max="5" width="13.14"/>
    <col customWidth="1" min="6" max="6" width="12.71"/>
    <col customWidth="1" min="7" max="7" width="17.14"/>
    <col customWidth="1" min="8" max="8" width="12.71"/>
    <col customWidth="1" min="9" max="9" width="17.86"/>
    <col customWidth="1" min="10" max="26" width="8.71"/>
  </cols>
  <sheetData>
    <row r="1" ht="17.25" customHeight="1">
      <c r="B1" s="4"/>
      <c r="C1" s="4"/>
      <c r="E1" s="4"/>
      <c r="F1" s="8">
        <f t="shared" ref="F1:H1" si="1">SUM(F3:F287)</f>
        <v>475218</v>
      </c>
      <c r="G1" s="8">
        <f t="shared" si="1"/>
        <v>6227333500</v>
      </c>
      <c r="H1" s="8">
        <f t="shared" si="1"/>
        <v>266369319</v>
      </c>
      <c r="I1" s="4">
        <f>COUNTIF(I3:I500,"O")</f>
        <v>186</v>
      </c>
    </row>
    <row r="2" ht="17.25" customHeight="1">
      <c r="A2" s="14" t="s">
        <v>3</v>
      </c>
      <c r="B2" s="14" t="s">
        <v>5</v>
      </c>
      <c r="C2" s="14" t="s">
        <v>6</v>
      </c>
      <c r="D2" s="14" t="s">
        <v>7</v>
      </c>
      <c r="E2" s="14" t="s">
        <v>8</v>
      </c>
      <c r="F2" s="18" t="s">
        <v>9</v>
      </c>
      <c r="G2" s="18" t="s">
        <v>12</v>
      </c>
      <c r="H2" s="18" t="s">
        <v>13</v>
      </c>
      <c r="I2" s="21" t="s">
        <v>14</v>
      </c>
    </row>
    <row r="3" ht="17.25" customHeight="1">
      <c r="A3" s="24">
        <v>1.0</v>
      </c>
      <c r="B3" s="24" t="s">
        <v>16</v>
      </c>
      <c r="C3" s="24" t="s">
        <v>19</v>
      </c>
      <c r="D3" s="28" t="s">
        <v>20</v>
      </c>
      <c r="E3" s="24" t="s">
        <v>22</v>
      </c>
      <c r="F3" s="33">
        <f>SUMIF('①농산물raw'!$D:$D,$C3,'①농산물raw'!$F:$F)</f>
        <v>0</v>
      </c>
      <c r="G3" s="33">
        <f>SUMIF('①농산물raw'!$D:$D,$C3,'①농산물raw'!$G:$G)</f>
        <v>0</v>
      </c>
      <c r="H3" s="33">
        <f>SUMIF('①농산물raw'!$D:$D,$C3,'①농산물raw'!$H:$H)</f>
        <v>0</v>
      </c>
      <c r="I3" s="28"/>
    </row>
    <row r="4" ht="17.25" customHeight="1">
      <c r="A4" s="24">
        <v>2.0</v>
      </c>
      <c r="B4" s="24" t="s">
        <v>16</v>
      </c>
      <c r="C4" s="24" t="s">
        <v>30</v>
      </c>
      <c r="D4" s="28" t="s">
        <v>31</v>
      </c>
      <c r="E4" s="24" t="s">
        <v>22</v>
      </c>
      <c r="F4" s="33">
        <f>SUMIF('①농산물raw'!$D:$D,$C4,'①농산물raw'!$F:$F)</f>
        <v>8</v>
      </c>
      <c r="G4" s="33">
        <f>SUMIF('①농산물raw'!$D:$D,$C4,'①농산물raw'!$G:$G)</f>
        <v>316300</v>
      </c>
      <c r="H4" s="33">
        <f>SUMIF('①농산물raw'!$D:$D,$C4,'①농산물raw'!$H:$H)</f>
        <v>46330</v>
      </c>
      <c r="I4" s="24" t="s">
        <v>33</v>
      </c>
    </row>
    <row r="5" ht="17.25" customHeight="1">
      <c r="A5" s="24">
        <v>3.0</v>
      </c>
      <c r="B5" s="24" t="s">
        <v>16</v>
      </c>
      <c r="C5" s="24" t="s">
        <v>36</v>
      </c>
      <c r="D5" s="28" t="s">
        <v>37</v>
      </c>
      <c r="E5" s="24" t="s">
        <v>25</v>
      </c>
      <c r="F5" s="33">
        <f>SUMIF('①농산물raw'!$D:$D,$C5,'①농산물raw'!$F:$F)</f>
        <v>130</v>
      </c>
      <c r="G5" s="33">
        <f>SUMIF('①농산물raw'!$D:$D,$C5,'①농산물raw'!$G:$G)</f>
        <v>4155000</v>
      </c>
      <c r="H5" s="33">
        <f>SUMIF('①농산물raw'!$D:$D,$C5,'①농산물raw'!$H:$H)</f>
        <v>346200</v>
      </c>
      <c r="I5" s="24" t="s">
        <v>33</v>
      </c>
    </row>
    <row r="6" ht="17.25" customHeight="1">
      <c r="A6" s="24">
        <v>4.0</v>
      </c>
      <c r="B6" s="24" t="s">
        <v>38</v>
      </c>
      <c r="C6" s="24" t="s">
        <v>42</v>
      </c>
      <c r="D6" s="28" t="s">
        <v>43</v>
      </c>
      <c r="E6" s="24" t="s">
        <v>25</v>
      </c>
      <c r="F6" s="33">
        <f>SUMIF('①농산물raw'!$D:$D,$C6,'①농산물raw'!$F:$F)</f>
        <v>0</v>
      </c>
      <c r="G6" s="33">
        <f>SUMIF('①농산물raw'!$D:$D,$C6,'①농산물raw'!$G:$G)</f>
        <v>0</v>
      </c>
      <c r="H6" s="33">
        <f>SUMIF('①농산물raw'!$D:$D,$C6,'①농산물raw'!$H:$H)</f>
        <v>0</v>
      </c>
      <c r="I6" s="28"/>
    </row>
    <row r="7" ht="17.25" customHeight="1">
      <c r="A7" s="24">
        <v>5.0</v>
      </c>
      <c r="B7" s="24" t="s">
        <v>46</v>
      </c>
      <c r="C7" s="24" t="s">
        <v>47</v>
      </c>
      <c r="D7" s="28" t="s">
        <v>48</v>
      </c>
      <c r="E7" s="24" t="s">
        <v>25</v>
      </c>
      <c r="F7" s="33">
        <f>SUMIF('①농산물raw'!$D:$D,$C7,'①농산물raw'!$F:$F)</f>
        <v>124</v>
      </c>
      <c r="G7" s="33">
        <f>SUMIF('①농산물raw'!$D:$D,$C7,'①농산물raw'!$G:$G)</f>
        <v>5319400</v>
      </c>
      <c r="H7" s="33">
        <f>SUMIF('①농산물raw'!$D:$D,$C7,'①농산물raw'!$H:$H)</f>
        <v>477360</v>
      </c>
      <c r="I7" s="24" t="s">
        <v>33</v>
      </c>
    </row>
    <row r="8" ht="17.25" customHeight="1">
      <c r="A8" s="24">
        <v>6.0</v>
      </c>
      <c r="B8" s="24" t="s">
        <v>16</v>
      </c>
      <c r="C8" s="45" t="s">
        <v>56</v>
      </c>
      <c r="D8" s="28" t="s">
        <v>60</v>
      </c>
      <c r="E8" s="24" t="s">
        <v>22</v>
      </c>
      <c r="F8" s="33">
        <f>SUMIF('①농산물raw'!$D:$D,$C8,'①농산물raw'!$F:$F)</f>
        <v>0</v>
      </c>
      <c r="G8" s="33">
        <f>SUMIF('①농산물raw'!$D:$D,$C8,'①농산물raw'!$G:$G)</f>
        <v>0</v>
      </c>
      <c r="H8" s="33">
        <f>SUMIF('①농산물raw'!$D:$D,$C8,'①농산물raw'!$H:$H)</f>
        <v>0</v>
      </c>
      <c r="I8" s="28"/>
    </row>
    <row r="9" ht="17.25" customHeight="1">
      <c r="A9" s="24">
        <v>7.0</v>
      </c>
      <c r="B9" s="24" t="s">
        <v>16</v>
      </c>
      <c r="C9" s="24" t="s">
        <v>66</v>
      </c>
      <c r="D9" s="28" t="s">
        <v>67</v>
      </c>
      <c r="E9" s="24" t="s">
        <v>22</v>
      </c>
      <c r="F9" s="33">
        <f>SUMIF('①농산물raw'!$D:$D,$C9,'①농산물raw'!$F:$F)</f>
        <v>1999</v>
      </c>
      <c r="G9" s="33">
        <f>SUMIF('①농산물raw'!$D:$D,$C9,'①농산물raw'!$G:$G)</f>
        <v>23281100</v>
      </c>
      <c r="H9" s="33">
        <f>SUMIF('①농산물raw'!$D:$D,$C9,'①농산물raw'!$H:$H)</f>
        <v>4157060</v>
      </c>
      <c r="I9" s="24" t="s">
        <v>33</v>
      </c>
    </row>
    <row r="10" ht="17.25" customHeight="1">
      <c r="A10" s="24">
        <v>8.0</v>
      </c>
      <c r="B10" s="24" t="s">
        <v>38</v>
      </c>
      <c r="C10" s="24" t="s">
        <v>73</v>
      </c>
      <c r="D10" s="28" t="s">
        <v>74</v>
      </c>
      <c r="E10" s="24" t="s">
        <v>22</v>
      </c>
      <c r="F10" s="33">
        <f>SUMIF('①농산물raw'!$D:$D,$C10,'①농산물raw'!$F:$F)</f>
        <v>0</v>
      </c>
      <c r="G10" s="33">
        <f>SUMIF('①농산물raw'!$D:$D,$C10,'①농산물raw'!$G:$G)</f>
        <v>0</v>
      </c>
      <c r="H10" s="33">
        <f>SUMIF('①농산물raw'!$D:$D,$C10,'①농산물raw'!$H:$H)</f>
        <v>0</v>
      </c>
      <c r="I10" s="28"/>
    </row>
    <row r="11" ht="17.25" customHeight="1">
      <c r="A11" s="24">
        <v>9.0</v>
      </c>
      <c r="B11" s="24" t="s">
        <v>38</v>
      </c>
      <c r="C11" s="24" t="s">
        <v>76</v>
      </c>
      <c r="D11" s="28" t="s">
        <v>77</v>
      </c>
      <c r="E11" s="24" t="s">
        <v>25</v>
      </c>
      <c r="F11" s="33">
        <f>SUMIF('①농산물raw'!$D:$D,$C11,'①농산물raw'!$F:$F)</f>
        <v>0</v>
      </c>
      <c r="G11" s="33">
        <f>SUMIF('①농산물raw'!$D:$D,$C11,'①농산물raw'!$G:$G)</f>
        <v>0</v>
      </c>
      <c r="H11" s="33">
        <f>SUMIF('①농산물raw'!$D:$D,$C11,'①농산물raw'!$H:$H)</f>
        <v>0</v>
      </c>
      <c r="I11" s="28"/>
    </row>
    <row r="12" ht="17.25" customHeight="1">
      <c r="A12" s="24">
        <v>10.0</v>
      </c>
      <c r="B12" s="24" t="s">
        <v>16</v>
      </c>
      <c r="C12" s="24" t="s">
        <v>81</v>
      </c>
      <c r="D12" s="28" t="s">
        <v>83</v>
      </c>
      <c r="E12" s="24" t="s">
        <v>22</v>
      </c>
      <c r="F12" s="33">
        <f>SUMIF('①농산물raw'!$D:$D,$C12,'①농산물raw'!$F:$F)</f>
        <v>0</v>
      </c>
      <c r="G12" s="33">
        <f>SUMIF('①농산물raw'!$D:$D,$C12,'①농산물raw'!$G:$G)</f>
        <v>0</v>
      </c>
      <c r="H12" s="33">
        <f>SUMIF('①농산물raw'!$D:$D,$C12,'①농산물raw'!$H:$H)</f>
        <v>0</v>
      </c>
      <c r="I12" s="28"/>
    </row>
    <row r="13" ht="17.25" customHeight="1">
      <c r="A13" s="24">
        <v>11.0</v>
      </c>
      <c r="B13" s="24" t="s">
        <v>16</v>
      </c>
      <c r="C13" s="24" t="s">
        <v>69</v>
      </c>
      <c r="D13" s="28" t="s">
        <v>68</v>
      </c>
      <c r="E13" s="24" t="s">
        <v>26</v>
      </c>
      <c r="F13" s="33">
        <f>SUMIF('①농산물raw'!$D:$D,$C13,'①농산물raw'!$F:$F)</f>
        <v>253</v>
      </c>
      <c r="G13" s="33">
        <f>SUMIF('①농산물raw'!$D:$D,$C13,'①농산물raw'!$G:$G)</f>
        <v>5220720</v>
      </c>
      <c r="H13" s="33">
        <f>SUMIF('①농산물raw'!$D:$D,$C13,'①농산물raw'!$H:$H)</f>
        <v>278100</v>
      </c>
      <c r="I13" s="24" t="s">
        <v>33</v>
      </c>
    </row>
    <row r="14" ht="17.25" customHeight="1">
      <c r="A14" s="24">
        <v>12.0</v>
      </c>
      <c r="B14" s="24" t="s">
        <v>16</v>
      </c>
      <c r="C14" s="24" t="s">
        <v>100</v>
      </c>
      <c r="D14" s="28" t="s">
        <v>101</v>
      </c>
      <c r="E14" s="24" t="s">
        <v>25</v>
      </c>
      <c r="F14" s="33">
        <f>SUMIF('①농산물raw'!$D:$D,$C14,'①농산물raw'!$F:$F)</f>
        <v>702</v>
      </c>
      <c r="G14" s="33">
        <f>SUMIF('①농산물raw'!$D:$D,$C14,'①농산물raw'!$G:$G)</f>
        <v>31950500</v>
      </c>
      <c r="H14" s="33">
        <f>SUMIF('①농산물raw'!$D:$D,$C14,'①농산물raw'!$H:$H)</f>
        <v>2604620</v>
      </c>
      <c r="I14" s="24" t="s">
        <v>33</v>
      </c>
    </row>
    <row r="15" ht="17.25" customHeight="1">
      <c r="A15" s="24">
        <v>13.0</v>
      </c>
      <c r="B15" s="24" t="s">
        <v>16</v>
      </c>
      <c r="C15" s="24" t="s">
        <v>114</v>
      </c>
      <c r="D15" s="28" t="s">
        <v>115</v>
      </c>
      <c r="E15" s="24" t="s">
        <v>25</v>
      </c>
      <c r="F15" s="33">
        <f>SUMIF('①농산물raw'!$D:$D,$C15,'①농산물raw'!$F:$F)</f>
        <v>2007</v>
      </c>
      <c r="G15" s="33">
        <f>SUMIF('①농산물raw'!$D:$D,$C15,'①농산물raw'!$G:$G)</f>
        <v>74676000</v>
      </c>
      <c r="H15" s="33">
        <f>SUMIF('①농산물raw'!$D:$D,$C15,'①농산물raw'!$H:$H)</f>
        <v>4947920</v>
      </c>
      <c r="I15" s="24" t="s">
        <v>33</v>
      </c>
    </row>
    <row r="16" ht="17.25" customHeight="1">
      <c r="A16" s="24">
        <v>14.0</v>
      </c>
      <c r="B16" s="24" t="s">
        <v>46</v>
      </c>
      <c r="C16" s="24" t="s">
        <v>122</v>
      </c>
      <c r="D16" s="28" t="s">
        <v>123</v>
      </c>
      <c r="E16" s="24" t="s">
        <v>25</v>
      </c>
      <c r="F16" s="33">
        <f>SUMIF('①농산물raw'!$D:$D,$C16,'①농산물raw'!$F:$F)</f>
        <v>480</v>
      </c>
      <c r="G16" s="33">
        <f>SUMIF('①농산물raw'!$D:$D,$C16,'①농산물raw'!$G:$G)</f>
        <v>18557000</v>
      </c>
      <c r="H16" s="33">
        <f>SUMIF('①농산물raw'!$D:$D,$C16,'①농산물raw'!$H:$H)</f>
        <v>1065800</v>
      </c>
      <c r="I16" s="24" t="s">
        <v>33</v>
      </c>
    </row>
    <row r="17" ht="17.25" customHeight="1">
      <c r="A17" s="24">
        <v>15.0</v>
      </c>
      <c r="B17" s="24" t="s">
        <v>38</v>
      </c>
      <c r="C17" s="24" t="s">
        <v>137</v>
      </c>
      <c r="D17" s="28" t="s">
        <v>138</v>
      </c>
      <c r="E17" s="24" t="s">
        <v>25</v>
      </c>
      <c r="F17" s="33">
        <f>SUMIF('①농산물raw'!$D:$D,$C17,'①농산물raw'!$F:$F)</f>
        <v>30</v>
      </c>
      <c r="G17" s="33">
        <f>SUMIF('①농산물raw'!$D:$D,$C17,'①농산물raw'!$G:$G)</f>
        <v>599700</v>
      </c>
      <c r="H17" s="33">
        <f>SUMIF('①농산물raw'!$D:$D,$C17,'①농산물raw'!$H:$H)</f>
        <v>33980</v>
      </c>
      <c r="I17" s="24" t="s">
        <v>33</v>
      </c>
    </row>
    <row r="18" ht="17.25" customHeight="1">
      <c r="A18" s="24">
        <v>16.0</v>
      </c>
      <c r="B18" s="24" t="s">
        <v>16</v>
      </c>
      <c r="C18" s="24" t="s">
        <v>149</v>
      </c>
      <c r="D18" s="28" t="s">
        <v>150</v>
      </c>
      <c r="E18" s="24" t="s">
        <v>22</v>
      </c>
      <c r="F18" s="33">
        <f>SUMIF('①농산물raw'!$D:$D,$C18,'①농산물raw'!$F:$F)</f>
        <v>0</v>
      </c>
      <c r="G18" s="33">
        <f>SUMIF('①농산물raw'!$D:$D,$C18,'①농산물raw'!$G:$G)</f>
        <v>0</v>
      </c>
      <c r="H18" s="33">
        <f>SUMIF('①농산물raw'!$D:$D,$C18,'①농산물raw'!$H:$H)</f>
        <v>0</v>
      </c>
      <c r="I18" s="28"/>
    </row>
    <row r="19" ht="17.25" customHeight="1">
      <c r="A19" s="24">
        <v>17.0</v>
      </c>
      <c r="B19" s="24" t="s">
        <v>16</v>
      </c>
      <c r="C19" s="24" t="s">
        <v>166</v>
      </c>
      <c r="D19" s="28" t="s">
        <v>167</v>
      </c>
      <c r="E19" s="24" t="s">
        <v>29</v>
      </c>
      <c r="F19" s="33">
        <f>SUMIF('①농산물raw'!$D:$D,$C19,'①농산물raw'!$F:$F)</f>
        <v>856</v>
      </c>
      <c r="G19" s="33">
        <f>SUMIF('①농산물raw'!$D:$D,$C19,'①농산물raw'!$G:$G)</f>
        <v>10693525</v>
      </c>
      <c r="H19" s="33">
        <f>SUMIF('①농산물raw'!$D:$D,$C19,'①농산물raw'!$H:$H)</f>
        <v>974340</v>
      </c>
      <c r="I19" s="24" t="s">
        <v>33</v>
      </c>
    </row>
    <row r="20" ht="17.25" customHeight="1">
      <c r="A20" s="24">
        <v>18.0</v>
      </c>
      <c r="B20" s="24" t="s">
        <v>46</v>
      </c>
      <c r="C20" s="24" t="s">
        <v>184</v>
      </c>
      <c r="D20" s="28" t="s">
        <v>185</v>
      </c>
      <c r="E20" s="24" t="s">
        <v>25</v>
      </c>
      <c r="F20" s="33">
        <f>SUMIF('①농산물raw'!$D:$D,$C20,'①농산물raw'!$F:$F)</f>
        <v>0</v>
      </c>
      <c r="G20" s="33">
        <f>SUMIF('①농산물raw'!$D:$D,$C20,'①농산물raw'!$G:$G)</f>
        <v>0</v>
      </c>
      <c r="H20" s="33">
        <f>SUMIF('①농산물raw'!$D:$D,$C20,'①농산물raw'!$H:$H)</f>
        <v>0</v>
      </c>
      <c r="I20" s="28"/>
    </row>
    <row r="21" ht="17.25" customHeight="1">
      <c r="A21" s="24">
        <v>19.0</v>
      </c>
      <c r="B21" s="24" t="s">
        <v>16</v>
      </c>
      <c r="C21" s="24" t="s">
        <v>84</v>
      </c>
      <c r="D21" s="28" t="s">
        <v>82</v>
      </c>
      <c r="E21" s="24" t="s">
        <v>26</v>
      </c>
      <c r="F21" s="33">
        <f>SUMIF('①농산물raw'!$D:$D,$C21,'①농산물raw'!$F:$F)</f>
        <v>4</v>
      </c>
      <c r="G21" s="33">
        <f>SUMIF('①농산물raw'!$D:$D,$C21,'①농산물raw'!$G:$G)</f>
        <v>187600</v>
      </c>
      <c r="H21" s="33">
        <f>SUMIF('①농산물raw'!$D:$D,$C21,'①농산물raw'!$H:$H)</f>
        <v>0</v>
      </c>
      <c r="I21" s="24" t="s">
        <v>33</v>
      </c>
    </row>
    <row r="22" ht="17.25" customHeight="1">
      <c r="A22" s="24">
        <v>20.0</v>
      </c>
      <c r="B22" s="24" t="s">
        <v>46</v>
      </c>
      <c r="C22" s="24" t="s">
        <v>207</v>
      </c>
      <c r="D22" s="28" t="s">
        <v>209</v>
      </c>
      <c r="E22" s="24" t="s">
        <v>25</v>
      </c>
      <c r="F22" s="33">
        <f>SUMIF('①농산물raw'!$D:$D,$C22,'①농산물raw'!$F:$F)</f>
        <v>5</v>
      </c>
      <c r="G22" s="33">
        <f>SUMIF('①농산물raw'!$D:$D,$C22,'①농산물raw'!$G:$G)</f>
        <v>240000</v>
      </c>
      <c r="H22" s="33">
        <f>SUMIF('①농산물raw'!$D:$D,$C22,'①농산물raw'!$H:$H)</f>
        <v>0</v>
      </c>
      <c r="I22" s="24" t="s">
        <v>33</v>
      </c>
    </row>
    <row r="23" ht="17.25" customHeight="1">
      <c r="A23" s="24">
        <v>21.0</v>
      </c>
      <c r="B23" s="24" t="s">
        <v>38</v>
      </c>
      <c r="C23" s="24" t="s">
        <v>227</v>
      </c>
      <c r="D23" s="28" t="s">
        <v>228</v>
      </c>
      <c r="E23" s="24" t="s">
        <v>25</v>
      </c>
      <c r="F23" s="33">
        <f>SUMIF('①농산물raw'!$D:$D,$C23,'①농산물raw'!$F:$F)</f>
        <v>0</v>
      </c>
      <c r="G23" s="33">
        <f>SUMIF('①농산물raw'!$D:$D,$C23,'①농산물raw'!$G:$G)</f>
        <v>0</v>
      </c>
      <c r="H23" s="33">
        <f>SUMIF('①농산물raw'!$D:$D,$C23,'①농산물raw'!$H:$H)</f>
        <v>0</v>
      </c>
      <c r="I23" s="28"/>
    </row>
    <row r="24" ht="17.25" customHeight="1">
      <c r="A24" s="24">
        <v>22.0</v>
      </c>
      <c r="B24" s="24" t="s">
        <v>16</v>
      </c>
      <c r="C24" s="24" t="s">
        <v>243</v>
      </c>
      <c r="D24" s="28" t="s">
        <v>244</v>
      </c>
      <c r="E24" s="24" t="s">
        <v>25</v>
      </c>
      <c r="F24" s="33">
        <f>SUMIF('①농산물raw'!$D:$D,$C24,'①농산물raw'!$F:$F)</f>
        <v>18065</v>
      </c>
      <c r="G24" s="33">
        <f>SUMIF('①농산물raw'!$D:$D,$C24,'①농산물raw'!$G:$G)</f>
        <v>271250400</v>
      </c>
      <c r="H24" s="33">
        <f>SUMIF('①농산물raw'!$D:$D,$C24,'①농산물raw'!$H:$H)</f>
        <v>4473530</v>
      </c>
      <c r="I24" s="24" t="s">
        <v>33</v>
      </c>
    </row>
    <row r="25" ht="17.25" customHeight="1">
      <c r="A25" s="24">
        <v>23.0</v>
      </c>
      <c r="B25" s="24" t="s">
        <v>46</v>
      </c>
      <c r="C25" s="24" t="s">
        <v>261</v>
      </c>
      <c r="D25" s="28" t="s">
        <v>262</v>
      </c>
      <c r="E25" s="24" t="s">
        <v>25</v>
      </c>
      <c r="F25" s="33">
        <f>SUMIF('①농산물raw'!$D:$D,$C25,'①농산물raw'!$F:$F)</f>
        <v>16</v>
      </c>
      <c r="G25" s="33">
        <f>SUMIF('①농산물raw'!$D:$D,$C25,'①농산물raw'!$G:$G)</f>
        <v>591000</v>
      </c>
      <c r="H25" s="33">
        <f>SUMIF('①농산물raw'!$D:$D,$C25,'①농산물raw'!$H:$H)</f>
        <v>63860</v>
      </c>
      <c r="I25" s="24" t="s">
        <v>33</v>
      </c>
    </row>
    <row r="26" ht="17.25" customHeight="1">
      <c r="A26" s="24">
        <v>24.0</v>
      </c>
      <c r="B26" s="24" t="s">
        <v>16</v>
      </c>
      <c r="C26" s="24" t="s">
        <v>279</v>
      </c>
      <c r="D26" s="28" t="s">
        <v>280</v>
      </c>
      <c r="E26" s="24" t="s">
        <v>22</v>
      </c>
      <c r="F26" s="33">
        <f>SUMIF('①농산물raw'!$D:$D,$C26,'①농산물raw'!$F:$F)</f>
        <v>11</v>
      </c>
      <c r="G26" s="33">
        <f>SUMIF('①농산물raw'!$D:$D,$C26,'①농산물raw'!$G:$G)</f>
        <v>295400</v>
      </c>
      <c r="H26" s="33">
        <f>SUMIF('①농산물raw'!$D:$D,$C26,'①농산물raw'!$H:$H)</f>
        <v>52610</v>
      </c>
      <c r="I26" s="24" t="s">
        <v>33</v>
      </c>
    </row>
    <row r="27" ht="17.25" customHeight="1">
      <c r="A27" s="24">
        <v>25.0</v>
      </c>
      <c r="B27" s="24" t="s">
        <v>16</v>
      </c>
      <c r="C27" s="24" t="s">
        <v>293</v>
      </c>
      <c r="D27" s="28" t="s">
        <v>294</v>
      </c>
      <c r="E27" s="24" t="s">
        <v>25</v>
      </c>
      <c r="F27" s="33">
        <f>SUMIF('①농산물raw'!$D:$D,$C27,'①농산물raw'!$F:$F)</f>
        <v>9428</v>
      </c>
      <c r="G27" s="33">
        <f>SUMIF('①농산물raw'!$D:$D,$C27,'①농산물raw'!$G:$G)</f>
        <v>143143000</v>
      </c>
      <c r="H27" s="33">
        <f>SUMIF('①농산물raw'!$D:$D,$C27,'①농산물raw'!$H:$H)</f>
        <v>5032180</v>
      </c>
      <c r="I27" s="28"/>
    </row>
    <row r="28" ht="17.25" customHeight="1">
      <c r="A28" s="24">
        <v>26.0</v>
      </c>
      <c r="B28" s="24" t="s">
        <v>16</v>
      </c>
      <c r="C28" s="24" t="s">
        <v>308</v>
      </c>
      <c r="D28" s="28" t="s">
        <v>309</v>
      </c>
      <c r="E28" s="24" t="s">
        <v>26</v>
      </c>
      <c r="F28" s="33">
        <f>SUMIF('①농산물raw'!$D:$D,$C28,'①농산물raw'!$F:$F)</f>
        <v>30</v>
      </c>
      <c r="G28" s="33">
        <f>SUMIF('①농산물raw'!$D:$D,$C28,'①농산물raw'!$G:$G)</f>
        <v>690000</v>
      </c>
      <c r="H28" s="33">
        <f>SUMIF('①농산물raw'!$D:$D,$C28,'①농산물raw'!$H:$H)</f>
        <v>10000</v>
      </c>
      <c r="I28" s="24" t="s">
        <v>33</v>
      </c>
    </row>
    <row r="29" ht="17.25" customHeight="1">
      <c r="A29" s="24">
        <v>27.0</v>
      </c>
      <c r="B29" s="24" t="s">
        <v>16</v>
      </c>
      <c r="C29" s="24" t="s">
        <v>317</v>
      </c>
      <c r="D29" s="28" t="s">
        <v>318</v>
      </c>
      <c r="E29" s="24" t="s">
        <v>25</v>
      </c>
      <c r="F29" s="33">
        <f>SUMIF('①농산물raw'!$D:$D,$C29,'①농산물raw'!$F:$F)</f>
        <v>0</v>
      </c>
      <c r="G29" s="33">
        <f>SUMIF('①농산물raw'!$D:$D,$C29,'①농산물raw'!$G:$G)</f>
        <v>0</v>
      </c>
      <c r="H29" s="33">
        <f>SUMIF('①농산물raw'!$D:$D,$C29,'①농산물raw'!$H:$H)</f>
        <v>0</v>
      </c>
      <c r="I29" s="28"/>
    </row>
    <row r="30" ht="17.25" customHeight="1">
      <c r="A30" s="24">
        <v>28.0</v>
      </c>
      <c r="B30" s="24" t="s">
        <v>38</v>
      </c>
      <c r="C30" s="24" t="s">
        <v>334</v>
      </c>
      <c r="D30" s="28" t="s">
        <v>335</v>
      </c>
      <c r="E30" s="24" t="s">
        <v>25</v>
      </c>
      <c r="F30" s="33">
        <f>SUMIF('①농산물raw'!$D:$D,$C30,'①농산물raw'!$F:$F)</f>
        <v>14</v>
      </c>
      <c r="G30" s="33">
        <f>SUMIF('①농산물raw'!$D:$D,$C30,'①농산물raw'!$G:$G)</f>
        <v>414000</v>
      </c>
      <c r="H30" s="33">
        <f>SUMIF('①농산물raw'!$D:$D,$C30,'①농산물raw'!$H:$H)</f>
        <v>46000</v>
      </c>
      <c r="I30" s="24" t="s">
        <v>33</v>
      </c>
    </row>
    <row r="31" ht="17.25" customHeight="1">
      <c r="A31" s="24">
        <v>29.0</v>
      </c>
      <c r="B31" s="24" t="s">
        <v>16</v>
      </c>
      <c r="C31" s="24" t="s">
        <v>348</v>
      </c>
      <c r="D31" s="28" t="s">
        <v>349</v>
      </c>
      <c r="E31" s="24" t="s">
        <v>25</v>
      </c>
      <c r="F31" s="33">
        <f>SUMIF('①농산물raw'!$D:$D,$C31,'①농산물raw'!$F:$F)</f>
        <v>16</v>
      </c>
      <c r="G31" s="33">
        <f>SUMIF('①농산물raw'!$D:$D,$C31,'①농산물raw'!$G:$G)</f>
        <v>451100</v>
      </c>
      <c r="H31" s="33">
        <f>SUMIF('①농산물raw'!$D:$D,$C31,'①농산물raw'!$H:$H)</f>
        <v>34520</v>
      </c>
      <c r="I31" s="24" t="s">
        <v>33</v>
      </c>
    </row>
    <row r="32" ht="17.25" customHeight="1">
      <c r="A32" s="24">
        <v>30.0</v>
      </c>
      <c r="B32" s="24" t="s">
        <v>16</v>
      </c>
      <c r="C32" s="24" t="s">
        <v>364</v>
      </c>
      <c r="D32" s="28" t="s">
        <v>366</v>
      </c>
      <c r="E32" s="24" t="s">
        <v>25</v>
      </c>
      <c r="F32" s="33">
        <f>SUMIF('①농산물raw'!$D:$D,$C32,'①농산물raw'!$F:$F)</f>
        <v>1319</v>
      </c>
      <c r="G32" s="33">
        <f>SUMIF('①농산물raw'!$D:$D,$C32,'①농산물raw'!$G:$G)</f>
        <v>92623400</v>
      </c>
      <c r="H32" s="33">
        <f>SUMIF('①농산물raw'!$D:$D,$C32,'①농산물raw'!$H:$H)</f>
        <v>4710400</v>
      </c>
      <c r="I32" s="24" t="s">
        <v>33</v>
      </c>
    </row>
    <row r="33" ht="17.25" customHeight="1">
      <c r="A33" s="24">
        <v>31.0</v>
      </c>
      <c r="B33" s="24" t="s">
        <v>16</v>
      </c>
      <c r="C33" s="24" t="s">
        <v>382</v>
      </c>
      <c r="D33" s="28" t="s">
        <v>383</v>
      </c>
      <c r="E33" s="24" t="s">
        <v>25</v>
      </c>
      <c r="F33" s="33">
        <f>SUMIF('①농산물raw'!$D:$D,$C33,'①농산물raw'!$F:$F)</f>
        <v>4527</v>
      </c>
      <c r="G33" s="33">
        <f>SUMIF('①농산물raw'!$D:$D,$C33,'①농산물raw'!$G:$G)</f>
        <v>129056500</v>
      </c>
      <c r="H33" s="33">
        <f>SUMIF('①농산물raw'!$D:$D,$C33,'①농산물raw'!$H:$H)</f>
        <v>4577170</v>
      </c>
      <c r="I33" s="24" t="s">
        <v>33</v>
      </c>
    </row>
    <row r="34" ht="17.25" customHeight="1">
      <c r="A34" s="24">
        <v>32.0</v>
      </c>
      <c r="B34" s="24" t="s">
        <v>46</v>
      </c>
      <c r="C34" s="24" t="s">
        <v>394</v>
      </c>
      <c r="D34" s="28" t="s">
        <v>395</v>
      </c>
      <c r="E34" s="24" t="s">
        <v>25</v>
      </c>
      <c r="F34" s="33">
        <f>SUMIF('①농산물raw'!$D:$D,$C34,'①농산물raw'!$F:$F)</f>
        <v>167</v>
      </c>
      <c r="G34" s="33">
        <f>SUMIF('①농산물raw'!$D:$D,$C34,'①농산물raw'!$G:$G)</f>
        <v>5636300</v>
      </c>
      <c r="H34" s="33">
        <f>SUMIF('①농산물raw'!$D:$D,$C34,'①농산물raw'!$H:$H)</f>
        <v>531110</v>
      </c>
      <c r="I34" s="24" t="s">
        <v>33</v>
      </c>
    </row>
    <row r="35" ht="17.25" customHeight="1">
      <c r="A35" s="24">
        <v>33.0</v>
      </c>
      <c r="B35" s="24" t="s">
        <v>38</v>
      </c>
      <c r="C35" s="24" t="s">
        <v>406</v>
      </c>
      <c r="D35" s="28" t="s">
        <v>407</v>
      </c>
      <c r="E35" s="24" t="s">
        <v>25</v>
      </c>
      <c r="F35" s="33">
        <f>SUMIF('①농산물raw'!$D:$D,$C35,'①농산물raw'!$F:$F)</f>
        <v>31</v>
      </c>
      <c r="G35" s="33">
        <f>SUMIF('①농산물raw'!$D:$D,$C35,'①농산물raw'!$G:$G)</f>
        <v>1695000</v>
      </c>
      <c r="H35" s="33">
        <f>SUMIF('①농산물raw'!$D:$D,$C35,'①농산물raw'!$H:$H)</f>
        <v>121330</v>
      </c>
      <c r="I35" s="24" t="s">
        <v>33</v>
      </c>
    </row>
    <row r="36" ht="17.25" customHeight="1">
      <c r="A36" s="24">
        <v>34.0</v>
      </c>
      <c r="B36" s="24" t="s">
        <v>16</v>
      </c>
      <c r="C36" s="24" t="s">
        <v>422</v>
      </c>
      <c r="D36" s="28" t="s">
        <v>423</v>
      </c>
      <c r="E36" s="24" t="s">
        <v>25</v>
      </c>
      <c r="F36" s="33">
        <f>SUMIF('①농산물raw'!$D:$D,$C36,'①농산물raw'!$F:$F)</f>
        <v>0</v>
      </c>
      <c r="G36" s="33">
        <f>SUMIF('①농산물raw'!$D:$D,$C36,'①농산물raw'!$G:$G)</f>
        <v>0</v>
      </c>
      <c r="H36" s="33">
        <f>SUMIF('①농산물raw'!$D:$D,$C36,'①농산물raw'!$H:$H)</f>
        <v>0</v>
      </c>
      <c r="I36" s="28"/>
    </row>
    <row r="37" ht="17.25" customHeight="1">
      <c r="A37" s="24">
        <v>35.0</v>
      </c>
      <c r="B37" s="24" t="s">
        <v>16</v>
      </c>
      <c r="C37" s="24" t="s">
        <v>271</v>
      </c>
      <c r="D37" s="28" t="s">
        <v>437</v>
      </c>
      <c r="E37" s="24" t="s">
        <v>26</v>
      </c>
      <c r="F37" s="33">
        <f>SUMIF('①농산물raw'!$D:$D,$C37,'①농산물raw'!$F:$F)</f>
        <v>1222</v>
      </c>
      <c r="G37" s="33">
        <f>SUMIF('①농산물raw'!$D:$D,$C37,'①농산물raw'!$G:$G)</f>
        <v>36507100</v>
      </c>
      <c r="H37" s="33">
        <f>SUMIF('①농산물raw'!$D:$D,$C37,'①농산물raw'!$H:$H)</f>
        <v>694580</v>
      </c>
      <c r="I37" s="24" t="s">
        <v>33</v>
      </c>
    </row>
    <row r="38" ht="17.25" customHeight="1">
      <c r="A38" s="24">
        <v>36.0</v>
      </c>
      <c r="B38" s="24" t="s">
        <v>16</v>
      </c>
      <c r="C38" s="24" t="s">
        <v>448</v>
      </c>
      <c r="D38" s="28" t="s">
        <v>449</v>
      </c>
      <c r="E38" s="24" t="s">
        <v>22</v>
      </c>
      <c r="F38" s="33">
        <f>SUMIF('①농산물raw'!$D:$D,$C38,'①농산물raw'!$F:$F)</f>
        <v>76</v>
      </c>
      <c r="G38" s="33">
        <f>SUMIF('①농산물raw'!$D:$D,$C38,'①농산물raw'!$G:$G)</f>
        <v>2312900</v>
      </c>
      <c r="H38" s="33">
        <f>SUMIF('①농산물raw'!$D:$D,$C38,'①농산물raw'!$H:$H)</f>
        <v>434680</v>
      </c>
      <c r="I38" s="24" t="s">
        <v>33</v>
      </c>
    </row>
    <row r="39" ht="17.25" customHeight="1">
      <c r="A39" s="24">
        <v>37.0</v>
      </c>
      <c r="B39" s="24" t="s">
        <v>16</v>
      </c>
      <c r="C39" s="24" t="s">
        <v>461</v>
      </c>
      <c r="D39" s="28" t="s">
        <v>462</v>
      </c>
      <c r="E39" s="24" t="s">
        <v>22</v>
      </c>
      <c r="F39" s="33">
        <f>SUMIF('①농산물raw'!$D:$D,$C39,'①농산물raw'!$F:$F)</f>
        <v>265</v>
      </c>
      <c r="G39" s="33">
        <f>SUMIF('①농산물raw'!$D:$D,$C39,'①농산물raw'!$G:$G)</f>
        <v>12912030</v>
      </c>
      <c r="H39" s="33">
        <f>SUMIF('①농산물raw'!$D:$D,$C39,'①농산물raw'!$H:$H)</f>
        <v>1332970</v>
      </c>
      <c r="I39" s="24" t="s">
        <v>33</v>
      </c>
    </row>
    <row r="40" ht="17.25" customHeight="1">
      <c r="A40" s="24">
        <v>38.0</v>
      </c>
      <c r="B40" s="24" t="s">
        <v>46</v>
      </c>
      <c r="C40" s="24" t="s">
        <v>471</v>
      </c>
      <c r="D40" s="28" t="s">
        <v>472</v>
      </c>
      <c r="E40" s="24" t="s">
        <v>25</v>
      </c>
      <c r="F40" s="33">
        <f>SUMIF('①농산물raw'!$D:$D,$C40,'①농산물raw'!$F:$F)</f>
        <v>594</v>
      </c>
      <c r="G40" s="33">
        <f>SUMIF('①농산물raw'!$D:$D,$C40,'①농산물raw'!$G:$G)</f>
        <v>19348530</v>
      </c>
      <c r="H40" s="33">
        <f>SUMIF('①농산물raw'!$D:$D,$C40,'①농산물raw'!$H:$H)</f>
        <v>2220230</v>
      </c>
      <c r="I40" s="24" t="s">
        <v>33</v>
      </c>
    </row>
    <row r="41" ht="17.25" customHeight="1">
      <c r="A41" s="24">
        <v>39.0</v>
      </c>
      <c r="B41" s="24" t="s">
        <v>16</v>
      </c>
      <c r="C41" s="24" t="s">
        <v>489</v>
      </c>
      <c r="D41" s="28" t="s">
        <v>490</v>
      </c>
      <c r="E41" s="24" t="s">
        <v>25</v>
      </c>
      <c r="F41" s="33">
        <f>SUMIF('①농산물raw'!$D:$D,$C41,'①농산물raw'!$F:$F)</f>
        <v>5188</v>
      </c>
      <c r="G41" s="33">
        <f>SUMIF('①농산물raw'!$D:$D,$C41,'①농산물raw'!$G:$G)</f>
        <v>110084760</v>
      </c>
      <c r="H41" s="33">
        <f>SUMIF('①농산물raw'!$D:$D,$C41,'①농산물raw'!$H:$H)</f>
        <v>4360080</v>
      </c>
      <c r="I41" s="24" t="s">
        <v>33</v>
      </c>
    </row>
    <row r="42" ht="17.25" customHeight="1">
      <c r="A42" s="24">
        <v>40.0</v>
      </c>
      <c r="B42" s="24" t="s">
        <v>38</v>
      </c>
      <c r="C42" s="24" t="s">
        <v>500</v>
      </c>
      <c r="D42" s="28" t="s">
        <v>501</v>
      </c>
      <c r="E42" s="24" t="s">
        <v>25</v>
      </c>
      <c r="F42" s="33">
        <f>SUMIF('①농산물raw'!$D:$D,$C42,'①농산물raw'!$F:$F)</f>
        <v>0</v>
      </c>
      <c r="G42" s="33">
        <f>SUMIF('①농산물raw'!$D:$D,$C42,'①농산물raw'!$G:$G)</f>
        <v>0</v>
      </c>
      <c r="H42" s="33">
        <f>SUMIF('①농산물raw'!$D:$D,$C42,'①농산물raw'!$H:$H)</f>
        <v>0</v>
      </c>
      <c r="I42" s="28"/>
    </row>
    <row r="43" ht="17.25" customHeight="1">
      <c r="A43" s="24">
        <v>41.0</v>
      </c>
      <c r="B43" s="24" t="s">
        <v>38</v>
      </c>
      <c r="C43" s="24" t="s">
        <v>518</v>
      </c>
      <c r="D43" s="28" t="s">
        <v>519</v>
      </c>
      <c r="E43" s="24" t="s">
        <v>25</v>
      </c>
      <c r="F43" s="33">
        <f>SUMIF('①농산물raw'!$D:$D,$C43,'①농산물raw'!$F:$F)</f>
        <v>0</v>
      </c>
      <c r="G43" s="33">
        <f>SUMIF('①농산물raw'!$D:$D,$C43,'①농산물raw'!$G:$G)</f>
        <v>0</v>
      </c>
      <c r="H43" s="33">
        <f>SUMIF('①농산물raw'!$D:$D,$C43,'①농산물raw'!$H:$H)</f>
        <v>0</v>
      </c>
      <c r="I43" s="28"/>
    </row>
    <row r="44" ht="17.25" customHeight="1">
      <c r="A44" s="24">
        <v>42.0</v>
      </c>
      <c r="B44" s="24" t="s">
        <v>16</v>
      </c>
      <c r="C44" s="24" t="s">
        <v>532</v>
      </c>
      <c r="D44" s="28" t="s">
        <v>533</v>
      </c>
      <c r="E44" s="24" t="s">
        <v>22</v>
      </c>
      <c r="F44" s="33">
        <f>SUMIF('①농산물raw'!$D:$D,$C44,'①농산물raw'!$F:$F)</f>
        <v>6</v>
      </c>
      <c r="G44" s="33">
        <f>SUMIF('①농산물raw'!$D:$D,$C44,'①농산물raw'!$G:$G)</f>
        <v>325600</v>
      </c>
      <c r="H44" s="33">
        <f>SUMIF('①농산물raw'!$D:$D,$C44,'①농산물raw'!$H:$H)</f>
        <v>43860</v>
      </c>
      <c r="I44" s="24" t="s">
        <v>33</v>
      </c>
    </row>
    <row r="45" ht="17.25" customHeight="1">
      <c r="A45" s="24">
        <v>43.0</v>
      </c>
      <c r="B45" s="24" t="s">
        <v>16</v>
      </c>
      <c r="C45" s="24" t="s">
        <v>547</v>
      </c>
      <c r="D45" s="28" t="s">
        <v>548</v>
      </c>
      <c r="E45" s="24" t="s">
        <v>25</v>
      </c>
      <c r="F45" s="33">
        <f>SUMIF('①농산물raw'!$D:$D,$C45,'①농산물raw'!$F:$F)</f>
        <v>11140</v>
      </c>
      <c r="G45" s="33">
        <f>SUMIF('①농산물raw'!$D:$D,$C45,'①농산물raw'!$G:$G)</f>
        <v>202817120</v>
      </c>
      <c r="H45" s="33">
        <f>SUMIF('①농산물raw'!$D:$D,$C45,'①농산물raw'!$H:$H)</f>
        <v>4574960</v>
      </c>
      <c r="I45" s="24" t="s">
        <v>33</v>
      </c>
    </row>
    <row r="46" ht="17.25" customHeight="1">
      <c r="A46" s="24">
        <v>44.0</v>
      </c>
      <c r="B46" s="24" t="s">
        <v>16</v>
      </c>
      <c r="C46" s="24" t="s">
        <v>563</v>
      </c>
      <c r="D46" s="28" t="s">
        <v>564</v>
      </c>
      <c r="E46" s="24" t="s">
        <v>22</v>
      </c>
      <c r="F46" s="33">
        <f>SUMIF('①농산물raw'!$D:$D,$C46,'①농산물raw'!$F:$F)</f>
        <v>80</v>
      </c>
      <c r="G46" s="33">
        <f>SUMIF('①농산물raw'!$D:$D,$C46,'①농산물raw'!$G:$G)</f>
        <v>2962690</v>
      </c>
      <c r="H46" s="33">
        <f>SUMIF('①농산물raw'!$D:$D,$C46,'①농산물raw'!$H:$H)</f>
        <v>466440</v>
      </c>
      <c r="I46" s="24" t="s">
        <v>33</v>
      </c>
    </row>
    <row r="47" ht="17.25" customHeight="1">
      <c r="A47" s="24">
        <v>45.0</v>
      </c>
      <c r="B47" s="24" t="s">
        <v>16</v>
      </c>
      <c r="C47" s="24" t="s">
        <v>211</v>
      </c>
      <c r="D47" s="28" t="s">
        <v>210</v>
      </c>
      <c r="E47" s="24" t="s">
        <v>26</v>
      </c>
      <c r="F47" s="33">
        <f>SUMIF('①농산물raw'!$D:$D,$C47,'①농산물raw'!$F:$F)</f>
        <v>316</v>
      </c>
      <c r="G47" s="33">
        <f>SUMIF('①농산물raw'!$D:$D,$C47,'①농산물raw'!$G:$G)</f>
        <v>22260300</v>
      </c>
      <c r="H47" s="33">
        <f>SUMIF('①농산물raw'!$D:$D,$C47,'①농산물raw'!$H:$H)</f>
        <v>1490640</v>
      </c>
      <c r="I47" s="24" t="s">
        <v>33</v>
      </c>
    </row>
    <row r="48" ht="17.25" customHeight="1">
      <c r="A48" s="24">
        <v>46.0</v>
      </c>
      <c r="B48" s="24" t="s">
        <v>16</v>
      </c>
      <c r="C48" s="24" t="s">
        <v>580</v>
      </c>
      <c r="D48" s="28" t="s">
        <v>581</v>
      </c>
      <c r="E48" s="24" t="s">
        <v>25</v>
      </c>
      <c r="F48" s="33">
        <f>SUMIF('①농산물raw'!$D:$D,$C48,'①농산물raw'!$F:$F)</f>
        <v>0</v>
      </c>
      <c r="G48" s="33">
        <f>SUMIF('①농산물raw'!$D:$D,$C48,'①농산물raw'!$G:$G)</f>
        <v>0</v>
      </c>
      <c r="H48" s="33">
        <f>SUMIF('①농산물raw'!$D:$D,$C48,'①농산물raw'!$H:$H)</f>
        <v>0</v>
      </c>
      <c r="I48" s="28"/>
    </row>
    <row r="49" ht="17.25" customHeight="1">
      <c r="A49" s="24">
        <v>47.0</v>
      </c>
      <c r="B49" s="24" t="s">
        <v>16</v>
      </c>
      <c r="C49" s="45" t="s">
        <v>598</v>
      </c>
      <c r="D49" s="28" t="s">
        <v>601</v>
      </c>
      <c r="E49" s="24" t="s">
        <v>26</v>
      </c>
      <c r="F49" s="33">
        <f>SUMIF('①농산물raw'!$D:$D,$C49,'①농산물raw'!$F:$F)</f>
        <v>0</v>
      </c>
      <c r="G49" s="33">
        <f>SUMIF('①농산물raw'!$D:$D,$C49,'①농산물raw'!$G:$G)</f>
        <v>0</v>
      </c>
      <c r="H49" s="33">
        <f>SUMIF('①농산물raw'!$D:$D,$C49,'①농산물raw'!$H:$H)</f>
        <v>0</v>
      </c>
      <c r="I49" s="28"/>
    </row>
    <row r="50" ht="17.25" customHeight="1">
      <c r="A50" s="24">
        <v>48.0</v>
      </c>
      <c r="B50" s="24" t="s">
        <v>16</v>
      </c>
      <c r="C50" s="24" t="s">
        <v>338</v>
      </c>
      <c r="D50" s="28" t="s">
        <v>337</v>
      </c>
      <c r="E50" s="24" t="s">
        <v>26</v>
      </c>
      <c r="F50" s="33">
        <f>SUMIF('①농산물raw'!$D:$D,$C50,'①농산물raw'!$F:$F)</f>
        <v>128</v>
      </c>
      <c r="G50" s="33">
        <f>SUMIF('①농산물raw'!$D:$D,$C50,'①농산물raw'!$G:$G)</f>
        <v>4151700</v>
      </c>
      <c r="H50" s="33">
        <f>SUMIF('①농산물raw'!$D:$D,$C50,'①농산물raw'!$H:$H)</f>
        <v>321380</v>
      </c>
      <c r="I50" s="24" t="s">
        <v>33</v>
      </c>
    </row>
    <row r="51" ht="17.25" customHeight="1">
      <c r="A51" s="24">
        <v>49.0</v>
      </c>
      <c r="B51" s="24" t="s">
        <v>16</v>
      </c>
      <c r="C51" s="24" t="s">
        <v>636</v>
      </c>
      <c r="D51" s="28" t="s">
        <v>637</v>
      </c>
      <c r="E51" s="24" t="s">
        <v>26</v>
      </c>
      <c r="F51" s="33">
        <f>SUMIF('①농산물raw'!$D:$D,$C51,'①농산물raw'!$F:$F)</f>
        <v>0</v>
      </c>
      <c r="G51" s="33">
        <f>SUMIF('①농산물raw'!$D:$D,$C51,'①농산물raw'!$G:$G)</f>
        <v>0</v>
      </c>
      <c r="H51" s="33">
        <f>SUMIF('①농산물raw'!$D:$D,$C51,'①농산물raw'!$H:$H)</f>
        <v>0</v>
      </c>
      <c r="I51" s="28"/>
    </row>
    <row r="52" ht="17.25" customHeight="1">
      <c r="A52" s="24">
        <v>50.0</v>
      </c>
      <c r="B52" s="24" t="s">
        <v>16</v>
      </c>
      <c r="C52" s="24" t="s">
        <v>504</v>
      </c>
      <c r="D52" s="28" t="s">
        <v>503</v>
      </c>
      <c r="E52" s="24" t="s">
        <v>26</v>
      </c>
      <c r="F52" s="33">
        <f>SUMIF('①농산물raw'!$D:$D,$C52,'①농산물raw'!$F:$F)</f>
        <v>463</v>
      </c>
      <c r="G52" s="33">
        <f>SUMIF('①농산물raw'!$D:$D,$C52,'①농산물raw'!$G:$G)</f>
        <v>6918500</v>
      </c>
      <c r="H52" s="33">
        <f>SUMIF('①농산물raw'!$D:$D,$C52,'①농산물raw'!$H:$H)</f>
        <v>199400</v>
      </c>
      <c r="I52" s="28"/>
    </row>
    <row r="53" ht="17.25" customHeight="1">
      <c r="A53" s="24">
        <v>51.0</v>
      </c>
      <c r="B53" s="24" t="s">
        <v>38</v>
      </c>
      <c r="C53" s="24" t="s">
        <v>675</v>
      </c>
      <c r="D53" s="28" t="s">
        <v>677</v>
      </c>
      <c r="E53" s="24" t="s">
        <v>28</v>
      </c>
      <c r="F53" s="33">
        <f>SUMIF('①농산물raw'!$D:$D,$C53,'①농산물raw'!$F:$F)</f>
        <v>641</v>
      </c>
      <c r="G53" s="33">
        <f>SUMIF('①농산물raw'!$D:$D,$C53,'①농산물raw'!$G:$G)</f>
        <v>32150700</v>
      </c>
      <c r="H53" s="33">
        <f>SUMIF('①농산물raw'!$D:$D,$C53,'①농산물raw'!$H:$H)</f>
        <v>5097728</v>
      </c>
      <c r="I53" s="24" t="s">
        <v>33</v>
      </c>
    </row>
    <row r="54" ht="17.25" customHeight="1">
      <c r="A54" s="24">
        <v>52.0</v>
      </c>
      <c r="B54" s="24" t="s">
        <v>38</v>
      </c>
      <c r="C54" s="24" t="s">
        <v>695</v>
      </c>
      <c r="D54" s="28" t="s">
        <v>696</v>
      </c>
      <c r="E54" s="24" t="s">
        <v>28</v>
      </c>
      <c r="F54" s="33">
        <f>SUMIF('①농산물raw'!$D:$D,$C54,'①농산물raw'!$F:$F)</f>
        <v>434</v>
      </c>
      <c r="G54" s="33">
        <f>SUMIF('①농산물raw'!$D:$D,$C54,'①농산물raw'!$G:$G)</f>
        <v>9625100</v>
      </c>
      <c r="H54" s="33">
        <f>SUMIF('①농산물raw'!$D:$D,$C54,'①농산물raw'!$H:$H)</f>
        <v>1129304</v>
      </c>
      <c r="I54" s="24" t="s">
        <v>33</v>
      </c>
    </row>
    <row r="55" ht="17.25" customHeight="1">
      <c r="A55" s="24">
        <v>53.0</v>
      </c>
      <c r="B55" s="24" t="s">
        <v>16</v>
      </c>
      <c r="C55" s="24" t="s">
        <v>710</v>
      </c>
      <c r="D55" s="28" t="s">
        <v>711</v>
      </c>
      <c r="E55" s="24" t="s">
        <v>25</v>
      </c>
      <c r="F55" s="33">
        <f>SUMIF('①농산물raw'!$D:$D,$C55,'①농산물raw'!$F:$F)</f>
        <v>0</v>
      </c>
      <c r="G55" s="33">
        <f>SUMIF('①농산물raw'!$D:$D,$C55,'①농산물raw'!$G:$G)</f>
        <v>0</v>
      </c>
      <c r="H55" s="33">
        <f>SUMIF('①농산물raw'!$D:$D,$C55,'①농산물raw'!$H:$H)</f>
        <v>0</v>
      </c>
      <c r="I55" s="28"/>
    </row>
    <row r="56" ht="17.25" customHeight="1">
      <c r="A56" s="24">
        <v>54.0</v>
      </c>
      <c r="B56" s="24" t="s">
        <v>16</v>
      </c>
      <c r="C56" s="24" t="s">
        <v>409</v>
      </c>
      <c r="D56" s="28" t="s">
        <v>408</v>
      </c>
      <c r="E56" s="24" t="s">
        <v>26</v>
      </c>
      <c r="F56" s="33">
        <f>SUMIF('①농산물raw'!$D:$D,$C56,'①농산물raw'!$F:$F)</f>
        <v>24</v>
      </c>
      <c r="G56" s="33">
        <f>SUMIF('①농산물raw'!$D:$D,$C56,'①농산물raw'!$G:$G)</f>
        <v>735600</v>
      </c>
      <c r="H56" s="33">
        <f>SUMIF('①농산물raw'!$D:$D,$C56,'①농산물raw'!$H:$H)</f>
        <v>42210</v>
      </c>
      <c r="I56" s="24" t="s">
        <v>33</v>
      </c>
    </row>
    <row r="57" ht="17.25" customHeight="1">
      <c r="A57" s="24">
        <v>55.0</v>
      </c>
      <c r="B57" s="24" t="s">
        <v>16</v>
      </c>
      <c r="C57" s="24" t="s">
        <v>744</v>
      </c>
      <c r="D57" s="28" t="s">
        <v>745</v>
      </c>
      <c r="E57" s="24" t="s">
        <v>22</v>
      </c>
      <c r="F57" s="33">
        <f>SUMIF('①농산물raw'!$D:$D,$C57,'①농산물raw'!$F:$F)</f>
        <v>0</v>
      </c>
      <c r="G57" s="33">
        <f>SUMIF('①농산물raw'!$D:$D,$C57,'①농산물raw'!$G:$G)</f>
        <v>0</v>
      </c>
      <c r="H57" s="33">
        <f>SUMIF('①농산물raw'!$D:$D,$C57,'①농산물raw'!$H:$H)</f>
        <v>0</v>
      </c>
      <c r="I57" s="28"/>
    </row>
    <row r="58" ht="17.25" customHeight="1">
      <c r="A58" s="24">
        <v>56.0</v>
      </c>
      <c r="B58" s="24" t="s">
        <v>16</v>
      </c>
      <c r="C58" s="24" t="s">
        <v>762</v>
      </c>
      <c r="D58" s="28" t="s">
        <v>763</v>
      </c>
      <c r="E58" s="24" t="s">
        <v>22</v>
      </c>
      <c r="F58" s="33">
        <f>SUMIF('①농산물raw'!$D:$D,$C58,'①농산물raw'!$F:$F)</f>
        <v>10</v>
      </c>
      <c r="G58" s="33">
        <f>SUMIF('①농산물raw'!$D:$D,$C58,'①농산물raw'!$G:$G)</f>
        <v>477000</v>
      </c>
      <c r="H58" s="33">
        <f>SUMIF('①농산물raw'!$D:$D,$C58,'①농산물raw'!$H:$H)</f>
        <v>90820</v>
      </c>
      <c r="I58" s="24" t="s">
        <v>33</v>
      </c>
    </row>
    <row r="59" ht="17.25" customHeight="1">
      <c r="A59" s="24">
        <v>57.0</v>
      </c>
      <c r="B59" s="24" t="s">
        <v>38</v>
      </c>
      <c r="C59" s="24" t="s">
        <v>775</v>
      </c>
      <c r="D59" s="28" t="s">
        <v>776</v>
      </c>
      <c r="E59" s="24" t="s">
        <v>29</v>
      </c>
      <c r="F59" s="33">
        <f>SUMIF('①농산물raw'!$D:$D,$C59,'①농산물raw'!$F:$F)</f>
        <v>177</v>
      </c>
      <c r="G59" s="33">
        <f>SUMIF('①농산물raw'!$D:$D,$C59,'①농산물raw'!$G:$G)</f>
        <v>1748834</v>
      </c>
      <c r="H59" s="33">
        <f>SUMIF('①농산물raw'!$D:$D,$C59,'①농산물raw'!$H:$H)</f>
        <v>75100</v>
      </c>
      <c r="I59" s="24" t="s">
        <v>33</v>
      </c>
    </row>
    <row r="60" ht="17.25" customHeight="1">
      <c r="A60" s="24">
        <v>58.0</v>
      </c>
      <c r="B60" s="24" t="s">
        <v>38</v>
      </c>
      <c r="C60" s="24" t="s">
        <v>801</v>
      </c>
      <c r="D60" s="28" t="s">
        <v>802</v>
      </c>
      <c r="E60" s="24" t="s">
        <v>25</v>
      </c>
      <c r="F60" s="33">
        <f>SUMIF('①농산물raw'!$D:$D,$C60,'①농산물raw'!$F:$F)</f>
        <v>10</v>
      </c>
      <c r="G60" s="33">
        <f>SUMIF('①농산물raw'!$D:$D,$C60,'①농산물raw'!$G:$G)</f>
        <v>201000</v>
      </c>
      <c r="H60" s="33">
        <f>SUMIF('①농산물raw'!$D:$D,$C60,'①농산물raw'!$H:$H)</f>
        <v>4200</v>
      </c>
      <c r="I60" s="24" t="s">
        <v>33</v>
      </c>
    </row>
    <row r="61" ht="17.25" customHeight="1">
      <c r="A61" s="24">
        <v>59.0</v>
      </c>
      <c r="B61" s="24" t="s">
        <v>16</v>
      </c>
      <c r="C61" s="24" t="s">
        <v>821</v>
      </c>
      <c r="D61" s="28" t="s">
        <v>822</v>
      </c>
      <c r="E61" s="24" t="s">
        <v>25</v>
      </c>
      <c r="F61" s="33">
        <f>SUMIF('①농산물raw'!$D:$D,$C61,'①농산물raw'!$F:$F)</f>
        <v>0</v>
      </c>
      <c r="G61" s="33">
        <f>SUMIF('①농산물raw'!$D:$D,$C61,'①농산물raw'!$G:$G)</f>
        <v>0</v>
      </c>
      <c r="H61" s="33">
        <f>SUMIF('①농산물raw'!$D:$D,$C61,'①농산물raw'!$H:$H)</f>
        <v>0</v>
      </c>
      <c r="I61" s="28"/>
    </row>
    <row r="62" ht="17.25" customHeight="1">
      <c r="A62" s="24">
        <v>60.0</v>
      </c>
      <c r="B62" s="24" t="s">
        <v>16</v>
      </c>
      <c r="C62" s="24" t="s">
        <v>848</v>
      </c>
      <c r="D62" s="28" t="s">
        <v>849</v>
      </c>
      <c r="E62" s="24" t="s">
        <v>22</v>
      </c>
      <c r="F62" s="33">
        <f>SUMIF('①농산물raw'!$D:$D,$C62,'①농산물raw'!$F:$F)</f>
        <v>936</v>
      </c>
      <c r="G62" s="33">
        <f>SUMIF('①농산물raw'!$D:$D,$C62,'①농산물raw'!$G:$G)</f>
        <v>47358000</v>
      </c>
      <c r="H62" s="33">
        <f>SUMIF('①농산물raw'!$D:$D,$C62,'①농산물raw'!$H:$H)</f>
        <v>5003480</v>
      </c>
      <c r="I62" s="24" t="s">
        <v>33</v>
      </c>
    </row>
    <row r="63" ht="17.25" customHeight="1">
      <c r="A63" s="24">
        <v>61.0</v>
      </c>
      <c r="B63" s="24" t="s">
        <v>16</v>
      </c>
      <c r="C63" s="24" t="s">
        <v>870</v>
      </c>
      <c r="D63" s="28" t="s">
        <v>871</v>
      </c>
      <c r="E63" s="24" t="s">
        <v>25</v>
      </c>
      <c r="F63" s="33">
        <f>SUMIF('①농산물raw'!$D:$D,$C63,'①농산물raw'!$F:$F)</f>
        <v>0</v>
      </c>
      <c r="G63" s="33">
        <f>SUMIF('①농산물raw'!$D:$D,$C63,'①농산물raw'!$G:$G)</f>
        <v>0</v>
      </c>
      <c r="H63" s="33">
        <f>SUMIF('①농산물raw'!$D:$D,$C63,'①농산물raw'!$H:$H)</f>
        <v>0</v>
      </c>
      <c r="I63" s="28"/>
    </row>
    <row r="64" ht="17.25" customHeight="1">
      <c r="A64" s="24">
        <v>62.0</v>
      </c>
      <c r="B64" s="24" t="s">
        <v>38</v>
      </c>
      <c r="C64" s="24" t="s">
        <v>891</v>
      </c>
      <c r="D64" s="28" t="s">
        <v>892</v>
      </c>
      <c r="E64" s="24" t="s">
        <v>26</v>
      </c>
      <c r="F64" s="33">
        <f>SUMIF('①농산물raw'!$D:$D,$C64,'①농산물raw'!$F:$F)</f>
        <v>0</v>
      </c>
      <c r="G64" s="33">
        <f>SUMIF('①농산물raw'!$D:$D,$C64,'①농산물raw'!$G:$G)</f>
        <v>0</v>
      </c>
      <c r="H64" s="33">
        <f>SUMIF('①농산물raw'!$D:$D,$C64,'①농산물raw'!$H:$H)</f>
        <v>0</v>
      </c>
      <c r="I64" s="28"/>
    </row>
    <row r="65" ht="17.25" customHeight="1">
      <c r="A65" s="24">
        <v>63.0</v>
      </c>
      <c r="B65" s="24" t="s">
        <v>16</v>
      </c>
      <c r="C65" s="24" t="s">
        <v>908</v>
      </c>
      <c r="D65" s="28" t="s">
        <v>909</v>
      </c>
      <c r="E65" s="24" t="s">
        <v>25</v>
      </c>
      <c r="F65" s="33">
        <f>SUMIF('①농산물raw'!$D:$D,$C65,'①농산물raw'!$F:$F)</f>
        <v>862</v>
      </c>
      <c r="G65" s="33">
        <f>SUMIF('①농산물raw'!$D:$D,$C65,'①농산물raw'!$G:$G)</f>
        <v>20156300</v>
      </c>
      <c r="H65" s="33">
        <f>SUMIF('①농산물raw'!$D:$D,$C65,'①농산물raw'!$H:$H)</f>
        <v>1826220</v>
      </c>
      <c r="I65" s="24" t="s">
        <v>33</v>
      </c>
    </row>
    <row r="66" ht="17.25" customHeight="1">
      <c r="A66" s="24">
        <v>64.0</v>
      </c>
      <c r="B66" s="24" t="s">
        <v>16</v>
      </c>
      <c r="C66" s="24" t="s">
        <v>493</v>
      </c>
      <c r="D66" s="28" t="s">
        <v>492</v>
      </c>
      <c r="E66" s="24" t="s">
        <v>26</v>
      </c>
      <c r="F66" s="33">
        <f>SUMIF('①농산물raw'!$D:$D,$C66,'①농산물raw'!$F:$F)</f>
        <v>629</v>
      </c>
      <c r="G66" s="33">
        <f>SUMIF('①농산물raw'!$D:$D,$C66,'①농산물raw'!$G:$G)</f>
        <v>8654300</v>
      </c>
      <c r="H66" s="33">
        <f>SUMIF('①농산물raw'!$D:$D,$C66,'①농산물raw'!$H:$H)</f>
        <v>838840</v>
      </c>
      <c r="I66" s="24" t="s">
        <v>33</v>
      </c>
    </row>
    <row r="67" ht="17.25" customHeight="1">
      <c r="A67" s="24">
        <v>65.0</v>
      </c>
      <c r="B67" s="24" t="s">
        <v>16</v>
      </c>
      <c r="C67" s="24" t="s">
        <v>794</v>
      </c>
      <c r="D67" s="28" t="s">
        <v>793</v>
      </c>
      <c r="E67" s="24" t="s">
        <v>22</v>
      </c>
      <c r="F67" s="33">
        <f>SUMIF('①농산물raw'!$D:$D,$C67,'①농산물raw'!$F:$F)</f>
        <v>19</v>
      </c>
      <c r="G67" s="33">
        <f>SUMIF('①농산물raw'!$D:$D,$C67,'①농산물raw'!$G:$G)</f>
        <v>254600</v>
      </c>
      <c r="H67" s="33">
        <f>SUMIF('①농산물raw'!$D:$D,$C67,'①농산물raw'!$H:$H)</f>
        <v>47820</v>
      </c>
      <c r="I67" s="24" t="s">
        <v>33</v>
      </c>
    </row>
    <row r="68" ht="17.25" customHeight="1">
      <c r="A68" s="24">
        <v>66.0</v>
      </c>
      <c r="B68" s="24" t="s">
        <v>46</v>
      </c>
      <c r="C68" s="24" t="s">
        <v>949</v>
      </c>
      <c r="D68" s="28" t="s">
        <v>951</v>
      </c>
      <c r="E68" s="24" t="s">
        <v>25</v>
      </c>
      <c r="F68" s="33">
        <f>SUMIF('①농산물raw'!$D:$D,$C68,'①농산물raw'!$F:$F)</f>
        <v>0</v>
      </c>
      <c r="G68" s="33">
        <f>SUMIF('①농산물raw'!$D:$D,$C68,'①농산물raw'!$G:$G)</f>
        <v>0</v>
      </c>
      <c r="H68" s="33">
        <f>SUMIF('①농산물raw'!$D:$D,$C68,'①농산물raw'!$H:$H)</f>
        <v>0</v>
      </c>
      <c r="I68" s="28"/>
    </row>
    <row r="69" ht="17.25" customHeight="1">
      <c r="A69" s="24">
        <v>67.0</v>
      </c>
      <c r="B69" s="24" t="s">
        <v>16</v>
      </c>
      <c r="C69" s="24" t="s">
        <v>93</v>
      </c>
      <c r="D69" s="28" t="s">
        <v>964</v>
      </c>
      <c r="E69" s="24" t="s">
        <v>26</v>
      </c>
      <c r="F69" s="33">
        <f>SUMIF('①농산물raw'!$D:$D,$C69,'①농산물raw'!$F:$F)</f>
        <v>58</v>
      </c>
      <c r="G69" s="33">
        <f>SUMIF('①농산물raw'!$D:$D,$C69,'①농산물raw'!$G:$G)</f>
        <v>1101900</v>
      </c>
      <c r="H69" s="33">
        <f>SUMIF('①농산물raw'!$D:$D,$C69,'①농산물raw'!$H:$H)</f>
        <v>85100</v>
      </c>
      <c r="I69" s="24" t="s">
        <v>33</v>
      </c>
    </row>
    <row r="70" ht="17.25" customHeight="1">
      <c r="A70" s="24">
        <v>68.0</v>
      </c>
      <c r="B70" s="24" t="s">
        <v>46</v>
      </c>
      <c r="C70" s="24" t="s">
        <v>971</v>
      </c>
      <c r="D70" s="28" t="s">
        <v>972</v>
      </c>
      <c r="E70" s="24" t="s">
        <v>25</v>
      </c>
      <c r="F70" s="33">
        <f>SUMIF('①농산물raw'!$D:$D,$C70,'①농산물raw'!$F:$F)</f>
        <v>74</v>
      </c>
      <c r="G70" s="33">
        <f>SUMIF('①농산물raw'!$D:$D,$C70,'①농산물raw'!$G:$G)</f>
        <v>2562900</v>
      </c>
      <c r="H70" s="33">
        <f>SUMIF('①농산물raw'!$D:$D,$C70,'①농산물raw'!$H:$H)</f>
        <v>237520</v>
      </c>
      <c r="I70" s="24" t="s">
        <v>33</v>
      </c>
    </row>
    <row r="71" ht="17.25" customHeight="1">
      <c r="A71" s="24">
        <v>69.0</v>
      </c>
      <c r="B71" s="24" t="s">
        <v>16</v>
      </c>
      <c r="C71" s="24" t="s">
        <v>987</v>
      </c>
      <c r="D71" s="28" t="s">
        <v>988</v>
      </c>
      <c r="E71" s="24" t="s">
        <v>22</v>
      </c>
      <c r="F71" s="33">
        <f>SUMIF('①농산물raw'!$D:$D,$C71,'①농산물raw'!$F:$F)</f>
        <v>0</v>
      </c>
      <c r="G71" s="33">
        <f>SUMIF('①농산물raw'!$D:$D,$C71,'①농산물raw'!$G:$G)</f>
        <v>0</v>
      </c>
      <c r="H71" s="33">
        <f>SUMIF('①농산물raw'!$D:$D,$C71,'①농산물raw'!$H:$H)</f>
        <v>0</v>
      </c>
      <c r="I71" s="28"/>
    </row>
    <row r="72" ht="17.25" customHeight="1">
      <c r="A72" s="24">
        <v>70.0</v>
      </c>
      <c r="B72" s="24" t="s">
        <v>16</v>
      </c>
      <c r="C72" s="24" t="s">
        <v>1002</v>
      </c>
      <c r="D72" s="28" t="s">
        <v>1003</v>
      </c>
      <c r="E72" s="24" t="s">
        <v>25</v>
      </c>
      <c r="F72" s="33">
        <f>SUMIF('①농산물raw'!$D:$D,$C72,'①농산물raw'!$F:$F)</f>
        <v>2254</v>
      </c>
      <c r="G72" s="33">
        <f>SUMIF('①농산물raw'!$D:$D,$C72,'①농산물raw'!$G:$G)</f>
        <v>63211020</v>
      </c>
      <c r="H72" s="33">
        <f>SUMIF('①농산물raw'!$D:$D,$C72,'①농산물raw'!$H:$H)</f>
        <v>4312140</v>
      </c>
      <c r="I72" s="24" t="s">
        <v>33</v>
      </c>
    </row>
    <row r="73" ht="17.25" customHeight="1">
      <c r="A73" s="24">
        <v>71.0</v>
      </c>
      <c r="B73" s="24" t="s">
        <v>46</v>
      </c>
      <c r="C73" s="24" t="s">
        <v>1014</v>
      </c>
      <c r="D73" s="28" t="s">
        <v>1015</v>
      </c>
      <c r="E73" s="24" t="s">
        <v>28</v>
      </c>
      <c r="F73" s="33">
        <f>SUMIF('①농산물raw'!$D:$D,$C73,'①농산물raw'!$F:$F)</f>
        <v>75</v>
      </c>
      <c r="G73" s="33">
        <f>SUMIF('①농산물raw'!$D:$D,$C73,'①농산물raw'!$G:$G)</f>
        <v>1243000</v>
      </c>
      <c r="H73" s="33">
        <f>SUMIF('①농산물raw'!$D:$D,$C73,'①농산물raw'!$H:$H)</f>
        <v>170600</v>
      </c>
      <c r="I73" s="24" t="s">
        <v>33</v>
      </c>
    </row>
    <row r="74" ht="17.25" customHeight="1">
      <c r="A74" s="24">
        <v>72.0</v>
      </c>
      <c r="B74" s="24" t="s">
        <v>16</v>
      </c>
      <c r="C74" s="24" t="s">
        <v>569</v>
      </c>
      <c r="D74" s="28" t="s">
        <v>568</v>
      </c>
      <c r="E74" s="24" t="s">
        <v>22</v>
      </c>
      <c r="F74" s="33">
        <f>SUMIF('①농산물raw'!$D:$D,$C74,'①농산물raw'!$F:$F)</f>
        <v>729</v>
      </c>
      <c r="G74" s="33">
        <f>SUMIF('①농산물raw'!$D:$D,$C74,'①농산물raw'!$G:$G)</f>
        <v>37312000</v>
      </c>
      <c r="H74" s="33">
        <f>SUMIF('①농산물raw'!$D:$D,$C74,'①농산물raw'!$H:$H)</f>
        <v>4967600</v>
      </c>
      <c r="I74" s="24" t="s">
        <v>33</v>
      </c>
    </row>
    <row r="75" ht="17.25" customHeight="1">
      <c r="A75" s="24">
        <v>73.0</v>
      </c>
      <c r="B75" s="24" t="s">
        <v>16</v>
      </c>
      <c r="C75" s="24" t="s">
        <v>589</v>
      </c>
      <c r="D75" s="28" t="s">
        <v>588</v>
      </c>
      <c r="E75" s="24" t="s">
        <v>22</v>
      </c>
      <c r="F75" s="33">
        <f>SUMIF('①농산물raw'!$D:$D,$C75,'①농산물raw'!$F:$F)</f>
        <v>796</v>
      </c>
      <c r="G75" s="33">
        <f>SUMIF('①농산물raw'!$D:$D,$C75,'①농산물raw'!$G:$G)</f>
        <v>24063100</v>
      </c>
      <c r="H75" s="33">
        <f>SUMIF('①농산물raw'!$D:$D,$C75,'①농산물raw'!$H:$H)</f>
        <v>4541120</v>
      </c>
      <c r="I75" s="24" t="s">
        <v>33</v>
      </c>
    </row>
    <row r="76" ht="17.25" customHeight="1">
      <c r="A76" s="24">
        <v>74.0</v>
      </c>
      <c r="B76" s="24" t="s">
        <v>16</v>
      </c>
      <c r="C76" s="24" t="s">
        <v>1049</v>
      </c>
      <c r="D76" s="28" t="s">
        <v>1050</v>
      </c>
      <c r="E76" s="24" t="s">
        <v>25</v>
      </c>
      <c r="F76" s="33">
        <f>SUMIF('①농산물raw'!$D:$D,$C76,'①농산물raw'!$F:$F)</f>
        <v>134</v>
      </c>
      <c r="G76" s="33">
        <f>SUMIF('①농산물raw'!$D:$D,$C76,'①농산물raw'!$G:$G)</f>
        <v>4951000</v>
      </c>
      <c r="H76" s="33">
        <f>SUMIF('①농산물raw'!$D:$D,$C76,'①농산물raw'!$H:$H)</f>
        <v>291780</v>
      </c>
      <c r="I76" s="24" t="s">
        <v>33</v>
      </c>
    </row>
    <row r="77" ht="17.25" customHeight="1">
      <c r="A77" s="24">
        <v>75.0</v>
      </c>
      <c r="B77" s="24" t="s">
        <v>16</v>
      </c>
      <c r="C77" s="24" t="s">
        <v>425</v>
      </c>
      <c r="D77" s="28" t="s">
        <v>424</v>
      </c>
      <c r="E77" s="24" t="s">
        <v>26</v>
      </c>
      <c r="F77" s="33">
        <f>SUMIF('①농산물raw'!$D:$D,$C77,'①농산물raw'!$F:$F)</f>
        <v>560</v>
      </c>
      <c r="G77" s="33">
        <f>SUMIF('①농산물raw'!$D:$D,$C77,'①농산물raw'!$G:$G)</f>
        <v>8922400</v>
      </c>
      <c r="H77" s="33">
        <f>SUMIF('①농산물raw'!$D:$D,$C77,'①농산물raw'!$H:$H)</f>
        <v>522940</v>
      </c>
      <c r="I77" s="24" t="s">
        <v>33</v>
      </c>
    </row>
    <row r="78" ht="17.25" customHeight="1">
      <c r="A78" s="24">
        <v>76.0</v>
      </c>
      <c r="B78" s="24" t="s">
        <v>16</v>
      </c>
      <c r="C78" s="24" t="s">
        <v>1082</v>
      </c>
      <c r="D78" s="28" t="s">
        <v>1083</v>
      </c>
      <c r="E78" s="24" t="s">
        <v>25</v>
      </c>
      <c r="F78" s="33">
        <f>SUMIF('①농산물raw'!$D:$D,$C78,'①농산물raw'!$F:$F)</f>
        <v>10299</v>
      </c>
      <c r="G78" s="33">
        <f>SUMIF('①농산물raw'!$D:$D,$C78,'①농산물raw'!$G:$G)</f>
        <v>485645800</v>
      </c>
      <c r="H78" s="33">
        <f>SUMIF('①농산물raw'!$D:$D,$C78,'①농산물raw'!$H:$H)</f>
        <v>5085890</v>
      </c>
      <c r="I78" s="24" t="s">
        <v>33</v>
      </c>
    </row>
    <row r="79" ht="17.25" customHeight="1">
      <c r="A79" s="24">
        <v>77.0</v>
      </c>
      <c r="B79" s="24" t="s">
        <v>16</v>
      </c>
      <c r="C79" s="24" t="s">
        <v>1097</v>
      </c>
      <c r="D79" s="28" t="s">
        <v>1098</v>
      </c>
      <c r="E79" s="24" t="s">
        <v>25</v>
      </c>
      <c r="F79" s="33">
        <f>SUMIF('①농산물raw'!$D:$D,$C79,'①농산물raw'!$F:$F)</f>
        <v>23956</v>
      </c>
      <c r="G79" s="33">
        <f>SUMIF('①농산물raw'!$D:$D,$C79,'①농산물raw'!$G:$G)</f>
        <v>633266800</v>
      </c>
      <c r="H79" s="33">
        <f>SUMIF('①농산물raw'!$D:$D,$C79,'①농산물raw'!$H:$H)</f>
        <v>2698820</v>
      </c>
      <c r="I79" s="24" t="s">
        <v>33</v>
      </c>
    </row>
    <row r="80" ht="17.25" customHeight="1">
      <c r="A80" s="24">
        <v>78.0</v>
      </c>
      <c r="B80" s="24" t="s">
        <v>16</v>
      </c>
      <c r="C80" s="24" t="s">
        <v>797</v>
      </c>
      <c r="D80" s="28" t="s">
        <v>1114</v>
      </c>
      <c r="E80" s="24" t="s">
        <v>22</v>
      </c>
      <c r="F80" s="33">
        <f>SUMIF('①농산물raw'!$D:$D,$C80,'①농산물raw'!$F:$F)</f>
        <v>723</v>
      </c>
      <c r="G80" s="33">
        <f>SUMIF('①농산물raw'!$D:$D,$C80,'①농산물raw'!$G:$G)</f>
        <v>26083350</v>
      </c>
      <c r="H80" s="33">
        <f>SUMIF('①농산물raw'!$D:$D,$C80,'①농산물raw'!$H:$H)</f>
        <v>5105280</v>
      </c>
      <c r="I80" s="24" t="s">
        <v>33</v>
      </c>
    </row>
    <row r="81" ht="17.25" customHeight="1">
      <c r="A81" s="24">
        <v>79.0</v>
      </c>
      <c r="B81" s="24" t="s">
        <v>16</v>
      </c>
      <c r="C81" s="24" t="s">
        <v>177</v>
      </c>
      <c r="D81" s="28" t="s">
        <v>176</v>
      </c>
      <c r="E81" s="24" t="s">
        <v>26</v>
      </c>
      <c r="F81" s="33">
        <f>SUMIF('①농산물raw'!$D:$D,$C81,'①농산물raw'!$F:$F)</f>
        <v>929</v>
      </c>
      <c r="G81" s="33">
        <f>SUMIF('①농산물raw'!$D:$D,$C81,'①농산물raw'!$G:$G)</f>
        <v>39533200</v>
      </c>
      <c r="H81" s="33">
        <f>SUMIF('①농산물raw'!$D:$D,$C81,'①농산물raw'!$H:$H)</f>
        <v>1667520</v>
      </c>
      <c r="I81" s="24" t="s">
        <v>33</v>
      </c>
    </row>
    <row r="82" ht="17.25" customHeight="1">
      <c r="A82" s="24">
        <v>80.0</v>
      </c>
      <c r="B82" s="24" t="s">
        <v>16</v>
      </c>
      <c r="C82" s="24" t="s">
        <v>1141</v>
      </c>
      <c r="D82" s="28" t="s">
        <v>1142</v>
      </c>
      <c r="E82" s="24" t="s">
        <v>25</v>
      </c>
      <c r="F82" s="33">
        <f>SUMIF('①농산물raw'!$D:$D,$C82,'①농산물raw'!$F:$F)</f>
        <v>414</v>
      </c>
      <c r="G82" s="33">
        <f>SUMIF('①농산물raw'!$D:$D,$C82,'①농산물raw'!$G:$G)</f>
        <v>14786120</v>
      </c>
      <c r="H82" s="33">
        <f>SUMIF('①농산물raw'!$D:$D,$C82,'①농산물raw'!$H:$H)</f>
        <v>1786630</v>
      </c>
      <c r="I82" s="24" t="s">
        <v>33</v>
      </c>
    </row>
    <row r="83" ht="17.25" customHeight="1">
      <c r="A83" s="24">
        <v>81.0</v>
      </c>
      <c r="B83" s="24" t="s">
        <v>16</v>
      </c>
      <c r="C83" s="24" t="s">
        <v>1122</v>
      </c>
      <c r="D83" s="28" t="s">
        <v>1155</v>
      </c>
      <c r="E83" s="24" t="s">
        <v>21</v>
      </c>
      <c r="F83" s="33">
        <f>SUMIF('①농산물raw'!$D:$D,$C83,'①농산물raw'!$F:$F)</f>
        <v>107861</v>
      </c>
      <c r="G83" s="33">
        <f>SUMIF('①농산물raw'!$D:$D,$C83,'①농산물raw'!$G:$G)</f>
        <v>238995790</v>
      </c>
      <c r="H83" s="33">
        <f>SUMIF('①농산물raw'!$D:$D,$C83,'①농산물raw'!$H:$H)</f>
        <v>861555</v>
      </c>
      <c r="I83" s="24" t="s">
        <v>33</v>
      </c>
    </row>
    <row r="84" ht="17.25" customHeight="1">
      <c r="A84" s="24">
        <v>82.0</v>
      </c>
      <c r="B84" s="24" t="s">
        <v>38</v>
      </c>
      <c r="C84" s="24" t="s">
        <v>1172</v>
      </c>
      <c r="D84" s="28" t="s">
        <v>1173</v>
      </c>
      <c r="E84" s="24" t="s">
        <v>25</v>
      </c>
      <c r="F84" s="33">
        <f>SUMIF('①농산물raw'!$D:$D,$C84,'①농산물raw'!$F:$F)</f>
        <v>0</v>
      </c>
      <c r="G84" s="33">
        <f>SUMIF('①농산물raw'!$D:$D,$C84,'①농산물raw'!$G:$G)</f>
        <v>0</v>
      </c>
      <c r="H84" s="33">
        <f>SUMIF('①농산물raw'!$D:$D,$C84,'①농산물raw'!$H:$H)</f>
        <v>0</v>
      </c>
      <c r="I84" s="28"/>
    </row>
    <row r="85" ht="17.25" customHeight="1">
      <c r="A85" s="24">
        <v>83.0</v>
      </c>
      <c r="B85" s="24" t="s">
        <v>46</v>
      </c>
      <c r="C85" s="24" t="s">
        <v>1193</v>
      </c>
      <c r="D85" s="28" t="s">
        <v>1194</v>
      </c>
      <c r="E85" s="24" t="s">
        <v>25</v>
      </c>
      <c r="F85" s="33">
        <f>SUMIF('①농산물raw'!$D:$D,$C85,'①농산물raw'!$F:$F)</f>
        <v>81</v>
      </c>
      <c r="G85" s="33">
        <f>SUMIF('①농산물raw'!$D:$D,$C85,'①농산물raw'!$G:$G)</f>
        <v>2399700</v>
      </c>
      <c r="H85" s="33">
        <f>SUMIF('①농산물raw'!$D:$D,$C85,'①농산물raw'!$H:$H)</f>
        <v>51980</v>
      </c>
      <c r="I85" s="24" t="s">
        <v>33</v>
      </c>
    </row>
    <row r="86" ht="17.25" customHeight="1">
      <c r="A86" s="24">
        <v>84.0</v>
      </c>
      <c r="B86" s="24" t="s">
        <v>38</v>
      </c>
      <c r="C86" s="24" t="s">
        <v>1216</v>
      </c>
      <c r="D86" s="28" t="s">
        <v>1217</v>
      </c>
      <c r="E86" s="24" t="s">
        <v>25</v>
      </c>
      <c r="F86" s="33">
        <f>SUMIF('①농산물raw'!$D:$D,$C86,'①농산물raw'!$F:$F)</f>
        <v>45</v>
      </c>
      <c r="G86" s="33">
        <f>SUMIF('①농산물raw'!$D:$D,$C86,'①농산물raw'!$G:$G)</f>
        <v>1916000</v>
      </c>
      <c r="H86" s="33">
        <f>SUMIF('①농산물raw'!$D:$D,$C86,'①농산물raw'!$H:$H)</f>
        <v>295600</v>
      </c>
      <c r="I86" s="28"/>
    </row>
    <row r="87" ht="17.25" customHeight="1">
      <c r="A87" s="24">
        <v>85.0</v>
      </c>
      <c r="B87" s="24" t="s">
        <v>16</v>
      </c>
      <c r="C87" s="24" t="s">
        <v>1236</v>
      </c>
      <c r="D87" s="28" t="s">
        <v>1237</v>
      </c>
      <c r="E87" s="24" t="s">
        <v>25</v>
      </c>
      <c r="F87" s="33">
        <f>SUMIF('①농산물raw'!$D:$D,$C87,'①농산물raw'!$F:$F)</f>
        <v>545</v>
      </c>
      <c r="G87" s="33">
        <f>SUMIF('①농산물raw'!$D:$D,$C87,'①농산물raw'!$G:$G)</f>
        <v>15225000</v>
      </c>
      <c r="H87" s="33">
        <f>SUMIF('①농산물raw'!$D:$D,$C87,'①농산물raw'!$H:$H)</f>
        <v>1887640</v>
      </c>
      <c r="I87" s="24" t="s">
        <v>33</v>
      </c>
    </row>
    <row r="88" ht="17.25" customHeight="1">
      <c r="A88" s="24">
        <v>86.0</v>
      </c>
      <c r="B88" s="24" t="s">
        <v>38</v>
      </c>
      <c r="C88" s="24" t="s">
        <v>1253</v>
      </c>
      <c r="D88" s="28" t="s">
        <v>1254</v>
      </c>
      <c r="E88" s="24" t="s">
        <v>25</v>
      </c>
      <c r="F88" s="33">
        <f>SUMIF('①농산물raw'!$D:$D,$C88,'①농산물raw'!$F:$F)</f>
        <v>3</v>
      </c>
      <c r="G88" s="33">
        <f>SUMIF('①농산물raw'!$D:$D,$C88,'①농산물raw'!$G:$G)</f>
        <v>240000</v>
      </c>
      <c r="H88" s="33">
        <f>SUMIF('①농산물raw'!$D:$D,$C88,'①농산물raw'!$H:$H)</f>
        <v>18000</v>
      </c>
      <c r="I88" s="24" t="s">
        <v>33</v>
      </c>
    </row>
    <row r="89" ht="17.25" customHeight="1">
      <c r="A89" s="24">
        <v>87.0</v>
      </c>
      <c r="B89" s="24" t="s">
        <v>38</v>
      </c>
      <c r="C89" s="24" t="s">
        <v>1267</v>
      </c>
      <c r="D89" s="28" t="s">
        <v>1268</v>
      </c>
      <c r="E89" s="24" t="s">
        <v>22</v>
      </c>
      <c r="F89" s="33">
        <f>SUMIF('①농산물raw'!$D:$D,$C89,'①농산물raw'!$F:$F)</f>
        <v>0</v>
      </c>
      <c r="G89" s="33">
        <f>SUMIF('①농산물raw'!$D:$D,$C89,'①농산물raw'!$G:$G)</f>
        <v>0</v>
      </c>
      <c r="H89" s="33">
        <f>SUMIF('①농산물raw'!$D:$D,$C89,'①농산물raw'!$H:$H)</f>
        <v>0</v>
      </c>
      <c r="I89" s="28"/>
    </row>
    <row r="90" ht="17.25" customHeight="1">
      <c r="A90" s="24">
        <v>88.0</v>
      </c>
      <c r="B90" s="24" t="s">
        <v>46</v>
      </c>
      <c r="C90" s="24" t="s">
        <v>1285</v>
      </c>
      <c r="D90" s="28" t="s">
        <v>1286</v>
      </c>
      <c r="E90" s="24" t="s">
        <v>25</v>
      </c>
      <c r="F90" s="33">
        <f>SUMIF('①농산물raw'!$D:$D,$C90,'①농산물raw'!$F:$F)</f>
        <v>308</v>
      </c>
      <c r="G90" s="33">
        <f>SUMIF('①농산물raw'!$D:$D,$C90,'①농산물raw'!$G:$G)</f>
        <v>5523590</v>
      </c>
      <c r="H90" s="33">
        <f>SUMIF('①농산물raw'!$D:$D,$C90,'①농산물raw'!$H:$H)</f>
        <v>602900</v>
      </c>
      <c r="I90" s="24" t="s">
        <v>33</v>
      </c>
    </row>
    <row r="91" ht="17.25" customHeight="1">
      <c r="A91" s="24">
        <v>89.0</v>
      </c>
      <c r="B91" s="24" t="s">
        <v>16</v>
      </c>
      <c r="C91" s="45" t="s">
        <v>1295</v>
      </c>
      <c r="D91" s="28" t="s">
        <v>1296</v>
      </c>
      <c r="E91" s="24" t="s">
        <v>26</v>
      </c>
      <c r="F91" s="33">
        <f>SUMIF('①농산물raw'!$D:$D,$C91,'①농산물raw'!$F:$F)</f>
        <v>0</v>
      </c>
      <c r="G91" s="33">
        <f>SUMIF('①농산물raw'!$D:$D,$C91,'①농산물raw'!$G:$G)</f>
        <v>0</v>
      </c>
      <c r="H91" s="33">
        <f>SUMIF('①농산물raw'!$D:$D,$C91,'①농산물raw'!$H:$H)</f>
        <v>0</v>
      </c>
      <c r="I91" s="28"/>
    </row>
    <row r="92" ht="17.25" customHeight="1">
      <c r="A92" s="24">
        <v>90.0</v>
      </c>
      <c r="B92" s="24" t="s">
        <v>16</v>
      </c>
      <c r="C92" s="24" t="s">
        <v>127</v>
      </c>
      <c r="D92" s="28" t="s">
        <v>126</v>
      </c>
      <c r="E92" s="24" t="s">
        <v>26</v>
      </c>
      <c r="F92" s="33">
        <f>SUMIF('①농산물raw'!$D:$D,$C92,'①농산물raw'!$F:$F)</f>
        <v>2151</v>
      </c>
      <c r="G92" s="33">
        <f>SUMIF('①농산물raw'!$D:$D,$C92,'①농산물raw'!$G:$G)</f>
        <v>57973900</v>
      </c>
      <c r="H92" s="33">
        <f>SUMIF('①농산물raw'!$D:$D,$C92,'①농산물raw'!$H:$H)</f>
        <v>4867560</v>
      </c>
      <c r="I92" s="24" t="s">
        <v>33</v>
      </c>
    </row>
    <row r="93" ht="17.25" customHeight="1">
      <c r="A93" s="24">
        <v>91.0</v>
      </c>
      <c r="B93" s="24" t="s">
        <v>16</v>
      </c>
      <c r="C93" s="24" t="s">
        <v>1326</v>
      </c>
      <c r="D93" s="28" t="s">
        <v>1329</v>
      </c>
      <c r="E93" s="24" t="s">
        <v>25</v>
      </c>
      <c r="F93" s="33">
        <f>SUMIF('①농산물raw'!$D:$D,$C93,'①농산물raw'!$F:$F)</f>
        <v>417</v>
      </c>
      <c r="G93" s="33">
        <f>SUMIF('①농산물raw'!$D:$D,$C93,'①농산물raw'!$G:$G)</f>
        <v>42703650</v>
      </c>
      <c r="H93" s="33">
        <f>SUMIF('①농산물raw'!$D:$D,$C93,'①농산물raw'!$H:$H)</f>
        <v>1627460</v>
      </c>
      <c r="I93" s="24" t="s">
        <v>33</v>
      </c>
    </row>
    <row r="94" ht="17.25" customHeight="1">
      <c r="A94" s="24">
        <v>92.0</v>
      </c>
      <c r="B94" s="24" t="s">
        <v>16</v>
      </c>
      <c r="C94" s="24" t="s">
        <v>1338</v>
      </c>
      <c r="D94" s="28" t="s">
        <v>1339</v>
      </c>
      <c r="E94" s="24" t="s">
        <v>25</v>
      </c>
      <c r="F94" s="33">
        <f>SUMIF('①농산물raw'!$D:$D,$C94,'①농산물raw'!$F:$F)</f>
        <v>87</v>
      </c>
      <c r="G94" s="33">
        <f>SUMIF('①농산물raw'!$D:$D,$C94,'①농산물raw'!$G:$G)</f>
        <v>2505010</v>
      </c>
      <c r="H94" s="33">
        <f>SUMIF('①농산물raw'!$D:$D,$C94,'①농산물raw'!$H:$H)</f>
        <v>210620</v>
      </c>
      <c r="I94" s="24" t="s">
        <v>33</v>
      </c>
    </row>
    <row r="95" ht="17.25" customHeight="1">
      <c r="A95" s="24">
        <v>93.0</v>
      </c>
      <c r="B95" s="24" t="s">
        <v>38</v>
      </c>
      <c r="C95" s="24" t="s">
        <v>1352</v>
      </c>
      <c r="D95" s="28" t="s">
        <v>1354</v>
      </c>
      <c r="E95" s="24" t="s">
        <v>25</v>
      </c>
      <c r="F95" s="33">
        <f>SUMIF('①농산물raw'!$D:$D,$C95,'①농산물raw'!$F:$F)</f>
        <v>777</v>
      </c>
      <c r="G95" s="33">
        <f>SUMIF('①농산물raw'!$D:$D,$C95,'①농산물raw'!$G:$G)</f>
        <v>14367300</v>
      </c>
      <c r="H95" s="33">
        <f>SUMIF('①농산물raw'!$D:$D,$C95,'①농산물raw'!$H:$H)</f>
        <v>394590</v>
      </c>
      <c r="I95" s="24" t="s">
        <v>33</v>
      </c>
    </row>
    <row r="96" ht="17.25" customHeight="1">
      <c r="A96" s="24">
        <v>94.0</v>
      </c>
      <c r="B96" s="24" t="s">
        <v>16</v>
      </c>
      <c r="C96" s="24" t="s">
        <v>355</v>
      </c>
      <c r="D96" s="28" t="s">
        <v>354</v>
      </c>
      <c r="E96" s="24" t="s">
        <v>26</v>
      </c>
      <c r="F96" s="33">
        <f>SUMIF('①농산물raw'!$D:$D,$C96,'①농산물raw'!$F:$F)</f>
        <v>3441</v>
      </c>
      <c r="G96" s="33">
        <f>SUMIF('①농산물raw'!$D:$D,$C96,'①농산물raw'!$G:$G)</f>
        <v>60348400</v>
      </c>
      <c r="H96" s="33">
        <f>SUMIF('①농산물raw'!$D:$D,$C96,'①농산물raw'!$H:$H)</f>
        <v>5728100</v>
      </c>
      <c r="I96" s="24" t="s">
        <v>33</v>
      </c>
    </row>
    <row r="97" ht="17.25" customHeight="1">
      <c r="A97" s="24">
        <v>95.0</v>
      </c>
      <c r="B97" s="24" t="s">
        <v>16</v>
      </c>
      <c r="C97" s="24" t="s">
        <v>1007</v>
      </c>
      <c r="D97" s="28" t="s">
        <v>1379</v>
      </c>
      <c r="E97" s="24" t="s">
        <v>22</v>
      </c>
      <c r="F97" s="33">
        <f>SUMIF('①농산물raw'!$D:$D,$C97,'①농산물raw'!$F:$F)</f>
        <v>91</v>
      </c>
      <c r="G97" s="33">
        <f>SUMIF('①농산물raw'!$D:$D,$C97,'①농산물raw'!$G:$G)</f>
        <v>2694400</v>
      </c>
      <c r="H97" s="33">
        <f>SUMIF('①농산물raw'!$D:$D,$C97,'①농산물raw'!$H:$H)</f>
        <v>371050</v>
      </c>
      <c r="I97" s="24" t="s">
        <v>33</v>
      </c>
    </row>
    <row r="98" ht="17.25" customHeight="1">
      <c r="A98" s="24">
        <v>96.0</v>
      </c>
      <c r="B98" s="24" t="s">
        <v>16</v>
      </c>
      <c r="C98" s="24" t="s">
        <v>1393</v>
      </c>
      <c r="D98" s="28" t="s">
        <v>1394</v>
      </c>
      <c r="E98" s="24" t="s">
        <v>25</v>
      </c>
      <c r="F98" s="33">
        <f>SUMIF('①농산물raw'!$D:$D,$C98,'①농산물raw'!$F:$F)</f>
        <v>0</v>
      </c>
      <c r="G98" s="33">
        <f>SUMIF('①농산물raw'!$D:$D,$C98,'①농산물raw'!$G:$G)</f>
        <v>0</v>
      </c>
      <c r="H98" s="33">
        <f>SUMIF('①농산물raw'!$D:$D,$C98,'①농산물raw'!$H:$H)</f>
        <v>0</v>
      </c>
      <c r="I98" s="28"/>
    </row>
    <row r="99" ht="17.25" customHeight="1">
      <c r="A99" s="24">
        <v>97.0</v>
      </c>
      <c r="B99" s="24" t="s">
        <v>16</v>
      </c>
      <c r="C99" s="24" t="s">
        <v>1407</v>
      </c>
      <c r="D99" s="28" t="s">
        <v>1408</v>
      </c>
      <c r="E99" s="24" t="s">
        <v>25</v>
      </c>
      <c r="F99" s="33">
        <f>SUMIF('①농산물raw'!$D:$D,$C99,'①농산물raw'!$F:$F)</f>
        <v>0</v>
      </c>
      <c r="G99" s="33">
        <f>SUMIF('①농산물raw'!$D:$D,$C99,'①농산물raw'!$G:$G)</f>
        <v>0</v>
      </c>
      <c r="H99" s="33">
        <f>SUMIF('①농산물raw'!$D:$D,$C99,'①농산물raw'!$H:$H)</f>
        <v>0</v>
      </c>
      <c r="I99" s="28"/>
    </row>
    <row r="100" ht="17.25" customHeight="1">
      <c r="A100" s="24">
        <v>98.0</v>
      </c>
      <c r="B100" s="24" t="s">
        <v>38</v>
      </c>
      <c r="C100" s="24" t="s">
        <v>1417</v>
      </c>
      <c r="D100" s="28" t="s">
        <v>1418</v>
      </c>
      <c r="E100" s="24" t="s">
        <v>25</v>
      </c>
      <c r="F100" s="33">
        <f>SUMIF('①농산물raw'!$D:$D,$C100,'①농산물raw'!$F:$F)</f>
        <v>298</v>
      </c>
      <c r="G100" s="33">
        <f>SUMIF('①농산물raw'!$D:$D,$C100,'①농산물raw'!$G:$G)</f>
        <v>5666070</v>
      </c>
      <c r="H100" s="33">
        <f>SUMIF('①농산물raw'!$D:$D,$C100,'①농산물raw'!$H:$H)</f>
        <v>282800</v>
      </c>
      <c r="I100" s="24" t="s">
        <v>33</v>
      </c>
    </row>
    <row r="101" ht="17.25" customHeight="1">
      <c r="A101" s="24">
        <v>99.0</v>
      </c>
      <c r="B101" s="24" t="s">
        <v>46</v>
      </c>
      <c r="C101" s="24" t="s">
        <v>1214</v>
      </c>
      <c r="D101" s="28" t="s">
        <v>1213</v>
      </c>
      <c r="E101" s="24" t="s">
        <v>28</v>
      </c>
      <c r="F101" s="33">
        <f>SUMIF('①농산물raw'!$D:$D,$C101,'①농산물raw'!$F:$F)</f>
        <v>22</v>
      </c>
      <c r="G101" s="33">
        <f>SUMIF('①농산물raw'!$D:$D,$C101,'①농산물raw'!$G:$G)</f>
        <v>1087000</v>
      </c>
      <c r="H101" s="33">
        <f>SUMIF('①농산물raw'!$D:$D,$C101,'①농산물raw'!$H:$H)</f>
        <v>129320</v>
      </c>
      <c r="I101" s="24" t="s">
        <v>33</v>
      </c>
    </row>
    <row r="102" ht="17.25" customHeight="1">
      <c r="A102" s="24">
        <v>100.0</v>
      </c>
      <c r="B102" s="24" t="s">
        <v>16</v>
      </c>
      <c r="C102" s="24" t="s">
        <v>1451</v>
      </c>
      <c r="D102" s="28" t="s">
        <v>1452</v>
      </c>
      <c r="E102" s="24" t="s">
        <v>25</v>
      </c>
      <c r="F102" s="33">
        <f>SUMIF('①농산물raw'!$D:$D,$C102,'①농산물raw'!$F:$F)</f>
        <v>269</v>
      </c>
      <c r="G102" s="33">
        <f>SUMIF('①농산물raw'!$D:$D,$C102,'①농산물raw'!$G:$G)</f>
        <v>11888240</v>
      </c>
      <c r="H102" s="33">
        <f>SUMIF('①농산물raw'!$D:$D,$C102,'①농산물raw'!$H:$H)</f>
        <v>631520</v>
      </c>
      <c r="I102" s="24" t="s">
        <v>33</v>
      </c>
    </row>
    <row r="103" ht="17.25" customHeight="1">
      <c r="A103" s="24">
        <v>101.0</v>
      </c>
      <c r="B103" s="24" t="s">
        <v>38</v>
      </c>
      <c r="C103" s="24" t="s">
        <v>1472</v>
      </c>
      <c r="D103" s="28" t="s">
        <v>1473</v>
      </c>
      <c r="E103" s="24" t="s">
        <v>25</v>
      </c>
      <c r="F103" s="33">
        <f>SUMIF('①농산물raw'!$D:$D,$C103,'①농산물raw'!$F:$F)</f>
        <v>0</v>
      </c>
      <c r="G103" s="33">
        <f>SUMIF('①농산물raw'!$D:$D,$C103,'①농산물raw'!$G:$G)</f>
        <v>0</v>
      </c>
      <c r="H103" s="33">
        <f>SUMIF('①농산물raw'!$D:$D,$C103,'①농산물raw'!$H:$H)</f>
        <v>0</v>
      </c>
      <c r="I103" s="28"/>
    </row>
    <row r="104" ht="17.25" customHeight="1">
      <c r="A104" s="24">
        <v>102.0</v>
      </c>
      <c r="B104" s="24" t="s">
        <v>16</v>
      </c>
      <c r="C104" s="24" t="s">
        <v>1493</v>
      </c>
      <c r="D104" s="28" t="s">
        <v>1494</v>
      </c>
      <c r="E104" s="24" t="s">
        <v>25</v>
      </c>
      <c r="F104" s="33">
        <f>SUMIF('①농산물raw'!$D:$D,$C104,'①농산물raw'!$F:$F)</f>
        <v>325</v>
      </c>
      <c r="G104" s="33">
        <f>SUMIF('①농산물raw'!$D:$D,$C104,'①농산물raw'!$G:$G)</f>
        <v>8356000</v>
      </c>
      <c r="H104" s="33">
        <f>SUMIF('①농산물raw'!$D:$D,$C104,'①농산물raw'!$H:$H)</f>
        <v>844760</v>
      </c>
      <c r="I104" s="24" t="s">
        <v>33</v>
      </c>
    </row>
    <row r="105" ht="17.25" customHeight="1">
      <c r="A105" s="24">
        <v>103.0</v>
      </c>
      <c r="B105" s="24" t="s">
        <v>46</v>
      </c>
      <c r="C105" s="24" t="s">
        <v>1515</v>
      </c>
      <c r="D105" s="28" t="s">
        <v>1516</v>
      </c>
      <c r="E105" s="24" t="s">
        <v>25</v>
      </c>
      <c r="F105" s="33">
        <f>SUMIF('①농산물raw'!$D:$D,$C105,'①농산물raw'!$F:$F)</f>
        <v>0</v>
      </c>
      <c r="G105" s="33">
        <f>SUMIF('①농산물raw'!$D:$D,$C105,'①농산물raw'!$G:$G)</f>
        <v>0</v>
      </c>
      <c r="H105" s="33">
        <f>SUMIF('①농산물raw'!$D:$D,$C105,'①농산물raw'!$H:$H)</f>
        <v>0</v>
      </c>
      <c r="I105" s="28"/>
    </row>
    <row r="106" ht="17.25" customHeight="1">
      <c r="A106" s="24">
        <v>104.0</v>
      </c>
      <c r="B106" s="24" t="s">
        <v>16</v>
      </c>
      <c r="C106" s="24" t="s">
        <v>351</v>
      </c>
      <c r="D106" s="28" t="s">
        <v>350</v>
      </c>
      <c r="E106" s="24" t="s">
        <v>26</v>
      </c>
      <c r="F106" s="33">
        <f>SUMIF('①농산물raw'!$D:$D,$C106,'①농산물raw'!$F:$F)</f>
        <v>324</v>
      </c>
      <c r="G106" s="33">
        <f>SUMIF('①농산물raw'!$D:$D,$C106,'①농산물raw'!$G:$G)</f>
        <v>6087100</v>
      </c>
      <c r="H106" s="33">
        <f>SUMIF('①농산물raw'!$D:$D,$C106,'①농산물raw'!$H:$H)</f>
        <v>476820</v>
      </c>
      <c r="I106" s="24" t="s">
        <v>33</v>
      </c>
    </row>
    <row r="107" ht="17.25" customHeight="1">
      <c r="A107" s="24">
        <v>105.0</v>
      </c>
      <c r="B107" s="24" t="s">
        <v>46</v>
      </c>
      <c r="C107" s="24" t="s">
        <v>1559</v>
      </c>
      <c r="D107" s="28" t="s">
        <v>1561</v>
      </c>
      <c r="E107" s="24" t="s">
        <v>26</v>
      </c>
      <c r="F107" s="33">
        <f>SUMIF('①농산물raw'!$D:$D,$C107,'①농산물raw'!$F:$F)</f>
        <v>0</v>
      </c>
      <c r="G107" s="33">
        <f>SUMIF('①농산물raw'!$D:$D,$C107,'①농산물raw'!$G:$G)</f>
        <v>0</v>
      </c>
      <c r="H107" s="33">
        <f>SUMIF('①농산물raw'!$D:$D,$C107,'①농산물raw'!$H:$H)</f>
        <v>0</v>
      </c>
      <c r="I107" s="28"/>
    </row>
    <row r="108" ht="17.25" customHeight="1">
      <c r="A108" s="24">
        <v>106.0</v>
      </c>
      <c r="B108" s="24" t="s">
        <v>16</v>
      </c>
      <c r="C108" s="24" t="s">
        <v>1577</v>
      </c>
      <c r="D108" s="28" t="s">
        <v>1579</v>
      </c>
      <c r="E108" s="24" t="s">
        <v>26</v>
      </c>
      <c r="F108" s="33">
        <f>SUMIF('①농산물raw'!$D:$D,$C108,'①농산물raw'!$F:$F)</f>
        <v>0</v>
      </c>
      <c r="G108" s="33">
        <f>SUMIF('①농산물raw'!$D:$D,$C108,'①농산물raw'!$G:$G)</f>
        <v>0</v>
      </c>
      <c r="H108" s="33">
        <f>SUMIF('①농산물raw'!$D:$D,$C108,'①농산물raw'!$H:$H)</f>
        <v>0</v>
      </c>
      <c r="I108" s="28"/>
    </row>
    <row r="109" ht="17.25" customHeight="1">
      <c r="A109" s="24">
        <v>107.0</v>
      </c>
      <c r="B109" s="24" t="s">
        <v>38</v>
      </c>
      <c r="C109" s="24" t="s">
        <v>1593</v>
      </c>
      <c r="D109" s="28" t="s">
        <v>1594</v>
      </c>
      <c r="E109" s="24" t="s">
        <v>25</v>
      </c>
      <c r="F109" s="33">
        <f>SUMIF('①농산물raw'!$D:$D,$C109,'①농산물raw'!$F:$F)</f>
        <v>0</v>
      </c>
      <c r="G109" s="33">
        <f>SUMIF('①농산물raw'!$D:$D,$C109,'①농산물raw'!$G:$G)</f>
        <v>0</v>
      </c>
      <c r="H109" s="33">
        <f>SUMIF('①농산물raw'!$D:$D,$C109,'①농산물raw'!$H:$H)</f>
        <v>0</v>
      </c>
      <c r="I109" s="28"/>
    </row>
    <row r="110" ht="17.25" customHeight="1">
      <c r="A110" s="24">
        <v>108.0</v>
      </c>
      <c r="B110" s="24" t="s">
        <v>16</v>
      </c>
      <c r="C110" s="24" t="s">
        <v>1609</v>
      </c>
      <c r="D110" s="28" t="s">
        <v>1610</v>
      </c>
      <c r="E110" s="24" t="s">
        <v>25</v>
      </c>
      <c r="F110" s="33">
        <f>SUMIF('①농산물raw'!$D:$D,$C110,'①농산물raw'!$F:$F)</f>
        <v>0</v>
      </c>
      <c r="G110" s="33">
        <f>SUMIF('①농산물raw'!$D:$D,$C110,'①농산물raw'!$G:$G)</f>
        <v>0</v>
      </c>
      <c r="H110" s="33">
        <f>SUMIF('①농산물raw'!$D:$D,$C110,'①농산물raw'!$H:$H)</f>
        <v>0</v>
      </c>
      <c r="I110" s="28"/>
    </row>
    <row r="111" ht="17.25" customHeight="1">
      <c r="A111" s="24">
        <v>109.0</v>
      </c>
      <c r="B111" s="24" t="s">
        <v>46</v>
      </c>
      <c r="C111" s="24" t="s">
        <v>1624</v>
      </c>
      <c r="D111" s="28" t="s">
        <v>1625</v>
      </c>
      <c r="E111" s="24" t="s">
        <v>28</v>
      </c>
      <c r="F111" s="33">
        <f>SUMIF('①농산물raw'!$D:$D,$C111,'①농산물raw'!$F:$F)</f>
        <v>0</v>
      </c>
      <c r="G111" s="33">
        <f>SUMIF('①농산물raw'!$D:$D,$C111,'①농산물raw'!$G:$G)</f>
        <v>0</v>
      </c>
      <c r="H111" s="33">
        <f>SUMIF('①농산물raw'!$D:$D,$C111,'①농산물raw'!$H:$H)</f>
        <v>0</v>
      </c>
      <c r="I111" s="28"/>
    </row>
    <row r="112" ht="17.25" customHeight="1">
      <c r="A112" s="24">
        <v>110.0</v>
      </c>
      <c r="B112" s="24" t="s">
        <v>16</v>
      </c>
      <c r="C112" s="45" t="s">
        <v>371</v>
      </c>
      <c r="D112" s="28" t="s">
        <v>370</v>
      </c>
      <c r="E112" s="24" t="s">
        <v>26</v>
      </c>
      <c r="F112" s="33">
        <f>SUMIF('①농산물raw'!$D:$D,$C112,'①농산물raw'!$F:$F)</f>
        <v>2936</v>
      </c>
      <c r="G112" s="33">
        <f>SUMIF('①농산물raw'!$D:$D,$C112,'①농산물raw'!$G:$G)</f>
        <v>34514260</v>
      </c>
      <c r="H112" s="33">
        <f>SUMIF('①농산물raw'!$D:$D,$C112,'①농산물raw'!$H:$H)</f>
        <v>3201390</v>
      </c>
      <c r="I112" s="24" t="s">
        <v>33</v>
      </c>
    </row>
    <row r="113" ht="17.25" customHeight="1">
      <c r="A113" s="24">
        <v>111.0</v>
      </c>
      <c r="B113" s="24" t="s">
        <v>16</v>
      </c>
      <c r="C113" s="24" t="s">
        <v>1659</v>
      </c>
      <c r="D113" s="28" t="s">
        <v>1661</v>
      </c>
      <c r="E113" s="24" t="s">
        <v>28</v>
      </c>
      <c r="F113" s="33">
        <f>SUMIF('①농산물raw'!$D:$D,$C113,'①농산물raw'!$F:$F)</f>
        <v>0</v>
      </c>
      <c r="G113" s="33">
        <f>SUMIF('①농산물raw'!$D:$D,$C113,'①농산물raw'!$G:$G)</f>
        <v>0</v>
      </c>
      <c r="H113" s="33">
        <f>SUMIF('①농산물raw'!$D:$D,$C113,'①농산물raw'!$H:$H)</f>
        <v>0</v>
      </c>
      <c r="I113" s="28"/>
    </row>
    <row r="114" ht="17.25" customHeight="1">
      <c r="A114" s="24">
        <v>112.0</v>
      </c>
      <c r="B114" s="24" t="s">
        <v>46</v>
      </c>
      <c r="C114" s="24" t="s">
        <v>1460</v>
      </c>
      <c r="D114" s="28" t="s">
        <v>1459</v>
      </c>
      <c r="E114" s="24" t="s">
        <v>25</v>
      </c>
      <c r="F114" s="33">
        <f>SUMIF('①농산물raw'!$D:$D,$C114,'①농산물raw'!$F:$F)</f>
        <v>64</v>
      </c>
      <c r="G114" s="33">
        <f>SUMIF('①농산물raw'!$D:$D,$C114,'①농산물raw'!$G:$G)</f>
        <v>1376000</v>
      </c>
      <c r="H114" s="33">
        <f>SUMIF('①농산물raw'!$D:$D,$C114,'①농산물raw'!$H:$H)</f>
        <v>72800</v>
      </c>
      <c r="I114" s="24" t="s">
        <v>33</v>
      </c>
    </row>
    <row r="115" ht="17.25" customHeight="1">
      <c r="A115" s="24">
        <v>113.0</v>
      </c>
      <c r="B115" s="24" t="s">
        <v>16</v>
      </c>
      <c r="C115" s="24" t="s">
        <v>977</v>
      </c>
      <c r="D115" s="28" t="s">
        <v>976</v>
      </c>
      <c r="E115" s="24" t="s">
        <v>22</v>
      </c>
      <c r="F115" s="33">
        <f>SUMIF('①농산물raw'!$D:$D,$C115,'①농산물raw'!$F:$F)</f>
        <v>1351</v>
      </c>
      <c r="G115" s="33">
        <f>SUMIF('①농산물raw'!$D:$D,$C115,'①농산물raw'!$G:$G)</f>
        <v>36257920</v>
      </c>
      <c r="H115" s="33">
        <f>SUMIF('①농산물raw'!$D:$D,$C115,'①농산물raw'!$H:$H)</f>
        <v>4804820</v>
      </c>
      <c r="I115" s="24" t="s">
        <v>33</v>
      </c>
    </row>
    <row r="116" ht="17.25" customHeight="1">
      <c r="A116" s="24">
        <v>114.0</v>
      </c>
      <c r="B116" s="24" t="s">
        <v>46</v>
      </c>
      <c r="C116" s="24" t="s">
        <v>1249</v>
      </c>
      <c r="D116" s="28" t="s">
        <v>1248</v>
      </c>
      <c r="E116" s="24" t="s">
        <v>28</v>
      </c>
      <c r="F116" s="33">
        <f>SUMIF('①농산물raw'!$D:$D,$C116,'①농산물raw'!$F:$F)</f>
        <v>22</v>
      </c>
      <c r="G116" s="33">
        <f>SUMIF('①농산물raw'!$D:$D,$C116,'①농산물raw'!$G:$G)</f>
        <v>472200</v>
      </c>
      <c r="H116" s="33">
        <f>SUMIF('①농산물raw'!$D:$D,$C116,'①농산물raw'!$H:$H)</f>
        <v>66017</v>
      </c>
      <c r="I116" s="24" t="s">
        <v>33</v>
      </c>
    </row>
    <row r="117" ht="17.25" customHeight="1">
      <c r="A117" s="24">
        <v>115.0</v>
      </c>
      <c r="B117" s="24" t="s">
        <v>16</v>
      </c>
      <c r="C117" s="24" t="s">
        <v>305</v>
      </c>
      <c r="D117" s="28" t="s">
        <v>304</v>
      </c>
      <c r="E117" s="24" t="s">
        <v>26</v>
      </c>
      <c r="F117" s="33">
        <f>SUMIF('①농산물raw'!$D:$D,$C117,'①농산물raw'!$F:$F)</f>
        <v>589</v>
      </c>
      <c r="G117" s="33">
        <f>SUMIF('①농산물raw'!$D:$D,$C117,'①농산물raw'!$G:$G)</f>
        <v>18159600</v>
      </c>
      <c r="H117" s="33">
        <f>SUMIF('①농산물raw'!$D:$D,$C117,'①농산물raw'!$H:$H)</f>
        <v>281240</v>
      </c>
      <c r="I117" s="24" t="s">
        <v>33</v>
      </c>
    </row>
    <row r="118" ht="17.25" customHeight="1">
      <c r="A118" s="24">
        <v>116.0</v>
      </c>
      <c r="B118" s="24" t="s">
        <v>46</v>
      </c>
      <c r="C118" s="24" t="s">
        <v>1732</v>
      </c>
      <c r="D118" s="28" t="s">
        <v>1733</v>
      </c>
      <c r="E118" s="24" t="s">
        <v>25</v>
      </c>
      <c r="F118" s="33">
        <f>SUMIF('①농산물raw'!$D:$D,$C118,'①농산물raw'!$F:$F)</f>
        <v>0</v>
      </c>
      <c r="G118" s="33">
        <f>SUMIF('①농산물raw'!$D:$D,$C118,'①농산물raw'!$G:$G)</f>
        <v>0</v>
      </c>
      <c r="H118" s="33">
        <f>SUMIF('①농산물raw'!$D:$D,$C118,'①농산물raw'!$H:$H)</f>
        <v>0</v>
      </c>
      <c r="I118" s="28"/>
    </row>
    <row r="119" ht="17.25" customHeight="1">
      <c r="A119" s="24">
        <v>117.0</v>
      </c>
      <c r="B119" s="24" t="s">
        <v>16</v>
      </c>
      <c r="C119" s="24" t="s">
        <v>1753</v>
      </c>
      <c r="D119" s="28" t="s">
        <v>1754</v>
      </c>
      <c r="E119" s="24" t="s">
        <v>22</v>
      </c>
      <c r="F119" s="33">
        <f>SUMIF('①농산물raw'!$D:$D,$C119,'①농산물raw'!$F:$F)</f>
        <v>0</v>
      </c>
      <c r="G119" s="33">
        <f>SUMIF('①농산물raw'!$D:$D,$C119,'①농산물raw'!$G:$G)</f>
        <v>0</v>
      </c>
      <c r="H119" s="33">
        <f>SUMIF('①농산물raw'!$D:$D,$C119,'①농산물raw'!$H:$H)</f>
        <v>0</v>
      </c>
      <c r="I119" s="28"/>
    </row>
    <row r="120" ht="17.25" customHeight="1">
      <c r="A120" s="24">
        <v>118.0</v>
      </c>
      <c r="B120" s="24" t="s">
        <v>38</v>
      </c>
      <c r="C120" s="24" t="s">
        <v>1289</v>
      </c>
      <c r="D120" s="28" t="s">
        <v>1288</v>
      </c>
      <c r="E120" s="24" t="s">
        <v>28</v>
      </c>
      <c r="F120" s="33">
        <f>SUMIF('①농산물raw'!$D:$D,$C120,'①농산물raw'!$F:$F)</f>
        <v>4</v>
      </c>
      <c r="G120" s="33">
        <f>SUMIF('①농산물raw'!$D:$D,$C120,'①농산물raw'!$G:$G)</f>
        <v>123400</v>
      </c>
      <c r="H120" s="33">
        <f>SUMIF('①농산물raw'!$D:$D,$C120,'①농산물raw'!$H:$H)</f>
        <v>19700</v>
      </c>
      <c r="I120" s="28"/>
    </row>
    <row r="121" ht="17.25" customHeight="1">
      <c r="A121" s="24">
        <v>119.0</v>
      </c>
      <c r="B121" s="24" t="s">
        <v>46</v>
      </c>
      <c r="C121" s="24" t="s">
        <v>1092</v>
      </c>
      <c r="D121" s="28" t="s">
        <v>1091</v>
      </c>
      <c r="E121" s="24" t="s">
        <v>21</v>
      </c>
      <c r="F121" s="33">
        <f>SUMIF('①농산물raw'!$D:$D,$C121,'①농산물raw'!$F:$F)</f>
        <v>37</v>
      </c>
      <c r="G121" s="33">
        <f>SUMIF('①농산물raw'!$D:$D,$C121,'①농산물raw'!$G:$G)</f>
        <v>937000</v>
      </c>
      <c r="H121" s="33">
        <f>SUMIF('①농산물raw'!$D:$D,$C121,'①농산물raw'!$H:$H)</f>
        <v>161700</v>
      </c>
      <c r="I121" s="24" t="s">
        <v>33</v>
      </c>
    </row>
    <row r="122" ht="17.25" customHeight="1">
      <c r="A122" s="24">
        <v>120.0</v>
      </c>
      <c r="B122" s="24" t="s">
        <v>46</v>
      </c>
      <c r="C122" s="24" t="s">
        <v>791</v>
      </c>
      <c r="D122" s="28" t="s">
        <v>790</v>
      </c>
      <c r="E122" s="24" t="s">
        <v>22</v>
      </c>
      <c r="F122" s="33">
        <f>SUMIF('①농산물raw'!$D:$D,$C122,'①농산물raw'!$F:$F)</f>
        <v>2255</v>
      </c>
      <c r="G122" s="33">
        <f>SUMIF('①농산물raw'!$D:$D,$C122,'①농산물raw'!$G:$G)</f>
        <v>13975900</v>
      </c>
      <c r="H122" s="33">
        <f>SUMIF('①농산물raw'!$D:$D,$C122,'①농산물raw'!$H:$H)</f>
        <v>2783730</v>
      </c>
      <c r="I122" s="24" t="s">
        <v>33</v>
      </c>
    </row>
    <row r="123" ht="17.25" customHeight="1">
      <c r="A123" s="24">
        <v>121.0</v>
      </c>
      <c r="B123" s="24" t="s">
        <v>16</v>
      </c>
      <c r="C123" s="24" t="s">
        <v>1808</v>
      </c>
      <c r="D123" s="28" t="s">
        <v>1809</v>
      </c>
      <c r="E123" s="24" t="s">
        <v>26</v>
      </c>
      <c r="F123" s="33">
        <f>SUMIF('①농산물raw'!$D:$D,$C123,'①농산물raw'!$F:$F)</f>
        <v>0</v>
      </c>
      <c r="G123" s="33">
        <f>SUMIF('①농산물raw'!$D:$D,$C123,'①농산물raw'!$G:$G)</f>
        <v>0</v>
      </c>
      <c r="H123" s="33">
        <f>SUMIF('①농산물raw'!$D:$D,$C123,'①농산물raw'!$H:$H)</f>
        <v>0</v>
      </c>
      <c r="I123" s="28"/>
    </row>
    <row r="124" ht="17.25" customHeight="1">
      <c r="A124" s="24">
        <v>122.0</v>
      </c>
      <c r="B124" s="24" t="s">
        <v>16</v>
      </c>
      <c r="C124" s="24" t="s">
        <v>1102</v>
      </c>
      <c r="D124" s="28" t="s">
        <v>1101</v>
      </c>
      <c r="E124" s="24" t="s">
        <v>21</v>
      </c>
      <c r="F124" s="33">
        <f>SUMIF('①농산물raw'!$D:$D,$C124,'①농산물raw'!$F:$F)</f>
        <v>62603</v>
      </c>
      <c r="G124" s="33">
        <f>SUMIF('①농산물raw'!$D:$D,$C124,'①농산물raw'!$G:$G)</f>
        <v>175764970</v>
      </c>
      <c r="H124" s="33">
        <f>SUMIF('①농산물raw'!$D:$D,$C124,'①농산물raw'!$H:$H)</f>
        <v>2046334</v>
      </c>
      <c r="I124" s="24" t="s">
        <v>33</v>
      </c>
    </row>
    <row r="125" ht="17.25" customHeight="1">
      <c r="A125" s="24">
        <v>123.0</v>
      </c>
      <c r="B125" s="24" t="s">
        <v>38</v>
      </c>
      <c r="C125" s="24" t="s">
        <v>1840</v>
      </c>
      <c r="D125" s="28" t="s">
        <v>1841</v>
      </c>
      <c r="E125" s="24" t="s">
        <v>25</v>
      </c>
      <c r="F125" s="33">
        <f>SUMIF('①농산물raw'!$D:$D,$C125,'①농산물raw'!$F:$F)</f>
        <v>0</v>
      </c>
      <c r="G125" s="33">
        <f>SUMIF('①농산물raw'!$D:$D,$C125,'①농산물raw'!$G:$G)</f>
        <v>0</v>
      </c>
      <c r="H125" s="33">
        <f>SUMIF('①농산물raw'!$D:$D,$C125,'①농산물raw'!$H:$H)</f>
        <v>0</v>
      </c>
      <c r="I125" s="28"/>
    </row>
    <row r="126" ht="17.25" customHeight="1">
      <c r="A126" s="24">
        <v>124.0</v>
      </c>
      <c r="B126" s="24" t="s">
        <v>16</v>
      </c>
      <c r="C126" s="24" t="s">
        <v>1649</v>
      </c>
      <c r="D126" s="28" t="s">
        <v>1648</v>
      </c>
      <c r="E126" s="24" t="s">
        <v>25</v>
      </c>
      <c r="F126" s="33">
        <f>SUMIF('①농산물raw'!$D:$D,$C126,'①농산물raw'!$F:$F)</f>
        <v>110</v>
      </c>
      <c r="G126" s="33">
        <f>SUMIF('①농산물raw'!$D:$D,$C126,'①농산물raw'!$G:$G)</f>
        <v>2855400</v>
      </c>
      <c r="H126" s="33">
        <f>SUMIF('①농산물raw'!$D:$D,$C126,'①농산물raw'!$H:$H)</f>
        <v>244970</v>
      </c>
      <c r="I126" s="24" t="s">
        <v>33</v>
      </c>
    </row>
    <row r="127" ht="17.25" customHeight="1">
      <c r="A127" s="24">
        <v>125.0</v>
      </c>
      <c r="B127" s="24" t="s">
        <v>38</v>
      </c>
      <c r="C127" s="24" t="s">
        <v>1703</v>
      </c>
      <c r="D127" s="28" t="s">
        <v>1702</v>
      </c>
      <c r="E127" s="24" t="s">
        <v>25</v>
      </c>
      <c r="F127" s="33">
        <f>SUMIF('①농산물raw'!$D:$D,$C127,'①농산물raw'!$F:$F)</f>
        <v>115</v>
      </c>
      <c r="G127" s="33">
        <f>SUMIF('①농산물raw'!$D:$D,$C127,'①농산물raw'!$G:$G)</f>
        <v>6213800</v>
      </c>
      <c r="H127" s="33">
        <f>SUMIF('①농산물raw'!$D:$D,$C127,'①농산물raw'!$H:$H)</f>
        <v>422640</v>
      </c>
      <c r="I127" s="24" t="s">
        <v>33</v>
      </c>
    </row>
    <row r="128" ht="17.25" customHeight="1">
      <c r="A128" s="24">
        <v>126.0</v>
      </c>
      <c r="B128" s="24" t="s">
        <v>38</v>
      </c>
      <c r="C128" s="24" t="s">
        <v>1197</v>
      </c>
      <c r="D128" s="28" t="s">
        <v>1196</v>
      </c>
      <c r="E128" s="24" t="s">
        <v>28</v>
      </c>
      <c r="F128" s="33">
        <f>SUMIF('①농산물raw'!$D:$D,$C128,'①농산물raw'!$F:$F)</f>
        <v>150</v>
      </c>
      <c r="G128" s="33">
        <f>SUMIF('①농산물raw'!$D:$D,$C128,'①농산물raw'!$G:$G)</f>
        <v>2247000</v>
      </c>
      <c r="H128" s="33">
        <f>SUMIF('①농산물raw'!$D:$D,$C128,'①농산물raw'!$H:$H)</f>
        <v>335843</v>
      </c>
      <c r="I128" s="24" t="s">
        <v>33</v>
      </c>
    </row>
    <row r="129" ht="17.25" customHeight="1">
      <c r="A129" s="24">
        <v>127.0</v>
      </c>
      <c r="B129" s="24" t="s">
        <v>46</v>
      </c>
      <c r="C129" s="45" t="s">
        <v>1333</v>
      </c>
      <c r="D129" s="28" t="s">
        <v>1332</v>
      </c>
      <c r="E129" s="24" t="s">
        <v>29</v>
      </c>
      <c r="F129" s="33">
        <f>SUMIF('①농산물raw'!$D:$D,$C129,'①농산물raw'!$F:$F)</f>
        <v>11</v>
      </c>
      <c r="G129" s="33">
        <f>SUMIF('①농산물raw'!$D:$D,$C129,'①농산물raw'!$G:$G)</f>
        <v>268713</v>
      </c>
      <c r="H129" s="33">
        <f>SUMIF('①농산물raw'!$D:$D,$C129,'①농산물raw'!$H:$H)</f>
        <v>28340</v>
      </c>
      <c r="I129" s="28"/>
    </row>
    <row r="130" ht="17.25" customHeight="1">
      <c r="A130" s="24">
        <v>128.0</v>
      </c>
      <c r="B130" s="24" t="s">
        <v>16</v>
      </c>
      <c r="C130" s="24" t="s">
        <v>1589</v>
      </c>
      <c r="D130" s="28" t="s">
        <v>1916</v>
      </c>
      <c r="E130" s="24" t="s">
        <v>25</v>
      </c>
      <c r="F130" s="33">
        <f>SUMIF('①농산물raw'!$D:$D,$C130,'①농산물raw'!$F:$F)</f>
        <v>238</v>
      </c>
      <c r="G130" s="33">
        <f>SUMIF('①농산물raw'!$D:$D,$C130,'①농산물raw'!$G:$G)</f>
        <v>11446900</v>
      </c>
      <c r="H130" s="33">
        <f>SUMIF('①농산물raw'!$D:$D,$C130,'①농산물raw'!$H:$H)</f>
        <v>956180</v>
      </c>
      <c r="I130" s="24" t="s">
        <v>33</v>
      </c>
    </row>
    <row r="131" ht="17.25" customHeight="1">
      <c r="A131" s="24">
        <v>129.0</v>
      </c>
      <c r="B131" s="24" t="s">
        <v>38</v>
      </c>
      <c r="C131" s="24" t="s">
        <v>1735</v>
      </c>
      <c r="D131" s="28" t="s">
        <v>1734</v>
      </c>
      <c r="E131" s="24" t="s">
        <v>25</v>
      </c>
      <c r="F131" s="33">
        <f>SUMIF('①농산물raw'!$D:$D,$C131,'①농산물raw'!$F:$F)</f>
        <v>371</v>
      </c>
      <c r="G131" s="33">
        <f>SUMIF('①농산물raw'!$D:$D,$C131,'①농산물raw'!$G:$G)</f>
        <v>16447000</v>
      </c>
      <c r="H131" s="33">
        <f>SUMIF('①농산물raw'!$D:$D,$C131,'①농산물raw'!$H:$H)</f>
        <v>1203400</v>
      </c>
      <c r="I131" s="24" t="s">
        <v>33</v>
      </c>
    </row>
    <row r="132" ht="17.25" customHeight="1">
      <c r="A132" s="24">
        <v>130.0</v>
      </c>
      <c r="B132" s="24" t="s">
        <v>16</v>
      </c>
      <c r="C132" s="24" t="s">
        <v>1799</v>
      </c>
      <c r="D132" s="28" t="s">
        <v>1797</v>
      </c>
      <c r="E132" s="24" t="s">
        <v>25</v>
      </c>
      <c r="F132" s="33">
        <f>SUMIF('①농산물raw'!$D:$D,$C132,'①농산물raw'!$F:$F)</f>
        <v>232</v>
      </c>
      <c r="G132" s="33">
        <f>SUMIF('①농산물raw'!$D:$D,$C132,'①농산물raw'!$G:$G)</f>
        <v>12396500</v>
      </c>
      <c r="H132" s="33">
        <f>SUMIF('①농산물raw'!$D:$D,$C132,'①농산물raw'!$H:$H)</f>
        <v>1310490</v>
      </c>
      <c r="I132" s="24" t="s">
        <v>33</v>
      </c>
    </row>
    <row r="133" ht="17.25" customHeight="1">
      <c r="A133" s="24">
        <v>131.0</v>
      </c>
      <c r="B133" s="24" t="s">
        <v>16</v>
      </c>
      <c r="C133" s="24" t="s">
        <v>1961</v>
      </c>
      <c r="D133" s="28" t="s">
        <v>1962</v>
      </c>
      <c r="E133" s="24" t="s">
        <v>25</v>
      </c>
      <c r="F133" s="33">
        <f>SUMIF('①농산물raw'!$D:$D,$C133,'①농산물raw'!$F:$F)</f>
        <v>441</v>
      </c>
      <c r="G133" s="33">
        <f>SUMIF('①농산물raw'!$D:$D,$C133,'①농산물raw'!$G:$G)</f>
        <v>11280600</v>
      </c>
      <c r="H133" s="33">
        <f>SUMIF('①농산물raw'!$D:$D,$C133,'①농산물raw'!$H:$H)</f>
        <v>241400</v>
      </c>
      <c r="I133" s="24" t="s">
        <v>33</v>
      </c>
    </row>
    <row r="134" ht="17.25" customHeight="1">
      <c r="A134" s="24">
        <v>132.0</v>
      </c>
      <c r="B134" s="24" t="s">
        <v>16</v>
      </c>
      <c r="C134" s="24" t="s">
        <v>1974</v>
      </c>
      <c r="D134" s="28" t="s">
        <v>1975</v>
      </c>
      <c r="E134" s="24" t="s">
        <v>21</v>
      </c>
      <c r="F134" s="33">
        <f>SUMIF('①농산물raw'!$D:$D,$C134,'①농산물raw'!$F:$F)</f>
        <v>0</v>
      </c>
      <c r="G134" s="33">
        <f>SUMIF('①농산물raw'!$D:$D,$C134,'①농산물raw'!$G:$G)</f>
        <v>0</v>
      </c>
      <c r="H134" s="33">
        <f>SUMIF('①농산물raw'!$D:$D,$C134,'①농산물raw'!$H:$H)</f>
        <v>0</v>
      </c>
      <c r="I134" s="28"/>
    </row>
    <row r="135" ht="17.25" customHeight="1">
      <c r="A135" s="24">
        <v>133.0</v>
      </c>
      <c r="B135" s="24" t="s">
        <v>38</v>
      </c>
      <c r="C135" s="24" t="s">
        <v>1989</v>
      </c>
      <c r="D135" s="28" t="s">
        <v>1990</v>
      </c>
      <c r="E135" s="24" t="s">
        <v>25</v>
      </c>
      <c r="F135" s="33">
        <f>SUMIF('①농산물raw'!$D:$D,$C135,'①농산물raw'!$F:$F)</f>
        <v>0</v>
      </c>
      <c r="G135" s="33">
        <f>SUMIF('①농산물raw'!$D:$D,$C135,'①농산물raw'!$G:$G)</f>
        <v>0</v>
      </c>
      <c r="H135" s="33">
        <f>SUMIF('①농산물raw'!$D:$D,$C135,'①농산물raw'!$H:$H)</f>
        <v>0</v>
      </c>
      <c r="I135" s="28"/>
    </row>
    <row r="136" ht="17.25" customHeight="1">
      <c r="A136" s="24">
        <v>134.0</v>
      </c>
      <c r="B136" s="24" t="s">
        <v>46</v>
      </c>
      <c r="C136" s="24" t="s">
        <v>2006</v>
      </c>
      <c r="D136" s="28" t="s">
        <v>2007</v>
      </c>
      <c r="E136" s="24" t="s">
        <v>25</v>
      </c>
      <c r="F136" s="33">
        <f>SUMIF('①농산물raw'!$D:$D,$C136,'①농산물raw'!$F:$F)</f>
        <v>1119</v>
      </c>
      <c r="G136" s="33">
        <f>SUMIF('①농산물raw'!$D:$D,$C136,'①농산물raw'!$G:$G)</f>
        <v>40755700</v>
      </c>
      <c r="H136" s="33">
        <f>SUMIF('①농산물raw'!$D:$D,$C136,'①농산물raw'!$H:$H)</f>
        <v>4161320</v>
      </c>
      <c r="I136" s="24" t="s">
        <v>33</v>
      </c>
    </row>
    <row r="137" ht="17.25" customHeight="1">
      <c r="A137" s="24">
        <v>135.0</v>
      </c>
      <c r="B137" s="24" t="s">
        <v>38</v>
      </c>
      <c r="C137" s="24" t="s">
        <v>1180</v>
      </c>
      <c r="D137" s="28" t="s">
        <v>1179</v>
      </c>
      <c r="E137" s="24" t="s">
        <v>28</v>
      </c>
      <c r="F137" s="33">
        <f>SUMIF('①농산물raw'!$D:$D,$C137,'①농산물raw'!$F:$F)</f>
        <v>613</v>
      </c>
      <c r="G137" s="33">
        <f>SUMIF('①농산물raw'!$D:$D,$C137,'①농산물raw'!$G:$G)</f>
        <v>17858500</v>
      </c>
      <c r="H137" s="33">
        <f>SUMIF('①농산물raw'!$D:$D,$C137,'①농산물raw'!$H:$H)</f>
        <v>2753706</v>
      </c>
      <c r="I137" s="24" t="s">
        <v>33</v>
      </c>
    </row>
    <row r="138" ht="17.25" customHeight="1">
      <c r="A138" s="24">
        <v>136.0</v>
      </c>
      <c r="B138" s="24" t="s">
        <v>46</v>
      </c>
      <c r="C138" s="24" t="s">
        <v>1210</v>
      </c>
      <c r="D138" s="28" t="s">
        <v>1209</v>
      </c>
      <c r="E138" s="24" t="s">
        <v>28</v>
      </c>
      <c r="F138" s="33">
        <f>SUMIF('①농산물raw'!$D:$D,$C138,'①농산물raw'!$F:$F)</f>
        <v>67</v>
      </c>
      <c r="G138" s="33">
        <f>SUMIF('①농산물raw'!$D:$D,$C138,'①농산물raw'!$G:$G)</f>
        <v>1029600</v>
      </c>
      <c r="H138" s="33">
        <f>SUMIF('①농산물raw'!$D:$D,$C138,'①농산물raw'!$H:$H)</f>
        <v>131199</v>
      </c>
      <c r="I138" s="24" t="s">
        <v>33</v>
      </c>
    </row>
    <row r="139" ht="17.25" customHeight="1">
      <c r="A139" s="24">
        <v>137.0</v>
      </c>
      <c r="B139" s="24" t="s">
        <v>16</v>
      </c>
      <c r="C139" s="24" t="s">
        <v>1319</v>
      </c>
      <c r="D139" s="28" t="s">
        <v>2052</v>
      </c>
      <c r="E139" s="24" t="s">
        <v>29</v>
      </c>
      <c r="F139" s="33">
        <f>SUMIF('①농산물raw'!$D:$D,$C139,'①농산물raw'!$F:$F)</f>
        <v>3294</v>
      </c>
      <c r="G139" s="33">
        <f>SUMIF('①농산물raw'!$D:$D,$C139,'①농산물raw'!$G:$G)</f>
        <v>53884129</v>
      </c>
      <c r="H139" s="33">
        <f>SUMIF('①농산물raw'!$D:$D,$C139,'①농산물raw'!$H:$H)</f>
        <v>4931560</v>
      </c>
      <c r="I139" s="24" t="s">
        <v>33</v>
      </c>
    </row>
    <row r="140" ht="17.25" customHeight="1">
      <c r="A140" s="24">
        <v>138.0</v>
      </c>
      <c r="B140" s="24" t="s">
        <v>16</v>
      </c>
      <c r="C140" s="24" t="s">
        <v>514</v>
      </c>
      <c r="D140" s="28" t="s">
        <v>513</v>
      </c>
      <c r="E140" s="24" t="s">
        <v>26</v>
      </c>
      <c r="F140" s="33">
        <f>SUMIF('①농산물raw'!$D:$D,$C140,'①농산물raw'!$F:$F)</f>
        <v>326</v>
      </c>
      <c r="G140" s="33">
        <f>SUMIF('①농산물raw'!$D:$D,$C140,'①농산물raw'!$G:$G)</f>
        <v>8483000</v>
      </c>
      <c r="H140" s="33">
        <f>SUMIF('①농산물raw'!$D:$D,$C140,'①농산물raw'!$H:$H)</f>
        <v>0</v>
      </c>
      <c r="I140" s="28"/>
    </row>
    <row r="141" ht="17.25" customHeight="1">
      <c r="A141" s="24">
        <v>139.0</v>
      </c>
      <c r="B141" s="24" t="s">
        <v>16</v>
      </c>
      <c r="C141" s="24" t="s">
        <v>1893</v>
      </c>
      <c r="D141" s="28" t="s">
        <v>1892</v>
      </c>
      <c r="E141" s="24" t="s">
        <v>25</v>
      </c>
      <c r="F141" s="33">
        <f>SUMIF('①농산물raw'!$D:$D,$C141,'①농산물raw'!$F:$F)</f>
        <v>95</v>
      </c>
      <c r="G141" s="33">
        <f>SUMIF('①농산물raw'!$D:$D,$C141,'①농산물raw'!$G:$G)</f>
        <v>3250000</v>
      </c>
      <c r="H141" s="33">
        <f>SUMIF('①농산물raw'!$D:$D,$C141,'①농산물raw'!$H:$H)</f>
        <v>387870</v>
      </c>
      <c r="I141" s="24" t="s">
        <v>33</v>
      </c>
    </row>
    <row r="142" ht="17.25" customHeight="1">
      <c r="A142" s="24">
        <v>140.0</v>
      </c>
      <c r="B142" s="24" t="s">
        <v>38</v>
      </c>
      <c r="C142" s="24" t="s">
        <v>1423</v>
      </c>
      <c r="D142" s="28" t="s">
        <v>1422</v>
      </c>
      <c r="E142" s="24" t="s">
        <v>25</v>
      </c>
      <c r="F142" s="33">
        <f>SUMIF('①농산물raw'!$D:$D,$C142,'①농산물raw'!$F:$F)</f>
        <v>273</v>
      </c>
      <c r="G142" s="33">
        <f>SUMIF('①농산물raw'!$D:$D,$C142,'①농산물raw'!$G:$G)</f>
        <v>4991620</v>
      </c>
      <c r="H142" s="33">
        <f>SUMIF('①농산물raw'!$D:$D,$C142,'①농산물raw'!$H:$H)</f>
        <v>584880</v>
      </c>
      <c r="I142" s="24" t="s">
        <v>33</v>
      </c>
    </row>
    <row r="143" ht="17.25" customHeight="1">
      <c r="A143" s="24">
        <v>141.0</v>
      </c>
      <c r="B143" s="24" t="s">
        <v>16</v>
      </c>
      <c r="C143" s="24" t="s">
        <v>474</v>
      </c>
      <c r="D143" s="28" t="s">
        <v>2095</v>
      </c>
      <c r="E143" s="24" t="s">
        <v>26</v>
      </c>
      <c r="F143" s="33">
        <f>SUMIF('①농산물raw'!$D:$D,$C143,'①농산물raw'!$F:$F)</f>
        <v>4348</v>
      </c>
      <c r="G143" s="33">
        <f>SUMIF('①농산물raw'!$D:$D,$C143,'①농산물raw'!$G:$G)</f>
        <v>65560580</v>
      </c>
      <c r="H143" s="33">
        <f>SUMIF('①농산물raw'!$D:$D,$C143,'①농산물raw'!$H:$H)</f>
        <v>4994140</v>
      </c>
      <c r="I143" s="24" t="s">
        <v>33</v>
      </c>
    </row>
    <row r="144" ht="17.25" customHeight="1">
      <c r="A144" s="24">
        <v>142.0</v>
      </c>
      <c r="B144" s="24" t="s">
        <v>16</v>
      </c>
      <c r="C144" s="24" t="s">
        <v>1665</v>
      </c>
      <c r="D144" s="28" t="s">
        <v>1663</v>
      </c>
      <c r="E144" s="24" t="s">
        <v>25</v>
      </c>
      <c r="F144" s="33">
        <f>SUMIF('①농산물raw'!$D:$D,$C144,'①농산물raw'!$F:$F)</f>
        <v>260</v>
      </c>
      <c r="G144" s="33">
        <f>SUMIF('①농산물raw'!$D:$D,$C144,'①농산물raw'!$G:$G)</f>
        <v>11899600</v>
      </c>
      <c r="H144" s="33">
        <f>SUMIF('①농산물raw'!$D:$D,$C144,'①농산물raw'!$H:$H)</f>
        <v>937090</v>
      </c>
      <c r="I144" s="24" t="s">
        <v>33</v>
      </c>
    </row>
    <row r="145" ht="17.25" customHeight="1">
      <c r="A145" s="24">
        <v>143.0</v>
      </c>
      <c r="B145" s="24" t="s">
        <v>16</v>
      </c>
      <c r="C145" s="24" t="s">
        <v>2107</v>
      </c>
      <c r="D145" s="28" t="s">
        <v>2108</v>
      </c>
      <c r="E145" s="24" t="s">
        <v>28</v>
      </c>
      <c r="F145" s="33">
        <f>SUMIF('①농산물raw'!$D:$D,$C145,'①농산물raw'!$F:$F)</f>
        <v>0</v>
      </c>
      <c r="G145" s="33">
        <f>SUMIF('①농산물raw'!$D:$D,$C145,'①농산물raw'!$G:$G)</f>
        <v>0</v>
      </c>
      <c r="H145" s="33">
        <f>SUMIF('①농산물raw'!$D:$D,$C145,'①농산물raw'!$H:$H)</f>
        <v>0</v>
      </c>
      <c r="I145" s="28"/>
    </row>
    <row r="146" ht="17.25" customHeight="1">
      <c r="A146" s="24">
        <v>144.0</v>
      </c>
      <c r="B146" s="24" t="s">
        <v>38</v>
      </c>
      <c r="C146" s="24" t="s">
        <v>1220</v>
      </c>
      <c r="D146" s="28" t="s">
        <v>1219</v>
      </c>
      <c r="E146" s="24" t="s">
        <v>28</v>
      </c>
      <c r="F146" s="33">
        <f>SUMIF('①농산물raw'!$D:$D,$C146,'①농산물raw'!$F:$F)</f>
        <v>17</v>
      </c>
      <c r="G146" s="33">
        <f>SUMIF('①농산물raw'!$D:$D,$C146,'①농산물raw'!$G:$G)</f>
        <v>418000</v>
      </c>
      <c r="H146" s="33">
        <f>SUMIF('①농산물raw'!$D:$D,$C146,'①농산물raw'!$H:$H)</f>
        <v>58680</v>
      </c>
      <c r="I146" s="24" t="s">
        <v>33</v>
      </c>
    </row>
    <row r="147" ht="17.25" customHeight="1">
      <c r="A147" s="24">
        <v>145.0</v>
      </c>
      <c r="B147" s="24" t="s">
        <v>16</v>
      </c>
      <c r="C147" s="24" t="s">
        <v>2120</v>
      </c>
      <c r="D147" s="28" t="s">
        <v>2121</v>
      </c>
      <c r="E147" s="24" t="s">
        <v>28</v>
      </c>
      <c r="F147" s="33">
        <f>SUMIF('①농산물raw'!$D:$D,$C147,'①농산물raw'!$F:$F)</f>
        <v>0</v>
      </c>
      <c r="G147" s="33">
        <f>SUMIF('①농산물raw'!$D:$D,$C147,'①농산물raw'!$G:$G)</f>
        <v>0</v>
      </c>
      <c r="H147" s="33">
        <f>SUMIF('①농산물raw'!$D:$D,$C147,'①농산물raw'!$H:$H)</f>
        <v>0</v>
      </c>
      <c r="I147" s="28"/>
    </row>
    <row r="148" ht="17.25" customHeight="1">
      <c r="A148" s="24">
        <v>146.0</v>
      </c>
      <c r="B148" s="24" t="s">
        <v>38</v>
      </c>
      <c r="C148" s="24" t="s">
        <v>1748</v>
      </c>
      <c r="D148" s="28" t="s">
        <v>1747</v>
      </c>
      <c r="E148" s="24" t="s">
        <v>25</v>
      </c>
      <c r="F148" s="33">
        <f>SUMIF('①농산물raw'!$D:$D,$C148,'①농산물raw'!$F:$F)</f>
        <v>1</v>
      </c>
      <c r="G148" s="33">
        <f>SUMIF('①농산물raw'!$D:$D,$C148,'①농산물raw'!$G:$G)</f>
        <v>40000</v>
      </c>
      <c r="H148" s="33">
        <f>SUMIF('①농산물raw'!$D:$D,$C148,'①농산물raw'!$H:$H)</f>
        <v>8000</v>
      </c>
      <c r="I148" s="28"/>
    </row>
    <row r="149" ht="17.25" customHeight="1">
      <c r="A149" s="24">
        <v>147.0</v>
      </c>
      <c r="B149" s="24" t="s">
        <v>46</v>
      </c>
      <c r="C149" s="24" t="s">
        <v>1639</v>
      </c>
      <c r="D149" s="28" t="s">
        <v>1638</v>
      </c>
      <c r="E149" s="24" t="s">
        <v>25</v>
      </c>
      <c r="F149" s="33">
        <f>SUMIF('①농산물raw'!$D:$D,$C149,'①농산물raw'!$F:$F)</f>
        <v>0</v>
      </c>
      <c r="G149" s="33">
        <f>SUMIF('①농산물raw'!$D:$D,$C149,'①농산물raw'!$G:$G)</f>
        <v>0</v>
      </c>
      <c r="H149" s="33">
        <f>SUMIF('①농산물raw'!$D:$D,$C149,'①농산물raw'!$H:$H)</f>
        <v>0</v>
      </c>
      <c r="I149" s="28"/>
    </row>
    <row r="150" ht="17.25" customHeight="1">
      <c r="A150" s="24">
        <v>148.0</v>
      </c>
      <c r="B150" s="24" t="s">
        <v>38</v>
      </c>
      <c r="C150" s="24" t="s">
        <v>2139</v>
      </c>
      <c r="D150" s="28" t="s">
        <v>2140</v>
      </c>
      <c r="E150" s="24" t="s">
        <v>21</v>
      </c>
      <c r="F150" s="33">
        <f>SUMIF('①농산물raw'!$D:$D,$C150,'①농산물raw'!$F:$F)</f>
        <v>0</v>
      </c>
      <c r="G150" s="33">
        <f>SUMIF('①농산물raw'!$D:$D,$C150,'①농산물raw'!$G:$G)</f>
        <v>0</v>
      </c>
      <c r="H150" s="33">
        <f>SUMIF('①농산물raw'!$D:$D,$C150,'①농산물raw'!$H:$H)</f>
        <v>0</v>
      </c>
      <c r="I150" s="28"/>
    </row>
    <row r="151" ht="17.25" customHeight="1">
      <c r="A151" s="24">
        <v>149.0</v>
      </c>
      <c r="B151" s="24" t="s">
        <v>16</v>
      </c>
      <c r="C151" s="24" t="s">
        <v>889</v>
      </c>
      <c r="D151" s="28" t="s">
        <v>888</v>
      </c>
      <c r="E151" s="24" t="s">
        <v>22</v>
      </c>
      <c r="F151" s="33">
        <f>SUMIF('①농산물raw'!$D:$D,$C151,'①농산물raw'!$F:$F)</f>
        <v>3</v>
      </c>
      <c r="G151" s="33">
        <f>SUMIF('①농산물raw'!$D:$D,$C151,'①농산물raw'!$G:$G)</f>
        <v>82000</v>
      </c>
      <c r="H151" s="33">
        <f>SUMIF('①농산물raw'!$D:$D,$C151,'①농산물raw'!$H:$H)</f>
        <v>15330</v>
      </c>
      <c r="I151" s="24" t="s">
        <v>33</v>
      </c>
    </row>
    <row r="152" ht="17.25" customHeight="1">
      <c r="A152" s="24">
        <v>150.0</v>
      </c>
      <c r="B152" s="24" t="s">
        <v>38</v>
      </c>
      <c r="C152" s="24" t="s">
        <v>1879</v>
      </c>
      <c r="D152" s="28" t="s">
        <v>1878</v>
      </c>
      <c r="E152" s="24" t="s">
        <v>25</v>
      </c>
      <c r="F152" s="33">
        <f>SUMIF('①농산물raw'!$D:$D,$C152,'①농산물raw'!$F:$F)</f>
        <v>43</v>
      </c>
      <c r="G152" s="33">
        <f>SUMIF('①농산물raw'!$D:$D,$C152,'①농산물raw'!$G:$G)</f>
        <v>754070</v>
      </c>
      <c r="H152" s="33">
        <f>SUMIF('①농산물raw'!$D:$D,$C152,'①농산물raw'!$H:$H)</f>
        <v>108840</v>
      </c>
      <c r="I152" s="28"/>
    </row>
    <row r="153" ht="17.25" customHeight="1">
      <c r="A153" s="24">
        <v>151.0</v>
      </c>
      <c r="B153" s="24" t="s">
        <v>16</v>
      </c>
      <c r="C153" s="24" t="s">
        <v>103</v>
      </c>
      <c r="D153" s="28" t="s">
        <v>102</v>
      </c>
      <c r="E153" s="24" t="s">
        <v>26</v>
      </c>
      <c r="F153" s="33">
        <f>SUMIF('①농산물raw'!$D:$D,$C153,'①농산물raw'!$F:$F)</f>
        <v>2517</v>
      </c>
      <c r="G153" s="33">
        <f>SUMIF('①농산물raw'!$D:$D,$C153,'①농산물raw'!$G:$G)</f>
        <v>57338800</v>
      </c>
      <c r="H153" s="33">
        <f>SUMIF('①농산물raw'!$D:$D,$C153,'①농산물raw'!$H:$H)</f>
        <v>5062400</v>
      </c>
      <c r="I153" s="24" t="s">
        <v>33</v>
      </c>
    </row>
    <row r="154" ht="17.25" customHeight="1">
      <c r="A154" s="24">
        <v>152.0</v>
      </c>
      <c r="B154" s="24" t="s">
        <v>16</v>
      </c>
      <c r="C154" s="24" t="s">
        <v>135</v>
      </c>
      <c r="D154" s="28" t="s">
        <v>134</v>
      </c>
      <c r="E154" s="24" t="s">
        <v>26</v>
      </c>
      <c r="F154" s="33">
        <f>SUMIF('①농산물raw'!$D:$D,$C154,'①농산물raw'!$F:$F)</f>
        <v>23</v>
      </c>
      <c r="G154" s="33">
        <f>SUMIF('①농산물raw'!$D:$D,$C154,'①농산물raw'!$G:$G)</f>
        <v>793000</v>
      </c>
      <c r="H154" s="33">
        <f>SUMIF('①농산물raw'!$D:$D,$C154,'①농산물raw'!$H:$H)</f>
        <v>75600</v>
      </c>
      <c r="I154" s="24" t="s">
        <v>33</v>
      </c>
    </row>
    <row r="155" ht="17.25" customHeight="1">
      <c r="A155" s="24">
        <v>153.0</v>
      </c>
      <c r="B155" s="24" t="s">
        <v>16</v>
      </c>
      <c r="C155" s="24" t="s">
        <v>118</v>
      </c>
      <c r="D155" s="28" t="s">
        <v>117</v>
      </c>
      <c r="E155" s="24" t="s">
        <v>26</v>
      </c>
      <c r="F155" s="33">
        <f>SUMIF('①농산물raw'!$D:$D,$C155,'①농산물raw'!$F:$F)</f>
        <v>0</v>
      </c>
      <c r="G155" s="33">
        <f>SUMIF('①농산물raw'!$D:$D,$C155,'①농산물raw'!$G:$G)</f>
        <v>0</v>
      </c>
      <c r="H155" s="33">
        <f>SUMIF('①농산물raw'!$D:$D,$C155,'①농산물raw'!$H:$H)</f>
        <v>0</v>
      </c>
      <c r="I155" s="24" t="s">
        <v>33</v>
      </c>
    </row>
    <row r="156" ht="17.25" customHeight="1">
      <c r="A156" s="24">
        <v>154.0</v>
      </c>
      <c r="B156" s="24" t="s">
        <v>46</v>
      </c>
      <c r="C156" s="24" t="s">
        <v>1780</v>
      </c>
      <c r="D156" s="28" t="s">
        <v>1779</v>
      </c>
      <c r="E156" s="24" t="s">
        <v>25</v>
      </c>
      <c r="F156" s="33">
        <f>SUMIF('①농산물raw'!$D:$D,$C156,'①농산물raw'!$F:$F)</f>
        <v>20</v>
      </c>
      <c r="G156" s="33">
        <f>SUMIF('①농산물raw'!$D:$D,$C156,'①농산물raw'!$G:$G)</f>
        <v>387500</v>
      </c>
      <c r="H156" s="33">
        <f>SUMIF('①농산물raw'!$D:$D,$C156,'①농산물raw'!$H:$H)</f>
        <v>25800</v>
      </c>
      <c r="I156" s="24" t="s">
        <v>33</v>
      </c>
    </row>
    <row r="157" ht="17.25" customHeight="1">
      <c r="A157" s="24">
        <v>155.0</v>
      </c>
      <c r="B157" s="24" t="s">
        <v>16</v>
      </c>
      <c r="C157" s="24" t="s">
        <v>578</v>
      </c>
      <c r="D157" s="28" t="s">
        <v>577</v>
      </c>
      <c r="E157" s="24" t="s">
        <v>22</v>
      </c>
      <c r="F157" s="33">
        <f>SUMIF('①농산물raw'!$D:$D,$C157,'①농산물raw'!$F:$F)</f>
        <v>737</v>
      </c>
      <c r="G157" s="33">
        <f>SUMIF('①농산물raw'!$D:$D,$C157,'①농산물raw'!$G:$G)</f>
        <v>26752200</v>
      </c>
      <c r="H157" s="33">
        <f>SUMIF('①농산물raw'!$D:$D,$C157,'①농산물raw'!$H:$H)</f>
        <v>5136630</v>
      </c>
      <c r="I157" s="24" t="s">
        <v>33</v>
      </c>
    </row>
    <row r="158" ht="17.25" customHeight="1">
      <c r="A158" s="24">
        <v>156.0</v>
      </c>
      <c r="B158" s="24" t="s">
        <v>38</v>
      </c>
      <c r="C158" s="24" t="s">
        <v>2192</v>
      </c>
      <c r="D158" s="28" t="s">
        <v>2193</v>
      </c>
      <c r="E158" s="24" t="s">
        <v>28</v>
      </c>
      <c r="F158" s="33">
        <f>SUMIF('①농산물raw'!$D:$D,$C158,'①농산물raw'!$F:$F)</f>
        <v>0</v>
      </c>
      <c r="G158" s="33">
        <f>SUMIF('①농산물raw'!$D:$D,$C158,'①농산물raw'!$G:$G)</f>
        <v>0</v>
      </c>
      <c r="H158" s="33">
        <f>SUMIF('①농산물raw'!$D:$D,$C158,'①농산물raw'!$H:$H)</f>
        <v>0</v>
      </c>
      <c r="I158" s="28"/>
    </row>
    <row r="159" ht="17.25" customHeight="1">
      <c r="A159" s="24">
        <v>157.0</v>
      </c>
      <c r="B159" s="24" t="s">
        <v>16</v>
      </c>
      <c r="C159" s="24" t="s">
        <v>1457</v>
      </c>
      <c r="D159" s="28" t="s">
        <v>1456</v>
      </c>
      <c r="E159" s="24" t="s">
        <v>25</v>
      </c>
      <c r="F159" s="33">
        <f>SUMIF('①농산물raw'!$D:$D,$C159,'①농산물raw'!$F:$F)</f>
        <v>67</v>
      </c>
      <c r="G159" s="33">
        <f>SUMIF('①농산물raw'!$D:$D,$C159,'①농산물raw'!$G:$G)</f>
        <v>1124600</v>
      </c>
      <c r="H159" s="33">
        <f>SUMIF('①농산물raw'!$D:$D,$C159,'①농산물raw'!$H:$H)</f>
        <v>70540</v>
      </c>
      <c r="I159" s="24" t="s">
        <v>33</v>
      </c>
    </row>
    <row r="160" ht="17.25" customHeight="1">
      <c r="A160" s="24">
        <v>158.0</v>
      </c>
      <c r="B160" s="24" t="s">
        <v>38</v>
      </c>
      <c r="C160" s="24" t="s">
        <v>1183</v>
      </c>
      <c r="D160" s="28" t="s">
        <v>1182</v>
      </c>
      <c r="E160" s="24" t="s">
        <v>28</v>
      </c>
      <c r="F160" s="33">
        <f>SUMIF('①농산물raw'!$D:$D,$C160,'①농산물raw'!$F:$F)</f>
        <v>202</v>
      </c>
      <c r="G160" s="33">
        <f>SUMIF('①농산물raw'!$D:$D,$C160,'①농산물raw'!$G:$G)</f>
        <v>2546000</v>
      </c>
      <c r="H160" s="33">
        <f>SUMIF('①농산물raw'!$D:$D,$C160,'①농산물raw'!$H:$H)</f>
        <v>288388</v>
      </c>
      <c r="I160" s="24" t="s">
        <v>33</v>
      </c>
    </row>
    <row r="161" ht="17.25" customHeight="1">
      <c r="A161" s="24">
        <v>159.0</v>
      </c>
      <c r="B161" s="24" t="s">
        <v>16</v>
      </c>
      <c r="C161" s="24" t="s">
        <v>2212</v>
      </c>
      <c r="D161" s="28" t="s">
        <v>2213</v>
      </c>
      <c r="E161" s="24" t="s">
        <v>26</v>
      </c>
      <c r="F161" s="33">
        <f>SUMIF('①농산물raw'!$D:$D,$C161,'①농산물raw'!$F:$F)</f>
        <v>0</v>
      </c>
      <c r="G161" s="33">
        <f>SUMIF('①농산물raw'!$D:$D,$C161,'①농산물raw'!$G:$G)</f>
        <v>0</v>
      </c>
      <c r="H161" s="33">
        <f>SUMIF('①농산물raw'!$D:$D,$C161,'①농산물raw'!$H:$H)</f>
        <v>0</v>
      </c>
      <c r="I161" s="28"/>
    </row>
    <row r="162" ht="17.25" customHeight="1">
      <c r="A162" s="24">
        <v>160.0</v>
      </c>
      <c r="B162" s="24" t="s">
        <v>16</v>
      </c>
      <c r="C162" s="24" t="s">
        <v>2222</v>
      </c>
      <c r="D162" s="28" t="s">
        <v>2223</v>
      </c>
      <c r="E162" s="24" t="s">
        <v>26</v>
      </c>
      <c r="F162" s="33">
        <f>SUMIF('①농산물raw'!$D:$D,$C162,'①농산물raw'!$F:$F)</f>
        <v>0</v>
      </c>
      <c r="G162" s="33">
        <f>SUMIF('①농산물raw'!$D:$D,$C162,'①농산물raw'!$G:$G)</f>
        <v>0</v>
      </c>
      <c r="H162" s="33">
        <f>SUMIF('①농산물raw'!$D:$D,$C162,'①농산물raw'!$H:$H)</f>
        <v>0</v>
      </c>
      <c r="I162" s="28"/>
    </row>
    <row r="163" ht="17.25" customHeight="1">
      <c r="A163" s="24">
        <v>161.0</v>
      </c>
      <c r="B163" s="24" t="s">
        <v>38</v>
      </c>
      <c r="C163" s="24" t="s">
        <v>1721</v>
      </c>
      <c r="D163" s="28" t="s">
        <v>2235</v>
      </c>
      <c r="E163" s="24" t="s">
        <v>25</v>
      </c>
      <c r="F163" s="33">
        <f>SUMIF('①농산물raw'!$D:$D,$C163,'①농산물raw'!$F:$F)</f>
        <v>0</v>
      </c>
      <c r="G163" s="33">
        <f>SUMIF('①농산물raw'!$D:$D,$C163,'①농산물raw'!$G:$G)</f>
        <v>0</v>
      </c>
      <c r="H163" s="33">
        <f>SUMIF('①농산물raw'!$D:$D,$C163,'①농산물raw'!$H:$H)</f>
        <v>0</v>
      </c>
      <c r="I163" s="28"/>
    </row>
    <row r="164" ht="17.25" customHeight="1">
      <c r="A164" s="24">
        <v>162.0</v>
      </c>
      <c r="B164" s="24" t="s">
        <v>16</v>
      </c>
      <c r="C164" s="24" t="s">
        <v>1328</v>
      </c>
      <c r="D164" s="28" t="s">
        <v>1327</v>
      </c>
      <c r="E164" s="24" t="s">
        <v>29</v>
      </c>
      <c r="F164" s="33">
        <f>SUMIF('①농산물raw'!$D:$D,$C164,'①농산물raw'!$F:$F)</f>
        <v>7</v>
      </c>
      <c r="G164" s="33">
        <f>SUMIF('①농산물raw'!$D:$D,$C164,'①농산물raw'!$G:$G)</f>
        <v>276800</v>
      </c>
      <c r="H164" s="33">
        <f>SUMIF('①농산물raw'!$D:$D,$C164,'①농산물raw'!$H:$H)</f>
        <v>31200</v>
      </c>
      <c r="I164" s="24" t="s">
        <v>33</v>
      </c>
    </row>
    <row r="165" ht="17.25" customHeight="1">
      <c r="A165" s="24">
        <v>163.0</v>
      </c>
      <c r="B165" s="24" t="s">
        <v>16</v>
      </c>
      <c r="C165" s="24" t="s">
        <v>1069</v>
      </c>
      <c r="D165" s="28" t="s">
        <v>2248</v>
      </c>
      <c r="E165" s="24" t="s">
        <v>21</v>
      </c>
      <c r="F165" s="33">
        <f>SUMIF('①농산물raw'!$D:$D,$C165,'①농산물raw'!$F:$F)</f>
        <v>10441</v>
      </c>
      <c r="G165" s="33">
        <f>SUMIF('①농산물raw'!$D:$D,$C165,'①농산물raw'!$G:$G)</f>
        <v>113790900</v>
      </c>
      <c r="H165" s="33">
        <f>SUMIF('①농산물raw'!$D:$D,$C165,'①농산물raw'!$H:$H)</f>
        <v>2067740</v>
      </c>
      <c r="I165" s="24" t="s">
        <v>33</v>
      </c>
    </row>
    <row r="166" ht="17.25" customHeight="1">
      <c r="A166" s="24">
        <v>164.0</v>
      </c>
      <c r="B166" s="24" t="s">
        <v>16</v>
      </c>
      <c r="C166" s="24" t="s">
        <v>779</v>
      </c>
      <c r="D166" s="28" t="s">
        <v>2254</v>
      </c>
      <c r="E166" s="24" t="s">
        <v>22</v>
      </c>
      <c r="F166" s="33">
        <f>SUMIF('①농산물raw'!$D:$D,$C166,'①농산물raw'!$F:$F)</f>
        <v>0</v>
      </c>
      <c r="G166" s="33">
        <f>SUMIF('①농산물raw'!$D:$D,$C166,'①농산물raw'!$G:$G)</f>
        <v>0</v>
      </c>
      <c r="H166" s="33">
        <f>SUMIF('①농산물raw'!$D:$D,$C166,'①농산물raw'!$H:$H)</f>
        <v>0</v>
      </c>
      <c r="I166" s="24" t="s">
        <v>33</v>
      </c>
    </row>
    <row r="167" ht="17.25" customHeight="1">
      <c r="A167" s="24">
        <v>165.0</v>
      </c>
      <c r="B167" s="24" t="s">
        <v>16</v>
      </c>
      <c r="C167" s="24" t="s">
        <v>1981</v>
      </c>
      <c r="D167" s="28" t="s">
        <v>1980</v>
      </c>
      <c r="E167" s="24" t="s">
        <v>25</v>
      </c>
      <c r="F167" s="33">
        <f>SUMIF('①농산물raw'!$D:$D,$C167,'①농산물raw'!$F:$F)</f>
        <v>411</v>
      </c>
      <c r="G167" s="33">
        <f>SUMIF('①농산물raw'!$D:$D,$C167,'①농산물raw'!$G:$G)</f>
        <v>15016900</v>
      </c>
      <c r="H167" s="33">
        <f>SUMIF('①농산물raw'!$D:$D,$C167,'①농산물raw'!$H:$H)</f>
        <v>1478990</v>
      </c>
      <c r="I167" s="24" t="s">
        <v>33</v>
      </c>
    </row>
    <row r="168" ht="17.25" customHeight="1">
      <c r="A168" s="24">
        <v>166.0</v>
      </c>
      <c r="B168" s="24" t="s">
        <v>38</v>
      </c>
      <c r="C168" s="24" t="s">
        <v>2271</v>
      </c>
      <c r="D168" s="28" t="s">
        <v>2272</v>
      </c>
      <c r="E168" s="24" t="s">
        <v>25</v>
      </c>
      <c r="F168" s="33">
        <f>SUMIF('①농산물raw'!$D:$D,$C168,'①농산물raw'!$F:$F)</f>
        <v>0</v>
      </c>
      <c r="G168" s="33">
        <f>SUMIF('①농산물raw'!$D:$D,$C168,'①농산물raw'!$G:$G)</f>
        <v>0</v>
      </c>
      <c r="H168" s="33">
        <f>SUMIF('①농산물raw'!$D:$D,$C168,'①농산물raw'!$H:$H)</f>
        <v>0</v>
      </c>
      <c r="I168" s="28"/>
    </row>
    <row r="169" ht="17.25" customHeight="1">
      <c r="A169" s="24">
        <v>167.0</v>
      </c>
      <c r="B169" s="24" t="s">
        <v>38</v>
      </c>
      <c r="C169" s="24" t="s">
        <v>2277</v>
      </c>
      <c r="D169" s="28" t="s">
        <v>2278</v>
      </c>
      <c r="E169" s="24" t="s">
        <v>25</v>
      </c>
      <c r="F169" s="33">
        <f>SUMIF('①농산물raw'!$D:$D,$C169,'①농산물raw'!$F:$F)</f>
        <v>0</v>
      </c>
      <c r="G169" s="33">
        <f>SUMIF('①농산물raw'!$D:$D,$C169,'①농산물raw'!$G:$G)</f>
        <v>0</v>
      </c>
      <c r="H169" s="33">
        <f>SUMIF('①농산물raw'!$D:$D,$C169,'①농산물raw'!$H:$H)</f>
        <v>0</v>
      </c>
      <c r="I169" s="28"/>
    </row>
    <row r="170" ht="17.25" customHeight="1">
      <c r="A170" s="24">
        <v>168.0</v>
      </c>
      <c r="B170" s="24" t="s">
        <v>38</v>
      </c>
      <c r="C170" s="24" t="s">
        <v>1223</v>
      </c>
      <c r="D170" s="28" t="s">
        <v>1222</v>
      </c>
      <c r="E170" s="24" t="s">
        <v>28</v>
      </c>
      <c r="F170" s="33">
        <f>SUMIF('①농산물raw'!$D:$D,$C170,'①농산물raw'!$F:$F)</f>
        <v>37</v>
      </c>
      <c r="G170" s="33">
        <f>SUMIF('①농산물raw'!$D:$D,$C170,'①농산물raw'!$G:$G)</f>
        <v>551300</v>
      </c>
      <c r="H170" s="33">
        <f>SUMIF('①농산물raw'!$D:$D,$C170,'①농산물raw'!$H:$H)</f>
        <v>80180</v>
      </c>
      <c r="I170" s="24" t="s">
        <v>33</v>
      </c>
    </row>
    <row r="171" ht="17.25" customHeight="1">
      <c r="A171" s="24">
        <v>169.0</v>
      </c>
      <c r="B171" s="24" t="s">
        <v>16</v>
      </c>
      <c r="C171" s="24" t="s">
        <v>832</v>
      </c>
      <c r="D171" s="28" t="s">
        <v>831</v>
      </c>
      <c r="E171" s="24" t="s">
        <v>22</v>
      </c>
      <c r="F171" s="33">
        <f>SUMIF('①농산물raw'!$D:$D,$C171,'①농산물raw'!$F:$F)</f>
        <v>140</v>
      </c>
      <c r="G171" s="33">
        <f>SUMIF('①농산물raw'!$D:$D,$C171,'①농산물raw'!$G:$G)</f>
        <v>3016100</v>
      </c>
      <c r="H171" s="33">
        <f>SUMIF('①농산물raw'!$D:$D,$C171,'①농산물raw'!$H:$H)</f>
        <v>551480</v>
      </c>
      <c r="I171" s="24" t="s">
        <v>33</v>
      </c>
    </row>
    <row r="172" ht="17.25" customHeight="1">
      <c r="A172" s="24">
        <v>170.0</v>
      </c>
      <c r="B172" s="24" t="s">
        <v>16</v>
      </c>
      <c r="C172" s="24" t="s">
        <v>1292</v>
      </c>
      <c r="D172" s="28" t="s">
        <v>1291</v>
      </c>
      <c r="E172" s="24" t="s">
        <v>29</v>
      </c>
      <c r="F172" s="33">
        <f>SUMIF('①농산물raw'!$D:$D,$C172,'①농산물raw'!$F:$F)</f>
        <v>23157</v>
      </c>
      <c r="G172" s="33">
        <f>SUMIF('①농산물raw'!$D:$D,$C172,'①농산물raw'!$G:$G)</f>
        <v>348126237</v>
      </c>
      <c r="H172" s="33">
        <f>SUMIF('①농산물raw'!$D:$D,$C172,'①농산물raw'!$H:$H)</f>
        <v>5847700</v>
      </c>
      <c r="I172" s="24" t="s">
        <v>33</v>
      </c>
    </row>
    <row r="173" ht="17.25" customHeight="1">
      <c r="A173" s="24">
        <v>171.0</v>
      </c>
      <c r="B173" s="24" t="s">
        <v>16</v>
      </c>
      <c r="C173" s="24" t="s">
        <v>1307</v>
      </c>
      <c r="D173" s="28" t="s">
        <v>1306</v>
      </c>
      <c r="E173" s="24" t="s">
        <v>29</v>
      </c>
      <c r="F173" s="33">
        <f>SUMIF('①농산물raw'!$D:$D,$C173,'①농산물raw'!$F:$F)</f>
        <v>3181</v>
      </c>
      <c r="G173" s="33">
        <f>SUMIF('①농산물raw'!$D:$D,$C173,'①농산물raw'!$G:$G)</f>
        <v>55343432</v>
      </c>
      <c r="H173" s="33">
        <f>SUMIF('①농산물raw'!$D:$D,$C173,'①농산물raw'!$H:$H)</f>
        <v>3711720</v>
      </c>
      <c r="I173" s="24" t="s">
        <v>33</v>
      </c>
    </row>
    <row r="174" ht="17.25" customHeight="1">
      <c r="A174" s="24">
        <v>172.0</v>
      </c>
      <c r="B174" s="24" t="s">
        <v>38</v>
      </c>
      <c r="C174" s="24" t="s">
        <v>2308</v>
      </c>
      <c r="D174" s="28" t="s">
        <v>2309</v>
      </c>
      <c r="E174" s="24" t="s">
        <v>25</v>
      </c>
      <c r="F174" s="33">
        <f>SUMIF('①농산물raw'!$D:$D,$C174,'①농산물raw'!$F:$F)</f>
        <v>0</v>
      </c>
      <c r="G174" s="33">
        <f>SUMIF('①농산물raw'!$D:$D,$C174,'①농산물raw'!$G:$G)</f>
        <v>0</v>
      </c>
      <c r="H174" s="33">
        <f>SUMIF('①농산물raw'!$D:$D,$C174,'①농산물raw'!$H:$H)</f>
        <v>0</v>
      </c>
      <c r="I174" s="28"/>
    </row>
    <row r="175" ht="17.25" customHeight="1">
      <c r="A175" s="24">
        <v>173.0</v>
      </c>
      <c r="B175" s="24" t="s">
        <v>38</v>
      </c>
      <c r="C175" s="24" t="s">
        <v>2041</v>
      </c>
      <c r="D175" s="28" t="s">
        <v>2040</v>
      </c>
      <c r="E175" s="24" t="s">
        <v>25</v>
      </c>
      <c r="F175" s="33">
        <f>SUMIF('①농산물raw'!$D:$D,$C175,'①농산물raw'!$F:$F)</f>
        <v>41</v>
      </c>
      <c r="G175" s="33">
        <f>SUMIF('①농산물raw'!$D:$D,$C175,'①농산물raw'!$G:$G)</f>
        <v>1129400</v>
      </c>
      <c r="H175" s="33">
        <f>SUMIF('①농산물raw'!$D:$D,$C175,'①농산물raw'!$H:$H)</f>
        <v>90860</v>
      </c>
      <c r="I175" s="24" t="s">
        <v>33</v>
      </c>
    </row>
    <row r="176" ht="17.25" customHeight="1">
      <c r="A176" s="24">
        <v>174.0</v>
      </c>
      <c r="B176" s="24" t="s">
        <v>46</v>
      </c>
      <c r="C176" s="24" t="s">
        <v>1057</v>
      </c>
      <c r="D176" s="28" t="s">
        <v>1056</v>
      </c>
      <c r="E176" s="24" t="s">
        <v>21</v>
      </c>
      <c r="F176" s="33">
        <f>SUMIF('①농산물raw'!$D:$D,$C176,'①농산물raw'!$F:$F)</f>
        <v>83</v>
      </c>
      <c r="G176" s="33">
        <f>SUMIF('①농산물raw'!$D:$D,$C176,'①농산물raw'!$G:$G)</f>
        <v>1078300</v>
      </c>
      <c r="H176" s="33">
        <f>SUMIF('①농산물raw'!$D:$D,$C176,'①농산물raw'!$H:$H)</f>
        <v>129420</v>
      </c>
      <c r="I176" s="24" t="s">
        <v>33</v>
      </c>
    </row>
    <row r="177" ht="17.25" customHeight="1">
      <c r="A177" s="24">
        <v>175.0</v>
      </c>
      <c r="B177" s="24" t="s">
        <v>46</v>
      </c>
      <c r="C177" s="24" t="s">
        <v>154</v>
      </c>
      <c r="D177" s="28" t="s">
        <v>153</v>
      </c>
      <c r="E177" s="24" t="s">
        <v>26</v>
      </c>
      <c r="F177" s="33">
        <f>SUMIF('①농산물raw'!$D:$D,$C177,'①농산물raw'!$F:$F)</f>
        <v>1653</v>
      </c>
      <c r="G177" s="33">
        <f>SUMIF('①농산물raw'!$D:$D,$C177,'①농산물raw'!$G:$G)</f>
        <v>70241000</v>
      </c>
      <c r="H177" s="33">
        <f>SUMIF('①농산물raw'!$D:$D,$C177,'①농산물raw'!$H:$H)</f>
        <v>5268240</v>
      </c>
      <c r="I177" s="24" t="s">
        <v>33</v>
      </c>
    </row>
    <row r="178" ht="17.25" customHeight="1">
      <c r="A178" s="24">
        <v>176.0</v>
      </c>
      <c r="B178" s="24" t="s">
        <v>38</v>
      </c>
      <c r="C178" s="24" t="s">
        <v>2331</v>
      </c>
      <c r="D178" s="28" t="s">
        <v>2332</v>
      </c>
      <c r="E178" s="24" t="s">
        <v>25</v>
      </c>
      <c r="F178" s="33">
        <f>SUMIF('①농산물raw'!$D:$D,$C178,'①농산물raw'!$F:$F)</f>
        <v>0</v>
      </c>
      <c r="G178" s="33">
        <f>SUMIF('①농산물raw'!$D:$D,$C178,'①농산물raw'!$G:$G)</f>
        <v>0</v>
      </c>
      <c r="H178" s="33">
        <f>SUMIF('①농산물raw'!$D:$D,$C178,'①농산물raw'!$H:$H)</f>
        <v>0</v>
      </c>
      <c r="I178" s="28"/>
    </row>
    <row r="179" ht="17.25" customHeight="1">
      <c r="A179" s="24">
        <v>177.0</v>
      </c>
      <c r="B179" s="24" t="s">
        <v>46</v>
      </c>
      <c r="C179" s="24" t="s">
        <v>837</v>
      </c>
      <c r="D179" s="28" t="s">
        <v>836</v>
      </c>
      <c r="E179" s="24" t="s">
        <v>22</v>
      </c>
      <c r="F179" s="33">
        <f>SUMIF('①농산물raw'!$D:$D,$C179,'①농산물raw'!$F:$F)</f>
        <v>0</v>
      </c>
      <c r="G179" s="33">
        <f>SUMIF('①농산물raw'!$D:$D,$C179,'①농산물raw'!$G:$G)</f>
        <v>0</v>
      </c>
      <c r="H179" s="33">
        <f>SUMIF('①농산물raw'!$D:$D,$C179,'①농산물raw'!$H:$H)</f>
        <v>0</v>
      </c>
      <c r="I179" s="24" t="s">
        <v>33</v>
      </c>
    </row>
    <row r="180" ht="17.25" customHeight="1">
      <c r="A180" s="24">
        <v>178.0</v>
      </c>
      <c r="B180" s="24" t="s">
        <v>46</v>
      </c>
      <c r="C180" s="24" t="s">
        <v>358</v>
      </c>
      <c r="D180" s="28" t="s">
        <v>536</v>
      </c>
      <c r="E180" s="24" t="s">
        <v>26</v>
      </c>
      <c r="F180" s="33">
        <f>SUMIF('①농산물raw'!$D:$D,$C180,'①농산물raw'!$F:$F)</f>
        <v>4198</v>
      </c>
      <c r="G180" s="33">
        <f>SUMIF('①농산물raw'!$D:$D,$C180,'①농산물raw'!$G:$G)</f>
        <v>91537100</v>
      </c>
      <c r="H180" s="33">
        <f>SUMIF('①농산물raw'!$D:$D,$C180,'①농산물raw'!$H:$H)</f>
        <v>4866780</v>
      </c>
      <c r="I180" s="24" t="s">
        <v>33</v>
      </c>
    </row>
    <row r="181" ht="17.25" customHeight="1">
      <c r="A181" s="24">
        <v>179.0</v>
      </c>
      <c r="B181" s="24" t="s">
        <v>46</v>
      </c>
      <c r="C181" s="24" t="s">
        <v>1907</v>
      </c>
      <c r="D181" s="28" t="s">
        <v>1906</v>
      </c>
      <c r="E181" s="24" t="s">
        <v>25</v>
      </c>
      <c r="F181" s="33">
        <f>SUMIF('①농산물raw'!$D:$D,$C181,'①농산물raw'!$F:$F)</f>
        <v>453</v>
      </c>
      <c r="G181" s="33">
        <f>SUMIF('①농산물raw'!$D:$D,$C181,'①농산물raw'!$G:$G)</f>
        <v>11843530</v>
      </c>
      <c r="H181" s="33">
        <f>SUMIF('①농산물raw'!$D:$D,$C181,'①농산물raw'!$H:$H)</f>
        <v>1093520</v>
      </c>
      <c r="I181" s="24" t="s">
        <v>33</v>
      </c>
    </row>
    <row r="182" ht="17.25" customHeight="1">
      <c r="A182" s="24">
        <v>180.0</v>
      </c>
      <c r="B182" s="24" t="s">
        <v>16</v>
      </c>
      <c r="C182" s="24" t="s">
        <v>157</v>
      </c>
      <c r="D182" s="28" t="s">
        <v>2342</v>
      </c>
      <c r="E182" s="24" t="s">
        <v>26</v>
      </c>
      <c r="F182" s="33">
        <f>SUMIF('①농산물raw'!$D:$D,$C182,'①농산물raw'!$F:$F)</f>
        <v>2197</v>
      </c>
      <c r="G182" s="33">
        <f>SUMIF('①농산물raw'!$D:$D,$C182,'①농산물raw'!$G:$G)</f>
        <v>50970400</v>
      </c>
      <c r="H182" s="33">
        <f>SUMIF('①농산물raw'!$D:$D,$C182,'①농산물raw'!$H:$H)</f>
        <v>4673920</v>
      </c>
      <c r="I182" s="24" t="s">
        <v>33</v>
      </c>
    </row>
    <row r="183" ht="17.25" customHeight="1">
      <c r="A183" s="24">
        <v>181.0</v>
      </c>
      <c r="B183" s="24" t="s">
        <v>46</v>
      </c>
      <c r="C183" s="24" t="s">
        <v>1867</v>
      </c>
      <c r="D183" s="28" t="s">
        <v>1866</v>
      </c>
      <c r="E183" s="24" t="s">
        <v>25</v>
      </c>
      <c r="F183" s="33">
        <f>SUMIF('①농산물raw'!$D:$D,$C183,'①농산물raw'!$F:$F)</f>
        <v>243</v>
      </c>
      <c r="G183" s="33">
        <f>SUMIF('①농산물raw'!$D:$D,$C183,'①농산물raw'!$G:$G)</f>
        <v>4101220</v>
      </c>
      <c r="H183" s="33">
        <f>SUMIF('①농산물raw'!$D:$D,$C183,'①농산물raw'!$H:$H)</f>
        <v>342710</v>
      </c>
      <c r="I183" s="24" t="s">
        <v>33</v>
      </c>
    </row>
    <row r="184" ht="17.25" customHeight="1">
      <c r="A184" s="24">
        <v>182.0</v>
      </c>
      <c r="B184" s="24" t="s">
        <v>38</v>
      </c>
      <c r="C184" s="24" t="s">
        <v>2343</v>
      </c>
      <c r="D184" s="28" t="s">
        <v>2344</v>
      </c>
      <c r="E184" s="24" t="s">
        <v>25</v>
      </c>
      <c r="F184" s="33">
        <f>SUMIF('①농산물raw'!$D:$D,$C184,'①농산물raw'!$F:$F)</f>
        <v>0</v>
      </c>
      <c r="G184" s="33">
        <f>SUMIF('①농산물raw'!$D:$D,$C184,'①농산물raw'!$G:$G)</f>
        <v>0</v>
      </c>
      <c r="H184" s="33">
        <f>SUMIF('①농산물raw'!$D:$D,$C184,'①농산물raw'!$H:$H)</f>
        <v>0</v>
      </c>
      <c r="I184" s="28"/>
    </row>
    <row r="185" ht="17.25" customHeight="1">
      <c r="A185" s="24">
        <v>183.0</v>
      </c>
      <c r="B185" s="24" t="s">
        <v>46</v>
      </c>
      <c r="C185" s="24" t="s">
        <v>321</v>
      </c>
      <c r="D185" s="28" t="s">
        <v>320</v>
      </c>
      <c r="E185" s="24" t="s">
        <v>26</v>
      </c>
      <c r="F185" s="33">
        <f>SUMIF('①농산물raw'!$D:$D,$C185,'①농산물raw'!$F:$F)</f>
        <v>238</v>
      </c>
      <c r="G185" s="33">
        <f>SUMIF('①농산물raw'!$D:$D,$C185,'①농산물raw'!$G:$G)</f>
        <v>1681000</v>
      </c>
      <c r="H185" s="33">
        <f>SUMIF('①농산물raw'!$D:$D,$C185,'①농산물raw'!$H:$H)</f>
        <v>135400</v>
      </c>
      <c r="I185" s="24" t="s">
        <v>33</v>
      </c>
    </row>
    <row r="186" ht="17.25" customHeight="1">
      <c r="A186" s="24">
        <v>184.0</v>
      </c>
      <c r="B186" s="24" t="s">
        <v>16</v>
      </c>
      <c r="C186" s="24" t="s">
        <v>814</v>
      </c>
      <c r="D186" s="28" t="s">
        <v>813</v>
      </c>
      <c r="E186" s="24" t="s">
        <v>22</v>
      </c>
      <c r="F186" s="33">
        <f>SUMIF('①농산물raw'!$D:$D,$C186,'①농산물raw'!$F:$F)</f>
        <v>1343</v>
      </c>
      <c r="G186" s="33">
        <f>SUMIF('①농산물raw'!$D:$D,$C186,'①농산물raw'!$G:$G)</f>
        <v>41973060</v>
      </c>
      <c r="H186" s="33">
        <f>SUMIF('①농산물raw'!$D:$D,$C186,'①농산물raw'!$H:$H)</f>
        <v>5049440</v>
      </c>
      <c r="I186" s="24" t="s">
        <v>33</v>
      </c>
    </row>
    <row r="187" ht="17.25" customHeight="1">
      <c r="A187" s="24">
        <v>185.0</v>
      </c>
      <c r="B187" s="24" t="s">
        <v>16</v>
      </c>
      <c r="C187" s="24" t="s">
        <v>663</v>
      </c>
      <c r="D187" s="28" t="s">
        <v>662</v>
      </c>
      <c r="E187" s="24" t="s">
        <v>22</v>
      </c>
      <c r="F187" s="33">
        <f>SUMIF('①농산물raw'!$D:$D,$C187,'①농산물raw'!$F:$F)</f>
        <v>37</v>
      </c>
      <c r="G187" s="33">
        <f>SUMIF('①농산물raw'!$D:$D,$C187,'①농산물raw'!$G:$G)</f>
        <v>1449750</v>
      </c>
      <c r="H187" s="33">
        <f>SUMIF('①농산물raw'!$D:$D,$C187,'①농산물raw'!$H:$H)</f>
        <v>159250</v>
      </c>
      <c r="I187" s="24" t="s">
        <v>33</v>
      </c>
    </row>
    <row r="188" ht="17.25" customHeight="1">
      <c r="A188" s="24">
        <v>186.0</v>
      </c>
      <c r="B188" s="24" t="s">
        <v>16</v>
      </c>
      <c r="C188" s="24" t="s">
        <v>480</v>
      </c>
      <c r="D188" s="28" t="s">
        <v>2345</v>
      </c>
      <c r="E188" s="24" t="s">
        <v>26</v>
      </c>
      <c r="F188" s="33">
        <f>SUMIF('①농산물raw'!$D:$D,$C188,'①농산물raw'!$F:$F)</f>
        <v>4478</v>
      </c>
      <c r="G188" s="33">
        <f>SUMIF('①농산물raw'!$D:$D,$C188,'①농산물raw'!$G:$G)</f>
        <v>75036380</v>
      </c>
      <c r="H188" s="33">
        <f>SUMIF('①농산물raw'!$D:$D,$C188,'①농산물raw'!$H:$H)</f>
        <v>4887830</v>
      </c>
      <c r="I188" s="24" t="s">
        <v>33</v>
      </c>
    </row>
    <row r="189" ht="17.25" customHeight="1">
      <c r="A189" s="24">
        <v>187.0</v>
      </c>
      <c r="B189" s="24" t="s">
        <v>16</v>
      </c>
      <c r="C189" s="24" t="s">
        <v>633</v>
      </c>
      <c r="D189" s="28" t="s">
        <v>2346</v>
      </c>
      <c r="E189" s="24" t="s">
        <v>22</v>
      </c>
      <c r="F189" s="33">
        <f>SUMIF('①농산물raw'!$D:$D,$C189,'①농산물raw'!$F:$F)</f>
        <v>1152</v>
      </c>
      <c r="G189" s="33">
        <f>SUMIF('①농산물raw'!$D:$D,$C189,'①농산물raw'!$G:$G)</f>
        <v>17550000</v>
      </c>
      <c r="H189" s="33">
        <f>SUMIF('①농산물raw'!$D:$D,$C189,'①농산물raw'!$H:$H)</f>
        <v>2955090</v>
      </c>
      <c r="I189" s="24" t="s">
        <v>33</v>
      </c>
    </row>
    <row r="190" ht="17.25" customHeight="1">
      <c r="A190" s="24">
        <v>188.0</v>
      </c>
      <c r="B190" s="24" t="s">
        <v>16</v>
      </c>
      <c r="C190" s="24" t="s">
        <v>733</v>
      </c>
      <c r="D190" s="28" t="s">
        <v>732</v>
      </c>
      <c r="E190" s="24" t="s">
        <v>22</v>
      </c>
      <c r="F190" s="33">
        <f>SUMIF('①농산물raw'!$D:$D,$C190,'①농산물raw'!$F:$F)</f>
        <v>0</v>
      </c>
      <c r="G190" s="33">
        <f>SUMIF('①농산물raw'!$D:$D,$C190,'①농산물raw'!$G:$G)</f>
        <v>0</v>
      </c>
      <c r="H190" s="33">
        <f>SUMIF('①농산물raw'!$D:$D,$C190,'①농산물raw'!$H:$H)</f>
        <v>0</v>
      </c>
      <c r="I190" s="24" t="s">
        <v>33</v>
      </c>
    </row>
    <row r="191" ht="17.25" customHeight="1">
      <c r="A191" s="24">
        <v>189.0</v>
      </c>
      <c r="B191" s="24" t="s">
        <v>38</v>
      </c>
      <c r="C191" s="24" t="s">
        <v>2347</v>
      </c>
      <c r="D191" s="28" t="s">
        <v>2348</v>
      </c>
      <c r="E191" s="24" t="s">
        <v>25</v>
      </c>
      <c r="F191" s="33">
        <f>SUMIF('①농산물raw'!$D:$D,$C191,'①농산물raw'!$F:$F)</f>
        <v>0</v>
      </c>
      <c r="G191" s="33">
        <f>SUMIF('①농산물raw'!$D:$D,$C191,'①농산물raw'!$G:$G)</f>
        <v>0</v>
      </c>
      <c r="H191" s="33">
        <f>SUMIF('①농산물raw'!$D:$D,$C191,'①농산물raw'!$H:$H)</f>
        <v>0</v>
      </c>
      <c r="I191" s="28"/>
    </row>
    <row r="192" ht="17.25" customHeight="1">
      <c r="A192" s="24">
        <v>190.0</v>
      </c>
      <c r="B192" s="24" t="s">
        <v>16</v>
      </c>
      <c r="C192" s="24" t="s">
        <v>1037</v>
      </c>
      <c r="D192" s="28" t="s">
        <v>2349</v>
      </c>
      <c r="E192" s="24" t="s">
        <v>22</v>
      </c>
      <c r="F192" s="33">
        <f>SUMIF('①농산물raw'!$D:$D,$C192,'①농산물raw'!$F:$F)</f>
        <v>4</v>
      </c>
      <c r="G192" s="33">
        <f>SUMIF('①농산물raw'!$D:$D,$C192,'①농산물raw'!$G:$G)</f>
        <v>172000</v>
      </c>
      <c r="H192" s="33">
        <f>SUMIF('①농산물raw'!$D:$D,$C192,'①농산물raw'!$H:$H)</f>
        <v>31660</v>
      </c>
      <c r="I192" s="28"/>
    </row>
    <row r="193" ht="17.25" customHeight="1">
      <c r="A193" s="24">
        <v>191.0</v>
      </c>
      <c r="B193" s="24" t="s">
        <v>16</v>
      </c>
      <c r="C193" s="24" t="s">
        <v>1200</v>
      </c>
      <c r="D193" s="28" t="s">
        <v>1199</v>
      </c>
      <c r="E193" s="24" t="s">
        <v>28</v>
      </c>
      <c r="F193" s="33">
        <f>SUMIF('①농산물raw'!$D:$D,$C193,'①농산물raw'!$F:$F)</f>
        <v>9</v>
      </c>
      <c r="G193" s="33">
        <f>SUMIF('①농산물raw'!$D:$D,$C193,'①농산물raw'!$G:$G)</f>
        <v>342100</v>
      </c>
      <c r="H193" s="33">
        <f>SUMIF('①농산물raw'!$D:$D,$C193,'①농산물raw'!$H:$H)</f>
        <v>41960</v>
      </c>
      <c r="I193" s="24" t="s">
        <v>33</v>
      </c>
    </row>
    <row r="194" ht="17.25" customHeight="1">
      <c r="A194" s="24">
        <v>192.0</v>
      </c>
      <c r="B194" s="24" t="s">
        <v>38</v>
      </c>
      <c r="C194" s="24" t="s">
        <v>2350</v>
      </c>
      <c r="D194" s="28" t="s">
        <v>2351</v>
      </c>
      <c r="E194" s="24" t="s">
        <v>25</v>
      </c>
      <c r="F194" s="33">
        <f>SUMIF('①농산물raw'!$D:$D,$C194,'①농산물raw'!$F:$F)</f>
        <v>0</v>
      </c>
      <c r="G194" s="33">
        <f>SUMIF('①농산물raw'!$D:$D,$C194,'①농산물raw'!$G:$G)</f>
        <v>0</v>
      </c>
      <c r="H194" s="33">
        <f>SUMIF('①농산물raw'!$D:$D,$C194,'①농산물raw'!$H:$H)</f>
        <v>0</v>
      </c>
      <c r="I194" s="28"/>
    </row>
    <row r="195" ht="17.25" customHeight="1">
      <c r="A195" s="24">
        <v>193.0</v>
      </c>
      <c r="B195" s="24" t="s">
        <v>38</v>
      </c>
      <c r="C195" s="24" t="s">
        <v>1165</v>
      </c>
      <c r="D195" s="28" t="s">
        <v>1164</v>
      </c>
      <c r="E195" s="24" t="s">
        <v>21</v>
      </c>
      <c r="F195" s="33">
        <f>SUMIF('①농산물raw'!$D:$D,$C195,'①농산물raw'!$F:$F)</f>
        <v>1</v>
      </c>
      <c r="G195" s="33">
        <f>SUMIF('①농산물raw'!$D:$D,$C195,'①농산물raw'!$G:$G)</f>
        <v>27000</v>
      </c>
      <c r="H195" s="33">
        <f>SUMIF('①농산물raw'!$D:$D,$C195,'①농산물raw'!$H:$H)</f>
        <v>5400</v>
      </c>
      <c r="I195" s="24" t="s">
        <v>33</v>
      </c>
    </row>
    <row r="196" ht="17.25" customHeight="1">
      <c r="A196" s="24">
        <v>194.0</v>
      </c>
      <c r="B196" s="24" t="s">
        <v>16</v>
      </c>
      <c r="C196" s="24" t="s">
        <v>230</v>
      </c>
      <c r="D196" s="28" t="s">
        <v>229</v>
      </c>
      <c r="E196" s="24" t="s">
        <v>26</v>
      </c>
      <c r="F196" s="33">
        <f>SUMIF('①농산물raw'!$D:$D,$C196,'①농산물raw'!$F:$F)</f>
        <v>299</v>
      </c>
      <c r="G196" s="33">
        <f>SUMIF('①농산물raw'!$D:$D,$C196,'①농산물raw'!$G:$G)</f>
        <v>7295900</v>
      </c>
      <c r="H196" s="33">
        <f>SUMIF('①농산물raw'!$D:$D,$C196,'①농산물raw'!$H:$H)</f>
        <v>528440</v>
      </c>
      <c r="I196" s="24" t="s">
        <v>33</v>
      </c>
    </row>
    <row r="197" ht="17.25" customHeight="1">
      <c r="A197" s="24">
        <v>195.0</v>
      </c>
      <c r="B197" s="24" t="s">
        <v>46</v>
      </c>
      <c r="C197" s="24" t="s">
        <v>523</v>
      </c>
      <c r="D197" s="28" t="s">
        <v>522</v>
      </c>
      <c r="E197" s="24" t="s">
        <v>26</v>
      </c>
      <c r="F197" s="33">
        <f>SUMIF('①농산물raw'!$D:$D,$C197,'①농산물raw'!$F:$F)</f>
        <v>0</v>
      </c>
      <c r="G197" s="33">
        <f>SUMIF('①농산물raw'!$D:$D,$C197,'①농산물raw'!$G:$G)</f>
        <v>0</v>
      </c>
      <c r="H197" s="33">
        <f>SUMIF('①농산물raw'!$D:$D,$C197,'①농산물raw'!$H:$H)</f>
        <v>0</v>
      </c>
      <c r="I197" s="28"/>
    </row>
    <row r="198" ht="17.25" customHeight="1">
      <c r="A198" s="24">
        <v>196.0</v>
      </c>
      <c r="B198" s="24" t="s">
        <v>38</v>
      </c>
      <c r="C198" s="24" t="s">
        <v>2352</v>
      </c>
      <c r="D198" s="28" t="s">
        <v>2353</v>
      </c>
      <c r="E198" s="24" t="s">
        <v>26</v>
      </c>
      <c r="F198" s="33">
        <f>SUMIF('①농산물raw'!$D:$D,$C198,'①농산물raw'!$F:$F)</f>
        <v>0</v>
      </c>
      <c r="G198" s="33">
        <f>SUMIF('①농산물raw'!$D:$D,$C198,'①농산물raw'!$G:$G)</f>
        <v>0</v>
      </c>
      <c r="H198" s="33">
        <f>SUMIF('①농산물raw'!$D:$D,$C198,'①농산물raw'!$H:$H)</f>
        <v>0</v>
      </c>
      <c r="I198" s="28"/>
    </row>
    <row r="199" ht="17.25" customHeight="1">
      <c r="A199" s="24">
        <v>197.0</v>
      </c>
      <c r="B199" s="24" t="s">
        <v>16</v>
      </c>
      <c r="C199" s="24" t="s">
        <v>1061</v>
      </c>
      <c r="D199" s="28" t="s">
        <v>1060</v>
      </c>
      <c r="E199" s="24" t="s">
        <v>21</v>
      </c>
      <c r="F199" s="33">
        <f>SUMIF('①농산물raw'!$D:$D,$C199,'①농산물raw'!$F:$F)</f>
        <v>36771</v>
      </c>
      <c r="G199" s="33">
        <f>SUMIF('①농산물raw'!$D:$D,$C199,'①농산물raw'!$G:$G)</f>
        <v>171049640</v>
      </c>
      <c r="H199" s="33">
        <f>SUMIF('①농산물raw'!$D:$D,$C199,'①농산물raw'!$H:$H)</f>
        <v>2095401</v>
      </c>
      <c r="I199" s="24" t="s">
        <v>33</v>
      </c>
    </row>
    <row r="200" ht="17.25" customHeight="1">
      <c r="A200" s="24">
        <v>198.0</v>
      </c>
      <c r="B200" s="24" t="s">
        <v>38</v>
      </c>
      <c r="C200" s="24" t="s">
        <v>1343</v>
      </c>
      <c r="D200" s="28" t="s">
        <v>2354</v>
      </c>
      <c r="E200" s="24" t="s">
        <v>25</v>
      </c>
      <c r="F200" s="33">
        <f>SUMIF('①농산물raw'!$D:$D,$C200,'①농산물raw'!$F:$F)</f>
        <v>10</v>
      </c>
      <c r="G200" s="33">
        <f>SUMIF('①농산물raw'!$D:$D,$C200,'①농산물raw'!$G:$G)</f>
        <v>144500</v>
      </c>
      <c r="H200" s="33">
        <f>SUMIF('①농산물raw'!$D:$D,$C200,'①농산물raw'!$H:$H)</f>
        <v>2000</v>
      </c>
      <c r="I200" s="24" t="s">
        <v>33</v>
      </c>
    </row>
    <row r="201" ht="17.25" customHeight="1">
      <c r="A201" s="24">
        <v>199.0</v>
      </c>
      <c r="B201" s="24" t="s">
        <v>16</v>
      </c>
      <c r="C201" s="24" t="s">
        <v>89</v>
      </c>
      <c r="D201" s="28" t="s">
        <v>88</v>
      </c>
      <c r="E201" s="24" t="s">
        <v>26</v>
      </c>
      <c r="F201" s="33">
        <f>SUMIF('①농산물raw'!$D:$D,$C201,'①농산물raw'!$F:$F)</f>
        <v>21744</v>
      </c>
      <c r="G201" s="33">
        <f>SUMIF('①농산물raw'!$D:$D,$C201,'①농산물raw'!$G:$G)</f>
        <v>287536270</v>
      </c>
      <c r="H201" s="33">
        <f>SUMIF('①농산물raw'!$D:$D,$C201,'①농산물raw'!$H:$H)</f>
        <v>6140240</v>
      </c>
      <c r="I201" s="24" t="s">
        <v>33</v>
      </c>
    </row>
    <row r="202" ht="17.25" customHeight="1">
      <c r="A202" s="24">
        <v>200.0</v>
      </c>
      <c r="B202" s="24" t="s">
        <v>16</v>
      </c>
      <c r="C202" s="24" t="s">
        <v>192</v>
      </c>
      <c r="D202" s="28" t="s">
        <v>191</v>
      </c>
      <c r="E202" s="24" t="s">
        <v>26</v>
      </c>
      <c r="F202" s="33">
        <f>SUMIF('①농산물raw'!$D:$D,$C202,'①농산물raw'!$F:$F)</f>
        <v>1689</v>
      </c>
      <c r="G202" s="33">
        <f>SUMIF('①농산물raw'!$D:$D,$C202,'①농산물raw'!$G:$G)</f>
        <v>85838000</v>
      </c>
      <c r="H202" s="33">
        <f>SUMIF('①농산물raw'!$D:$D,$C202,'①농산물raw'!$H:$H)</f>
        <v>4965820</v>
      </c>
      <c r="I202" s="24" t="s">
        <v>33</v>
      </c>
    </row>
    <row r="203" ht="17.25" customHeight="1">
      <c r="A203" s="24">
        <v>201.0</v>
      </c>
      <c r="B203" s="24" t="s">
        <v>16</v>
      </c>
      <c r="C203" s="45" t="s">
        <v>863</v>
      </c>
      <c r="D203" s="28" t="s">
        <v>862</v>
      </c>
      <c r="E203" s="24" t="s">
        <v>22</v>
      </c>
      <c r="F203" s="33">
        <f>SUMIF('①농산물raw'!$D:$D,$C203,'①농산물raw'!$F:$F)</f>
        <v>0</v>
      </c>
      <c r="G203" s="33">
        <f>SUMIF('①농산물raw'!$D:$D,$C203,'①농산물raw'!$G:$G)</f>
        <v>0</v>
      </c>
      <c r="H203" s="33">
        <f>SUMIF('①농산물raw'!$D:$D,$C203,'①농산물raw'!$H:$H)</f>
        <v>0</v>
      </c>
      <c r="I203" s="24" t="s">
        <v>33</v>
      </c>
    </row>
    <row r="204" ht="17.25" customHeight="1">
      <c r="A204" s="24">
        <v>202.0</v>
      </c>
      <c r="B204" s="24" t="s">
        <v>16</v>
      </c>
      <c r="C204" s="24" t="s">
        <v>559</v>
      </c>
      <c r="D204" s="28" t="s">
        <v>558</v>
      </c>
      <c r="E204" s="24" t="s">
        <v>26</v>
      </c>
      <c r="F204" s="33">
        <f>SUMIF('①농산물raw'!$D:$D,$C204,'①농산물raw'!$F:$F)</f>
        <v>0</v>
      </c>
      <c r="G204" s="33">
        <f>SUMIF('①농산물raw'!$D:$D,$C204,'①농산물raw'!$G:$G)</f>
        <v>0</v>
      </c>
      <c r="H204" s="33">
        <f>SUMIF('①농산물raw'!$D:$D,$C204,'①농산물raw'!$H:$H)</f>
        <v>0</v>
      </c>
      <c r="I204" s="28"/>
    </row>
    <row r="205" ht="17.25" customHeight="1">
      <c r="A205" s="24">
        <v>203.0</v>
      </c>
      <c r="B205" s="24" t="s">
        <v>38</v>
      </c>
      <c r="C205" s="24" t="s">
        <v>1855</v>
      </c>
      <c r="D205" s="28" t="s">
        <v>2355</v>
      </c>
      <c r="E205" s="24" t="s">
        <v>25</v>
      </c>
      <c r="F205" s="33">
        <f>SUMIF('①농산물raw'!$D:$D,$C205,'①농산물raw'!$F:$F)</f>
        <v>1</v>
      </c>
      <c r="G205" s="33">
        <f>SUMIF('①농산물raw'!$D:$D,$C205,'①농산물raw'!$G:$G)</f>
        <v>36900</v>
      </c>
      <c r="H205" s="33">
        <f>SUMIF('①농산물raw'!$D:$D,$C205,'①농산물raw'!$H:$H)</f>
        <v>0</v>
      </c>
      <c r="I205" s="24" t="s">
        <v>33</v>
      </c>
    </row>
    <row r="206" ht="17.25" customHeight="1">
      <c r="A206" s="24">
        <v>204.0</v>
      </c>
      <c r="B206" s="24" t="s">
        <v>16</v>
      </c>
      <c r="C206" s="24" t="s">
        <v>1078</v>
      </c>
      <c r="D206" s="28" t="s">
        <v>1077</v>
      </c>
      <c r="E206" s="24" t="s">
        <v>21</v>
      </c>
      <c r="F206" s="33">
        <f>SUMIF('①농산물raw'!$D:$D,$C206,'①농산물raw'!$F:$F)</f>
        <v>162</v>
      </c>
      <c r="G206" s="33">
        <f>SUMIF('①농산물raw'!$D:$D,$C206,'①농산물raw'!$G:$G)</f>
        <v>2585100</v>
      </c>
      <c r="H206" s="33">
        <f>SUMIF('①농산물raw'!$D:$D,$C206,'①농산물raw'!$H:$H)</f>
        <v>357549</v>
      </c>
      <c r="I206" s="24" t="s">
        <v>33</v>
      </c>
    </row>
    <row r="207" ht="17.25" customHeight="1">
      <c r="A207" s="24">
        <v>205.0</v>
      </c>
      <c r="B207" s="24" t="s">
        <v>16</v>
      </c>
      <c r="C207" s="24" t="s">
        <v>1176</v>
      </c>
      <c r="D207" s="28" t="s">
        <v>1175</v>
      </c>
      <c r="E207" s="24" t="s">
        <v>28</v>
      </c>
      <c r="F207" s="33">
        <f>SUMIF('①농산물raw'!$D:$D,$C207,'①농산물raw'!$F:$F)</f>
        <v>531</v>
      </c>
      <c r="G207" s="33">
        <f>SUMIF('①농산물raw'!$D:$D,$C207,'①농산물raw'!$G:$G)</f>
        <v>22703100</v>
      </c>
      <c r="H207" s="33">
        <f>SUMIF('①농산물raw'!$D:$D,$C207,'①농산물raw'!$H:$H)</f>
        <v>4073774</v>
      </c>
      <c r="I207" s="24" t="s">
        <v>33</v>
      </c>
    </row>
    <row r="208" ht="17.25" customHeight="1">
      <c r="A208" s="24">
        <v>206.0</v>
      </c>
      <c r="B208" s="24" t="s">
        <v>46</v>
      </c>
      <c r="C208" s="45" t="s">
        <v>374</v>
      </c>
      <c r="D208" s="28" t="s">
        <v>373</v>
      </c>
      <c r="E208" s="24" t="s">
        <v>26</v>
      </c>
      <c r="F208" s="33">
        <f>SUMIF('①농산물raw'!$D:$D,$C208,'①농산물raw'!$F:$F)</f>
        <v>18</v>
      </c>
      <c r="G208" s="33">
        <f>SUMIF('①농산물raw'!$D:$D,$C208,'①농산물raw'!$G:$G)</f>
        <v>460000</v>
      </c>
      <c r="H208" s="33">
        <f>SUMIF('①농산물raw'!$D:$D,$C208,'①농산물raw'!$H:$H)</f>
        <v>46000</v>
      </c>
      <c r="I208" s="24" t="s">
        <v>33</v>
      </c>
    </row>
    <row r="209" ht="17.25" customHeight="1">
      <c r="A209" s="24">
        <v>207.0</v>
      </c>
      <c r="B209" s="24" t="s">
        <v>16</v>
      </c>
      <c r="C209" s="24" t="s">
        <v>2132</v>
      </c>
      <c r="D209" s="28" t="s">
        <v>2356</v>
      </c>
      <c r="E209" s="24" t="s">
        <v>25</v>
      </c>
      <c r="F209" s="33">
        <f>SUMIF('①농산물raw'!$D:$D,$C209,'①농산물raw'!$F:$F)</f>
        <v>391</v>
      </c>
      <c r="G209" s="33">
        <f>SUMIF('①농산물raw'!$D:$D,$C209,'①농산물raw'!$G:$G)</f>
        <v>13205600</v>
      </c>
      <c r="H209" s="33">
        <f>SUMIF('①농산물raw'!$D:$D,$C209,'①농산물raw'!$H:$H)</f>
        <v>484560</v>
      </c>
      <c r="I209" s="24" t="s">
        <v>33</v>
      </c>
    </row>
    <row r="210" ht="17.25" customHeight="1">
      <c r="A210" s="24">
        <v>208.0</v>
      </c>
      <c r="B210" s="24" t="s">
        <v>16</v>
      </c>
      <c r="C210" s="24" t="s">
        <v>377</v>
      </c>
      <c r="D210" s="28" t="s">
        <v>376</v>
      </c>
      <c r="E210" s="24" t="s">
        <v>26</v>
      </c>
      <c r="F210" s="33">
        <f>SUMIF('①농산물raw'!$D:$D,$C210,'①농산물raw'!$F:$F)</f>
        <v>5988</v>
      </c>
      <c r="G210" s="33">
        <f>SUMIF('①농산물raw'!$D:$D,$C210,'①농산물raw'!$G:$G)</f>
        <v>104624010</v>
      </c>
      <c r="H210" s="33">
        <f>SUMIF('①농산물raw'!$D:$D,$C210,'①농산물raw'!$H:$H)</f>
        <v>5022810</v>
      </c>
      <c r="I210" s="24" t="s">
        <v>33</v>
      </c>
    </row>
    <row r="211" ht="17.25" customHeight="1">
      <c r="A211" s="24">
        <v>209.0</v>
      </c>
      <c r="B211" s="24" t="s">
        <v>16</v>
      </c>
      <c r="C211" s="24" t="s">
        <v>1228</v>
      </c>
      <c r="D211" s="28" t="s">
        <v>1227</v>
      </c>
      <c r="E211" s="24" t="s">
        <v>28</v>
      </c>
      <c r="F211" s="33">
        <f>SUMIF('①농산물raw'!$D:$D,$C211,'①농산물raw'!$F:$F)</f>
        <v>81</v>
      </c>
      <c r="G211" s="33">
        <f>SUMIF('①농산물raw'!$D:$D,$C211,'①농산물raw'!$G:$G)</f>
        <v>1742100</v>
      </c>
      <c r="H211" s="33">
        <f>SUMIF('①농산물raw'!$D:$D,$C211,'①농산물raw'!$H:$H)</f>
        <v>243770</v>
      </c>
      <c r="I211" s="24" t="s">
        <v>33</v>
      </c>
    </row>
    <row r="212" ht="17.25" customHeight="1">
      <c r="A212" s="24">
        <v>210.0</v>
      </c>
      <c r="B212" s="24" t="s">
        <v>46</v>
      </c>
      <c r="C212" s="24" t="s">
        <v>993</v>
      </c>
      <c r="D212" s="28" t="s">
        <v>992</v>
      </c>
      <c r="E212" s="24" t="s">
        <v>22</v>
      </c>
      <c r="F212" s="33">
        <f>SUMIF('①농산물raw'!$D:$D,$C212,'①농산물raw'!$F:$F)</f>
        <v>740</v>
      </c>
      <c r="G212" s="33">
        <f>SUMIF('①농산물raw'!$D:$D,$C212,'①농산물raw'!$G:$G)</f>
        <v>20010500</v>
      </c>
      <c r="H212" s="33">
        <f>SUMIF('①농산물raw'!$D:$D,$C212,'①농산물raw'!$H:$H)</f>
        <v>3684430</v>
      </c>
      <c r="I212" s="24" t="s">
        <v>33</v>
      </c>
    </row>
    <row r="213" ht="17.25" customHeight="1">
      <c r="A213" s="24">
        <v>211.0</v>
      </c>
      <c r="B213" s="24" t="s">
        <v>16</v>
      </c>
      <c r="C213" s="24" t="s">
        <v>2357</v>
      </c>
      <c r="D213" s="28" t="s">
        <v>2358</v>
      </c>
      <c r="E213" s="24" t="s">
        <v>25</v>
      </c>
      <c r="F213" s="33">
        <f>SUMIF('①농산물raw'!$D:$D,$C213,'①농산물raw'!$F:$F)</f>
        <v>0</v>
      </c>
      <c r="G213" s="33">
        <f>SUMIF('①농산물raw'!$D:$D,$C213,'①농산물raw'!$G:$G)</f>
        <v>0</v>
      </c>
      <c r="H213" s="33">
        <f>SUMIF('①농산물raw'!$D:$D,$C213,'①농산물raw'!$H:$H)</f>
        <v>0</v>
      </c>
      <c r="I213" s="28"/>
    </row>
    <row r="214" ht="17.25" customHeight="1">
      <c r="A214" s="24">
        <v>212.0</v>
      </c>
      <c r="B214" s="24" t="s">
        <v>38</v>
      </c>
      <c r="C214" s="24" t="s">
        <v>2359</v>
      </c>
      <c r="D214" s="28" t="s">
        <v>2360</v>
      </c>
      <c r="E214" s="24" t="s">
        <v>25</v>
      </c>
      <c r="F214" s="33">
        <f>SUMIF('①농산물raw'!$D:$D,$C214,'①농산물raw'!$F:$F)</f>
        <v>0</v>
      </c>
      <c r="G214" s="33">
        <f>SUMIF('①농산물raw'!$D:$D,$C214,'①농산물raw'!$G:$G)</f>
        <v>0</v>
      </c>
      <c r="H214" s="33">
        <f>SUMIF('①농산물raw'!$D:$D,$C214,'①농산물raw'!$H:$H)</f>
        <v>0</v>
      </c>
      <c r="I214" s="28"/>
    </row>
    <row r="215" ht="17.25" customHeight="1">
      <c r="A215" s="24">
        <v>213.0</v>
      </c>
      <c r="B215" s="24" t="s">
        <v>46</v>
      </c>
      <c r="C215" s="24" t="s">
        <v>2361</v>
      </c>
      <c r="D215" s="28" t="s">
        <v>2362</v>
      </c>
      <c r="E215" s="24" t="s">
        <v>25</v>
      </c>
      <c r="F215" s="33">
        <f>SUMIF('①농산물raw'!$D:$D,$C215,'①농산물raw'!$F:$F)</f>
        <v>0</v>
      </c>
      <c r="G215" s="33">
        <f>SUMIF('①농산물raw'!$D:$D,$C215,'①농산물raw'!$G:$G)</f>
        <v>0</v>
      </c>
      <c r="H215" s="33">
        <f>SUMIF('①농산물raw'!$D:$D,$C215,'①농산물raw'!$H:$H)</f>
        <v>0</v>
      </c>
      <c r="I215" s="28"/>
    </row>
    <row r="216" ht="17.25" customHeight="1">
      <c r="A216" s="24">
        <v>214.0</v>
      </c>
      <c r="B216" s="24" t="s">
        <v>46</v>
      </c>
      <c r="C216" s="24" t="s">
        <v>419</v>
      </c>
      <c r="D216" s="28" t="s">
        <v>418</v>
      </c>
      <c r="E216" s="24" t="s">
        <v>26</v>
      </c>
      <c r="F216" s="33">
        <f>SUMIF('①농산물raw'!$D:$D,$C216,'①농산물raw'!$F:$F)</f>
        <v>39</v>
      </c>
      <c r="G216" s="33">
        <f>SUMIF('①농산물raw'!$D:$D,$C216,'①농산물raw'!$G:$G)</f>
        <v>865000</v>
      </c>
      <c r="H216" s="33">
        <f>SUMIF('①농산물raw'!$D:$D,$C216,'①농산물raw'!$H:$H)</f>
        <v>38710</v>
      </c>
      <c r="I216" s="24" t="s">
        <v>33</v>
      </c>
    </row>
    <row r="217" ht="17.25" customHeight="1">
      <c r="A217" s="24">
        <v>215.0</v>
      </c>
      <c r="B217" s="24" t="s">
        <v>16</v>
      </c>
      <c r="C217" s="24" t="s">
        <v>2363</v>
      </c>
      <c r="D217" s="28" t="s">
        <v>2364</v>
      </c>
      <c r="E217" s="24" t="s">
        <v>22</v>
      </c>
      <c r="F217" s="33">
        <f>SUMIF('①농산물raw'!$D:$D,$C217,'①농산물raw'!$F:$F)</f>
        <v>0</v>
      </c>
      <c r="G217" s="33">
        <f>SUMIF('①농산물raw'!$D:$D,$C217,'①농산물raw'!$G:$G)</f>
        <v>0</v>
      </c>
      <c r="H217" s="33">
        <f>SUMIF('①농산물raw'!$D:$D,$C217,'①농산물raw'!$H:$H)</f>
        <v>0</v>
      </c>
      <c r="I217" s="28"/>
    </row>
    <row r="218" ht="17.25" customHeight="1">
      <c r="A218" s="24">
        <v>216.0</v>
      </c>
      <c r="B218" s="24" t="s">
        <v>16</v>
      </c>
      <c r="C218" s="24" t="s">
        <v>160</v>
      </c>
      <c r="D218" s="28" t="s">
        <v>159</v>
      </c>
      <c r="E218" s="24" t="s">
        <v>26</v>
      </c>
      <c r="F218" s="33">
        <f>SUMIF('①농산물raw'!$D:$D,$C218,'①농산물raw'!$F:$F)</f>
        <v>1654</v>
      </c>
      <c r="G218" s="33">
        <f>SUMIF('①농산물raw'!$D:$D,$C218,'①농산물raw'!$G:$G)</f>
        <v>69459000</v>
      </c>
      <c r="H218" s="33">
        <f>SUMIF('①농산물raw'!$D:$D,$C218,'①농산물raw'!$H:$H)</f>
        <v>4836400</v>
      </c>
      <c r="I218" s="24" t="s">
        <v>33</v>
      </c>
    </row>
    <row r="219" ht="17.25" customHeight="1">
      <c r="A219" s="24">
        <v>217.0</v>
      </c>
      <c r="B219" s="24" t="s">
        <v>16</v>
      </c>
      <c r="C219" s="24" t="s">
        <v>2365</v>
      </c>
      <c r="D219" s="28" t="s">
        <v>2366</v>
      </c>
      <c r="E219" s="24" t="s">
        <v>21</v>
      </c>
      <c r="F219" s="33">
        <f>SUMIF('①농산물raw'!$D:$D,$C219,'①농산물raw'!$F:$F)</f>
        <v>0</v>
      </c>
      <c r="G219" s="33">
        <f>SUMIF('①농산물raw'!$D:$D,$C219,'①농산물raw'!$G:$G)</f>
        <v>0</v>
      </c>
      <c r="H219" s="33">
        <f>SUMIF('①농산물raw'!$D:$D,$C219,'①농산물raw'!$H:$H)</f>
        <v>0</v>
      </c>
      <c r="I219" s="28"/>
    </row>
    <row r="220" ht="17.25" customHeight="1">
      <c r="A220" s="24">
        <v>218.0</v>
      </c>
      <c r="B220" s="24" t="s">
        <v>46</v>
      </c>
      <c r="C220" s="24" t="s">
        <v>2367</v>
      </c>
      <c r="D220" s="28" t="s">
        <v>2368</v>
      </c>
      <c r="E220" s="24" t="s">
        <v>29</v>
      </c>
      <c r="F220" s="33">
        <f>SUMIF('①농산물raw'!$D:$D,$C220,'①농산물raw'!$F:$F)</f>
        <v>0</v>
      </c>
      <c r="G220" s="33">
        <f>SUMIF('①농산물raw'!$D:$D,$C220,'①농산물raw'!$G:$G)</f>
        <v>0</v>
      </c>
      <c r="H220" s="33">
        <f>SUMIF('①농산물raw'!$D:$D,$C220,'①농산물raw'!$H:$H)</f>
        <v>0</v>
      </c>
      <c r="I220" s="28"/>
    </row>
    <row r="221" ht="17.25" customHeight="1">
      <c r="A221" s="24">
        <v>219.0</v>
      </c>
      <c r="B221" s="24" t="s">
        <v>16</v>
      </c>
      <c r="C221" s="24" t="s">
        <v>2028</v>
      </c>
      <c r="D221" s="28" t="s">
        <v>2027</v>
      </c>
      <c r="E221" s="24" t="s">
        <v>25</v>
      </c>
      <c r="F221" s="33">
        <f>SUMIF('①농산물raw'!$D:$D,$C221,'①농산물raw'!$F:$F)</f>
        <v>4847</v>
      </c>
      <c r="G221" s="33">
        <f>SUMIF('①농산물raw'!$D:$D,$C221,'①농산물raw'!$G:$G)</f>
        <v>195587000</v>
      </c>
      <c r="H221" s="33">
        <f>SUMIF('①농산물raw'!$D:$D,$C221,'①농산물raw'!$H:$H)</f>
        <v>4883600</v>
      </c>
      <c r="I221" s="24" t="s">
        <v>33</v>
      </c>
    </row>
    <row r="222" ht="17.25" customHeight="1">
      <c r="A222" s="24">
        <v>220.0</v>
      </c>
      <c r="B222" s="24" t="s">
        <v>46</v>
      </c>
      <c r="C222" s="24" t="s">
        <v>2369</v>
      </c>
      <c r="D222" s="28" t="s">
        <v>2370</v>
      </c>
      <c r="E222" s="24" t="s">
        <v>25</v>
      </c>
      <c r="F222" s="33">
        <f>SUMIF('①농산물raw'!$D:$D,$C222,'①농산물raw'!$F:$F)</f>
        <v>0</v>
      </c>
      <c r="G222" s="33">
        <f>SUMIF('①농산물raw'!$D:$D,$C222,'①농산물raw'!$G:$G)</f>
        <v>0</v>
      </c>
      <c r="H222" s="33">
        <f>SUMIF('①농산물raw'!$D:$D,$C222,'①농산물raw'!$H:$H)</f>
        <v>0</v>
      </c>
      <c r="I222" s="28"/>
    </row>
    <row r="223" ht="17.25" customHeight="1">
      <c r="A223" s="24">
        <v>221.0</v>
      </c>
      <c r="B223" s="24" t="s">
        <v>46</v>
      </c>
      <c r="C223" s="24" t="s">
        <v>1938</v>
      </c>
      <c r="D223" s="28" t="s">
        <v>1937</v>
      </c>
      <c r="E223" s="24" t="s">
        <v>25</v>
      </c>
      <c r="F223" s="33">
        <f>SUMIF('①농산물raw'!$D:$D,$C223,'①농산물raw'!$F:$F)</f>
        <v>82</v>
      </c>
      <c r="G223" s="33">
        <f>SUMIF('①농산물raw'!$D:$D,$C223,'①농산물raw'!$G:$G)</f>
        <v>2990300</v>
      </c>
      <c r="H223" s="33">
        <f>SUMIF('①농산물raw'!$D:$D,$C223,'①농산물raw'!$H:$H)</f>
        <v>199940</v>
      </c>
      <c r="I223" s="24" t="s">
        <v>33</v>
      </c>
    </row>
    <row r="224" ht="17.25" customHeight="1">
      <c r="A224" s="24">
        <v>222.0</v>
      </c>
      <c r="B224" s="24" t="s">
        <v>16</v>
      </c>
      <c r="C224" s="24" t="s">
        <v>2371</v>
      </c>
      <c r="D224" s="28" t="s">
        <v>2372</v>
      </c>
      <c r="E224" s="24" t="s">
        <v>26</v>
      </c>
      <c r="F224" s="33">
        <f>SUMIF('①농산물raw'!$D:$D,$C224,'①농산물raw'!$F:$F)</f>
        <v>0</v>
      </c>
      <c r="G224" s="33">
        <f>SUMIF('①농산물raw'!$D:$D,$C224,'①농산물raw'!$G:$G)</f>
        <v>0</v>
      </c>
      <c r="H224" s="33">
        <f>SUMIF('①농산물raw'!$D:$D,$C224,'①농산물raw'!$H:$H)</f>
        <v>0</v>
      </c>
      <c r="I224" s="28"/>
    </row>
    <row r="225" ht="17.25" customHeight="1">
      <c r="A225" s="24">
        <v>223.0</v>
      </c>
      <c r="B225" s="24" t="s">
        <v>16</v>
      </c>
      <c r="C225" s="24" t="s">
        <v>554</v>
      </c>
      <c r="D225" s="28" t="s">
        <v>553</v>
      </c>
      <c r="E225" s="24" t="s">
        <v>26</v>
      </c>
      <c r="F225" s="33">
        <f>SUMIF('①농산물raw'!$D:$D,$C225,'①농산물raw'!$F:$F)</f>
        <v>0</v>
      </c>
      <c r="G225" s="33">
        <f>SUMIF('①농산물raw'!$D:$D,$C225,'①농산물raw'!$G:$G)</f>
        <v>0</v>
      </c>
      <c r="H225" s="33">
        <f>SUMIF('①농산물raw'!$D:$D,$C225,'①농산물raw'!$H:$H)</f>
        <v>0</v>
      </c>
      <c r="I225" s="28"/>
    </row>
    <row r="226" ht="17.25" customHeight="1">
      <c r="A226" s="24">
        <v>224.0</v>
      </c>
      <c r="B226" s="24" t="s">
        <v>16</v>
      </c>
      <c r="C226" s="24" t="s">
        <v>1437</v>
      </c>
      <c r="D226" s="28" t="s">
        <v>1436</v>
      </c>
      <c r="E226" s="24" t="s">
        <v>25</v>
      </c>
      <c r="F226" s="33">
        <f>SUMIF('①농산물raw'!$D:$D,$C226,'①농산물raw'!$F:$F)</f>
        <v>157</v>
      </c>
      <c r="G226" s="33">
        <f>SUMIF('①농산물raw'!$D:$D,$C226,'①농산물raw'!$G:$G)</f>
        <v>4540800</v>
      </c>
      <c r="H226" s="33">
        <f>SUMIF('①농산물raw'!$D:$D,$C226,'①농산물raw'!$H:$H)</f>
        <v>356400</v>
      </c>
      <c r="I226" s="24" t="s">
        <v>33</v>
      </c>
    </row>
    <row r="227" ht="17.25" customHeight="1">
      <c r="A227" s="24">
        <v>225.0</v>
      </c>
      <c r="B227" s="24" t="s">
        <v>38</v>
      </c>
      <c r="C227" s="24" t="s">
        <v>2373</v>
      </c>
      <c r="D227" s="28" t="s">
        <v>2374</v>
      </c>
      <c r="E227" s="24" t="s">
        <v>25</v>
      </c>
      <c r="F227" s="33">
        <f>SUMIF('①농산물raw'!$D:$D,$C227,'①농산물raw'!$F:$F)</f>
        <v>0</v>
      </c>
      <c r="G227" s="33">
        <f>SUMIF('①농산물raw'!$D:$D,$C227,'①농산물raw'!$G:$G)</f>
        <v>0</v>
      </c>
      <c r="H227" s="33">
        <f>SUMIF('①농산물raw'!$D:$D,$C227,'①농산물raw'!$H:$H)</f>
        <v>0</v>
      </c>
      <c r="I227" s="28"/>
    </row>
    <row r="228" ht="17.25" customHeight="1">
      <c r="A228" s="24">
        <v>226.0</v>
      </c>
      <c r="B228" s="24" t="s">
        <v>38</v>
      </c>
      <c r="C228" s="24" t="s">
        <v>2375</v>
      </c>
      <c r="D228" s="28" t="s">
        <v>2376</v>
      </c>
      <c r="E228" s="24" t="s">
        <v>25</v>
      </c>
      <c r="F228" s="33">
        <f>SUMIF('①농산물raw'!$D:$D,$C228,'①농산물raw'!$F:$F)</f>
        <v>0</v>
      </c>
      <c r="G228" s="33">
        <f>SUMIF('①농산물raw'!$D:$D,$C228,'①농산물raw'!$G:$G)</f>
        <v>0</v>
      </c>
      <c r="H228" s="33">
        <f>SUMIF('①농산물raw'!$D:$D,$C228,'①농산물raw'!$H:$H)</f>
        <v>0</v>
      </c>
      <c r="I228" s="28"/>
    </row>
    <row r="229" ht="17.25" customHeight="1">
      <c r="A229" s="24">
        <v>227.0</v>
      </c>
      <c r="B229" s="24" t="s">
        <v>46</v>
      </c>
      <c r="C229" s="24" t="s">
        <v>1190</v>
      </c>
      <c r="D229" s="28" t="s">
        <v>1189</v>
      </c>
      <c r="E229" s="24" t="s">
        <v>28</v>
      </c>
      <c r="F229" s="33">
        <f>SUMIF('①농산물raw'!$D:$D,$C229,'①농산물raw'!$F:$F)</f>
        <v>131</v>
      </c>
      <c r="G229" s="33">
        <f>SUMIF('①농산물raw'!$D:$D,$C229,'①농산물raw'!$G:$G)</f>
        <v>4822000</v>
      </c>
      <c r="H229" s="33">
        <f>SUMIF('①농산물raw'!$D:$D,$C229,'①농산물raw'!$H:$H)</f>
        <v>731663</v>
      </c>
      <c r="I229" s="24" t="s">
        <v>33</v>
      </c>
    </row>
    <row r="230" ht="17.25" customHeight="1">
      <c r="A230" s="24">
        <v>228.0</v>
      </c>
      <c r="B230" s="24" t="s">
        <v>46</v>
      </c>
      <c r="C230" s="24" t="s">
        <v>2377</v>
      </c>
      <c r="D230" s="28" t="s">
        <v>2378</v>
      </c>
      <c r="E230" s="24" t="s">
        <v>25</v>
      </c>
      <c r="F230" s="33">
        <f>SUMIF('①농산물raw'!$D:$D,$C230,'①농산물raw'!$F:$F)</f>
        <v>0</v>
      </c>
      <c r="G230" s="33">
        <f>SUMIF('①농산물raw'!$D:$D,$C230,'①농산물raw'!$G:$G)</f>
        <v>0</v>
      </c>
      <c r="H230" s="33">
        <f>SUMIF('①농산물raw'!$D:$D,$C230,'①농산물raw'!$H:$H)</f>
        <v>0</v>
      </c>
      <c r="I230" s="28"/>
    </row>
    <row r="231" ht="17.25" customHeight="1">
      <c r="A231" s="24">
        <v>229.0</v>
      </c>
      <c r="B231" s="24" t="s">
        <v>16</v>
      </c>
      <c r="C231" s="45" t="s">
        <v>2379</v>
      </c>
      <c r="D231" s="28" t="s">
        <v>2380</v>
      </c>
      <c r="E231" s="24" t="s">
        <v>26</v>
      </c>
      <c r="F231" s="33">
        <f>SUMIF('①농산물raw'!$D:$D,$C231,'①농산물raw'!$F:$F)</f>
        <v>0</v>
      </c>
      <c r="G231" s="33">
        <f>SUMIF('①농산물raw'!$D:$D,$C231,'①농산물raw'!$G:$G)</f>
        <v>0</v>
      </c>
      <c r="H231" s="33">
        <f>SUMIF('①농산물raw'!$D:$D,$C231,'①농산물raw'!$H:$H)</f>
        <v>0</v>
      </c>
      <c r="I231" s="28"/>
    </row>
    <row r="232" ht="17.25" customHeight="1">
      <c r="A232" s="24">
        <v>230.0</v>
      </c>
      <c r="B232" s="24" t="s">
        <v>16</v>
      </c>
      <c r="C232" s="24" t="s">
        <v>1545</v>
      </c>
      <c r="D232" s="28" t="s">
        <v>1544</v>
      </c>
      <c r="E232" s="24" t="s">
        <v>25</v>
      </c>
      <c r="F232" s="33">
        <f>SUMIF('①농산물raw'!$D:$D,$C232,'①농산물raw'!$F:$F)</f>
        <v>156</v>
      </c>
      <c r="G232" s="33">
        <f>SUMIF('①농산물raw'!$D:$D,$C232,'①농산물raw'!$G:$G)</f>
        <v>4832700</v>
      </c>
      <c r="H232" s="33">
        <f>SUMIF('①농산물raw'!$D:$D,$C232,'①농산물raw'!$H:$H)</f>
        <v>338510</v>
      </c>
      <c r="I232" s="24" t="s">
        <v>33</v>
      </c>
    </row>
    <row r="233" ht="17.25" customHeight="1">
      <c r="A233" s="24">
        <v>231.0</v>
      </c>
      <c r="B233" s="24" t="s">
        <v>46</v>
      </c>
      <c r="C233" s="24" t="s">
        <v>412</v>
      </c>
      <c r="D233" s="28" t="s">
        <v>411</v>
      </c>
      <c r="E233" s="24" t="s">
        <v>26</v>
      </c>
      <c r="F233" s="33">
        <f>SUMIF('①농산물raw'!$D:$D,$C233,'①농산물raw'!$F:$F)</f>
        <v>17</v>
      </c>
      <c r="G233" s="33">
        <f>SUMIF('①농산물raw'!$D:$D,$C233,'①농산물raw'!$G:$G)</f>
        <v>324000</v>
      </c>
      <c r="H233" s="33">
        <f>SUMIF('①농산물raw'!$D:$D,$C233,'①농산물raw'!$H:$H)</f>
        <v>0</v>
      </c>
      <c r="I233" s="24" t="s">
        <v>33</v>
      </c>
    </row>
    <row r="234" ht="17.25" customHeight="1">
      <c r="A234" s="24">
        <v>232.0</v>
      </c>
      <c r="B234" s="24" t="s">
        <v>16</v>
      </c>
      <c r="C234" s="24" t="s">
        <v>2381</v>
      </c>
      <c r="D234" s="28" t="s">
        <v>2382</v>
      </c>
      <c r="E234" s="24" t="s">
        <v>22</v>
      </c>
      <c r="F234" s="33">
        <f>SUMIF('①농산물raw'!$D:$D,$C234,'①농산물raw'!$F:$F)</f>
        <v>0</v>
      </c>
      <c r="G234" s="33">
        <f>SUMIF('①농산물raw'!$D:$D,$C234,'①농산물raw'!$G:$G)</f>
        <v>0</v>
      </c>
      <c r="H234" s="33">
        <f>SUMIF('①농산물raw'!$D:$D,$C234,'①농산물raw'!$H:$H)</f>
        <v>0</v>
      </c>
      <c r="I234" s="28"/>
    </row>
    <row r="235" ht="17.25" customHeight="1">
      <c r="A235" s="24">
        <v>233.0</v>
      </c>
      <c r="B235" s="24" t="s">
        <v>16</v>
      </c>
      <c r="C235" s="24" t="s">
        <v>2383</v>
      </c>
      <c r="D235" s="28" t="s">
        <v>2384</v>
      </c>
      <c r="E235" s="24" t="s">
        <v>25</v>
      </c>
      <c r="F235" s="33">
        <f>SUMIF('①농산물raw'!$D:$D,$C235,'①농산물raw'!$F:$F)</f>
        <v>0</v>
      </c>
      <c r="G235" s="33">
        <f>SUMIF('①농산물raw'!$D:$D,$C235,'①농산물raw'!$G:$G)</f>
        <v>0</v>
      </c>
      <c r="H235" s="33">
        <f>SUMIF('①농산물raw'!$D:$D,$C235,'①농산물raw'!$H:$H)</f>
        <v>0</v>
      </c>
      <c r="I235" s="28"/>
    </row>
    <row r="236" ht="17.25" customHeight="1">
      <c r="A236" s="24">
        <v>234.0</v>
      </c>
      <c r="B236" s="24" t="s">
        <v>16</v>
      </c>
      <c r="C236" s="24" t="s">
        <v>824</v>
      </c>
      <c r="D236" s="28" t="s">
        <v>823</v>
      </c>
      <c r="E236" s="24" t="s">
        <v>22</v>
      </c>
      <c r="F236" s="33">
        <f>SUMIF('①농산물raw'!$D:$D,$C236,'①농산물raw'!$F:$F)</f>
        <v>47</v>
      </c>
      <c r="G236" s="33">
        <f>SUMIF('①농산물raw'!$D:$D,$C236,'①농산물raw'!$G:$G)</f>
        <v>1464920</v>
      </c>
      <c r="H236" s="33">
        <f>SUMIF('①농산물raw'!$D:$D,$C236,'①농산물raw'!$H:$H)</f>
        <v>176640</v>
      </c>
      <c r="I236" s="24" t="s">
        <v>33</v>
      </c>
    </row>
    <row r="237" ht="17.25" customHeight="1">
      <c r="A237" s="24">
        <v>235.0</v>
      </c>
      <c r="B237" s="24" t="s">
        <v>16</v>
      </c>
      <c r="C237" s="24" t="s">
        <v>2385</v>
      </c>
      <c r="D237" s="28" t="s">
        <v>2386</v>
      </c>
      <c r="E237" s="24" t="s">
        <v>25</v>
      </c>
      <c r="F237" s="33">
        <f>SUMIF('①농산물raw'!$D:$D,$C237,'①농산물raw'!$F:$F)</f>
        <v>0</v>
      </c>
      <c r="G237" s="33">
        <f>SUMIF('①농산물raw'!$D:$D,$C237,'①농산물raw'!$G:$G)</f>
        <v>0</v>
      </c>
      <c r="H237" s="33">
        <f>SUMIF('①농산물raw'!$D:$D,$C237,'①농산물raw'!$H:$H)</f>
        <v>0</v>
      </c>
      <c r="I237" s="28"/>
    </row>
    <row r="238" ht="17.25" customHeight="1">
      <c r="A238" s="24">
        <v>236.0</v>
      </c>
      <c r="B238" s="24" t="s">
        <v>38</v>
      </c>
      <c r="C238" s="24" t="s">
        <v>2070</v>
      </c>
      <c r="D238" s="28" t="s">
        <v>2387</v>
      </c>
      <c r="E238" s="24" t="s">
        <v>25</v>
      </c>
      <c r="F238" s="33">
        <f>SUMIF('①농산물raw'!$D:$D,$C238,'①농산물raw'!$F:$F)</f>
        <v>13</v>
      </c>
      <c r="G238" s="33">
        <f>SUMIF('①농산물raw'!$D:$D,$C238,'①농산물raw'!$G:$G)</f>
        <v>698900</v>
      </c>
      <c r="H238" s="33">
        <f>SUMIF('①농산물raw'!$D:$D,$C238,'①농산물raw'!$H:$H)</f>
        <v>15080</v>
      </c>
      <c r="I238" s="24" t="s">
        <v>33</v>
      </c>
    </row>
    <row r="239" ht="17.25" customHeight="1">
      <c r="A239" s="24">
        <v>237.0</v>
      </c>
      <c r="B239" s="24" t="s">
        <v>16</v>
      </c>
      <c r="C239" s="24" t="s">
        <v>1954</v>
      </c>
      <c r="D239" s="28" t="s">
        <v>1953</v>
      </c>
      <c r="E239" s="24" t="s">
        <v>25</v>
      </c>
      <c r="F239" s="33">
        <f>SUMIF('①농산물raw'!$D:$D,$C239,'①농산물raw'!$F:$F)</f>
        <v>219</v>
      </c>
      <c r="G239" s="33">
        <f>SUMIF('①농산물raw'!$D:$D,$C239,'①농산물raw'!$G:$G)</f>
        <v>5713600</v>
      </c>
      <c r="H239" s="33">
        <f>SUMIF('①농산물raw'!$D:$D,$C239,'①농산물raw'!$H:$H)</f>
        <v>399620</v>
      </c>
      <c r="I239" s="24" t="s">
        <v>33</v>
      </c>
    </row>
    <row r="240" ht="17.25" customHeight="1">
      <c r="A240" s="24">
        <v>238.0</v>
      </c>
      <c r="B240" s="24" t="s">
        <v>16</v>
      </c>
      <c r="C240" s="45" t="s">
        <v>845</v>
      </c>
      <c r="D240" s="28" t="s">
        <v>844</v>
      </c>
      <c r="E240" s="24" t="s">
        <v>22</v>
      </c>
      <c r="F240" s="33">
        <f>SUMIF('①농산물raw'!$D:$D,$C240,'①농산물raw'!$F:$F)</f>
        <v>15</v>
      </c>
      <c r="G240" s="33">
        <f>SUMIF('①농산물raw'!$D:$D,$C240,'①농산물raw'!$G:$G)</f>
        <v>181800</v>
      </c>
      <c r="H240" s="33">
        <f>SUMIF('①농산물raw'!$D:$D,$C240,'①농산물raw'!$H:$H)</f>
        <v>32790</v>
      </c>
      <c r="I240" s="24" t="s">
        <v>33</v>
      </c>
    </row>
    <row r="241" ht="17.25" customHeight="1">
      <c r="A241" s="24">
        <v>239.0</v>
      </c>
      <c r="B241" s="24" t="s">
        <v>16</v>
      </c>
      <c r="C241" s="24" t="s">
        <v>1075</v>
      </c>
      <c r="D241" s="28" t="s">
        <v>1074</v>
      </c>
      <c r="E241" s="24" t="s">
        <v>21</v>
      </c>
      <c r="F241" s="33">
        <f>SUMIF('①농산물raw'!$D:$D,$C241,'①농산물raw'!$F:$F)</f>
        <v>3118</v>
      </c>
      <c r="G241" s="33">
        <f>SUMIF('①농산물raw'!$D:$D,$C241,'①농산물raw'!$G:$G)</f>
        <v>16939700</v>
      </c>
      <c r="H241" s="33">
        <f>SUMIF('①농산물raw'!$D:$D,$C241,'①농산물raw'!$H:$H)</f>
        <v>1323514</v>
      </c>
      <c r="I241" s="24" t="s">
        <v>33</v>
      </c>
    </row>
    <row r="242" ht="17.25" customHeight="1">
      <c r="A242" s="24">
        <v>240.0</v>
      </c>
      <c r="B242" s="24" t="s">
        <v>16</v>
      </c>
      <c r="C242" s="24" t="s">
        <v>224</v>
      </c>
      <c r="D242" s="28" t="s">
        <v>223</v>
      </c>
      <c r="E242" s="24" t="s">
        <v>26</v>
      </c>
      <c r="F242" s="33">
        <f>SUMIF('①농산물raw'!$D:$D,$C242,'①농산물raw'!$F:$F)</f>
        <v>2053</v>
      </c>
      <c r="G242" s="33">
        <f>SUMIF('①농산물raw'!$D:$D,$C242,'①농산물raw'!$G:$G)</f>
        <v>37041760</v>
      </c>
      <c r="H242" s="33">
        <f>SUMIF('①농산물raw'!$D:$D,$C242,'①농산물raw'!$H:$H)</f>
        <v>3387240</v>
      </c>
      <c r="I242" s="24" t="s">
        <v>33</v>
      </c>
    </row>
    <row r="243" ht="17.25" customHeight="1">
      <c r="A243" s="24">
        <v>241.0</v>
      </c>
      <c r="B243" s="24" t="s">
        <v>38</v>
      </c>
      <c r="C243" s="24" t="s">
        <v>1368</v>
      </c>
      <c r="D243" s="28" t="s">
        <v>1367</v>
      </c>
      <c r="E243" s="24" t="s">
        <v>25</v>
      </c>
      <c r="F243" s="33">
        <f>SUMIF('①농산물raw'!$D:$D,$C243,'①농산물raw'!$F:$F)</f>
        <v>91</v>
      </c>
      <c r="G243" s="33">
        <f>SUMIF('①농산물raw'!$D:$D,$C243,'①농산물raw'!$G:$G)</f>
        <v>2705300</v>
      </c>
      <c r="H243" s="33">
        <f>SUMIF('①농산물raw'!$D:$D,$C243,'①농산물raw'!$H:$H)</f>
        <v>238400</v>
      </c>
      <c r="I243" s="24" t="s">
        <v>33</v>
      </c>
    </row>
    <row r="244" ht="17.25" customHeight="1">
      <c r="A244" s="24">
        <v>242.0</v>
      </c>
      <c r="B244" s="24" t="s">
        <v>16</v>
      </c>
      <c r="C244" s="24" t="s">
        <v>875</v>
      </c>
      <c r="D244" s="28" t="s">
        <v>2388</v>
      </c>
      <c r="E244" s="24" t="s">
        <v>22</v>
      </c>
      <c r="F244" s="33">
        <f>SUMIF('①농산물raw'!$D:$D,$C244,'①농산물raw'!$F:$F)</f>
        <v>9</v>
      </c>
      <c r="G244" s="33">
        <f>SUMIF('①농산물raw'!$D:$D,$C244,'①농산물raw'!$G:$G)</f>
        <v>295000</v>
      </c>
      <c r="H244" s="33">
        <f>SUMIF('①농산물raw'!$D:$D,$C244,'①농산물raw'!$H:$H)</f>
        <v>47400</v>
      </c>
      <c r="I244" s="24" t="s">
        <v>33</v>
      </c>
    </row>
    <row r="245" ht="17.25" customHeight="1">
      <c r="A245" s="24">
        <v>243.0</v>
      </c>
      <c r="B245" s="24" t="s">
        <v>38</v>
      </c>
      <c r="C245" s="24" t="s">
        <v>2389</v>
      </c>
      <c r="D245" s="28" t="s">
        <v>2390</v>
      </c>
      <c r="E245" s="24" t="s">
        <v>29</v>
      </c>
      <c r="F245" s="33">
        <f>SUMIF('①농산물raw'!$D:$D,$C245,'①농산물raw'!$F:$F)</f>
        <v>0</v>
      </c>
      <c r="G245" s="33">
        <f>SUMIF('①농산물raw'!$D:$D,$C245,'①농산물raw'!$G:$G)</f>
        <v>0</v>
      </c>
      <c r="H245" s="33">
        <f>SUMIF('①농산물raw'!$D:$D,$C245,'①농산물raw'!$H:$H)</f>
        <v>0</v>
      </c>
      <c r="I245" s="28"/>
    </row>
    <row r="246" ht="17.25" customHeight="1">
      <c r="A246" s="24">
        <v>244.0</v>
      </c>
      <c r="B246" s="24" t="s">
        <v>46</v>
      </c>
      <c r="C246" s="24" t="s">
        <v>1811</v>
      </c>
      <c r="D246" s="28" t="s">
        <v>1810</v>
      </c>
      <c r="E246" s="24" t="s">
        <v>25</v>
      </c>
      <c r="F246" s="33">
        <f>SUMIF('①농산물raw'!$D:$D,$C246,'①농산물raw'!$F:$F)</f>
        <v>92</v>
      </c>
      <c r="G246" s="33">
        <f>SUMIF('①농산물raw'!$D:$D,$C246,'①농산물raw'!$G:$G)</f>
        <v>1481700</v>
      </c>
      <c r="H246" s="33">
        <f>SUMIF('①농산물raw'!$D:$D,$C246,'①농산물raw'!$H:$H)</f>
        <v>205380</v>
      </c>
      <c r="I246" s="24" t="s">
        <v>33</v>
      </c>
    </row>
    <row r="247" ht="17.25" customHeight="1">
      <c r="A247" s="24">
        <v>245.0</v>
      </c>
      <c r="B247" s="24" t="s">
        <v>16</v>
      </c>
      <c r="C247" s="24" t="s">
        <v>2391</v>
      </c>
      <c r="D247" s="28" t="s">
        <v>2392</v>
      </c>
      <c r="E247" s="24" t="s">
        <v>22</v>
      </c>
      <c r="F247" s="33">
        <f>SUMIF('①농산물raw'!$D:$D,$C247,'①농산물raw'!$F:$F)</f>
        <v>0</v>
      </c>
      <c r="G247" s="33">
        <f>SUMIF('①농산물raw'!$D:$D,$C247,'①농산물raw'!$G:$G)</f>
        <v>0</v>
      </c>
      <c r="H247" s="33">
        <f>SUMIF('①농산물raw'!$D:$D,$C247,'①농산물raw'!$H:$H)</f>
        <v>0</v>
      </c>
      <c r="I247" s="28"/>
    </row>
    <row r="248" ht="17.25" customHeight="1">
      <c r="A248" s="24">
        <v>246.0</v>
      </c>
      <c r="B248" s="24" t="s">
        <v>46</v>
      </c>
      <c r="C248" s="24" t="s">
        <v>2013</v>
      </c>
      <c r="D248" s="28" t="s">
        <v>2012</v>
      </c>
      <c r="E248" s="24" t="s">
        <v>25</v>
      </c>
      <c r="F248" s="33">
        <f>SUMIF('①농산물raw'!$D:$D,$C248,'①농산물raw'!$F:$F)</f>
        <v>95</v>
      </c>
      <c r="G248" s="33">
        <f>SUMIF('①농산물raw'!$D:$D,$C248,'①농산물raw'!$G:$G)</f>
        <v>2107070</v>
      </c>
      <c r="H248" s="33">
        <f>SUMIF('①농산물raw'!$D:$D,$C248,'①농산물raw'!$H:$H)</f>
        <v>327200</v>
      </c>
      <c r="I248" s="24" t="s">
        <v>33</v>
      </c>
    </row>
    <row r="249" ht="17.25" customHeight="1">
      <c r="A249" s="24">
        <v>247.0</v>
      </c>
      <c r="B249" s="24" t="s">
        <v>46</v>
      </c>
      <c r="C249" s="24" t="s">
        <v>1243</v>
      </c>
      <c r="D249" s="28" t="s">
        <v>1242</v>
      </c>
      <c r="E249" s="24" t="s">
        <v>28</v>
      </c>
      <c r="F249" s="33">
        <f>SUMIF('①농산물raw'!$D:$D,$C249,'①농산물raw'!$F:$F)</f>
        <v>20</v>
      </c>
      <c r="G249" s="33">
        <f>SUMIF('①농산물raw'!$D:$D,$C249,'①농산물raw'!$G:$G)</f>
        <v>165300</v>
      </c>
      <c r="H249" s="33">
        <f>SUMIF('①농산물raw'!$D:$D,$C249,'①농산물raw'!$H:$H)</f>
        <v>20408</v>
      </c>
      <c r="I249" s="24" t="s">
        <v>33</v>
      </c>
    </row>
    <row r="250" ht="17.25" customHeight="1">
      <c r="A250" s="24">
        <v>248.0</v>
      </c>
      <c r="B250" s="24" t="s">
        <v>46</v>
      </c>
      <c r="C250" s="24" t="s">
        <v>1281</v>
      </c>
      <c r="D250" s="28" t="s">
        <v>1280</v>
      </c>
      <c r="E250" s="24" t="s">
        <v>28</v>
      </c>
      <c r="F250" s="33">
        <f>SUMIF('①농산물raw'!$D:$D,$C250,'①농산물raw'!$F:$F)</f>
        <v>4</v>
      </c>
      <c r="G250" s="33">
        <f>SUMIF('①농산물raw'!$D:$D,$C250,'①농산물raw'!$G:$G)</f>
        <v>100600</v>
      </c>
      <c r="H250" s="33">
        <f>SUMIF('①농산물raw'!$D:$D,$C250,'①농산물raw'!$H:$H)</f>
        <v>13140</v>
      </c>
      <c r="I250" s="28"/>
    </row>
    <row r="251" ht="17.25" customHeight="1">
      <c r="A251" s="24">
        <v>249.0</v>
      </c>
      <c r="B251" s="24" t="s">
        <v>46</v>
      </c>
      <c r="C251" s="24" t="s">
        <v>841</v>
      </c>
      <c r="D251" s="28" t="s">
        <v>2393</v>
      </c>
      <c r="E251" s="24" t="s">
        <v>22</v>
      </c>
      <c r="F251" s="33">
        <f>SUMIF('①농산물raw'!$D:$D,$C251,'①농산물raw'!$F:$F)</f>
        <v>4</v>
      </c>
      <c r="G251" s="33">
        <f>SUMIF('①농산물raw'!$D:$D,$C251,'①농산물raw'!$G:$G)</f>
        <v>42000</v>
      </c>
      <c r="H251" s="33">
        <f>SUMIF('①농산물raw'!$D:$D,$C251,'①농산물raw'!$H:$H)</f>
        <v>7980</v>
      </c>
      <c r="I251" s="24" t="s">
        <v>33</v>
      </c>
    </row>
    <row r="252" ht="17.25" customHeight="1">
      <c r="A252" s="24">
        <v>250.0</v>
      </c>
      <c r="B252" s="24" t="s">
        <v>38</v>
      </c>
      <c r="C252" s="24" t="s">
        <v>2394</v>
      </c>
      <c r="D252" s="28" t="s">
        <v>2395</v>
      </c>
      <c r="E252" s="24" t="s">
        <v>25</v>
      </c>
      <c r="F252" s="33">
        <f>SUMIF('①농산물raw'!$D:$D,$C252,'①농산물raw'!$F:$F)</f>
        <v>0</v>
      </c>
      <c r="G252" s="33">
        <f>SUMIF('①농산물raw'!$D:$D,$C252,'①농산물raw'!$G:$G)</f>
        <v>0</v>
      </c>
      <c r="H252" s="33">
        <f>SUMIF('①농산물raw'!$D:$D,$C252,'①농산물raw'!$H:$H)</f>
        <v>0</v>
      </c>
      <c r="I252" s="28"/>
    </row>
    <row r="253" ht="17.25" customHeight="1">
      <c r="A253" s="24">
        <v>251.0</v>
      </c>
      <c r="B253" s="24" t="s">
        <v>38</v>
      </c>
      <c r="C253" s="24" t="s">
        <v>1742</v>
      </c>
      <c r="D253" s="28" t="s">
        <v>1741</v>
      </c>
      <c r="E253" s="24" t="s">
        <v>25</v>
      </c>
      <c r="F253" s="33">
        <f>SUMIF('①농산물raw'!$D:$D,$C253,'①농산물raw'!$F:$F)</f>
        <v>4</v>
      </c>
      <c r="G253" s="33">
        <f>SUMIF('①농산물raw'!$D:$D,$C253,'①농산물raw'!$G:$G)</f>
        <v>264000</v>
      </c>
      <c r="H253" s="33">
        <f>SUMIF('①농산물raw'!$D:$D,$C253,'①농산물raw'!$H:$H)</f>
        <v>40000</v>
      </c>
      <c r="I253" s="24" t="s">
        <v>33</v>
      </c>
    </row>
    <row r="254" ht="17.25" customHeight="1">
      <c r="A254" s="24">
        <v>252.0</v>
      </c>
      <c r="B254" s="24" t="s">
        <v>46</v>
      </c>
      <c r="C254" s="24" t="s">
        <v>2396</v>
      </c>
      <c r="D254" s="28" t="s">
        <v>2397</v>
      </c>
      <c r="E254" s="24" t="s">
        <v>25</v>
      </c>
      <c r="F254" s="33">
        <f>SUMIF('①농산물raw'!$D:$D,$C254,'①농산물raw'!$F:$F)</f>
        <v>0</v>
      </c>
      <c r="G254" s="33">
        <f>SUMIF('①농산물raw'!$D:$D,$C254,'①농산물raw'!$G:$G)</f>
        <v>0</v>
      </c>
      <c r="H254" s="33">
        <f>SUMIF('①농산물raw'!$D:$D,$C254,'①농산물raw'!$H:$H)</f>
        <v>0</v>
      </c>
      <c r="I254" s="28"/>
    </row>
    <row r="255" ht="17.25" customHeight="1">
      <c r="A255" s="24">
        <v>253.0</v>
      </c>
      <c r="B255" s="24" t="s">
        <v>46</v>
      </c>
      <c r="C255" s="24" t="s">
        <v>2076</v>
      </c>
      <c r="D255" s="28" t="s">
        <v>2398</v>
      </c>
      <c r="E255" s="24" t="s">
        <v>25</v>
      </c>
      <c r="F255" s="33">
        <f>SUMIF('①농산물raw'!$D:$D,$C255,'①농산물raw'!$F:$F)</f>
        <v>3</v>
      </c>
      <c r="G255" s="33">
        <f>SUMIF('①농산물raw'!$D:$D,$C255,'①농산물raw'!$G:$G)</f>
        <v>83700</v>
      </c>
      <c r="H255" s="33">
        <f>SUMIF('①농산물raw'!$D:$D,$C255,'①농산물raw'!$H:$H)</f>
        <v>5580</v>
      </c>
      <c r="I255" s="28"/>
    </row>
    <row r="256" ht="17.25" customHeight="1">
      <c r="A256" s="24">
        <v>254.0</v>
      </c>
      <c r="B256" s="24" t="s">
        <v>16</v>
      </c>
      <c r="C256" s="24" t="s">
        <v>805</v>
      </c>
      <c r="D256" s="28" t="s">
        <v>804</v>
      </c>
      <c r="E256" s="24" t="s">
        <v>22</v>
      </c>
      <c r="F256" s="33">
        <f>SUMIF('①농산물raw'!$D:$D,$C256,'①농산물raw'!$F:$F)</f>
        <v>9</v>
      </c>
      <c r="G256" s="33">
        <f>SUMIF('①농산물raw'!$D:$D,$C256,'①농산물raw'!$G:$G)</f>
        <v>182000</v>
      </c>
      <c r="H256" s="33">
        <f>SUMIF('①농산물raw'!$D:$D,$C256,'①농산물raw'!$H:$H)</f>
        <v>31430</v>
      </c>
      <c r="I256" s="24" t="s">
        <v>33</v>
      </c>
    </row>
    <row r="257" ht="17.25" customHeight="1">
      <c r="A257" s="24">
        <v>255.0</v>
      </c>
      <c r="B257" s="24" t="s">
        <v>16</v>
      </c>
      <c r="C257" s="24" t="s">
        <v>1052</v>
      </c>
      <c r="D257" s="28" t="s">
        <v>1051</v>
      </c>
      <c r="E257" s="24" t="s">
        <v>21</v>
      </c>
      <c r="F257" s="33">
        <f>SUMIF('①농산물raw'!$D:$D,$C257,'①농산물raw'!$F:$F)</f>
        <v>19184</v>
      </c>
      <c r="G257" s="33">
        <f>SUMIF('①농산물raw'!$D:$D,$C257,'①농산물raw'!$G:$G)</f>
        <v>273251750</v>
      </c>
      <c r="H257" s="33">
        <f>SUMIF('①농산물raw'!$D:$D,$C257,'①농산물raw'!$H:$H)</f>
        <v>2025991</v>
      </c>
      <c r="I257" s="24" t="s">
        <v>33</v>
      </c>
    </row>
    <row r="258" ht="17.25" customHeight="1">
      <c r="A258" s="24">
        <v>256.0</v>
      </c>
      <c r="B258" s="24" t="s">
        <v>46</v>
      </c>
      <c r="C258" s="24" t="s">
        <v>2399</v>
      </c>
      <c r="D258" s="28" t="s">
        <v>2400</v>
      </c>
      <c r="E258" s="24" t="s">
        <v>22</v>
      </c>
      <c r="F258" s="33">
        <f>SUMIF('①농산물raw'!$D:$D,$C258,'①농산물raw'!$F:$F)</f>
        <v>0</v>
      </c>
      <c r="G258" s="33">
        <f>SUMIF('①농산물raw'!$D:$D,$C258,'①농산물raw'!$G:$G)</f>
        <v>0</v>
      </c>
      <c r="H258" s="33">
        <f>SUMIF('①농산물raw'!$D:$D,$C258,'①농산물raw'!$H:$H)</f>
        <v>0</v>
      </c>
      <c r="I258" s="28"/>
    </row>
    <row r="259" ht="17.25" customHeight="1">
      <c r="A259" s="24">
        <v>257.0</v>
      </c>
      <c r="B259" s="24" t="s">
        <v>38</v>
      </c>
      <c r="C259" s="24" t="s">
        <v>2401</v>
      </c>
      <c r="D259" s="28" t="s">
        <v>2402</v>
      </c>
      <c r="E259" s="24" t="s">
        <v>22</v>
      </c>
      <c r="F259" s="33">
        <f>SUMIF('①농산물raw'!$D:$D,$C259,'①농산물raw'!$F:$F)</f>
        <v>0</v>
      </c>
      <c r="G259" s="33">
        <f>SUMIF('①농산물raw'!$D:$D,$C259,'①농산물raw'!$G:$G)</f>
        <v>0</v>
      </c>
      <c r="H259" s="33">
        <f>SUMIF('①농산물raw'!$D:$D,$C259,'①농산물raw'!$H:$H)</f>
        <v>0</v>
      </c>
      <c r="I259" s="28"/>
    </row>
    <row r="260" ht="17.25" customHeight="1">
      <c r="A260" s="24">
        <v>258.0</v>
      </c>
      <c r="B260" s="24" t="s">
        <v>16</v>
      </c>
      <c r="C260" s="24" t="s">
        <v>2088</v>
      </c>
      <c r="D260" s="28" t="s">
        <v>2087</v>
      </c>
      <c r="E260" s="24" t="s">
        <v>25</v>
      </c>
      <c r="F260" s="33">
        <f>SUMIF('①농산물raw'!$D:$D,$C260,'①농산물raw'!$F:$F)</f>
        <v>247</v>
      </c>
      <c r="G260" s="33">
        <f>SUMIF('①농산물raw'!$D:$D,$C260,'①농산물raw'!$G:$G)</f>
        <v>2356800</v>
      </c>
      <c r="H260" s="33">
        <f>SUMIF('①농산물raw'!$D:$D,$C260,'①농산물raw'!$H:$H)</f>
        <v>221980</v>
      </c>
      <c r="I260" s="24" t="s">
        <v>33</v>
      </c>
    </row>
    <row r="261" ht="17.25" customHeight="1">
      <c r="A261" s="24">
        <v>259.0</v>
      </c>
      <c r="B261" s="24" t="s">
        <v>16</v>
      </c>
      <c r="C261" s="24" t="s">
        <v>2080</v>
      </c>
      <c r="D261" s="28" t="s">
        <v>2079</v>
      </c>
      <c r="E261" s="24" t="s">
        <v>25</v>
      </c>
      <c r="F261" s="33">
        <f>SUMIF('①농산물raw'!$D:$D,$C261,'①농산물raw'!$F:$F)</f>
        <v>15</v>
      </c>
      <c r="G261" s="33">
        <f>SUMIF('①농산물raw'!$D:$D,$C261,'①농산물raw'!$G:$G)</f>
        <v>220220</v>
      </c>
      <c r="H261" s="33">
        <f>SUMIF('①농산물raw'!$D:$D,$C261,'①농산물raw'!$H:$H)</f>
        <v>3890</v>
      </c>
      <c r="I261" s="24" t="s">
        <v>33</v>
      </c>
    </row>
    <row r="262" ht="17.25" customHeight="1">
      <c r="A262" s="24">
        <v>260.0</v>
      </c>
      <c r="B262" s="24" t="s">
        <v>16</v>
      </c>
      <c r="C262" s="24" t="s">
        <v>445</v>
      </c>
      <c r="D262" s="28" t="s">
        <v>444</v>
      </c>
      <c r="E262" s="24" t="s">
        <v>26</v>
      </c>
      <c r="F262" s="33">
        <f>SUMIF('①농산물raw'!$D:$D,$C262,'①농산물raw'!$F:$F)</f>
        <v>486</v>
      </c>
      <c r="G262" s="33">
        <f>SUMIF('①농산물raw'!$D:$D,$C262,'①농산물raw'!$G:$G)</f>
        <v>20608700</v>
      </c>
      <c r="H262" s="33">
        <f>SUMIF('①농산물raw'!$D:$D,$C262,'①농산물raw'!$H:$H)</f>
        <v>948440</v>
      </c>
      <c r="I262" s="24" t="s">
        <v>33</v>
      </c>
    </row>
    <row r="263" ht="17.25" customHeight="1">
      <c r="A263" s="24">
        <v>261.0</v>
      </c>
      <c r="B263" s="24" t="s">
        <v>16</v>
      </c>
      <c r="C263" s="45" t="s">
        <v>477</v>
      </c>
      <c r="D263" s="28" t="s">
        <v>2403</v>
      </c>
      <c r="E263" s="24" t="s">
        <v>26</v>
      </c>
      <c r="F263" s="33">
        <f>SUMIF('①농산물raw'!$D:$D,$C263,'①농산물raw'!$F:$F)</f>
        <v>71</v>
      </c>
      <c r="G263" s="33">
        <f>SUMIF('①농산물raw'!$D:$D,$C263,'①농산물raw'!$G:$G)</f>
        <v>780290</v>
      </c>
      <c r="H263" s="33">
        <f>SUMIF('①농산물raw'!$D:$D,$C263,'①농산물raw'!$H:$H)</f>
        <v>63690</v>
      </c>
      <c r="I263" s="24" t="s">
        <v>33</v>
      </c>
    </row>
    <row r="264" ht="17.25" customHeight="1">
      <c r="A264" s="24">
        <v>262.0</v>
      </c>
      <c r="B264" s="24" t="s">
        <v>38</v>
      </c>
      <c r="C264" s="24" t="s">
        <v>2129</v>
      </c>
      <c r="D264" s="28" t="s">
        <v>2128</v>
      </c>
      <c r="E264" s="24" t="s">
        <v>25</v>
      </c>
      <c r="F264" s="33">
        <f>SUMIF('①농산물raw'!$D:$D,$C264,'①농산물raw'!$F:$F)</f>
        <v>0</v>
      </c>
      <c r="G264" s="33">
        <f>SUMIF('①농산물raw'!$D:$D,$C264,'①농산물raw'!$G:$G)</f>
        <v>0</v>
      </c>
      <c r="H264" s="33">
        <f>SUMIF('①농산물raw'!$D:$D,$C264,'①농산물raw'!$H:$H)</f>
        <v>0</v>
      </c>
      <c r="I264" s="28"/>
    </row>
    <row r="265" ht="17.25" customHeight="1">
      <c r="A265" s="24">
        <v>263.0</v>
      </c>
      <c r="B265" s="24" t="s">
        <v>16</v>
      </c>
      <c r="C265" s="24" t="s">
        <v>2404</v>
      </c>
      <c r="D265" s="28" t="s">
        <v>2405</v>
      </c>
      <c r="E265" s="24" t="s">
        <v>25</v>
      </c>
      <c r="F265" s="33">
        <f>SUMIF('①농산물raw'!$D:$D,$C265,'①농산물raw'!$F:$F)</f>
        <v>0</v>
      </c>
      <c r="G265" s="33">
        <f>SUMIF('①농산물raw'!$D:$D,$C265,'①농산물raw'!$G:$G)</f>
        <v>0</v>
      </c>
      <c r="H265" s="33">
        <f>SUMIF('①농산물raw'!$D:$D,$C265,'①농산물raw'!$H:$H)</f>
        <v>0</v>
      </c>
      <c r="I265" s="28"/>
    </row>
    <row r="266" ht="17.25" customHeight="1">
      <c r="A266" s="24">
        <v>264.0</v>
      </c>
      <c r="B266" s="24" t="s">
        <v>16</v>
      </c>
      <c r="C266" s="24" t="s">
        <v>2187</v>
      </c>
      <c r="D266" s="28" t="s">
        <v>2186</v>
      </c>
      <c r="E266" s="24" t="s">
        <v>25</v>
      </c>
      <c r="F266" s="33">
        <f>SUMIF('①농산물raw'!$D:$D,$C266,'①농산물raw'!$F:$F)</f>
        <v>201</v>
      </c>
      <c r="G266" s="33">
        <f>SUMIF('①농산물raw'!$D:$D,$C266,'①농산물raw'!$G:$G)</f>
        <v>10319700</v>
      </c>
      <c r="H266" s="33">
        <f>SUMIF('①농산물raw'!$D:$D,$C266,'①농산물raw'!$H:$H)</f>
        <v>969800</v>
      </c>
      <c r="I266" s="24" t="s">
        <v>33</v>
      </c>
    </row>
    <row r="267" ht="17.25" customHeight="1">
      <c r="A267" s="24">
        <v>265.0</v>
      </c>
      <c r="B267" s="24" t="s">
        <v>16</v>
      </c>
      <c r="C267" s="24" t="s">
        <v>2170</v>
      </c>
      <c r="D267" s="28" t="s">
        <v>2169</v>
      </c>
      <c r="E267" s="24" t="s">
        <v>25</v>
      </c>
      <c r="F267" s="33">
        <f>SUMIF('①농산물raw'!$D:$D,$C267,'①농산물raw'!$F:$F)</f>
        <v>134</v>
      </c>
      <c r="G267" s="33">
        <f>SUMIF('①농산물raw'!$D:$D,$C267,'①농산물raw'!$G:$G)</f>
        <v>4153000</v>
      </c>
      <c r="H267" s="33">
        <f>SUMIF('①농산물raw'!$D:$D,$C267,'①농산물raw'!$H:$H)</f>
        <v>209040</v>
      </c>
      <c r="I267" s="24" t="s">
        <v>33</v>
      </c>
    </row>
    <row r="268" ht="17.25" customHeight="1">
      <c r="A268" s="24">
        <v>266.0</v>
      </c>
      <c r="B268" s="24" t="s">
        <v>38</v>
      </c>
      <c r="C268" s="24" t="s">
        <v>2184</v>
      </c>
      <c r="D268" s="28" t="s">
        <v>2183</v>
      </c>
      <c r="E268" s="24" t="s">
        <v>25</v>
      </c>
      <c r="F268" s="33">
        <f>SUMIF('①농산물raw'!$D:$D,$C268,'①농산물raw'!$F:$F)</f>
        <v>78</v>
      </c>
      <c r="G268" s="33">
        <f>SUMIF('①농산물raw'!$D:$D,$C268,'①농산물raw'!$G:$G)</f>
        <v>3658450</v>
      </c>
      <c r="H268" s="33">
        <f>SUMIF('①농산물raw'!$D:$D,$C268,'①농산물raw'!$H:$H)</f>
        <v>412330</v>
      </c>
      <c r="I268" s="24" t="s">
        <v>33</v>
      </c>
    </row>
    <row r="269" ht="17.25" customHeight="1">
      <c r="A269" s="24">
        <v>267.0</v>
      </c>
      <c r="B269" s="24" t="s">
        <v>46</v>
      </c>
      <c r="C269" s="24" t="s">
        <v>2216</v>
      </c>
      <c r="D269" s="28" t="s">
        <v>2215</v>
      </c>
      <c r="E269" s="24" t="s">
        <v>25</v>
      </c>
      <c r="F269" s="33">
        <f>SUMIF('①농산물raw'!$D:$D,$C269,'①농산물raw'!$F:$F)</f>
        <v>67</v>
      </c>
      <c r="G269" s="33">
        <f>SUMIF('①농산물raw'!$D:$D,$C269,'①농산물raw'!$G:$G)</f>
        <v>2157400</v>
      </c>
      <c r="H269" s="33">
        <f>SUMIF('①농산물raw'!$D:$D,$C269,'①농산물raw'!$H:$H)</f>
        <v>241130</v>
      </c>
      <c r="I269" s="24" t="s">
        <v>33</v>
      </c>
    </row>
    <row r="270" ht="17.25" customHeight="1">
      <c r="A270" s="24">
        <v>268.0</v>
      </c>
      <c r="B270" s="24" t="s">
        <v>46</v>
      </c>
      <c r="C270" s="24" t="s">
        <v>1138</v>
      </c>
      <c r="D270" s="28" t="s">
        <v>2406</v>
      </c>
      <c r="E270" s="24" t="s">
        <v>21</v>
      </c>
      <c r="F270" s="33">
        <f>SUMIF('①농산물raw'!$D:$D,$C270,'①농산물raw'!$F:$F)</f>
        <v>237</v>
      </c>
      <c r="G270" s="33">
        <f>SUMIF('①농산물raw'!$D:$D,$C270,'①농산물raw'!$G:$G)</f>
        <v>3710620</v>
      </c>
      <c r="H270" s="33">
        <f>SUMIF('①농산물raw'!$D:$D,$C270,'①농산물raw'!$H:$H)</f>
        <v>415736</v>
      </c>
      <c r="I270" s="24" t="s">
        <v>33</v>
      </c>
    </row>
    <row r="271" ht="17.25" customHeight="1">
      <c r="A271" s="24">
        <v>269.0</v>
      </c>
      <c r="B271" s="24" t="s">
        <v>38</v>
      </c>
      <c r="C271" s="24" t="s">
        <v>2209</v>
      </c>
      <c r="D271" s="28" t="s">
        <v>2407</v>
      </c>
      <c r="E271" s="24" t="s">
        <v>25</v>
      </c>
      <c r="F271" s="33">
        <f>SUMIF('①농산물raw'!$D:$D,$C271,'①농산물raw'!$F:$F)</f>
        <v>12</v>
      </c>
      <c r="G271" s="33">
        <f>SUMIF('①농산물raw'!$D:$D,$C271,'①농산물raw'!$G:$G)</f>
        <v>293700</v>
      </c>
      <c r="H271" s="33">
        <f>SUMIF('①농산물raw'!$D:$D,$C271,'①농산물raw'!$H:$H)</f>
        <v>46240</v>
      </c>
      <c r="I271" s="24" t="s">
        <v>33</v>
      </c>
    </row>
    <row r="272" ht="17.25" customHeight="1">
      <c r="A272" s="24">
        <v>270.0</v>
      </c>
      <c r="B272" s="24" t="s">
        <v>16</v>
      </c>
      <c r="C272" s="24" t="s">
        <v>1160</v>
      </c>
      <c r="D272" s="28" t="s">
        <v>2408</v>
      </c>
      <c r="E272" s="24" t="s">
        <v>21</v>
      </c>
      <c r="F272" s="33">
        <f>SUMIF('①농산물raw'!$D:$D,$C272,'①농산물raw'!$F:$F)</f>
        <v>10177</v>
      </c>
      <c r="G272" s="33">
        <f>SUMIF('①농산물raw'!$D:$D,$C272,'①농산물raw'!$G:$G)</f>
        <v>51890900</v>
      </c>
      <c r="H272" s="33">
        <f>SUMIF('①농산물raw'!$D:$D,$C272,'①농산물raw'!$H:$H)</f>
        <v>3084209</v>
      </c>
      <c r="I272" s="24" t="s">
        <v>33</v>
      </c>
    </row>
    <row r="273" ht="17.25" customHeight="1">
      <c r="A273" s="24">
        <v>271.0</v>
      </c>
      <c r="B273" s="24" t="s">
        <v>16</v>
      </c>
      <c r="C273" s="24" t="s">
        <v>1147</v>
      </c>
      <c r="D273" s="28" t="s">
        <v>2409</v>
      </c>
      <c r="E273" s="24" t="s">
        <v>21</v>
      </c>
      <c r="F273" s="33">
        <f>SUMIF('①농산물raw'!$D:$D,$C273,'①농산물raw'!$F:$F)</f>
        <v>932</v>
      </c>
      <c r="G273" s="33">
        <f>SUMIF('①농산물raw'!$D:$D,$C273,'①농산물raw'!$G:$G)</f>
        <v>12275200</v>
      </c>
      <c r="H273" s="33">
        <f>SUMIF('①농산물raw'!$D:$D,$C273,'①농산물raw'!$H:$H)</f>
        <v>1273480</v>
      </c>
      <c r="I273" s="24" t="s">
        <v>33</v>
      </c>
    </row>
    <row r="274" ht="17.25" customHeight="1">
      <c r="A274" s="24">
        <v>272.0</v>
      </c>
      <c r="B274" s="24" t="s">
        <v>16</v>
      </c>
      <c r="C274" s="24" t="s">
        <v>2167</v>
      </c>
      <c r="D274" s="28" t="s">
        <v>2166</v>
      </c>
      <c r="E274" s="24" t="s">
        <v>25</v>
      </c>
      <c r="F274" s="33">
        <f>SUMIF('①농산물raw'!$D:$D,$C274,'①농산물raw'!$F:$F)</f>
        <v>110</v>
      </c>
      <c r="G274" s="33">
        <f>SUMIF('①농산물raw'!$D:$D,$C274,'①농산물raw'!$G:$G)</f>
        <v>2747250</v>
      </c>
      <c r="H274" s="33">
        <f>SUMIF('①농산물raw'!$D:$D,$C274,'①농산물raw'!$H:$H)</f>
        <v>221190</v>
      </c>
      <c r="I274" s="24" t="s">
        <v>33</v>
      </c>
    </row>
    <row r="275" ht="17.25" customHeight="1">
      <c r="A275" s="24">
        <v>273.0</v>
      </c>
      <c r="B275" s="24" t="s">
        <v>16</v>
      </c>
      <c r="C275" s="24" t="s">
        <v>2242</v>
      </c>
      <c r="D275" s="28" t="s">
        <v>2241</v>
      </c>
      <c r="E275" s="24" t="s">
        <v>25</v>
      </c>
      <c r="F275" s="33">
        <f>SUMIF('①농산물raw'!$D:$D,$C275,'①농산물raw'!$F:$F)</f>
        <v>88</v>
      </c>
      <c r="G275" s="33">
        <f>SUMIF('①농산물raw'!$D:$D,$C275,'①농산물raw'!$G:$G)</f>
        <v>899900</v>
      </c>
      <c r="H275" s="33">
        <f>SUMIF('①농산물raw'!$D:$D,$C275,'①농산물raw'!$H:$H)</f>
        <v>141620</v>
      </c>
      <c r="I275" s="24" t="s">
        <v>33</v>
      </c>
    </row>
    <row r="276" ht="17.25" customHeight="1">
      <c r="A276" s="24">
        <v>274.0</v>
      </c>
      <c r="B276" s="24" t="s">
        <v>16</v>
      </c>
      <c r="C276" s="24" t="s">
        <v>2174</v>
      </c>
      <c r="D276" s="28" t="s">
        <v>2173</v>
      </c>
      <c r="E276" s="24" t="s">
        <v>25</v>
      </c>
      <c r="F276" s="33">
        <f>SUMIF('①농산물raw'!$D:$D,$C276,'①농산물raw'!$F:$F)</f>
        <v>518</v>
      </c>
      <c r="G276" s="33">
        <f>SUMIF('①농산물raw'!$D:$D,$C276,'①농산물raw'!$G:$G)</f>
        <v>15294900</v>
      </c>
      <c r="H276" s="33">
        <f>SUMIF('①농산물raw'!$D:$D,$C276,'①농산물raw'!$H:$H)</f>
        <v>1705850</v>
      </c>
      <c r="I276" s="24" t="s">
        <v>33</v>
      </c>
    </row>
    <row r="277" ht="17.25" customHeight="1">
      <c r="A277" s="24">
        <v>275.0</v>
      </c>
      <c r="B277" s="24" t="s">
        <v>38</v>
      </c>
      <c r="C277" s="24" t="s">
        <v>1693</v>
      </c>
      <c r="D277" s="28" t="s">
        <v>2410</v>
      </c>
      <c r="E277" s="24" t="s">
        <v>25</v>
      </c>
      <c r="F277" s="33">
        <f>SUMIF('①농산물raw'!$D:$D,$C277,'①농산물raw'!$F:$F)</f>
        <v>441</v>
      </c>
      <c r="G277" s="33">
        <f>SUMIF('①농산물raw'!$D:$D,$C277,'①농산물raw'!$G:$G)</f>
        <v>11600320</v>
      </c>
      <c r="H277" s="33">
        <f>SUMIF('①농산물raw'!$D:$D,$C277,'①농산물raw'!$H:$H)</f>
        <v>1121350</v>
      </c>
      <c r="I277" s="24" t="s">
        <v>33</v>
      </c>
    </row>
    <row r="278" ht="17.25" customHeight="1">
      <c r="A278" s="24">
        <v>276.0</v>
      </c>
      <c r="B278" s="24" t="s">
        <v>38</v>
      </c>
      <c r="C278" s="24" t="s">
        <v>2269</v>
      </c>
      <c r="D278" s="28" t="s">
        <v>2411</v>
      </c>
      <c r="E278" s="24" t="s">
        <v>25</v>
      </c>
      <c r="F278" s="33">
        <f>SUMIF('①농산물raw'!$D:$D,$C278,'①농산물raw'!$F:$F)</f>
        <v>0</v>
      </c>
      <c r="G278" s="33">
        <f>SUMIF('①농산물raw'!$D:$D,$C278,'①농산물raw'!$G:$G)</f>
        <v>0</v>
      </c>
      <c r="H278" s="33">
        <f>SUMIF('①농산물raw'!$D:$D,$C278,'①농산물raw'!$H:$H)</f>
        <v>0</v>
      </c>
      <c r="I278" s="28"/>
    </row>
    <row r="279" ht="17.25" customHeight="1">
      <c r="A279" s="24">
        <v>277.0</v>
      </c>
      <c r="B279" s="24" t="s">
        <v>38</v>
      </c>
      <c r="C279" s="24" t="s">
        <v>2412</v>
      </c>
      <c r="D279" s="28" t="s">
        <v>2413</v>
      </c>
      <c r="E279" s="24" t="s">
        <v>25</v>
      </c>
      <c r="F279" s="33">
        <f>SUMIF('①농산물raw'!$D:$D,$C279,'①농산물raw'!$F:$F)</f>
        <v>0</v>
      </c>
      <c r="G279" s="33">
        <f>SUMIF('①농산물raw'!$D:$D,$C279,'①농산물raw'!$G:$G)</f>
        <v>0</v>
      </c>
      <c r="H279" s="33">
        <f>SUMIF('①농산물raw'!$D:$D,$C279,'①농산물raw'!$H:$H)</f>
        <v>0</v>
      </c>
      <c r="I279" s="28"/>
    </row>
    <row r="280" ht="17.25" customHeight="1">
      <c r="A280" s="24">
        <v>278.0</v>
      </c>
      <c r="B280" s="24" t="s">
        <v>38</v>
      </c>
      <c r="C280" s="24" t="s">
        <v>1996</v>
      </c>
      <c r="D280" s="28" t="s">
        <v>2414</v>
      </c>
      <c r="E280" s="24" t="s">
        <v>25</v>
      </c>
      <c r="F280" s="33">
        <f>SUMIF('①농산물raw'!$D:$D,$C280,'①농산물raw'!$F:$F)</f>
        <v>15</v>
      </c>
      <c r="G280" s="33">
        <f>SUMIF('①농산물raw'!$D:$D,$C280,'①농산물raw'!$G:$G)</f>
        <v>481000</v>
      </c>
      <c r="H280" s="33">
        <f>SUMIF('①농산물raw'!$D:$D,$C280,'①농산물raw'!$H:$H)</f>
        <v>49800</v>
      </c>
      <c r="I280" s="24" t="s">
        <v>33</v>
      </c>
    </row>
    <row r="281" ht="17.25" customHeight="1">
      <c r="A281" s="24">
        <v>279.0</v>
      </c>
      <c r="B281" s="24" t="s">
        <v>38</v>
      </c>
      <c r="C281" s="24" t="s">
        <v>1204</v>
      </c>
      <c r="D281" s="28" t="s">
        <v>1203</v>
      </c>
      <c r="E281" s="24" t="s">
        <v>28</v>
      </c>
      <c r="F281" s="33">
        <f>SUMIF('①농산물raw'!$D:$D,$C281,'①농산물raw'!$F:$F)</f>
        <v>40</v>
      </c>
      <c r="G281" s="33">
        <f>SUMIF('①농산물raw'!$D:$D,$C281,'①농산물raw'!$G:$G)</f>
        <v>781000</v>
      </c>
      <c r="H281" s="33">
        <f>SUMIF('①농산물raw'!$D:$D,$C281,'①농산물raw'!$H:$H)</f>
        <v>115720</v>
      </c>
      <c r="I281" s="24" t="s">
        <v>33</v>
      </c>
    </row>
    <row r="282" ht="17.25" customHeight="1">
      <c r="A282" s="24">
        <v>280.0</v>
      </c>
      <c r="B282" s="24" t="s">
        <v>38</v>
      </c>
      <c r="C282" s="24" t="s">
        <v>2151</v>
      </c>
      <c r="D282" s="28" t="s">
        <v>2150</v>
      </c>
      <c r="E282" s="24" t="s">
        <v>25</v>
      </c>
      <c r="F282" s="33">
        <f>SUMIF('①농산물raw'!$D:$D,$C282,'①농산물raw'!$F:$F)</f>
        <v>6</v>
      </c>
      <c r="G282" s="33">
        <f>SUMIF('①농산물raw'!$D:$D,$C282,'①농산물raw'!$G:$G)</f>
        <v>257000</v>
      </c>
      <c r="H282" s="33">
        <f>SUMIF('①농산물raw'!$D:$D,$C282,'①농산물raw'!$H:$H)</f>
        <v>19000</v>
      </c>
      <c r="I282" s="24" t="s">
        <v>33</v>
      </c>
    </row>
    <row r="283" ht="17.25" customHeight="1">
      <c r="A283" s="24">
        <v>281.0</v>
      </c>
      <c r="B283" s="24" t="s">
        <v>38</v>
      </c>
      <c r="C283" s="24" t="s">
        <v>1927</v>
      </c>
      <c r="D283" s="28" t="s">
        <v>2415</v>
      </c>
      <c r="E283" s="24" t="s">
        <v>25</v>
      </c>
      <c r="F283" s="33">
        <f>SUMIF('①농산물raw'!$D:$D,$C283,'①농산물raw'!$F:$F)</f>
        <v>4</v>
      </c>
      <c r="G283" s="33">
        <f>SUMIF('①농산물raw'!$D:$D,$C283,'①농산물raw'!$G:$G)</f>
        <v>174000</v>
      </c>
      <c r="H283" s="33">
        <f>SUMIF('①농산물raw'!$D:$D,$C283,'①농산물raw'!$H:$H)</f>
        <v>8800</v>
      </c>
      <c r="I283" s="24" t="s">
        <v>33</v>
      </c>
    </row>
    <row r="284" ht="17.25" customHeight="1">
      <c r="A284" s="24">
        <v>282.0</v>
      </c>
      <c r="B284" s="24" t="s">
        <v>38</v>
      </c>
      <c r="C284" s="24" t="s">
        <v>1817</v>
      </c>
      <c r="D284" s="28" t="s">
        <v>2416</v>
      </c>
      <c r="E284" s="24" t="s">
        <v>25</v>
      </c>
      <c r="F284" s="33">
        <f>SUMIF('①농산물raw'!$D:$D,$C284,'①농산물raw'!$F:$F)</f>
        <v>303</v>
      </c>
      <c r="G284" s="33">
        <f>SUMIF('①농산물raw'!$D:$D,$C284,'①농산물raw'!$G:$G)</f>
        <v>7634410</v>
      </c>
      <c r="H284" s="33">
        <f>SUMIF('①농산물raw'!$D:$D,$C284,'①농산물raw'!$H:$H)</f>
        <v>714800</v>
      </c>
      <c r="I284" s="24" t="s">
        <v>33</v>
      </c>
    </row>
    <row r="285" ht="17.25" customHeight="1">
      <c r="A285" s="24">
        <v>283.0</v>
      </c>
      <c r="B285" s="24" t="s">
        <v>38</v>
      </c>
      <c r="C285" s="24" t="s">
        <v>2417</v>
      </c>
      <c r="D285" s="28" t="s">
        <v>2418</v>
      </c>
      <c r="E285" s="24" t="s">
        <v>25</v>
      </c>
      <c r="F285" s="33">
        <f>SUMIF('①농산물raw'!$D:$D,$C285,'①농산물raw'!$F:$F)</f>
        <v>0</v>
      </c>
      <c r="G285" s="33">
        <f>SUMIF('①농산물raw'!$D:$D,$C285,'①농산물raw'!$G:$G)</f>
        <v>0</v>
      </c>
      <c r="H285" s="33">
        <f>SUMIF('①농산물raw'!$D:$D,$C285,'①농산물raw'!$H:$H)</f>
        <v>0</v>
      </c>
      <c r="I285" s="28"/>
    </row>
    <row r="286" ht="17.25" customHeight="1">
      <c r="A286" s="24">
        <v>284.0</v>
      </c>
      <c r="B286" s="24" t="s">
        <v>38</v>
      </c>
      <c r="C286" s="24" t="s">
        <v>2419</v>
      </c>
      <c r="D286" s="28" t="s">
        <v>2420</v>
      </c>
      <c r="E286" s="24" t="s">
        <v>25</v>
      </c>
      <c r="F286" s="33">
        <f>SUMIF('①농산물raw'!$D:$D,$C286,'①농산물raw'!$F:$F)</f>
        <v>0</v>
      </c>
      <c r="G286" s="33">
        <f>SUMIF('①농산물raw'!$D:$D,$C286,'①농산물raw'!$G:$G)</f>
        <v>0</v>
      </c>
      <c r="H286" s="33">
        <f>SUMIF('①농산물raw'!$D:$D,$C286,'①농산물raw'!$H:$H)</f>
        <v>0</v>
      </c>
      <c r="I286" s="28"/>
    </row>
    <row r="287" ht="17.25" customHeight="1">
      <c r="A287" s="24">
        <v>285.0</v>
      </c>
      <c r="B287" s="24" t="s">
        <v>38</v>
      </c>
      <c r="C287" s="24" t="s">
        <v>2336</v>
      </c>
      <c r="D287" s="28" t="s">
        <v>2335</v>
      </c>
      <c r="E287" s="24" t="s">
        <v>25</v>
      </c>
      <c r="F287" s="33">
        <f>SUMIF('①농산물raw'!$D:$D,$C287,'①농산물raw'!$F:$F)</f>
        <v>2</v>
      </c>
      <c r="G287" s="33">
        <f>SUMIF('①농산물raw'!$D:$D,$C287,'①농산물raw'!$G:$G)</f>
        <v>61900</v>
      </c>
      <c r="H287" s="33">
        <f>SUMIF('①농산물raw'!$D:$D,$C287,'①농산물raw'!$H:$H)</f>
        <v>5380</v>
      </c>
      <c r="I287" s="24" t="s">
        <v>33</v>
      </c>
    </row>
    <row r="288" ht="17.25" customHeight="1">
      <c r="A288" s="90"/>
      <c r="B288" s="91"/>
      <c r="C288" s="91"/>
      <c r="D288" s="90"/>
      <c r="E288" s="91"/>
      <c r="F288" s="1"/>
      <c r="G288" s="1"/>
      <c r="H288" s="1"/>
      <c r="I288" s="4"/>
    </row>
    <row r="289" ht="17.25" customHeight="1">
      <c r="A289" s="1"/>
      <c r="B289" s="4"/>
      <c r="C289" s="4"/>
      <c r="D289" s="1"/>
      <c r="E289" s="4"/>
      <c r="F289" s="1"/>
      <c r="G289" s="1"/>
      <c r="H289" s="1"/>
      <c r="I289" s="4"/>
    </row>
    <row r="290" ht="17.25" customHeight="1">
      <c r="A290" s="1"/>
      <c r="B290" s="4"/>
      <c r="C290" s="4"/>
      <c r="D290" s="1"/>
      <c r="E290" s="4"/>
      <c r="F290" s="1"/>
      <c r="G290" s="1"/>
      <c r="H290" s="1"/>
      <c r="I290" s="4"/>
    </row>
    <row r="291" ht="17.25" customHeight="1">
      <c r="A291" s="1"/>
      <c r="B291" s="4"/>
      <c r="C291" s="4"/>
      <c r="D291" s="1"/>
      <c r="E291" s="4"/>
      <c r="F291" s="1"/>
      <c r="G291" s="1"/>
      <c r="H291" s="1"/>
      <c r="I291" s="4"/>
    </row>
    <row r="292" ht="17.25" customHeight="1">
      <c r="A292" s="1"/>
      <c r="B292" s="4"/>
      <c r="C292" s="4"/>
      <c r="D292" s="1"/>
      <c r="E292" s="4"/>
      <c r="F292" s="1"/>
      <c r="G292" s="1"/>
      <c r="H292" s="1"/>
      <c r="I292" s="4"/>
    </row>
    <row r="293" ht="17.25" customHeight="1">
      <c r="A293" s="1"/>
      <c r="B293" s="4"/>
      <c r="C293" s="4"/>
      <c r="D293" s="1"/>
      <c r="E293" s="4"/>
      <c r="F293" s="1"/>
      <c r="G293" s="1"/>
      <c r="H293" s="1"/>
      <c r="I293" s="4"/>
    </row>
    <row r="294" ht="17.25" customHeight="1">
      <c r="A294" s="1"/>
      <c r="B294" s="4"/>
      <c r="C294" s="4"/>
      <c r="D294" s="1"/>
      <c r="E294" s="4"/>
      <c r="F294" s="1"/>
      <c r="G294" s="1"/>
      <c r="H294" s="1"/>
      <c r="I294" s="4"/>
    </row>
    <row r="295" ht="17.25" customHeight="1">
      <c r="A295" s="1"/>
      <c r="B295" s="4"/>
      <c r="C295" s="4"/>
      <c r="D295" s="1"/>
      <c r="E295" s="4"/>
      <c r="F295" s="1"/>
      <c r="G295" s="1"/>
      <c r="H295" s="1"/>
      <c r="I295" s="4"/>
    </row>
    <row r="296" ht="17.25" customHeight="1">
      <c r="A296" s="1"/>
      <c r="B296" s="4"/>
      <c r="C296" s="4"/>
      <c r="D296" s="1"/>
      <c r="E296" s="4"/>
      <c r="F296" s="1"/>
      <c r="G296" s="1"/>
      <c r="H296" s="1"/>
      <c r="I296" s="4"/>
    </row>
    <row r="297" ht="17.25" customHeight="1">
      <c r="A297" s="1"/>
      <c r="B297" s="4"/>
      <c r="C297" s="4"/>
      <c r="D297" s="1"/>
      <c r="E297" s="4"/>
      <c r="F297" s="1"/>
      <c r="G297" s="1"/>
      <c r="H297" s="1"/>
      <c r="I297" s="4"/>
    </row>
    <row r="298" ht="17.25" customHeight="1">
      <c r="A298" s="1"/>
      <c r="B298" s="4"/>
      <c r="C298" s="4"/>
      <c r="D298" s="1"/>
      <c r="E298" s="4"/>
      <c r="F298" s="1"/>
      <c r="G298" s="1"/>
      <c r="H298" s="1"/>
      <c r="I298" s="4"/>
    </row>
    <row r="299" ht="17.25" customHeight="1">
      <c r="A299" s="1"/>
      <c r="B299" s="4"/>
      <c r="C299" s="4"/>
      <c r="D299" s="1"/>
      <c r="E299" s="4"/>
      <c r="F299" s="1"/>
      <c r="G299" s="1"/>
      <c r="H299" s="1"/>
      <c r="I299" s="4"/>
    </row>
    <row r="300" ht="17.25" customHeight="1">
      <c r="A300" s="1"/>
      <c r="B300" s="4"/>
      <c r="C300" s="4"/>
      <c r="D300" s="1"/>
      <c r="E300" s="4"/>
      <c r="F300" s="1"/>
      <c r="G300" s="1"/>
      <c r="H300" s="1"/>
      <c r="I300" s="4"/>
    </row>
    <row r="301" ht="17.25" customHeight="1">
      <c r="A301" s="1"/>
      <c r="B301" s="4"/>
      <c r="C301" s="4"/>
      <c r="D301" s="1"/>
      <c r="E301" s="4"/>
      <c r="F301" s="1"/>
      <c r="G301" s="1"/>
      <c r="H301" s="1"/>
      <c r="I301" s="4"/>
    </row>
    <row r="302" ht="17.25" customHeight="1">
      <c r="A302" s="1"/>
      <c r="B302" s="4"/>
      <c r="C302" s="4"/>
      <c r="D302" s="1"/>
      <c r="E302" s="4"/>
      <c r="F302" s="1"/>
      <c r="G302" s="1"/>
      <c r="H302" s="1"/>
      <c r="I302" s="4"/>
    </row>
    <row r="303" ht="17.25" customHeight="1">
      <c r="A303" s="1"/>
      <c r="B303" s="4"/>
      <c r="C303" s="4"/>
      <c r="D303" s="1"/>
      <c r="E303" s="4"/>
      <c r="F303" s="1"/>
      <c r="G303" s="1"/>
      <c r="H303" s="1"/>
      <c r="I303" s="4"/>
    </row>
    <row r="304" ht="17.25" customHeight="1">
      <c r="A304" s="1"/>
      <c r="B304" s="4"/>
      <c r="C304" s="4"/>
      <c r="D304" s="1"/>
      <c r="E304" s="4"/>
      <c r="F304" s="1"/>
      <c r="G304" s="1"/>
      <c r="H304" s="1"/>
      <c r="I304" s="4"/>
    </row>
    <row r="305" ht="17.25" customHeight="1">
      <c r="A305" s="1"/>
      <c r="B305" s="4"/>
      <c r="C305" s="4"/>
      <c r="D305" s="1"/>
      <c r="E305" s="4"/>
      <c r="F305" s="1"/>
      <c r="G305" s="1"/>
      <c r="H305" s="1"/>
      <c r="I305" s="4"/>
    </row>
    <row r="306" ht="17.25" customHeight="1">
      <c r="A306" s="1"/>
      <c r="B306" s="4"/>
      <c r="C306" s="4"/>
      <c r="D306" s="1"/>
      <c r="E306" s="4"/>
      <c r="F306" s="1"/>
      <c r="G306" s="1"/>
      <c r="H306" s="1"/>
      <c r="I306" s="4"/>
    </row>
    <row r="307" ht="17.25" customHeight="1">
      <c r="A307" s="1"/>
      <c r="B307" s="4"/>
      <c r="C307" s="4"/>
      <c r="D307" s="1"/>
      <c r="E307" s="4"/>
      <c r="F307" s="1"/>
      <c r="G307" s="1"/>
      <c r="H307" s="1"/>
      <c r="I307" s="4"/>
    </row>
    <row r="308" ht="17.25" customHeight="1">
      <c r="A308" s="1"/>
      <c r="B308" s="4"/>
      <c r="C308" s="4"/>
      <c r="D308" s="1"/>
      <c r="E308" s="4"/>
      <c r="F308" s="1"/>
      <c r="G308" s="1"/>
      <c r="H308" s="1"/>
      <c r="I308" s="4"/>
    </row>
    <row r="309" ht="17.25" customHeight="1">
      <c r="A309" s="1"/>
      <c r="B309" s="4"/>
      <c r="C309" s="4"/>
      <c r="D309" s="1"/>
      <c r="E309" s="4"/>
      <c r="F309" s="1"/>
      <c r="G309" s="1"/>
      <c r="H309" s="1"/>
      <c r="I309" s="4"/>
    </row>
    <row r="310" ht="17.25" customHeight="1">
      <c r="A310" s="1"/>
      <c r="B310" s="4"/>
      <c r="C310" s="4"/>
      <c r="D310" s="1"/>
      <c r="E310" s="4"/>
      <c r="F310" s="1"/>
      <c r="G310" s="1"/>
      <c r="H310" s="1"/>
      <c r="I310" s="4"/>
    </row>
    <row r="311" ht="17.25" customHeight="1">
      <c r="A311" s="1"/>
      <c r="B311" s="4"/>
      <c r="C311" s="4"/>
      <c r="D311" s="1"/>
      <c r="E311" s="4"/>
      <c r="F311" s="1"/>
      <c r="G311" s="1"/>
      <c r="H311" s="1"/>
      <c r="I311" s="4"/>
    </row>
    <row r="312" ht="17.25" customHeight="1">
      <c r="A312" s="1"/>
      <c r="B312" s="4"/>
      <c r="C312" s="4"/>
      <c r="D312" s="1"/>
      <c r="E312" s="4"/>
      <c r="F312" s="1"/>
      <c r="G312" s="1"/>
      <c r="H312" s="1"/>
      <c r="I312" s="4"/>
    </row>
    <row r="313" ht="17.25" customHeight="1">
      <c r="A313" s="1"/>
      <c r="B313" s="4"/>
      <c r="C313" s="4"/>
      <c r="D313" s="1"/>
      <c r="E313" s="4"/>
      <c r="F313" s="1"/>
      <c r="G313" s="1"/>
      <c r="H313" s="1"/>
      <c r="I313" s="4"/>
    </row>
    <row r="314" ht="17.25" customHeight="1">
      <c r="A314" s="1"/>
      <c r="B314" s="4"/>
      <c r="C314" s="4"/>
      <c r="D314" s="1"/>
      <c r="E314" s="4"/>
      <c r="F314" s="1"/>
      <c r="G314" s="1"/>
      <c r="H314" s="1"/>
      <c r="I314" s="4"/>
    </row>
    <row r="315" ht="17.25" customHeight="1">
      <c r="A315" s="1"/>
      <c r="B315" s="4"/>
      <c r="C315" s="4"/>
      <c r="D315" s="1"/>
      <c r="E315" s="4"/>
      <c r="F315" s="1"/>
      <c r="G315" s="1"/>
      <c r="H315" s="1"/>
      <c r="I315" s="4"/>
    </row>
    <row r="316" ht="17.25" customHeight="1">
      <c r="A316" s="1"/>
      <c r="B316" s="4"/>
      <c r="C316" s="4"/>
      <c r="D316" s="1"/>
      <c r="E316" s="4"/>
      <c r="F316" s="1"/>
      <c r="G316" s="1"/>
      <c r="H316" s="1"/>
      <c r="I316" s="4"/>
    </row>
    <row r="317" ht="17.25" customHeight="1">
      <c r="A317" s="1"/>
      <c r="B317" s="4"/>
      <c r="C317" s="4"/>
      <c r="D317" s="1"/>
      <c r="E317" s="4"/>
      <c r="F317" s="1"/>
      <c r="G317" s="1"/>
      <c r="H317" s="1"/>
      <c r="I317" s="4"/>
    </row>
    <row r="318" ht="17.25" customHeight="1">
      <c r="A318" s="1"/>
      <c r="B318" s="4"/>
      <c r="C318" s="4"/>
      <c r="D318" s="1"/>
      <c r="E318" s="4"/>
      <c r="F318" s="1"/>
      <c r="G318" s="1"/>
      <c r="H318" s="1"/>
      <c r="I318" s="4"/>
    </row>
    <row r="319" ht="17.25" customHeight="1">
      <c r="A319" s="1"/>
      <c r="B319" s="4"/>
      <c r="C319" s="4"/>
      <c r="D319" s="1"/>
      <c r="E319" s="4"/>
      <c r="F319" s="1"/>
      <c r="G319" s="1"/>
      <c r="H319" s="1"/>
      <c r="I319" s="4"/>
    </row>
    <row r="320" ht="17.25" customHeight="1">
      <c r="A320" s="1"/>
      <c r="B320" s="4"/>
      <c r="C320" s="4"/>
      <c r="D320" s="1"/>
      <c r="E320" s="4"/>
      <c r="F320" s="1"/>
      <c r="G320" s="1"/>
      <c r="H320" s="1"/>
      <c r="I320" s="4"/>
    </row>
    <row r="321" ht="17.25" customHeight="1">
      <c r="A321" s="1"/>
      <c r="B321" s="4"/>
      <c r="C321" s="4"/>
      <c r="D321" s="1"/>
      <c r="E321" s="4"/>
      <c r="F321" s="1"/>
      <c r="G321" s="1"/>
      <c r="H321" s="1"/>
      <c r="I321" s="4"/>
    </row>
    <row r="322" ht="17.25" customHeight="1">
      <c r="A322" s="1"/>
      <c r="B322" s="4"/>
      <c r="C322" s="4"/>
      <c r="D322" s="1"/>
      <c r="E322" s="4"/>
      <c r="F322" s="1"/>
      <c r="G322" s="1"/>
      <c r="H322" s="1"/>
      <c r="I322" s="4"/>
    </row>
    <row r="323" ht="17.25" customHeight="1">
      <c r="A323" s="1"/>
      <c r="B323" s="4"/>
      <c r="C323" s="4"/>
      <c r="D323" s="1"/>
      <c r="E323" s="4"/>
      <c r="F323" s="1"/>
      <c r="G323" s="1"/>
      <c r="H323" s="1"/>
      <c r="I323" s="4"/>
    </row>
    <row r="324" ht="17.25" customHeight="1">
      <c r="A324" s="1"/>
      <c r="B324" s="4"/>
      <c r="C324" s="4"/>
      <c r="D324" s="1"/>
      <c r="E324" s="4"/>
      <c r="F324" s="1"/>
      <c r="G324" s="1"/>
      <c r="H324" s="1"/>
      <c r="I324" s="4"/>
    </row>
    <row r="325" ht="17.25" customHeight="1">
      <c r="A325" s="1"/>
      <c r="B325" s="4"/>
      <c r="C325" s="4"/>
      <c r="D325" s="1"/>
      <c r="E325" s="4"/>
      <c r="F325" s="1"/>
      <c r="G325" s="1"/>
      <c r="H325" s="1"/>
      <c r="I325" s="4"/>
    </row>
    <row r="326" ht="17.25" customHeight="1">
      <c r="A326" s="1"/>
      <c r="B326" s="4"/>
      <c r="C326" s="4"/>
      <c r="D326" s="1"/>
      <c r="E326" s="4"/>
      <c r="F326" s="1"/>
      <c r="G326" s="1"/>
      <c r="H326" s="1"/>
      <c r="I326" s="4"/>
    </row>
    <row r="327" ht="17.25" customHeight="1">
      <c r="A327" s="1"/>
      <c r="B327" s="4"/>
      <c r="C327" s="4"/>
      <c r="D327" s="1"/>
      <c r="E327" s="4"/>
      <c r="F327" s="1"/>
      <c r="G327" s="1"/>
      <c r="H327" s="1"/>
      <c r="I327" s="4"/>
    </row>
    <row r="328" ht="17.25" customHeight="1">
      <c r="A328" s="1"/>
      <c r="B328" s="4"/>
      <c r="C328" s="4"/>
      <c r="D328" s="1"/>
      <c r="E328" s="4"/>
      <c r="F328" s="1"/>
      <c r="G328" s="1"/>
      <c r="H328" s="1"/>
      <c r="I328" s="4"/>
    </row>
    <row r="329" ht="17.25" customHeight="1">
      <c r="A329" s="1"/>
      <c r="B329" s="4"/>
      <c r="C329" s="4"/>
      <c r="D329" s="1"/>
      <c r="E329" s="4"/>
      <c r="F329" s="1"/>
      <c r="G329" s="1"/>
      <c r="H329" s="1"/>
      <c r="I329" s="4"/>
    </row>
    <row r="330" ht="17.25" customHeight="1">
      <c r="A330" s="1"/>
      <c r="B330" s="4"/>
      <c r="C330" s="4"/>
      <c r="D330" s="1"/>
      <c r="E330" s="4"/>
      <c r="F330" s="1"/>
      <c r="G330" s="1"/>
      <c r="H330" s="1"/>
      <c r="I330" s="4"/>
    </row>
    <row r="331" ht="17.25" customHeight="1">
      <c r="A331" s="1"/>
      <c r="B331" s="4"/>
      <c r="C331" s="4"/>
      <c r="D331" s="1"/>
      <c r="E331" s="4"/>
      <c r="F331" s="1"/>
      <c r="G331" s="1"/>
      <c r="H331" s="1"/>
      <c r="I331" s="4"/>
    </row>
    <row r="332" ht="17.25" customHeight="1">
      <c r="A332" s="1"/>
      <c r="B332" s="4"/>
      <c r="C332" s="4"/>
      <c r="D332" s="1"/>
      <c r="E332" s="4"/>
      <c r="F332" s="1"/>
      <c r="G332" s="1"/>
      <c r="H332" s="1"/>
      <c r="I332" s="4"/>
    </row>
    <row r="333" ht="17.25" customHeight="1">
      <c r="A333" s="1"/>
      <c r="B333" s="4"/>
      <c r="C333" s="4"/>
      <c r="D333" s="1"/>
      <c r="E333" s="4"/>
      <c r="F333" s="1"/>
      <c r="G333" s="1"/>
      <c r="H333" s="1"/>
      <c r="I333" s="4"/>
    </row>
    <row r="334" ht="17.25" customHeight="1">
      <c r="A334" s="1"/>
      <c r="B334" s="4"/>
      <c r="C334" s="4"/>
      <c r="D334" s="1"/>
      <c r="E334" s="4"/>
      <c r="F334" s="1"/>
      <c r="G334" s="1"/>
      <c r="H334" s="1"/>
      <c r="I334" s="4"/>
    </row>
    <row r="335" ht="17.25" customHeight="1">
      <c r="A335" s="1"/>
      <c r="B335" s="4"/>
      <c r="C335" s="4"/>
      <c r="D335" s="1"/>
      <c r="E335" s="4"/>
      <c r="F335" s="1"/>
      <c r="G335" s="1"/>
      <c r="H335" s="1"/>
      <c r="I335" s="4"/>
    </row>
    <row r="336" ht="17.25" customHeight="1">
      <c r="A336" s="1"/>
      <c r="B336" s="4"/>
      <c r="C336" s="4"/>
      <c r="D336" s="1"/>
      <c r="E336" s="4"/>
      <c r="F336" s="1"/>
      <c r="G336" s="1"/>
      <c r="H336" s="1"/>
      <c r="I336" s="4"/>
    </row>
    <row r="337" ht="17.25" customHeight="1">
      <c r="A337" s="1"/>
      <c r="B337" s="4"/>
      <c r="C337" s="4"/>
      <c r="D337" s="1"/>
      <c r="E337" s="4"/>
      <c r="F337" s="1"/>
      <c r="G337" s="1"/>
      <c r="H337" s="1"/>
      <c r="I337" s="4"/>
    </row>
    <row r="338" ht="17.25" customHeight="1">
      <c r="A338" s="1"/>
      <c r="B338" s="4"/>
      <c r="C338" s="4"/>
      <c r="D338" s="1"/>
      <c r="E338" s="4"/>
      <c r="F338" s="1"/>
      <c r="G338" s="1"/>
      <c r="H338" s="1"/>
      <c r="I338" s="4"/>
    </row>
    <row r="339" ht="17.25" customHeight="1">
      <c r="A339" s="1"/>
      <c r="B339" s="4"/>
      <c r="C339" s="4"/>
      <c r="D339" s="1"/>
      <c r="E339" s="4"/>
      <c r="F339" s="1"/>
      <c r="G339" s="1"/>
      <c r="H339" s="1"/>
      <c r="I339" s="4"/>
    </row>
    <row r="340" ht="17.25" customHeight="1">
      <c r="A340" s="1"/>
      <c r="B340" s="4"/>
      <c r="C340" s="4"/>
      <c r="D340" s="1"/>
      <c r="E340" s="4"/>
      <c r="F340" s="1"/>
      <c r="G340" s="1"/>
      <c r="H340" s="1"/>
      <c r="I340" s="4"/>
    </row>
    <row r="341" ht="17.25" customHeight="1">
      <c r="A341" s="1"/>
      <c r="B341" s="4"/>
      <c r="C341" s="4"/>
      <c r="D341" s="1"/>
      <c r="E341" s="4"/>
      <c r="F341" s="1"/>
      <c r="G341" s="1"/>
      <c r="H341" s="1"/>
      <c r="I341" s="4"/>
    </row>
    <row r="342" ht="17.25" customHeight="1">
      <c r="A342" s="1"/>
      <c r="B342" s="4"/>
      <c r="C342" s="4"/>
      <c r="D342" s="1"/>
      <c r="E342" s="4"/>
      <c r="F342" s="1"/>
      <c r="G342" s="1"/>
      <c r="H342" s="1"/>
      <c r="I342" s="4"/>
    </row>
    <row r="343" ht="17.25" customHeight="1">
      <c r="A343" s="1"/>
      <c r="B343" s="4"/>
      <c r="C343" s="4"/>
      <c r="D343" s="1"/>
      <c r="E343" s="4"/>
      <c r="F343" s="1"/>
      <c r="G343" s="1"/>
      <c r="H343" s="1"/>
      <c r="I343" s="4"/>
    </row>
    <row r="344" ht="17.25" customHeight="1">
      <c r="A344" s="1"/>
      <c r="B344" s="4"/>
      <c r="C344" s="4"/>
      <c r="D344" s="1"/>
      <c r="E344" s="4"/>
      <c r="F344" s="1"/>
      <c r="G344" s="1"/>
      <c r="H344" s="1"/>
      <c r="I344" s="4"/>
    </row>
    <row r="345" ht="17.25" customHeight="1">
      <c r="A345" s="1"/>
      <c r="B345" s="4"/>
      <c r="C345" s="4"/>
      <c r="D345" s="1"/>
      <c r="E345" s="4"/>
      <c r="F345" s="1"/>
      <c r="G345" s="1"/>
      <c r="H345" s="1"/>
      <c r="I345" s="4"/>
    </row>
    <row r="346" ht="17.25" customHeight="1">
      <c r="A346" s="1"/>
      <c r="B346" s="4"/>
      <c r="C346" s="4"/>
      <c r="D346" s="1"/>
      <c r="E346" s="4"/>
      <c r="F346" s="1"/>
      <c r="G346" s="1"/>
      <c r="H346" s="1"/>
      <c r="I346" s="4"/>
    </row>
    <row r="347" ht="17.25" customHeight="1">
      <c r="A347" s="1"/>
      <c r="B347" s="4"/>
      <c r="C347" s="4"/>
      <c r="D347" s="1"/>
      <c r="E347" s="4"/>
      <c r="F347" s="1"/>
      <c r="G347" s="1"/>
      <c r="H347" s="1"/>
      <c r="I347" s="4"/>
    </row>
    <row r="348" ht="17.25" customHeight="1">
      <c r="A348" s="1"/>
      <c r="B348" s="4"/>
      <c r="C348" s="4"/>
      <c r="D348" s="1"/>
      <c r="E348" s="4"/>
      <c r="F348" s="1"/>
      <c r="G348" s="1"/>
      <c r="H348" s="1"/>
      <c r="I348" s="4"/>
    </row>
    <row r="349" ht="17.25" customHeight="1">
      <c r="A349" s="1"/>
      <c r="B349" s="4"/>
      <c r="C349" s="4"/>
      <c r="D349" s="1"/>
      <c r="E349" s="4"/>
      <c r="F349" s="1"/>
      <c r="G349" s="1"/>
      <c r="H349" s="1"/>
      <c r="I349" s="4"/>
    </row>
    <row r="350" ht="17.25" customHeight="1">
      <c r="A350" s="1"/>
      <c r="B350" s="4"/>
      <c r="C350" s="4"/>
      <c r="D350" s="1"/>
      <c r="E350" s="4"/>
      <c r="F350" s="1"/>
      <c r="G350" s="1"/>
      <c r="H350" s="1"/>
      <c r="I350" s="4"/>
    </row>
    <row r="351" ht="17.25" customHeight="1">
      <c r="A351" s="1"/>
      <c r="B351" s="4"/>
      <c r="C351" s="4"/>
      <c r="D351" s="1"/>
      <c r="E351" s="4"/>
      <c r="F351" s="1"/>
      <c r="G351" s="1"/>
      <c r="H351" s="1"/>
      <c r="I351" s="4"/>
    </row>
    <row r="352" ht="17.25" customHeight="1">
      <c r="A352" s="1"/>
      <c r="B352" s="4"/>
      <c r="C352" s="4"/>
      <c r="D352" s="1"/>
      <c r="E352" s="4"/>
      <c r="F352" s="1"/>
      <c r="G352" s="1"/>
      <c r="H352" s="1"/>
      <c r="I352" s="4"/>
    </row>
    <row r="353" ht="17.25" customHeight="1">
      <c r="A353" s="1"/>
      <c r="B353" s="4"/>
      <c r="C353" s="4"/>
      <c r="D353" s="1"/>
      <c r="E353" s="4"/>
      <c r="F353" s="1"/>
      <c r="G353" s="1"/>
      <c r="H353" s="1"/>
      <c r="I353" s="4"/>
    </row>
    <row r="354" ht="17.25" customHeight="1">
      <c r="A354" s="1"/>
      <c r="B354" s="4"/>
      <c r="C354" s="4"/>
      <c r="D354" s="1"/>
      <c r="E354" s="4"/>
      <c r="F354" s="1"/>
      <c r="G354" s="1"/>
      <c r="H354" s="1"/>
      <c r="I354" s="4"/>
    </row>
    <row r="355" ht="17.25" customHeight="1">
      <c r="A355" s="1"/>
      <c r="B355" s="4"/>
      <c r="C355" s="4"/>
      <c r="D355" s="1"/>
      <c r="E355" s="4"/>
      <c r="F355" s="1"/>
      <c r="G355" s="1"/>
      <c r="H355" s="1"/>
      <c r="I355" s="4"/>
    </row>
    <row r="356" ht="17.25" customHeight="1">
      <c r="A356" s="1"/>
      <c r="B356" s="4"/>
      <c r="C356" s="4"/>
      <c r="D356" s="1"/>
      <c r="E356" s="4"/>
      <c r="F356" s="1"/>
      <c r="G356" s="1"/>
      <c r="H356" s="1"/>
      <c r="I356" s="4"/>
    </row>
    <row r="357" ht="17.25" customHeight="1">
      <c r="A357" s="1"/>
      <c r="B357" s="4"/>
      <c r="C357" s="4"/>
      <c r="D357" s="1"/>
      <c r="E357" s="4"/>
      <c r="F357" s="1"/>
      <c r="G357" s="1"/>
      <c r="H357" s="1"/>
      <c r="I357" s="4"/>
    </row>
    <row r="358" ht="17.25" customHeight="1">
      <c r="A358" s="1"/>
      <c r="B358" s="4"/>
      <c r="C358" s="4"/>
      <c r="D358" s="1"/>
      <c r="E358" s="4"/>
      <c r="F358" s="1"/>
      <c r="G358" s="1"/>
      <c r="H358" s="1"/>
      <c r="I358" s="4"/>
    </row>
    <row r="359" ht="17.25" customHeight="1">
      <c r="A359" s="1"/>
      <c r="B359" s="4"/>
      <c r="C359" s="4"/>
      <c r="D359" s="1"/>
      <c r="E359" s="4"/>
      <c r="F359" s="1"/>
      <c r="G359" s="1"/>
      <c r="H359" s="1"/>
      <c r="I359" s="4"/>
    </row>
    <row r="360" ht="17.25" customHeight="1">
      <c r="A360" s="1"/>
      <c r="B360" s="4"/>
      <c r="C360" s="4"/>
      <c r="D360" s="1"/>
      <c r="E360" s="4"/>
      <c r="F360" s="1"/>
      <c r="G360" s="1"/>
      <c r="H360" s="1"/>
      <c r="I360" s="4"/>
    </row>
    <row r="361" ht="17.25" customHeight="1">
      <c r="A361" s="1"/>
      <c r="B361" s="4"/>
      <c r="C361" s="4"/>
      <c r="D361" s="1"/>
      <c r="E361" s="4"/>
      <c r="F361" s="1"/>
      <c r="G361" s="1"/>
      <c r="H361" s="1"/>
      <c r="I361" s="4"/>
    </row>
    <row r="362" ht="17.25" customHeight="1">
      <c r="A362" s="1"/>
      <c r="B362" s="4"/>
      <c r="C362" s="4"/>
      <c r="D362" s="1"/>
      <c r="E362" s="4"/>
      <c r="F362" s="1"/>
      <c r="G362" s="1"/>
      <c r="H362" s="1"/>
      <c r="I362" s="4"/>
    </row>
    <row r="363" ht="17.25" customHeight="1">
      <c r="A363" s="1"/>
      <c r="B363" s="4"/>
      <c r="C363" s="4"/>
      <c r="D363" s="1"/>
      <c r="E363" s="4"/>
      <c r="F363" s="1"/>
      <c r="G363" s="1"/>
      <c r="H363" s="1"/>
      <c r="I363" s="4"/>
    </row>
    <row r="364" ht="17.25" customHeight="1">
      <c r="A364" s="1"/>
      <c r="B364" s="4"/>
      <c r="C364" s="4"/>
      <c r="D364" s="1"/>
      <c r="E364" s="4"/>
      <c r="F364" s="1"/>
      <c r="G364" s="1"/>
      <c r="H364" s="1"/>
      <c r="I364" s="4"/>
    </row>
    <row r="365" ht="17.25" customHeight="1">
      <c r="A365" s="1"/>
      <c r="B365" s="4"/>
      <c r="C365" s="4"/>
      <c r="D365" s="1"/>
      <c r="E365" s="4"/>
      <c r="F365" s="1"/>
      <c r="G365" s="1"/>
      <c r="H365" s="1"/>
      <c r="I365" s="4"/>
    </row>
    <row r="366" ht="17.25" customHeight="1">
      <c r="A366" s="1"/>
      <c r="B366" s="4"/>
      <c r="C366" s="4"/>
      <c r="D366" s="1"/>
      <c r="E366" s="4"/>
      <c r="F366" s="1"/>
      <c r="G366" s="1"/>
      <c r="H366" s="1"/>
      <c r="I366" s="4"/>
    </row>
    <row r="367" ht="17.25" customHeight="1">
      <c r="A367" s="1"/>
      <c r="B367" s="4"/>
      <c r="C367" s="4"/>
      <c r="D367" s="1"/>
      <c r="E367" s="4"/>
      <c r="F367" s="1"/>
      <c r="G367" s="1"/>
      <c r="H367" s="1"/>
      <c r="I367" s="4"/>
    </row>
    <row r="368" ht="17.25" customHeight="1">
      <c r="A368" s="1"/>
      <c r="B368" s="4"/>
      <c r="C368" s="4"/>
      <c r="D368" s="1"/>
      <c r="E368" s="4"/>
      <c r="F368" s="1"/>
      <c r="G368" s="1"/>
      <c r="H368" s="1"/>
      <c r="I368" s="4"/>
    </row>
    <row r="369" ht="17.25" customHeight="1">
      <c r="A369" s="1"/>
      <c r="B369" s="4"/>
      <c r="C369" s="4"/>
      <c r="D369" s="1"/>
      <c r="E369" s="4"/>
      <c r="F369" s="1"/>
      <c r="G369" s="1"/>
      <c r="H369" s="1"/>
      <c r="I369" s="4"/>
    </row>
    <row r="370" ht="17.25" customHeight="1">
      <c r="A370" s="1"/>
      <c r="B370" s="4"/>
      <c r="C370" s="4"/>
      <c r="D370" s="1"/>
      <c r="E370" s="4"/>
      <c r="F370" s="1"/>
      <c r="G370" s="1"/>
      <c r="H370" s="1"/>
      <c r="I370" s="4"/>
    </row>
    <row r="371" ht="17.25" customHeight="1">
      <c r="A371" s="1"/>
      <c r="B371" s="4"/>
      <c r="C371" s="4"/>
      <c r="D371" s="1"/>
      <c r="E371" s="4"/>
      <c r="F371" s="1"/>
      <c r="G371" s="1"/>
      <c r="H371" s="1"/>
      <c r="I371" s="4"/>
    </row>
    <row r="372" ht="17.25" customHeight="1">
      <c r="A372" s="1"/>
      <c r="B372" s="4"/>
      <c r="C372" s="4"/>
      <c r="D372" s="1"/>
      <c r="E372" s="4"/>
      <c r="F372" s="1"/>
      <c r="G372" s="1"/>
      <c r="H372" s="1"/>
      <c r="I372" s="4"/>
    </row>
    <row r="373" ht="17.25" customHeight="1">
      <c r="A373" s="1"/>
      <c r="B373" s="4"/>
      <c r="C373" s="4"/>
      <c r="D373" s="1"/>
      <c r="E373" s="4"/>
      <c r="F373" s="1"/>
      <c r="G373" s="1"/>
      <c r="H373" s="1"/>
      <c r="I373" s="4"/>
    </row>
    <row r="374" ht="17.25" customHeight="1">
      <c r="A374" s="1"/>
      <c r="B374" s="4"/>
      <c r="C374" s="4"/>
      <c r="D374" s="1"/>
      <c r="E374" s="4"/>
      <c r="F374" s="1"/>
      <c r="G374" s="1"/>
      <c r="H374" s="1"/>
      <c r="I374" s="4"/>
    </row>
    <row r="375" ht="17.25" customHeight="1">
      <c r="A375" s="1"/>
      <c r="B375" s="4"/>
      <c r="C375" s="4"/>
      <c r="D375" s="1"/>
      <c r="E375" s="4"/>
      <c r="F375" s="1"/>
      <c r="G375" s="1"/>
      <c r="H375" s="1"/>
      <c r="I375" s="4"/>
    </row>
    <row r="376" ht="17.25" customHeight="1">
      <c r="A376" s="1"/>
      <c r="B376" s="4"/>
      <c r="C376" s="4"/>
      <c r="D376" s="1"/>
      <c r="E376" s="4"/>
      <c r="F376" s="1"/>
      <c r="G376" s="1"/>
      <c r="H376" s="1"/>
      <c r="I376" s="4"/>
    </row>
    <row r="377" ht="17.25" customHeight="1">
      <c r="A377" s="1"/>
      <c r="B377" s="4"/>
      <c r="C377" s="4"/>
      <c r="D377" s="1"/>
      <c r="E377" s="4"/>
      <c r="F377" s="1"/>
      <c r="G377" s="1"/>
      <c r="H377" s="1"/>
      <c r="I377" s="4"/>
    </row>
    <row r="378" ht="17.25" customHeight="1">
      <c r="A378" s="1"/>
      <c r="B378" s="4"/>
      <c r="C378" s="4"/>
      <c r="D378" s="1"/>
      <c r="E378" s="4"/>
      <c r="F378" s="1"/>
      <c r="G378" s="1"/>
      <c r="H378" s="1"/>
      <c r="I378" s="4"/>
    </row>
    <row r="379" ht="17.25" customHeight="1">
      <c r="A379" s="1"/>
      <c r="B379" s="4"/>
      <c r="C379" s="4"/>
      <c r="D379" s="1"/>
      <c r="E379" s="4"/>
      <c r="F379" s="1"/>
      <c r="G379" s="1"/>
      <c r="H379" s="1"/>
      <c r="I379" s="4"/>
    </row>
    <row r="380" ht="17.25" customHeight="1">
      <c r="A380" s="1"/>
      <c r="B380" s="4"/>
      <c r="C380" s="4"/>
      <c r="D380" s="1"/>
      <c r="E380" s="4"/>
      <c r="F380" s="1"/>
      <c r="G380" s="1"/>
      <c r="H380" s="1"/>
      <c r="I380" s="4"/>
    </row>
    <row r="381" ht="17.25" customHeight="1">
      <c r="A381" s="1"/>
      <c r="B381" s="4"/>
      <c r="C381" s="4"/>
      <c r="D381" s="1"/>
      <c r="E381" s="4"/>
      <c r="F381" s="1"/>
      <c r="G381" s="1"/>
      <c r="H381" s="1"/>
      <c r="I381" s="4"/>
    </row>
    <row r="382" ht="17.25" customHeight="1">
      <c r="A382" s="1"/>
      <c r="B382" s="4"/>
      <c r="C382" s="4"/>
      <c r="D382" s="1"/>
      <c r="E382" s="4"/>
      <c r="F382" s="1"/>
      <c r="G382" s="1"/>
      <c r="H382" s="1"/>
      <c r="I382" s="4"/>
    </row>
    <row r="383" ht="17.25" customHeight="1">
      <c r="A383" s="1"/>
      <c r="B383" s="4"/>
      <c r="C383" s="4"/>
      <c r="D383" s="1"/>
      <c r="E383" s="4"/>
      <c r="F383" s="1"/>
      <c r="G383" s="1"/>
      <c r="H383" s="1"/>
      <c r="I383" s="4"/>
    </row>
    <row r="384" ht="17.25" customHeight="1">
      <c r="A384" s="1"/>
      <c r="B384" s="4"/>
      <c r="C384" s="4"/>
      <c r="D384" s="1"/>
      <c r="E384" s="4"/>
      <c r="F384" s="1"/>
      <c r="G384" s="1"/>
      <c r="H384" s="1"/>
      <c r="I384" s="4"/>
    </row>
    <row r="385" ht="17.25" customHeight="1">
      <c r="A385" s="1"/>
      <c r="B385" s="4"/>
      <c r="C385" s="4"/>
      <c r="D385" s="1"/>
      <c r="E385" s="4"/>
      <c r="F385" s="1"/>
      <c r="G385" s="1"/>
      <c r="H385" s="1"/>
      <c r="I385" s="4"/>
    </row>
    <row r="386" ht="17.25" customHeight="1">
      <c r="A386" s="1"/>
      <c r="B386" s="4"/>
      <c r="C386" s="4"/>
      <c r="D386" s="1"/>
      <c r="E386" s="4"/>
      <c r="F386" s="1"/>
      <c r="G386" s="1"/>
      <c r="H386" s="1"/>
      <c r="I386" s="4"/>
    </row>
    <row r="387" ht="17.25" customHeight="1">
      <c r="A387" s="1"/>
      <c r="B387" s="4"/>
      <c r="C387" s="4"/>
      <c r="D387" s="1"/>
      <c r="E387" s="4"/>
      <c r="F387" s="1"/>
      <c r="G387" s="1"/>
      <c r="H387" s="1"/>
      <c r="I387" s="4"/>
    </row>
    <row r="388" ht="17.25" customHeight="1">
      <c r="A388" s="1"/>
      <c r="B388" s="4"/>
      <c r="C388" s="4"/>
      <c r="D388" s="1"/>
      <c r="E388" s="4"/>
      <c r="F388" s="1"/>
      <c r="G388" s="1"/>
      <c r="H388" s="1"/>
      <c r="I388" s="4"/>
    </row>
    <row r="389" ht="17.25" customHeight="1">
      <c r="A389" s="1"/>
      <c r="B389" s="4"/>
      <c r="C389" s="4"/>
      <c r="D389" s="1"/>
      <c r="E389" s="4"/>
      <c r="F389" s="1"/>
      <c r="G389" s="1"/>
      <c r="H389" s="1"/>
      <c r="I389" s="4"/>
    </row>
    <row r="390" ht="17.25" customHeight="1">
      <c r="A390" s="1"/>
      <c r="B390" s="4"/>
      <c r="C390" s="4"/>
      <c r="D390" s="1"/>
      <c r="E390" s="4"/>
      <c r="F390" s="1"/>
      <c r="G390" s="1"/>
      <c r="H390" s="1"/>
      <c r="I390" s="4"/>
    </row>
    <row r="391" ht="17.25" customHeight="1">
      <c r="A391" s="1"/>
      <c r="B391" s="4"/>
      <c r="C391" s="4"/>
      <c r="D391" s="1"/>
      <c r="E391" s="4"/>
      <c r="F391" s="1"/>
      <c r="G391" s="1"/>
      <c r="H391" s="1"/>
      <c r="I391" s="4"/>
    </row>
    <row r="392" ht="17.25" customHeight="1">
      <c r="A392" s="1"/>
      <c r="B392" s="4"/>
      <c r="C392" s="4"/>
      <c r="D392" s="1"/>
      <c r="E392" s="4"/>
      <c r="F392" s="1"/>
      <c r="G392" s="1"/>
      <c r="H392" s="1"/>
      <c r="I392" s="4"/>
    </row>
    <row r="393" ht="17.25" customHeight="1">
      <c r="A393" s="1"/>
      <c r="B393" s="4"/>
      <c r="C393" s="4"/>
      <c r="D393" s="1"/>
      <c r="E393" s="4"/>
      <c r="F393" s="1"/>
      <c r="G393" s="1"/>
      <c r="H393" s="1"/>
      <c r="I393" s="4"/>
    </row>
    <row r="394" ht="17.25" customHeight="1">
      <c r="A394" s="1"/>
      <c r="B394" s="4"/>
      <c r="C394" s="4"/>
      <c r="D394" s="1"/>
      <c r="E394" s="4"/>
      <c r="F394" s="1"/>
      <c r="G394" s="1"/>
      <c r="H394" s="1"/>
      <c r="I394" s="4"/>
    </row>
    <row r="395" ht="17.25" customHeight="1">
      <c r="A395" s="1"/>
      <c r="B395" s="4"/>
      <c r="C395" s="4"/>
      <c r="D395" s="1"/>
      <c r="E395" s="4"/>
      <c r="F395" s="1"/>
      <c r="G395" s="1"/>
      <c r="H395" s="1"/>
      <c r="I395" s="4"/>
    </row>
    <row r="396" ht="17.25" customHeight="1">
      <c r="A396" s="1"/>
      <c r="B396" s="4"/>
      <c r="C396" s="4"/>
      <c r="D396" s="1"/>
      <c r="E396" s="4"/>
      <c r="F396" s="1"/>
      <c r="G396" s="1"/>
      <c r="H396" s="1"/>
      <c r="I396" s="4"/>
    </row>
    <row r="397" ht="17.25" customHeight="1">
      <c r="A397" s="1"/>
      <c r="B397" s="4"/>
      <c r="C397" s="4"/>
      <c r="D397" s="1"/>
      <c r="E397" s="4"/>
      <c r="F397" s="1"/>
      <c r="G397" s="1"/>
      <c r="H397" s="1"/>
      <c r="I397" s="4"/>
    </row>
    <row r="398" ht="17.25" customHeight="1">
      <c r="A398" s="1"/>
      <c r="B398" s="4"/>
      <c r="C398" s="4"/>
      <c r="D398" s="1"/>
      <c r="E398" s="4"/>
      <c r="F398" s="1"/>
      <c r="G398" s="1"/>
      <c r="H398" s="1"/>
      <c r="I398" s="4"/>
    </row>
    <row r="399" ht="17.25" customHeight="1">
      <c r="A399" s="1"/>
      <c r="B399" s="4"/>
      <c r="C399" s="4"/>
      <c r="D399" s="1"/>
      <c r="E399" s="4"/>
      <c r="F399" s="1"/>
      <c r="G399" s="1"/>
      <c r="H399" s="1"/>
      <c r="I399" s="4"/>
    </row>
    <row r="400" ht="17.25" customHeight="1">
      <c r="A400" s="1"/>
      <c r="B400" s="4"/>
      <c r="C400" s="4"/>
      <c r="D400" s="1"/>
      <c r="E400" s="4"/>
      <c r="F400" s="1"/>
      <c r="G400" s="1"/>
      <c r="H400" s="1"/>
      <c r="I400" s="4"/>
    </row>
    <row r="401" ht="17.25" customHeight="1">
      <c r="A401" s="1"/>
      <c r="B401" s="4"/>
      <c r="C401" s="4"/>
      <c r="D401" s="1"/>
      <c r="E401" s="4"/>
      <c r="F401" s="1"/>
      <c r="G401" s="1"/>
      <c r="H401" s="1"/>
      <c r="I401" s="4"/>
    </row>
    <row r="402" ht="17.25" customHeight="1">
      <c r="A402" s="1"/>
      <c r="B402" s="4"/>
      <c r="C402" s="4"/>
      <c r="D402" s="1"/>
      <c r="E402" s="4"/>
      <c r="F402" s="1"/>
      <c r="G402" s="1"/>
      <c r="H402" s="1"/>
      <c r="I402" s="4"/>
    </row>
    <row r="403" ht="17.25" customHeight="1">
      <c r="A403" s="1"/>
      <c r="B403" s="4"/>
      <c r="C403" s="4"/>
      <c r="D403" s="1"/>
      <c r="E403" s="4"/>
      <c r="F403" s="1"/>
      <c r="G403" s="1"/>
      <c r="H403" s="1"/>
      <c r="I403" s="4"/>
    </row>
    <row r="404" ht="17.25" customHeight="1">
      <c r="A404" s="1"/>
      <c r="B404" s="4"/>
      <c r="C404" s="4"/>
      <c r="D404" s="1"/>
      <c r="E404" s="4"/>
      <c r="F404" s="1"/>
      <c r="G404" s="1"/>
      <c r="H404" s="1"/>
      <c r="I404" s="4"/>
    </row>
    <row r="405" ht="17.25" customHeight="1">
      <c r="A405" s="1"/>
      <c r="B405" s="4"/>
      <c r="C405" s="4"/>
      <c r="D405" s="1"/>
      <c r="E405" s="4"/>
      <c r="F405" s="1"/>
      <c r="G405" s="1"/>
      <c r="H405" s="1"/>
      <c r="I405" s="4"/>
    </row>
    <row r="406" ht="17.25" customHeight="1">
      <c r="A406" s="1"/>
      <c r="B406" s="4"/>
      <c r="C406" s="4"/>
      <c r="D406" s="1"/>
      <c r="E406" s="4"/>
      <c r="F406" s="1"/>
      <c r="G406" s="1"/>
      <c r="H406" s="1"/>
      <c r="I406" s="4"/>
    </row>
    <row r="407" ht="17.25" customHeight="1">
      <c r="A407" s="1"/>
      <c r="B407" s="4"/>
      <c r="C407" s="4"/>
      <c r="D407" s="1"/>
      <c r="E407" s="4"/>
      <c r="F407" s="1"/>
      <c r="G407" s="1"/>
      <c r="H407" s="1"/>
      <c r="I407" s="4"/>
    </row>
    <row r="408" ht="17.25" customHeight="1">
      <c r="A408" s="1"/>
      <c r="B408" s="4"/>
      <c r="C408" s="4"/>
      <c r="D408" s="1"/>
      <c r="E408" s="4"/>
      <c r="F408" s="1"/>
      <c r="G408" s="1"/>
      <c r="H408" s="1"/>
      <c r="I408" s="4"/>
    </row>
    <row r="409" ht="17.25" customHeight="1">
      <c r="A409" s="1"/>
      <c r="B409" s="4"/>
      <c r="C409" s="4"/>
      <c r="D409" s="1"/>
      <c r="E409" s="4"/>
      <c r="F409" s="1"/>
      <c r="G409" s="1"/>
      <c r="H409" s="1"/>
      <c r="I409" s="4"/>
    </row>
    <row r="410" ht="17.25" customHeight="1">
      <c r="A410" s="1"/>
      <c r="B410" s="4"/>
      <c r="C410" s="4"/>
      <c r="D410" s="1"/>
      <c r="E410" s="4"/>
      <c r="F410" s="1"/>
      <c r="G410" s="1"/>
      <c r="H410" s="1"/>
      <c r="I410" s="4"/>
    </row>
    <row r="411" ht="17.25" customHeight="1">
      <c r="A411" s="1"/>
      <c r="B411" s="4"/>
      <c r="C411" s="4"/>
      <c r="D411" s="1"/>
      <c r="E411" s="4"/>
      <c r="F411" s="1"/>
      <c r="G411" s="1"/>
      <c r="H411" s="1"/>
      <c r="I411" s="4"/>
    </row>
    <row r="412" ht="17.25" customHeight="1">
      <c r="A412" s="1"/>
      <c r="B412" s="4"/>
      <c r="C412" s="4"/>
      <c r="D412" s="1"/>
      <c r="E412" s="4"/>
      <c r="F412" s="1"/>
      <c r="G412" s="1"/>
      <c r="H412" s="1"/>
      <c r="I412" s="4"/>
    </row>
    <row r="413" ht="17.25" customHeight="1">
      <c r="A413" s="1"/>
      <c r="B413" s="4"/>
      <c r="C413" s="4"/>
      <c r="D413" s="1"/>
      <c r="E413" s="4"/>
      <c r="F413" s="1"/>
      <c r="G413" s="1"/>
      <c r="H413" s="1"/>
      <c r="I413" s="4"/>
    </row>
    <row r="414" ht="17.25" customHeight="1">
      <c r="A414" s="1"/>
      <c r="B414" s="4"/>
      <c r="C414" s="4"/>
      <c r="D414" s="1"/>
      <c r="E414" s="4"/>
      <c r="F414" s="1"/>
      <c r="G414" s="1"/>
      <c r="H414" s="1"/>
      <c r="I414" s="4"/>
    </row>
    <row r="415" ht="17.25" customHeight="1">
      <c r="A415" s="1"/>
      <c r="B415" s="4"/>
      <c r="C415" s="4"/>
      <c r="D415" s="1"/>
      <c r="E415" s="4"/>
      <c r="F415" s="1"/>
      <c r="G415" s="1"/>
      <c r="H415" s="1"/>
      <c r="I415" s="4"/>
    </row>
    <row r="416" ht="17.25" customHeight="1">
      <c r="A416" s="1"/>
      <c r="B416" s="4"/>
      <c r="C416" s="4"/>
      <c r="D416" s="1"/>
      <c r="E416" s="4"/>
      <c r="F416" s="1"/>
      <c r="G416" s="1"/>
      <c r="H416" s="1"/>
      <c r="I416" s="4"/>
    </row>
    <row r="417" ht="17.25" customHeight="1">
      <c r="A417" s="1"/>
      <c r="B417" s="4"/>
      <c r="C417" s="4"/>
      <c r="D417" s="1"/>
      <c r="E417" s="4"/>
      <c r="F417" s="1"/>
      <c r="G417" s="1"/>
      <c r="H417" s="1"/>
      <c r="I417" s="4"/>
    </row>
    <row r="418" ht="17.25" customHeight="1">
      <c r="A418" s="1"/>
      <c r="B418" s="4"/>
      <c r="C418" s="4"/>
      <c r="D418" s="1"/>
      <c r="E418" s="4"/>
      <c r="F418" s="1"/>
      <c r="G418" s="1"/>
      <c r="H418" s="1"/>
      <c r="I418" s="4"/>
    </row>
    <row r="419" ht="17.25" customHeight="1">
      <c r="A419" s="1"/>
      <c r="B419" s="4"/>
      <c r="C419" s="4"/>
      <c r="D419" s="1"/>
      <c r="E419" s="4"/>
      <c r="F419" s="1"/>
      <c r="G419" s="1"/>
      <c r="H419" s="1"/>
      <c r="I419" s="4"/>
    </row>
    <row r="420" ht="17.25" customHeight="1">
      <c r="A420" s="1"/>
      <c r="B420" s="4"/>
      <c r="C420" s="4"/>
      <c r="D420" s="1"/>
      <c r="E420" s="4"/>
      <c r="F420" s="1"/>
      <c r="G420" s="1"/>
      <c r="H420" s="1"/>
      <c r="I420" s="4"/>
    </row>
    <row r="421" ht="17.25" customHeight="1">
      <c r="A421" s="1"/>
      <c r="B421" s="4"/>
      <c r="C421" s="4"/>
      <c r="D421" s="1"/>
      <c r="E421" s="4"/>
      <c r="F421" s="1"/>
      <c r="G421" s="1"/>
      <c r="H421" s="1"/>
      <c r="I421" s="4"/>
    </row>
    <row r="422" ht="17.25" customHeight="1">
      <c r="A422" s="1"/>
      <c r="B422" s="4"/>
      <c r="C422" s="4"/>
      <c r="D422" s="1"/>
      <c r="E422" s="4"/>
      <c r="F422" s="1"/>
      <c r="G422" s="1"/>
      <c r="H422" s="1"/>
      <c r="I422" s="4"/>
    </row>
    <row r="423" ht="17.25" customHeight="1">
      <c r="A423" s="1"/>
      <c r="B423" s="4"/>
      <c r="C423" s="4"/>
      <c r="D423" s="1"/>
      <c r="E423" s="4"/>
      <c r="F423" s="1"/>
      <c r="G423" s="1"/>
      <c r="H423" s="1"/>
      <c r="I423" s="4"/>
    </row>
    <row r="424" ht="17.25" customHeight="1">
      <c r="A424" s="1"/>
      <c r="B424" s="4"/>
      <c r="C424" s="4"/>
      <c r="D424" s="1"/>
      <c r="E424" s="4"/>
      <c r="F424" s="1"/>
      <c r="G424" s="1"/>
      <c r="H424" s="1"/>
      <c r="I424" s="4"/>
    </row>
    <row r="425" ht="17.25" customHeight="1">
      <c r="A425" s="1"/>
      <c r="B425" s="4"/>
      <c r="C425" s="4"/>
      <c r="D425" s="1"/>
      <c r="E425" s="4"/>
      <c r="F425" s="1"/>
      <c r="G425" s="1"/>
      <c r="H425" s="1"/>
      <c r="I425" s="4"/>
    </row>
    <row r="426" ht="17.25" customHeight="1">
      <c r="A426" s="1"/>
      <c r="B426" s="4"/>
      <c r="C426" s="4"/>
      <c r="D426" s="1"/>
      <c r="E426" s="4"/>
      <c r="F426" s="1"/>
      <c r="G426" s="1"/>
      <c r="H426" s="1"/>
      <c r="I426" s="4"/>
    </row>
    <row r="427" ht="17.25" customHeight="1">
      <c r="A427" s="1"/>
      <c r="B427" s="4"/>
      <c r="C427" s="4"/>
      <c r="D427" s="1"/>
      <c r="E427" s="4"/>
      <c r="F427" s="1"/>
      <c r="G427" s="1"/>
      <c r="H427" s="1"/>
      <c r="I427" s="4"/>
    </row>
    <row r="428" ht="17.25" customHeight="1">
      <c r="A428" s="1"/>
      <c r="B428" s="4"/>
      <c r="C428" s="4"/>
      <c r="D428" s="1"/>
      <c r="E428" s="4"/>
      <c r="F428" s="1"/>
      <c r="G428" s="1"/>
      <c r="H428" s="1"/>
      <c r="I428" s="4"/>
    </row>
    <row r="429" ht="17.25" customHeight="1">
      <c r="A429" s="1"/>
      <c r="B429" s="4"/>
      <c r="C429" s="4"/>
      <c r="D429" s="1"/>
      <c r="E429" s="4"/>
      <c r="F429" s="1"/>
      <c r="G429" s="1"/>
      <c r="H429" s="1"/>
      <c r="I429" s="4"/>
    </row>
    <row r="430" ht="17.25" customHeight="1">
      <c r="A430" s="1"/>
      <c r="B430" s="4"/>
      <c r="C430" s="4"/>
      <c r="D430" s="1"/>
      <c r="E430" s="4"/>
      <c r="F430" s="1"/>
      <c r="G430" s="1"/>
      <c r="H430" s="1"/>
      <c r="I430" s="4"/>
    </row>
    <row r="431" ht="17.25" customHeight="1">
      <c r="A431" s="1"/>
      <c r="B431" s="4"/>
      <c r="C431" s="4"/>
      <c r="D431" s="1"/>
      <c r="E431" s="4"/>
      <c r="F431" s="1"/>
      <c r="G431" s="1"/>
      <c r="H431" s="1"/>
      <c r="I431" s="4"/>
    </row>
    <row r="432" ht="17.25" customHeight="1">
      <c r="A432" s="1"/>
      <c r="B432" s="4"/>
      <c r="C432" s="4"/>
      <c r="D432" s="1"/>
      <c r="E432" s="4"/>
      <c r="F432" s="1"/>
      <c r="G432" s="1"/>
      <c r="H432" s="1"/>
      <c r="I432" s="4"/>
    </row>
    <row r="433" ht="17.25" customHeight="1">
      <c r="A433" s="1"/>
      <c r="B433" s="4"/>
      <c r="C433" s="4"/>
      <c r="D433" s="1"/>
      <c r="E433" s="4"/>
      <c r="F433" s="1"/>
      <c r="G433" s="1"/>
      <c r="H433" s="1"/>
      <c r="I433" s="4"/>
    </row>
    <row r="434" ht="17.25" customHeight="1">
      <c r="A434" s="1"/>
      <c r="B434" s="4"/>
      <c r="C434" s="4"/>
      <c r="D434" s="1"/>
      <c r="E434" s="4"/>
      <c r="F434" s="1"/>
      <c r="G434" s="1"/>
      <c r="H434" s="1"/>
      <c r="I434" s="4"/>
    </row>
    <row r="435" ht="17.25" customHeight="1">
      <c r="A435" s="1"/>
      <c r="B435" s="4"/>
      <c r="C435" s="4"/>
      <c r="D435" s="1"/>
      <c r="E435" s="4"/>
      <c r="F435" s="1"/>
      <c r="G435" s="1"/>
      <c r="H435" s="1"/>
      <c r="I435" s="4"/>
    </row>
    <row r="436" ht="17.25" customHeight="1">
      <c r="A436" s="1"/>
      <c r="B436" s="4"/>
      <c r="C436" s="4"/>
      <c r="D436" s="1"/>
      <c r="E436" s="4"/>
      <c r="F436" s="1"/>
      <c r="G436" s="1"/>
      <c r="H436" s="1"/>
      <c r="I436" s="4"/>
    </row>
    <row r="437" ht="17.25" customHeight="1">
      <c r="A437" s="1"/>
      <c r="B437" s="4"/>
      <c r="C437" s="4"/>
      <c r="D437" s="1"/>
      <c r="E437" s="4"/>
      <c r="F437" s="1"/>
      <c r="G437" s="1"/>
      <c r="H437" s="1"/>
      <c r="I437" s="4"/>
    </row>
    <row r="438" ht="17.25" customHeight="1">
      <c r="A438" s="1"/>
      <c r="B438" s="4"/>
      <c r="C438" s="4"/>
      <c r="D438" s="1"/>
      <c r="E438" s="4"/>
      <c r="F438" s="1"/>
      <c r="G438" s="1"/>
      <c r="H438" s="1"/>
      <c r="I438" s="4"/>
    </row>
    <row r="439" ht="17.25" customHeight="1">
      <c r="A439" s="1"/>
      <c r="B439" s="4"/>
      <c r="C439" s="4"/>
      <c r="D439" s="1"/>
      <c r="E439" s="4"/>
      <c r="F439" s="1"/>
      <c r="G439" s="1"/>
      <c r="H439" s="1"/>
      <c r="I439" s="4"/>
    </row>
    <row r="440" ht="17.25" customHeight="1">
      <c r="A440" s="1"/>
      <c r="B440" s="4"/>
      <c r="C440" s="4"/>
      <c r="D440" s="1"/>
      <c r="E440" s="4"/>
      <c r="F440" s="1"/>
      <c r="G440" s="1"/>
      <c r="H440" s="1"/>
      <c r="I440" s="4"/>
    </row>
    <row r="441" ht="17.25" customHeight="1">
      <c r="A441" s="1"/>
      <c r="B441" s="4"/>
      <c r="C441" s="4"/>
      <c r="D441" s="1"/>
      <c r="E441" s="4"/>
      <c r="F441" s="1"/>
      <c r="G441" s="1"/>
      <c r="H441" s="1"/>
      <c r="I441" s="4"/>
    </row>
    <row r="442" ht="17.25" customHeight="1">
      <c r="A442" s="1"/>
      <c r="B442" s="4"/>
      <c r="C442" s="4"/>
      <c r="D442" s="1"/>
      <c r="E442" s="4"/>
      <c r="F442" s="1"/>
      <c r="G442" s="1"/>
      <c r="H442" s="1"/>
      <c r="I442" s="4"/>
    </row>
    <row r="443" ht="17.25" customHeight="1">
      <c r="A443" s="1"/>
      <c r="B443" s="4"/>
      <c r="C443" s="4"/>
      <c r="D443" s="1"/>
      <c r="E443" s="4"/>
      <c r="F443" s="1"/>
      <c r="G443" s="1"/>
      <c r="H443" s="1"/>
      <c r="I443" s="4"/>
    </row>
    <row r="444" ht="17.25" customHeight="1">
      <c r="A444" s="1"/>
      <c r="B444" s="4"/>
      <c r="C444" s="4"/>
      <c r="D444" s="1"/>
      <c r="E444" s="4"/>
      <c r="F444" s="1"/>
      <c r="G444" s="1"/>
      <c r="H444" s="1"/>
      <c r="I444" s="4"/>
    </row>
    <row r="445" ht="17.25" customHeight="1">
      <c r="A445" s="1"/>
      <c r="B445" s="4"/>
      <c r="C445" s="4"/>
      <c r="D445" s="1"/>
      <c r="E445" s="4"/>
      <c r="F445" s="1"/>
      <c r="G445" s="1"/>
      <c r="H445" s="1"/>
      <c r="I445" s="4"/>
    </row>
    <row r="446" ht="17.25" customHeight="1">
      <c r="A446" s="1"/>
      <c r="B446" s="4"/>
      <c r="C446" s="4"/>
      <c r="D446" s="1"/>
      <c r="E446" s="4"/>
      <c r="F446" s="1"/>
      <c r="G446" s="1"/>
      <c r="H446" s="1"/>
      <c r="I446" s="4"/>
    </row>
    <row r="447" ht="17.25" customHeight="1">
      <c r="A447" s="1"/>
      <c r="B447" s="4"/>
      <c r="C447" s="4"/>
      <c r="D447" s="1"/>
      <c r="E447" s="4"/>
      <c r="F447" s="1"/>
      <c r="G447" s="1"/>
      <c r="H447" s="1"/>
      <c r="I447" s="4"/>
    </row>
    <row r="448" ht="17.25" customHeight="1">
      <c r="A448" s="1"/>
      <c r="B448" s="4"/>
      <c r="C448" s="4"/>
      <c r="D448" s="1"/>
      <c r="E448" s="4"/>
      <c r="F448" s="1"/>
      <c r="G448" s="1"/>
      <c r="H448" s="1"/>
      <c r="I448" s="4"/>
    </row>
    <row r="449" ht="17.25" customHeight="1">
      <c r="A449" s="1"/>
      <c r="B449" s="4"/>
      <c r="C449" s="4"/>
      <c r="D449" s="1"/>
      <c r="E449" s="4"/>
      <c r="F449" s="1"/>
      <c r="G449" s="1"/>
      <c r="H449" s="1"/>
      <c r="I449" s="4"/>
    </row>
    <row r="450" ht="17.25" customHeight="1">
      <c r="A450" s="1"/>
      <c r="B450" s="4"/>
      <c r="C450" s="4"/>
      <c r="D450" s="1"/>
      <c r="E450" s="4"/>
      <c r="F450" s="1"/>
      <c r="G450" s="1"/>
      <c r="H450" s="1"/>
      <c r="I450" s="4"/>
    </row>
    <row r="451" ht="17.25" customHeight="1">
      <c r="A451" s="1"/>
      <c r="B451" s="4"/>
      <c r="C451" s="4"/>
      <c r="D451" s="1"/>
      <c r="E451" s="4"/>
      <c r="F451" s="1"/>
      <c r="G451" s="1"/>
      <c r="H451" s="1"/>
      <c r="I451" s="4"/>
    </row>
    <row r="452" ht="17.25" customHeight="1">
      <c r="A452" s="1"/>
      <c r="B452" s="4"/>
      <c r="C452" s="4"/>
      <c r="D452" s="1"/>
      <c r="E452" s="4"/>
      <c r="F452" s="1"/>
      <c r="G452" s="1"/>
      <c r="H452" s="1"/>
      <c r="I452" s="4"/>
    </row>
    <row r="453" ht="17.25" customHeight="1">
      <c r="A453" s="1"/>
      <c r="B453" s="4"/>
      <c r="C453" s="4"/>
      <c r="D453" s="1"/>
      <c r="E453" s="4"/>
      <c r="F453" s="1"/>
      <c r="G453" s="1"/>
      <c r="H453" s="1"/>
      <c r="I453" s="4"/>
    </row>
    <row r="454" ht="17.25" customHeight="1">
      <c r="A454" s="1"/>
      <c r="B454" s="4"/>
      <c r="C454" s="4"/>
      <c r="D454" s="1"/>
      <c r="E454" s="4"/>
      <c r="F454" s="1"/>
      <c r="G454" s="1"/>
      <c r="H454" s="1"/>
      <c r="I454" s="4"/>
    </row>
    <row r="455" ht="17.25" customHeight="1">
      <c r="A455" s="1"/>
      <c r="B455" s="4"/>
      <c r="C455" s="4"/>
      <c r="D455" s="1"/>
      <c r="E455" s="4"/>
      <c r="F455" s="1"/>
      <c r="G455" s="1"/>
      <c r="H455" s="1"/>
      <c r="I455" s="4"/>
    </row>
    <row r="456" ht="17.25" customHeight="1">
      <c r="A456" s="1"/>
      <c r="B456" s="4"/>
      <c r="C456" s="4"/>
      <c r="D456" s="1"/>
      <c r="E456" s="4"/>
      <c r="F456" s="1"/>
      <c r="G456" s="1"/>
      <c r="H456" s="1"/>
      <c r="I456" s="4"/>
    </row>
    <row r="457" ht="17.25" customHeight="1">
      <c r="A457" s="1"/>
      <c r="B457" s="4"/>
      <c r="C457" s="4"/>
      <c r="D457" s="1"/>
      <c r="E457" s="4"/>
      <c r="F457" s="1"/>
      <c r="G457" s="1"/>
      <c r="H457" s="1"/>
      <c r="I457" s="4"/>
    </row>
    <row r="458" ht="17.25" customHeight="1">
      <c r="A458" s="1"/>
      <c r="B458" s="4"/>
      <c r="C458" s="4"/>
      <c r="D458" s="1"/>
      <c r="E458" s="4"/>
      <c r="F458" s="1"/>
      <c r="G458" s="1"/>
      <c r="H458" s="1"/>
      <c r="I458" s="4"/>
    </row>
    <row r="459" ht="17.25" customHeight="1">
      <c r="A459" s="1"/>
      <c r="B459" s="4"/>
      <c r="C459" s="4"/>
      <c r="D459" s="1"/>
      <c r="E459" s="4"/>
      <c r="F459" s="1"/>
      <c r="G459" s="1"/>
      <c r="H459" s="1"/>
      <c r="I459" s="4"/>
    </row>
    <row r="460" ht="17.25" customHeight="1">
      <c r="A460" s="1"/>
      <c r="B460" s="4"/>
      <c r="C460" s="4"/>
      <c r="D460" s="1"/>
      <c r="E460" s="4"/>
      <c r="F460" s="1"/>
      <c r="G460" s="1"/>
      <c r="H460" s="1"/>
      <c r="I460" s="4"/>
    </row>
    <row r="461" ht="17.25" customHeight="1">
      <c r="A461" s="1"/>
      <c r="B461" s="4"/>
      <c r="C461" s="4"/>
      <c r="D461" s="1"/>
      <c r="E461" s="4"/>
      <c r="F461" s="1"/>
      <c r="G461" s="1"/>
      <c r="H461" s="1"/>
      <c r="I461" s="4"/>
    </row>
    <row r="462" ht="17.25" customHeight="1">
      <c r="A462" s="1"/>
      <c r="B462" s="4"/>
      <c r="C462" s="4"/>
      <c r="D462" s="1"/>
      <c r="E462" s="4"/>
      <c r="F462" s="1"/>
      <c r="G462" s="1"/>
      <c r="H462" s="1"/>
      <c r="I462" s="4"/>
    </row>
    <row r="463" ht="17.25" customHeight="1">
      <c r="A463" s="1"/>
      <c r="B463" s="4"/>
      <c r="C463" s="4"/>
      <c r="D463" s="1"/>
      <c r="E463" s="4"/>
      <c r="F463" s="1"/>
      <c r="G463" s="1"/>
      <c r="H463" s="1"/>
      <c r="I463" s="4"/>
    </row>
    <row r="464" ht="17.25" customHeight="1">
      <c r="A464" s="1"/>
      <c r="B464" s="4"/>
      <c r="C464" s="4"/>
      <c r="D464" s="1"/>
      <c r="E464" s="4"/>
      <c r="F464" s="1"/>
      <c r="G464" s="1"/>
      <c r="H464" s="1"/>
      <c r="I464" s="4"/>
    </row>
    <row r="465" ht="17.25" customHeight="1">
      <c r="A465" s="1"/>
      <c r="B465" s="4"/>
      <c r="C465" s="4"/>
      <c r="D465" s="1"/>
      <c r="E465" s="4"/>
      <c r="F465" s="1"/>
      <c r="G465" s="1"/>
      <c r="H465" s="1"/>
      <c r="I465" s="4"/>
    </row>
    <row r="466" ht="17.25" customHeight="1">
      <c r="A466" s="1"/>
      <c r="B466" s="4"/>
      <c r="C466" s="4"/>
      <c r="D466" s="1"/>
      <c r="E466" s="4"/>
      <c r="F466" s="1"/>
      <c r="G466" s="1"/>
      <c r="H466" s="1"/>
      <c r="I466" s="4"/>
    </row>
    <row r="467" ht="17.25" customHeight="1">
      <c r="A467" s="1"/>
      <c r="B467" s="4"/>
      <c r="C467" s="4"/>
      <c r="D467" s="1"/>
      <c r="E467" s="4"/>
      <c r="F467" s="1"/>
      <c r="G467" s="1"/>
      <c r="H467" s="1"/>
      <c r="I467" s="4"/>
    </row>
    <row r="468" ht="17.25" customHeight="1">
      <c r="A468" s="1"/>
      <c r="B468" s="4"/>
      <c r="C468" s="4"/>
      <c r="D468" s="1"/>
      <c r="E468" s="4"/>
      <c r="F468" s="1"/>
      <c r="G468" s="1"/>
      <c r="H468" s="1"/>
      <c r="I468" s="4"/>
    </row>
    <row r="469" ht="17.25" customHeight="1">
      <c r="A469" s="1"/>
      <c r="B469" s="4"/>
      <c r="C469" s="4"/>
      <c r="D469" s="1"/>
      <c r="E469" s="4"/>
      <c r="F469" s="1"/>
      <c r="G469" s="1"/>
      <c r="H469" s="1"/>
      <c r="I469" s="4"/>
    </row>
    <row r="470" ht="17.25" customHeight="1">
      <c r="A470" s="1"/>
      <c r="B470" s="4"/>
      <c r="C470" s="4"/>
      <c r="D470" s="1"/>
      <c r="E470" s="4"/>
      <c r="F470" s="1"/>
      <c r="G470" s="1"/>
      <c r="H470" s="1"/>
      <c r="I470" s="4"/>
    </row>
    <row r="471" ht="17.25" customHeight="1">
      <c r="A471" s="1"/>
      <c r="B471" s="4"/>
      <c r="C471" s="4"/>
      <c r="D471" s="1"/>
      <c r="E471" s="4"/>
      <c r="F471" s="1"/>
      <c r="G471" s="1"/>
      <c r="H471" s="1"/>
      <c r="I471" s="4"/>
    </row>
    <row r="472" ht="17.25" customHeight="1">
      <c r="A472" s="1"/>
      <c r="B472" s="4"/>
      <c r="C472" s="4"/>
      <c r="D472" s="1"/>
      <c r="E472" s="4"/>
      <c r="F472" s="1"/>
      <c r="G472" s="1"/>
      <c r="H472" s="1"/>
      <c r="I472" s="4"/>
    </row>
    <row r="473" ht="17.25" customHeight="1">
      <c r="A473" s="1"/>
      <c r="B473" s="4"/>
      <c r="C473" s="4"/>
      <c r="D473" s="1"/>
      <c r="E473" s="4"/>
      <c r="F473" s="1"/>
      <c r="G473" s="1"/>
      <c r="H473" s="1"/>
      <c r="I473" s="4"/>
    </row>
    <row r="474" ht="17.25" customHeight="1">
      <c r="A474" s="1"/>
      <c r="B474" s="4"/>
      <c r="C474" s="4"/>
      <c r="D474" s="1"/>
      <c r="E474" s="4"/>
      <c r="F474" s="1"/>
      <c r="G474" s="1"/>
      <c r="H474" s="1"/>
      <c r="I474" s="4"/>
    </row>
    <row r="475" ht="17.25" customHeight="1">
      <c r="A475" s="1"/>
      <c r="B475" s="4"/>
      <c r="C475" s="4"/>
      <c r="D475" s="1"/>
      <c r="E475" s="4"/>
      <c r="F475" s="1"/>
      <c r="G475" s="1"/>
      <c r="H475" s="1"/>
      <c r="I475" s="4"/>
    </row>
    <row r="476" ht="17.25" customHeight="1">
      <c r="A476" s="1"/>
      <c r="B476" s="4"/>
      <c r="C476" s="4"/>
      <c r="D476" s="1"/>
      <c r="E476" s="4"/>
      <c r="F476" s="1"/>
      <c r="G476" s="1"/>
      <c r="H476" s="1"/>
      <c r="I476" s="4"/>
    </row>
    <row r="477" ht="17.25" customHeight="1">
      <c r="A477" s="1"/>
      <c r="B477" s="4"/>
      <c r="C477" s="4"/>
      <c r="D477" s="1"/>
      <c r="E477" s="4"/>
      <c r="F477" s="1"/>
      <c r="G477" s="1"/>
      <c r="H477" s="1"/>
      <c r="I477" s="4"/>
    </row>
    <row r="478" ht="17.25" customHeight="1">
      <c r="A478" s="1"/>
      <c r="B478" s="4"/>
      <c r="C478" s="4"/>
      <c r="D478" s="1"/>
      <c r="E478" s="4"/>
      <c r="F478" s="1"/>
      <c r="G478" s="1"/>
      <c r="H478" s="1"/>
      <c r="I478" s="4"/>
    </row>
    <row r="479" ht="17.25" customHeight="1">
      <c r="A479" s="1"/>
      <c r="B479" s="4"/>
      <c r="C479" s="4"/>
      <c r="D479" s="1"/>
      <c r="E479" s="4"/>
      <c r="F479" s="1"/>
      <c r="G479" s="1"/>
      <c r="H479" s="1"/>
      <c r="I479" s="4"/>
    </row>
    <row r="480" ht="17.25" customHeight="1">
      <c r="A480" s="1"/>
      <c r="B480" s="4"/>
      <c r="C480" s="4"/>
      <c r="D480" s="1"/>
      <c r="E480" s="4"/>
      <c r="F480" s="1"/>
      <c r="G480" s="1"/>
      <c r="H480" s="1"/>
      <c r="I480" s="4"/>
    </row>
    <row r="481" ht="17.25" customHeight="1">
      <c r="A481" s="1"/>
      <c r="B481" s="4"/>
      <c r="C481" s="4"/>
      <c r="D481" s="1"/>
      <c r="E481" s="4"/>
      <c r="F481" s="1"/>
      <c r="G481" s="1"/>
      <c r="H481" s="1"/>
      <c r="I481" s="4"/>
    </row>
    <row r="482" ht="17.25" customHeight="1">
      <c r="A482" s="1"/>
      <c r="B482" s="4"/>
      <c r="C482" s="4"/>
      <c r="D482" s="1"/>
      <c r="E482" s="4"/>
      <c r="F482" s="1"/>
      <c r="G482" s="1"/>
      <c r="H482" s="1"/>
      <c r="I482" s="4"/>
    </row>
    <row r="483" ht="17.25" customHeight="1">
      <c r="A483" s="1"/>
      <c r="B483" s="4"/>
      <c r="C483" s="4"/>
      <c r="D483" s="1"/>
      <c r="E483" s="4"/>
      <c r="F483" s="1"/>
      <c r="G483" s="1"/>
      <c r="H483" s="1"/>
      <c r="I483" s="4"/>
    </row>
    <row r="484" ht="17.25" customHeight="1">
      <c r="A484" s="1"/>
      <c r="B484" s="4"/>
      <c r="C484" s="4"/>
      <c r="D484" s="1"/>
      <c r="E484" s="4"/>
      <c r="F484" s="1"/>
      <c r="G484" s="1"/>
      <c r="H484" s="1"/>
      <c r="I484" s="4"/>
    </row>
    <row r="485" ht="17.25" customHeight="1">
      <c r="A485" s="1"/>
      <c r="B485" s="4"/>
      <c r="C485" s="4"/>
      <c r="D485" s="1"/>
      <c r="E485" s="4"/>
      <c r="F485" s="1"/>
      <c r="G485" s="1"/>
      <c r="H485" s="1"/>
      <c r="I485" s="4"/>
    </row>
    <row r="486" ht="17.25" customHeight="1">
      <c r="A486" s="1"/>
      <c r="B486" s="4"/>
      <c r="C486" s="4"/>
      <c r="D486" s="1"/>
      <c r="E486" s="4"/>
      <c r="F486" s="1"/>
      <c r="G486" s="1"/>
      <c r="H486" s="1"/>
      <c r="I486" s="4"/>
    </row>
    <row r="487" ht="17.25" customHeight="1">
      <c r="A487" s="1"/>
      <c r="B487" s="4"/>
      <c r="C487" s="4"/>
      <c r="D487" s="1"/>
      <c r="E487" s="4"/>
      <c r="F487" s="1"/>
      <c r="G487" s="1"/>
      <c r="H487" s="1"/>
      <c r="I487" s="4"/>
    </row>
    <row r="488" ht="17.25" customHeight="1">
      <c r="A488" s="1"/>
      <c r="B488" s="4"/>
      <c r="C488" s="4"/>
      <c r="D488" s="1"/>
      <c r="E488" s="4"/>
      <c r="F488" s="1"/>
      <c r="G488" s="1"/>
      <c r="H488" s="1"/>
      <c r="I488" s="4"/>
    </row>
    <row r="489" ht="17.25" customHeight="1">
      <c r="A489" s="1"/>
      <c r="B489" s="4"/>
      <c r="C489" s="4"/>
      <c r="D489" s="1"/>
      <c r="E489" s="4"/>
      <c r="F489" s="1"/>
      <c r="G489" s="1"/>
      <c r="H489" s="1"/>
      <c r="I489" s="4"/>
    </row>
    <row r="490" ht="17.25" customHeight="1">
      <c r="A490" s="1"/>
      <c r="B490" s="4"/>
      <c r="C490" s="4"/>
      <c r="D490" s="1"/>
      <c r="E490" s="4"/>
      <c r="F490" s="1"/>
      <c r="G490" s="1"/>
      <c r="H490" s="1"/>
      <c r="I490" s="4"/>
    </row>
    <row r="491" ht="17.25" customHeight="1">
      <c r="A491" s="1"/>
      <c r="B491" s="4"/>
      <c r="C491" s="4"/>
      <c r="D491" s="1"/>
      <c r="E491" s="4"/>
      <c r="F491" s="1"/>
      <c r="G491" s="1"/>
      <c r="H491" s="1"/>
      <c r="I491" s="4"/>
    </row>
    <row r="492" ht="17.25" customHeight="1">
      <c r="A492" s="1"/>
      <c r="B492" s="4"/>
      <c r="C492" s="4"/>
      <c r="D492" s="1"/>
      <c r="E492" s="4"/>
      <c r="F492" s="1"/>
      <c r="G492" s="1"/>
      <c r="H492" s="1"/>
      <c r="I492" s="4"/>
    </row>
    <row r="493" ht="17.25" customHeight="1">
      <c r="A493" s="1"/>
      <c r="B493" s="4"/>
      <c r="C493" s="4"/>
      <c r="D493" s="1"/>
      <c r="E493" s="4"/>
      <c r="F493" s="1"/>
      <c r="G493" s="1"/>
      <c r="H493" s="1"/>
      <c r="I493" s="4"/>
    </row>
    <row r="494" ht="17.25" customHeight="1">
      <c r="A494" s="1"/>
      <c r="B494" s="4"/>
      <c r="C494" s="4"/>
      <c r="D494" s="1"/>
      <c r="E494" s="4"/>
      <c r="F494" s="1"/>
      <c r="G494" s="1"/>
      <c r="H494" s="1"/>
      <c r="I494" s="4"/>
    </row>
    <row r="495" ht="17.25" customHeight="1">
      <c r="A495" s="1"/>
      <c r="B495" s="4"/>
      <c r="C495" s="4"/>
      <c r="D495" s="1"/>
      <c r="E495" s="4"/>
      <c r="F495" s="1"/>
      <c r="G495" s="1"/>
      <c r="H495" s="1"/>
      <c r="I495" s="4"/>
    </row>
    <row r="496" ht="17.25" customHeight="1">
      <c r="A496" s="1"/>
      <c r="B496" s="4"/>
      <c r="C496" s="4"/>
      <c r="D496" s="1"/>
      <c r="E496" s="4"/>
      <c r="F496" s="1"/>
      <c r="G496" s="1"/>
      <c r="H496" s="1"/>
      <c r="I496" s="4"/>
    </row>
    <row r="497" ht="17.25" customHeight="1">
      <c r="A497" s="1"/>
      <c r="B497" s="4"/>
      <c r="C497" s="4"/>
      <c r="D497" s="1"/>
      <c r="E497" s="4"/>
      <c r="F497" s="1"/>
      <c r="G497" s="1"/>
      <c r="H497" s="1"/>
      <c r="I497" s="4"/>
    </row>
    <row r="498" ht="17.25" customHeight="1">
      <c r="A498" s="1"/>
      <c r="B498" s="4"/>
      <c r="C498" s="4"/>
      <c r="D498" s="1"/>
      <c r="E498" s="4"/>
      <c r="F498" s="1"/>
      <c r="G498" s="1"/>
      <c r="H498" s="1"/>
      <c r="I498" s="4"/>
    </row>
    <row r="499" ht="17.25" customHeight="1">
      <c r="A499" s="1"/>
      <c r="B499" s="4"/>
      <c r="C499" s="4"/>
      <c r="D499" s="1"/>
      <c r="E499" s="4"/>
      <c r="F499" s="1"/>
      <c r="G499" s="1"/>
      <c r="H499" s="1"/>
      <c r="I499" s="4"/>
    </row>
    <row r="500" ht="17.25" customHeight="1">
      <c r="A500" s="1"/>
      <c r="B500" s="4"/>
      <c r="C500" s="4"/>
      <c r="D500" s="1"/>
      <c r="E500" s="4"/>
      <c r="F500" s="1"/>
      <c r="G500" s="1"/>
      <c r="H500" s="1"/>
      <c r="I500" s="4"/>
    </row>
    <row r="501" ht="17.25" customHeight="1">
      <c r="A501" s="1"/>
      <c r="B501" s="4"/>
      <c r="C501" s="4"/>
      <c r="D501" s="1"/>
      <c r="E501" s="4"/>
      <c r="F501" s="1"/>
      <c r="G501" s="1"/>
      <c r="H501" s="1"/>
      <c r="I501" s="4"/>
    </row>
    <row r="502" ht="17.25" customHeight="1">
      <c r="A502" s="1"/>
      <c r="B502" s="4"/>
      <c r="C502" s="4"/>
      <c r="D502" s="1"/>
      <c r="E502" s="4"/>
      <c r="F502" s="1"/>
      <c r="G502" s="1"/>
      <c r="H502" s="1"/>
      <c r="I502" s="4"/>
    </row>
    <row r="503" ht="17.25" customHeight="1">
      <c r="A503" s="1"/>
      <c r="B503" s="4"/>
      <c r="C503" s="4"/>
      <c r="D503" s="1"/>
      <c r="E503" s="4"/>
      <c r="F503" s="1"/>
      <c r="G503" s="1"/>
      <c r="H503" s="1"/>
      <c r="I503" s="4"/>
    </row>
    <row r="504" ht="17.25" customHeight="1">
      <c r="A504" s="1"/>
      <c r="B504" s="4"/>
      <c r="C504" s="4"/>
      <c r="D504" s="1"/>
      <c r="E504" s="4"/>
      <c r="F504" s="1"/>
      <c r="G504" s="1"/>
      <c r="H504" s="1"/>
      <c r="I504" s="4"/>
    </row>
    <row r="505" ht="17.25" customHeight="1">
      <c r="A505" s="1"/>
      <c r="B505" s="4"/>
      <c r="C505" s="4"/>
      <c r="D505" s="1"/>
      <c r="E505" s="4"/>
      <c r="F505" s="1"/>
      <c r="G505" s="1"/>
      <c r="H505" s="1"/>
      <c r="I505" s="4"/>
    </row>
    <row r="506" ht="17.25" customHeight="1">
      <c r="A506" s="1"/>
      <c r="B506" s="4"/>
      <c r="C506" s="4"/>
      <c r="D506" s="1"/>
      <c r="E506" s="4"/>
      <c r="F506" s="1"/>
      <c r="G506" s="1"/>
      <c r="H506" s="1"/>
      <c r="I506" s="4"/>
    </row>
    <row r="507" ht="17.25" customHeight="1">
      <c r="A507" s="1"/>
      <c r="B507" s="4"/>
      <c r="C507" s="4"/>
      <c r="D507" s="1"/>
      <c r="E507" s="4"/>
      <c r="F507" s="1"/>
      <c r="G507" s="1"/>
      <c r="H507" s="1"/>
      <c r="I507" s="4"/>
    </row>
    <row r="508" ht="17.25" customHeight="1">
      <c r="A508" s="1"/>
      <c r="B508" s="4"/>
      <c r="C508" s="4"/>
      <c r="D508" s="1"/>
      <c r="E508" s="4"/>
      <c r="F508" s="1"/>
      <c r="G508" s="1"/>
      <c r="H508" s="1"/>
      <c r="I508" s="4"/>
    </row>
    <row r="509" ht="17.25" customHeight="1">
      <c r="A509" s="1"/>
      <c r="B509" s="4"/>
      <c r="C509" s="4"/>
      <c r="D509" s="1"/>
      <c r="E509" s="4"/>
      <c r="F509" s="1"/>
      <c r="G509" s="1"/>
      <c r="H509" s="1"/>
      <c r="I509" s="4"/>
    </row>
    <row r="510" ht="17.25" customHeight="1">
      <c r="A510" s="1"/>
      <c r="B510" s="4"/>
      <c r="C510" s="4"/>
      <c r="D510" s="1"/>
      <c r="E510" s="4"/>
      <c r="F510" s="1"/>
      <c r="G510" s="1"/>
      <c r="H510" s="1"/>
      <c r="I510" s="4"/>
    </row>
    <row r="511" ht="17.25" customHeight="1">
      <c r="A511" s="1"/>
      <c r="B511" s="4"/>
      <c r="C511" s="4"/>
      <c r="D511" s="1"/>
      <c r="E511" s="4"/>
      <c r="F511" s="1"/>
      <c r="G511" s="1"/>
      <c r="H511" s="1"/>
      <c r="I511" s="4"/>
    </row>
    <row r="512" ht="17.25" customHeight="1">
      <c r="A512" s="1"/>
      <c r="B512" s="4"/>
      <c r="C512" s="4"/>
      <c r="D512" s="1"/>
      <c r="E512" s="4"/>
      <c r="F512" s="1"/>
      <c r="G512" s="1"/>
      <c r="H512" s="1"/>
      <c r="I512" s="4"/>
    </row>
    <row r="513" ht="17.25" customHeight="1">
      <c r="A513" s="1"/>
      <c r="B513" s="4"/>
      <c r="C513" s="4"/>
      <c r="D513" s="1"/>
      <c r="E513" s="4"/>
      <c r="F513" s="1"/>
      <c r="G513" s="1"/>
      <c r="H513" s="1"/>
      <c r="I513" s="4"/>
    </row>
    <row r="514" ht="17.25" customHeight="1">
      <c r="A514" s="1"/>
      <c r="B514" s="4"/>
      <c r="C514" s="4"/>
      <c r="D514" s="1"/>
      <c r="E514" s="4"/>
      <c r="F514" s="1"/>
      <c r="G514" s="1"/>
      <c r="H514" s="1"/>
      <c r="I514" s="4"/>
    </row>
    <row r="515" ht="17.25" customHeight="1">
      <c r="A515" s="1"/>
      <c r="B515" s="4"/>
      <c r="C515" s="4"/>
      <c r="D515" s="1"/>
      <c r="E515" s="4"/>
      <c r="F515" s="1"/>
      <c r="G515" s="1"/>
      <c r="H515" s="1"/>
      <c r="I515" s="4"/>
    </row>
    <row r="516" ht="17.25" customHeight="1">
      <c r="A516" s="1"/>
      <c r="B516" s="4"/>
      <c r="C516" s="4"/>
      <c r="D516" s="1"/>
      <c r="E516" s="4"/>
      <c r="F516" s="1"/>
      <c r="G516" s="1"/>
      <c r="H516" s="1"/>
      <c r="I516" s="4"/>
    </row>
    <row r="517" ht="17.25" customHeight="1">
      <c r="A517" s="1"/>
      <c r="B517" s="4"/>
      <c r="C517" s="4"/>
      <c r="D517" s="1"/>
      <c r="E517" s="4"/>
      <c r="F517" s="1"/>
      <c r="G517" s="1"/>
      <c r="H517" s="1"/>
      <c r="I517" s="4"/>
    </row>
    <row r="518" ht="17.25" customHeight="1">
      <c r="A518" s="1"/>
      <c r="B518" s="4"/>
      <c r="C518" s="4"/>
      <c r="D518" s="1"/>
      <c r="E518" s="4"/>
      <c r="F518" s="1"/>
      <c r="G518" s="1"/>
      <c r="H518" s="1"/>
      <c r="I518" s="4"/>
    </row>
    <row r="519" ht="17.25" customHeight="1">
      <c r="A519" s="1"/>
      <c r="B519" s="4"/>
      <c r="C519" s="4"/>
      <c r="D519" s="1"/>
      <c r="E519" s="4"/>
      <c r="F519" s="1"/>
      <c r="G519" s="1"/>
      <c r="H519" s="1"/>
      <c r="I519" s="4"/>
    </row>
    <row r="520" ht="17.25" customHeight="1">
      <c r="A520" s="1"/>
      <c r="B520" s="4"/>
      <c r="C520" s="4"/>
      <c r="D520" s="1"/>
      <c r="E520" s="4"/>
      <c r="F520" s="1"/>
      <c r="G520" s="1"/>
      <c r="H520" s="1"/>
      <c r="I520" s="4"/>
    </row>
    <row r="521" ht="17.25" customHeight="1">
      <c r="A521" s="1"/>
      <c r="B521" s="4"/>
      <c r="C521" s="4"/>
      <c r="D521" s="1"/>
      <c r="E521" s="4"/>
      <c r="F521" s="1"/>
      <c r="G521" s="1"/>
      <c r="H521" s="1"/>
      <c r="I521" s="4"/>
    </row>
    <row r="522" ht="17.25" customHeight="1">
      <c r="A522" s="1"/>
      <c r="B522" s="4"/>
      <c r="C522" s="4"/>
      <c r="D522" s="1"/>
      <c r="E522" s="4"/>
      <c r="F522" s="1"/>
      <c r="G522" s="1"/>
      <c r="H522" s="1"/>
      <c r="I522" s="4"/>
    </row>
    <row r="523" ht="17.25" customHeight="1">
      <c r="A523" s="1"/>
      <c r="B523" s="4"/>
      <c r="C523" s="4"/>
      <c r="D523" s="1"/>
      <c r="E523" s="4"/>
      <c r="F523" s="1"/>
      <c r="G523" s="1"/>
      <c r="H523" s="1"/>
      <c r="I523" s="4"/>
    </row>
    <row r="524" ht="17.25" customHeight="1">
      <c r="A524" s="1"/>
      <c r="B524" s="4"/>
      <c r="C524" s="4"/>
      <c r="D524" s="1"/>
      <c r="E524" s="4"/>
      <c r="F524" s="1"/>
      <c r="G524" s="1"/>
      <c r="H524" s="1"/>
      <c r="I524" s="4"/>
    </row>
    <row r="525" ht="17.25" customHeight="1">
      <c r="A525" s="1"/>
      <c r="B525" s="4"/>
      <c r="C525" s="4"/>
      <c r="D525" s="1"/>
      <c r="E525" s="4"/>
      <c r="F525" s="1"/>
      <c r="G525" s="1"/>
      <c r="H525" s="1"/>
      <c r="I525" s="4"/>
    </row>
    <row r="526" ht="17.25" customHeight="1">
      <c r="A526" s="1"/>
      <c r="B526" s="4"/>
      <c r="C526" s="4"/>
      <c r="D526" s="1"/>
      <c r="E526" s="4"/>
      <c r="F526" s="1"/>
      <c r="G526" s="1"/>
      <c r="H526" s="1"/>
      <c r="I526" s="4"/>
    </row>
    <row r="527" ht="17.25" customHeight="1">
      <c r="A527" s="1"/>
      <c r="B527" s="4"/>
      <c r="C527" s="4"/>
      <c r="D527" s="1"/>
      <c r="E527" s="4"/>
      <c r="F527" s="1"/>
      <c r="G527" s="1"/>
      <c r="H527" s="1"/>
      <c r="I527" s="4"/>
    </row>
    <row r="528" ht="17.25" customHeight="1">
      <c r="A528" s="1"/>
      <c r="B528" s="4"/>
      <c r="C528" s="4"/>
      <c r="D528" s="1"/>
      <c r="E528" s="4"/>
      <c r="F528" s="1"/>
      <c r="G528" s="1"/>
      <c r="H528" s="1"/>
      <c r="I528" s="4"/>
    </row>
    <row r="529" ht="17.25" customHeight="1">
      <c r="A529" s="1"/>
      <c r="B529" s="4"/>
      <c r="C529" s="4"/>
      <c r="D529" s="1"/>
      <c r="E529" s="4"/>
      <c r="F529" s="1"/>
      <c r="G529" s="1"/>
      <c r="H529" s="1"/>
      <c r="I529" s="4"/>
    </row>
    <row r="530" ht="17.25" customHeight="1">
      <c r="A530" s="1"/>
      <c r="B530" s="4"/>
      <c r="C530" s="4"/>
      <c r="D530" s="1"/>
      <c r="E530" s="4"/>
      <c r="F530" s="1"/>
      <c r="G530" s="1"/>
      <c r="H530" s="1"/>
      <c r="I530" s="4"/>
    </row>
    <row r="531" ht="17.25" customHeight="1">
      <c r="A531" s="1"/>
      <c r="B531" s="4"/>
      <c r="C531" s="4"/>
      <c r="D531" s="1"/>
      <c r="E531" s="4"/>
      <c r="F531" s="1"/>
      <c r="G531" s="1"/>
      <c r="H531" s="1"/>
      <c r="I531" s="4"/>
    </row>
    <row r="532" ht="17.25" customHeight="1">
      <c r="A532" s="1"/>
      <c r="B532" s="4"/>
      <c r="C532" s="4"/>
      <c r="D532" s="1"/>
      <c r="E532" s="4"/>
      <c r="F532" s="1"/>
      <c r="G532" s="1"/>
      <c r="H532" s="1"/>
      <c r="I532" s="4"/>
    </row>
    <row r="533" ht="17.25" customHeight="1">
      <c r="A533" s="1"/>
      <c r="B533" s="4"/>
      <c r="C533" s="4"/>
      <c r="D533" s="1"/>
      <c r="E533" s="4"/>
      <c r="F533" s="1"/>
      <c r="G533" s="1"/>
      <c r="H533" s="1"/>
      <c r="I533" s="4"/>
    </row>
    <row r="534" ht="17.25" customHeight="1">
      <c r="A534" s="1"/>
      <c r="B534" s="4"/>
      <c r="C534" s="4"/>
      <c r="D534" s="1"/>
      <c r="E534" s="4"/>
      <c r="F534" s="1"/>
      <c r="G534" s="1"/>
      <c r="H534" s="1"/>
      <c r="I534" s="4"/>
    </row>
    <row r="535" ht="17.25" customHeight="1">
      <c r="A535" s="1"/>
      <c r="B535" s="4"/>
      <c r="C535" s="4"/>
      <c r="D535" s="1"/>
      <c r="E535" s="4"/>
      <c r="F535" s="1"/>
      <c r="G535" s="1"/>
      <c r="H535" s="1"/>
      <c r="I535" s="4"/>
    </row>
    <row r="536" ht="17.25" customHeight="1">
      <c r="A536" s="1"/>
      <c r="B536" s="4"/>
      <c r="C536" s="4"/>
      <c r="D536" s="1"/>
      <c r="E536" s="4"/>
      <c r="F536" s="1"/>
      <c r="G536" s="1"/>
      <c r="H536" s="1"/>
      <c r="I536" s="4"/>
    </row>
    <row r="537" ht="17.25" customHeight="1">
      <c r="A537" s="1"/>
      <c r="B537" s="4"/>
      <c r="C537" s="4"/>
      <c r="D537" s="1"/>
      <c r="E537" s="4"/>
      <c r="F537" s="1"/>
      <c r="G537" s="1"/>
      <c r="H537" s="1"/>
      <c r="I537" s="4"/>
    </row>
    <row r="538" ht="17.25" customHeight="1">
      <c r="A538" s="1"/>
      <c r="B538" s="4"/>
      <c r="C538" s="4"/>
      <c r="D538" s="1"/>
      <c r="E538" s="4"/>
      <c r="F538" s="1"/>
      <c r="G538" s="1"/>
      <c r="H538" s="1"/>
      <c r="I538" s="4"/>
    </row>
    <row r="539" ht="17.25" customHeight="1">
      <c r="A539" s="1"/>
      <c r="B539" s="4"/>
      <c r="C539" s="4"/>
      <c r="D539" s="1"/>
      <c r="E539" s="4"/>
      <c r="F539" s="1"/>
      <c r="G539" s="1"/>
      <c r="H539" s="1"/>
      <c r="I539" s="4"/>
    </row>
    <row r="540" ht="17.25" customHeight="1">
      <c r="A540" s="1"/>
      <c r="B540" s="4"/>
      <c r="C540" s="4"/>
      <c r="D540" s="1"/>
      <c r="E540" s="4"/>
      <c r="F540" s="1"/>
      <c r="G540" s="1"/>
      <c r="H540" s="1"/>
      <c r="I540" s="4"/>
    </row>
    <row r="541" ht="17.25" customHeight="1">
      <c r="A541" s="1"/>
      <c r="B541" s="4"/>
      <c r="C541" s="4"/>
      <c r="D541" s="1"/>
      <c r="E541" s="4"/>
      <c r="F541" s="1"/>
      <c r="G541" s="1"/>
      <c r="H541" s="1"/>
      <c r="I541" s="4"/>
    </row>
    <row r="542" ht="17.25" customHeight="1">
      <c r="A542" s="1"/>
      <c r="B542" s="4"/>
      <c r="C542" s="4"/>
      <c r="D542" s="1"/>
      <c r="E542" s="4"/>
      <c r="F542" s="1"/>
      <c r="G542" s="1"/>
      <c r="H542" s="1"/>
      <c r="I542" s="4"/>
    </row>
    <row r="543" ht="17.25" customHeight="1">
      <c r="A543" s="1"/>
      <c r="B543" s="4"/>
      <c r="C543" s="4"/>
      <c r="D543" s="1"/>
      <c r="E543" s="4"/>
      <c r="F543" s="1"/>
      <c r="G543" s="1"/>
      <c r="H543" s="1"/>
      <c r="I543" s="4"/>
    </row>
    <row r="544" ht="17.25" customHeight="1">
      <c r="A544" s="1"/>
      <c r="B544" s="4"/>
      <c r="C544" s="4"/>
      <c r="D544" s="1"/>
      <c r="E544" s="4"/>
      <c r="F544" s="1"/>
      <c r="G544" s="1"/>
      <c r="H544" s="1"/>
      <c r="I544" s="4"/>
    </row>
    <row r="545" ht="17.25" customHeight="1">
      <c r="A545" s="1"/>
      <c r="B545" s="4"/>
      <c r="C545" s="4"/>
      <c r="D545" s="1"/>
      <c r="E545" s="4"/>
      <c r="F545" s="1"/>
      <c r="G545" s="1"/>
      <c r="H545" s="1"/>
      <c r="I545" s="4"/>
    </row>
    <row r="546" ht="17.25" customHeight="1">
      <c r="A546" s="1"/>
      <c r="B546" s="4"/>
      <c r="C546" s="4"/>
      <c r="D546" s="1"/>
      <c r="E546" s="4"/>
      <c r="F546" s="1"/>
      <c r="G546" s="1"/>
      <c r="H546" s="1"/>
      <c r="I546" s="4"/>
    </row>
    <row r="547" ht="17.25" customHeight="1">
      <c r="A547" s="1"/>
      <c r="B547" s="4"/>
      <c r="C547" s="4"/>
      <c r="D547" s="1"/>
      <c r="E547" s="4"/>
      <c r="F547" s="1"/>
      <c r="G547" s="1"/>
      <c r="H547" s="1"/>
      <c r="I547" s="4"/>
    </row>
    <row r="548" ht="17.25" customHeight="1">
      <c r="A548" s="1"/>
      <c r="B548" s="4"/>
      <c r="C548" s="4"/>
      <c r="D548" s="1"/>
      <c r="E548" s="4"/>
      <c r="F548" s="1"/>
      <c r="G548" s="1"/>
      <c r="H548" s="1"/>
      <c r="I548" s="4"/>
    </row>
    <row r="549" ht="17.25" customHeight="1">
      <c r="A549" s="1"/>
      <c r="B549" s="4"/>
      <c r="C549" s="4"/>
      <c r="D549" s="1"/>
      <c r="E549" s="4"/>
      <c r="F549" s="1"/>
      <c r="G549" s="1"/>
      <c r="H549" s="1"/>
      <c r="I549" s="4"/>
    </row>
    <row r="550" ht="17.25" customHeight="1">
      <c r="A550" s="1"/>
      <c r="B550" s="4"/>
      <c r="C550" s="4"/>
      <c r="D550" s="1"/>
      <c r="E550" s="4"/>
      <c r="F550" s="1"/>
      <c r="G550" s="1"/>
      <c r="H550" s="1"/>
      <c r="I550" s="4"/>
    </row>
    <row r="551" ht="17.25" customHeight="1">
      <c r="A551" s="1"/>
      <c r="B551" s="4"/>
      <c r="C551" s="4"/>
      <c r="D551" s="1"/>
      <c r="E551" s="4"/>
      <c r="F551" s="1"/>
      <c r="G551" s="1"/>
      <c r="H551" s="1"/>
      <c r="I551" s="4"/>
    </row>
    <row r="552" ht="17.25" customHeight="1">
      <c r="A552" s="1"/>
      <c r="B552" s="4"/>
      <c r="C552" s="4"/>
      <c r="D552" s="1"/>
      <c r="E552" s="4"/>
      <c r="F552" s="1"/>
      <c r="G552" s="1"/>
      <c r="H552" s="1"/>
      <c r="I552" s="4"/>
    </row>
    <row r="553" ht="17.25" customHeight="1">
      <c r="A553" s="1"/>
      <c r="B553" s="4"/>
      <c r="C553" s="4"/>
      <c r="D553" s="1"/>
      <c r="E553" s="4"/>
      <c r="F553" s="1"/>
      <c r="G553" s="1"/>
      <c r="H553" s="1"/>
      <c r="I553" s="4"/>
    </row>
    <row r="554" ht="17.25" customHeight="1">
      <c r="A554" s="1"/>
      <c r="B554" s="4"/>
      <c r="C554" s="4"/>
      <c r="D554" s="1"/>
      <c r="E554" s="4"/>
      <c r="F554" s="1"/>
      <c r="G554" s="1"/>
      <c r="H554" s="1"/>
      <c r="I554" s="4"/>
    </row>
    <row r="555" ht="17.25" customHeight="1">
      <c r="A555" s="1"/>
      <c r="B555" s="4"/>
      <c r="C555" s="4"/>
      <c r="D555" s="1"/>
      <c r="E555" s="4"/>
      <c r="F555" s="1"/>
      <c r="G555" s="1"/>
      <c r="H555" s="1"/>
      <c r="I555" s="4"/>
    </row>
    <row r="556" ht="17.25" customHeight="1">
      <c r="A556" s="1"/>
      <c r="B556" s="4"/>
      <c r="C556" s="4"/>
      <c r="D556" s="1"/>
      <c r="E556" s="4"/>
      <c r="F556" s="1"/>
      <c r="G556" s="1"/>
      <c r="H556" s="1"/>
      <c r="I556" s="4"/>
    </row>
    <row r="557" ht="17.25" customHeight="1">
      <c r="A557" s="1"/>
      <c r="B557" s="4"/>
      <c r="C557" s="4"/>
      <c r="D557" s="1"/>
      <c r="E557" s="4"/>
      <c r="F557" s="1"/>
      <c r="G557" s="1"/>
      <c r="H557" s="1"/>
      <c r="I557" s="4"/>
    </row>
    <row r="558" ht="17.25" customHeight="1">
      <c r="A558" s="1"/>
      <c r="B558" s="4"/>
      <c r="C558" s="4"/>
      <c r="D558" s="1"/>
      <c r="E558" s="4"/>
      <c r="F558" s="1"/>
      <c r="G558" s="1"/>
      <c r="H558" s="1"/>
      <c r="I558" s="4"/>
    </row>
    <row r="559" ht="17.25" customHeight="1">
      <c r="A559" s="1"/>
      <c r="B559" s="4"/>
      <c r="C559" s="4"/>
      <c r="D559" s="1"/>
      <c r="E559" s="4"/>
      <c r="F559" s="1"/>
      <c r="G559" s="1"/>
      <c r="H559" s="1"/>
      <c r="I559" s="4"/>
    </row>
    <row r="560" ht="17.25" customHeight="1">
      <c r="A560" s="1"/>
      <c r="B560" s="4"/>
      <c r="C560" s="4"/>
      <c r="D560" s="1"/>
      <c r="E560" s="4"/>
      <c r="F560" s="1"/>
      <c r="G560" s="1"/>
      <c r="H560" s="1"/>
      <c r="I560" s="4"/>
    </row>
    <row r="561" ht="17.25" customHeight="1">
      <c r="A561" s="1"/>
      <c r="B561" s="4"/>
      <c r="C561" s="4"/>
      <c r="D561" s="1"/>
      <c r="E561" s="4"/>
      <c r="F561" s="1"/>
      <c r="G561" s="1"/>
      <c r="H561" s="1"/>
      <c r="I561" s="4"/>
    </row>
    <row r="562" ht="17.25" customHeight="1">
      <c r="A562" s="1"/>
      <c r="B562" s="4"/>
      <c r="C562" s="4"/>
      <c r="D562" s="1"/>
      <c r="E562" s="4"/>
      <c r="F562" s="1"/>
      <c r="G562" s="1"/>
      <c r="H562" s="1"/>
      <c r="I562" s="4"/>
    </row>
    <row r="563" ht="17.25" customHeight="1">
      <c r="A563" s="1"/>
      <c r="B563" s="4"/>
      <c r="C563" s="4"/>
      <c r="D563" s="1"/>
      <c r="E563" s="4"/>
      <c r="F563" s="1"/>
      <c r="G563" s="1"/>
      <c r="H563" s="1"/>
      <c r="I563" s="4"/>
    </row>
    <row r="564" ht="17.25" customHeight="1">
      <c r="A564" s="1"/>
      <c r="B564" s="4"/>
      <c r="C564" s="4"/>
      <c r="D564" s="1"/>
      <c r="E564" s="4"/>
      <c r="F564" s="1"/>
      <c r="G564" s="1"/>
      <c r="H564" s="1"/>
      <c r="I564" s="4"/>
    </row>
    <row r="565" ht="17.25" customHeight="1">
      <c r="A565" s="1"/>
      <c r="B565" s="4"/>
      <c r="C565" s="4"/>
      <c r="D565" s="1"/>
      <c r="E565" s="4"/>
      <c r="F565" s="1"/>
      <c r="G565" s="1"/>
      <c r="H565" s="1"/>
      <c r="I565" s="4"/>
    </row>
    <row r="566" ht="17.25" customHeight="1">
      <c r="A566" s="1"/>
      <c r="B566" s="4"/>
      <c r="C566" s="4"/>
      <c r="D566" s="1"/>
      <c r="E566" s="4"/>
      <c r="F566" s="1"/>
      <c r="G566" s="1"/>
      <c r="H566" s="1"/>
      <c r="I566" s="4"/>
    </row>
    <row r="567" ht="17.25" customHeight="1">
      <c r="A567" s="1"/>
      <c r="B567" s="4"/>
      <c r="C567" s="4"/>
      <c r="D567" s="1"/>
      <c r="E567" s="4"/>
      <c r="F567" s="1"/>
      <c r="G567" s="1"/>
      <c r="H567" s="1"/>
      <c r="I567" s="4"/>
    </row>
    <row r="568" ht="17.25" customHeight="1">
      <c r="A568" s="1"/>
      <c r="B568" s="4"/>
      <c r="C568" s="4"/>
      <c r="D568" s="1"/>
      <c r="E568" s="4"/>
      <c r="F568" s="1"/>
      <c r="G568" s="1"/>
      <c r="H568" s="1"/>
      <c r="I568" s="4"/>
    </row>
    <row r="569" ht="17.25" customHeight="1">
      <c r="A569" s="1"/>
      <c r="B569" s="4"/>
      <c r="C569" s="4"/>
      <c r="D569" s="1"/>
      <c r="E569" s="4"/>
      <c r="F569" s="1"/>
      <c r="G569" s="1"/>
      <c r="H569" s="1"/>
      <c r="I569" s="4"/>
    </row>
    <row r="570" ht="17.25" customHeight="1">
      <c r="A570" s="1"/>
      <c r="B570" s="4"/>
      <c r="C570" s="4"/>
      <c r="D570" s="1"/>
      <c r="E570" s="4"/>
      <c r="F570" s="1"/>
      <c r="G570" s="1"/>
      <c r="H570" s="1"/>
      <c r="I570" s="4"/>
    </row>
    <row r="571" ht="17.25" customHeight="1">
      <c r="A571" s="1"/>
      <c r="B571" s="4"/>
      <c r="C571" s="4"/>
      <c r="D571" s="1"/>
      <c r="E571" s="4"/>
      <c r="F571" s="1"/>
      <c r="G571" s="1"/>
      <c r="H571" s="1"/>
      <c r="I571" s="4"/>
    </row>
    <row r="572" ht="17.25" customHeight="1">
      <c r="A572" s="1"/>
      <c r="B572" s="4"/>
      <c r="C572" s="4"/>
      <c r="D572" s="1"/>
      <c r="E572" s="4"/>
      <c r="F572" s="1"/>
      <c r="G572" s="1"/>
      <c r="H572" s="1"/>
      <c r="I572" s="4"/>
    </row>
    <row r="573" ht="17.25" customHeight="1">
      <c r="A573" s="1"/>
      <c r="B573" s="4"/>
      <c r="C573" s="4"/>
      <c r="D573" s="1"/>
      <c r="E573" s="4"/>
      <c r="F573" s="1"/>
      <c r="G573" s="1"/>
      <c r="H573" s="1"/>
      <c r="I573" s="4"/>
    </row>
    <row r="574" ht="17.25" customHeight="1">
      <c r="A574" s="1"/>
      <c r="B574" s="4"/>
      <c r="C574" s="4"/>
      <c r="D574" s="1"/>
      <c r="E574" s="4"/>
      <c r="F574" s="1"/>
      <c r="G574" s="1"/>
      <c r="H574" s="1"/>
      <c r="I574" s="4"/>
    </row>
    <row r="575" ht="17.25" customHeight="1">
      <c r="A575" s="1"/>
      <c r="B575" s="4"/>
      <c r="C575" s="4"/>
      <c r="D575" s="1"/>
      <c r="E575" s="4"/>
      <c r="F575" s="1"/>
      <c r="G575" s="1"/>
      <c r="H575" s="1"/>
      <c r="I575" s="4"/>
    </row>
    <row r="576" ht="17.25" customHeight="1">
      <c r="A576" s="1"/>
      <c r="B576" s="4"/>
      <c r="C576" s="4"/>
      <c r="D576" s="1"/>
      <c r="E576" s="4"/>
      <c r="F576" s="1"/>
      <c r="G576" s="1"/>
      <c r="H576" s="1"/>
      <c r="I576" s="4"/>
    </row>
    <row r="577" ht="17.25" customHeight="1">
      <c r="A577" s="1"/>
      <c r="B577" s="4"/>
      <c r="C577" s="4"/>
      <c r="D577" s="1"/>
      <c r="E577" s="4"/>
      <c r="F577" s="1"/>
      <c r="G577" s="1"/>
      <c r="H577" s="1"/>
      <c r="I577" s="4"/>
    </row>
    <row r="578" ht="17.25" customHeight="1">
      <c r="A578" s="1"/>
      <c r="B578" s="4"/>
      <c r="C578" s="4"/>
      <c r="D578" s="1"/>
      <c r="E578" s="4"/>
      <c r="F578" s="1"/>
      <c r="G578" s="1"/>
      <c r="H578" s="1"/>
      <c r="I578" s="4"/>
    </row>
    <row r="579" ht="17.25" customHeight="1">
      <c r="A579" s="1"/>
      <c r="B579" s="4"/>
      <c r="C579" s="4"/>
      <c r="D579" s="1"/>
      <c r="E579" s="4"/>
      <c r="F579" s="1"/>
      <c r="G579" s="1"/>
      <c r="H579" s="1"/>
      <c r="I579" s="4"/>
    </row>
    <row r="580" ht="17.25" customHeight="1">
      <c r="A580" s="1"/>
      <c r="B580" s="4"/>
      <c r="C580" s="4"/>
      <c r="D580" s="1"/>
      <c r="E580" s="4"/>
      <c r="F580" s="1"/>
      <c r="G580" s="1"/>
      <c r="H580" s="1"/>
      <c r="I580" s="4"/>
    </row>
    <row r="581" ht="17.25" customHeight="1">
      <c r="A581" s="1"/>
      <c r="B581" s="4"/>
      <c r="C581" s="4"/>
      <c r="D581" s="1"/>
      <c r="E581" s="4"/>
      <c r="F581" s="1"/>
      <c r="G581" s="1"/>
      <c r="H581" s="1"/>
      <c r="I581" s="4"/>
    </row>
    <row r="582" ht="17.25" customHeight="1">
      <c r="A582" s="1"/>
      <c r="B582" s="4"/>
      <c r="C582" s="4"/>
      <c r="D582" s="1"/>
      <c r="E582" s="4"/>
      <c r="F582" s="1"/>
      <c r="G582" s="1"/>
      <c r="H582" s="1"/>
      <c r="I582" s="4"/>
    </row>
    <row r="583" ht="17.25" customHeight="1">
      <c r="A583" s="1"/>
      <c r="B583" s="4"/>
      <c r="C583" s="4"/>
      <c r="D583" s="1"/>
      <c r="E583" s="4"/>
      <c r="F583" s="1"/>
      <c r="G583" s="1"/>
      <c r="H583" s="1"/>
      <c r="I583" s="4"/>
    </row>
    <row r="584" ht="17.25" customHeight="1">
      <c r="A584" s="1"/>
      <c r="B584" s="4"/>
      <c r="C584" s="4"/>
      <c r="D584" s="1"/>
      <c r="E584" s="4"/>
      <c r="F584" s="1"/>
      <c r="G584" s="1"/>
      <c r="H584" s="1"/>
      <c r="I584" s="4"/>
    </row>
    <row r="585" ht="17.25" customHeight="1">
      <c r="A585" s="1"/>
      <c r="B585" s="4"/>
      <c r="C585" s="4"/>
      <c r="D585" s="1"/>
      <c r="E585" s="4"/>
      <c r="F585" s="1"/>
      <c r="G585" s="1"/>
      <c r="H585" s="1"/>
      <c r="I585" s="4"/>
    </row>
    <row r="586" ht="17.25" customHeight="1">
      <c r="A586" s="1"/>
      <c r="B586" s="4"/>
      <c r="C586" s="4"/>
      <c r="D586" s="1"/>
      <c r="E586" s="4"/>
      <c r="F586" s="1"/>
      <c r="G586" s="1"/>
      <c r="H586" s="1"/>
      <c r="I586" s="4"/>
    </row>
    <row r="587" ht="17.25" customHeight="1">
      <c r="A587" s="1"/>
      <c r="B587" s="4"/>
      <c r="C587" s="4"/>
      <c r="D587" s="1"/>
      <c r="E587" s="4"/>
      <c r="F587" s="1"/>
      <c r="G587" s="1"/>
      <c r="H587" s="1"/>
      <c r="I587" s="4"/>
    </row>
    <row r="588" ht="17.25" customHeight="1">
      <c r="A588" s="1"/>
      <c r="B588" s="4"/>
      <c r="C588" s="4"/>
      <c r="D588" s="1"/>
      <c r="E588" s="4"/>
      <c r="F588" s="1"/>
      <c r="G588" s="1"/>
      <c r="H588" s="1"/>
      <c r="I588" s="4"/>
    </row>
    <row r="589" ht="17.25" customHeight="1">
      <c r="A589" s="1"/>
      <c r="B589" s="4"/>
      <c r="C589" s="4"/>
      <c r="D589" s="1"/>
      <c r="E589" s="4"/>
      <c r="F589" s="1"/>
      <c r="G589" s="1"/>
      <c r="H589" s="1"/>
      <c r="I589" s="4"/>
    </row>
    <row r="590" ht="17.25" customHeight="1">
      <c r="A590" s="1"/>
      <c r="B590" s="4"/>
      <c r="C590" s="4"/>
      <c r="D590" s="1"/>
      <c r="E590" s="4"/>
      <c r="F590" s="1"/>
      <c r="G590" s="1"/>
      <c r="H590" s="1"/>
      <c r="I590" s="4"/>
    </row>
    <row r="591" ht="17.25" customHeight="1">
      <c r="A591" s="1"/>
      <c r="B591" s="4"/>
      <c r="C591" s="4"/>
      <c r="D591" s="1"/>
      <c r="E591" s="4"/>
      <c r="F591" s="1"/>
      <c r="G591" s="1"/>
      <c r="H591" s="1"/>
      <c r="I591" s="4"/>
    </row>
    <row r="592" ht="17.25" customHeight="1">
      <c r="A592" s="1"/>
      <c r="B592" s="4"/>
      <c r="C592" s="4"/>
      <c r="D592" s="1"/>
      <c r="E592" s="4"/>
      <c r="F592" s="1"/>
      <c r="G592" s="1"/>
      <c r="H592" s="1"/>
      <c r="I592" s="4"/>
    </row>
    <row r="593" ht="17.25" customHeight="1">
      <c r="A593" s="1"/>
      <c r="B593" s="4"/>
      <c r="C593" s="4"/>
      <c r="D593" s="1"/>
      <c r="E593" s="4"/>
      <c r="F593" s="1"/>
      <c r="G593" s="1"/>
      <c r="H593" s="1"/>
      <c r="I593" s="4"/>
    </row>
    <row r="594" ht="17.25" customHeight="1">
      <c r="A594" s="1"/>
      <c r="B594" s="4"/>
      <c r="C594" s="4"/>
      <c r="D594" s="1"/>
      <c r="E594" s="4"/>
      <c r="F594" s="1"/>
      <c r="G594" s="1"/>
      <c r="H594" s="1"/>
      <c r="I594" s="4"/>
    </row>
    <row r="595" ht="17.25" customHeight="1">
      <c r="A595" s="1"/>
      <c r="B595" s="4"/>
      <c r="C595" s="4"/>
      <c r="D595" s="1"/>
      <c r="E595" s="4"/>
      <c r="F595" s="1"/>
      <c r="G595" s="1"/>
      <c r="H595" s="1"/>
      <c r="I595" s="4"/>
    </row>
    <row r="596" ht="17.25" customHeight="1">
      <c r="A596" s="1"/>
      <c r="B596" s="4"/>
      <c r="C596" s="4"/>
      <c r="D596" s="1"/>
      <c r="E596" s="4"/>
      <c r="F596" s="1"/>
      <c r="G596" s="1"/>
      <c r="H596" s="1"/>
      <c r="I596" s="4"/>
    </row>
    <row r="597" ht="17.25" customHeight="1">
      <c r="A597" s="1"/>
      <c r="B597" s="4"/>
      <c r="C597" s="4"/>
      <c r="D597" s="1"/>
      <c r="E597" s="4"/>
      <c r="F597" s="1"/>
      <c r="G597" s="1"/>
      <c r="H597" s="1"/>
      <c r="I597" s="4"/>
    </row>
    <row r="598" ht="17.25" customHeight="1">
      <c r="A598" s="1"/>
      <c r="B598" s="4"/>
      <c r="C598" s="4"/>
      <c r="D598" s="1"/>
      <c r="E598" s="4"/>
      <c r="F598" s="1"/>
      <c r="G598" s="1"/>
      <c r="H598" s="1"/>
      <c r="I598" s="4"/>
    </row>
    <row r="599" ht="17.25" customHeight="1">
      <c r="A599" s="1"/>
      <c r="B599" s="4"/>
      <c r="C599" s="4"/>
      <c r="D599" s="1"/>
      <c r="E599" s="4"/>
      <c r="F599" s="1"/>
      <c r="G599" s="1"/>
      <c r="H599" s="1"/>
      <c r="I599" s="4"/>
    </row>
    <row r="600" ht="17.25" customHeight="1">
      <c r="A600" s="1"/>
      <c r="B600" s="4"/>
      <c r="C600" s="4"/>
      <c r="D600" s="1"/>
      <c r="E600" s="4"/>
      <c r="F600" s="1"/>
      <c r="G600" s="1"/>
      <c r="H600" s="1"/>
      <c r="I600" s="4"/>
    </row>
    <row r="601" ht="17.25" customHeight="1">
      <c r="A601" s="1"/>
      <c r="B601" s="4"/>
      <c r="C601" s="4"/>
      <c r="D601" s="1"/>
      <c r="E601" s="4"/>
      <c r="F601" s="1"/>
      <c r="G601" s="1"/>
      <c r="H601" s="1"/>
      <c r="I601" s="4"/>
    </row>
    <row r="602" ht="17.25" customHeight="1">
      <c r="A602" s="1"/>
      <c r="B602" s="4"/>
      <c r="C602" s="4"/>
      <c r="D602" s="1"/>
      <c r="E602" s="4"/>
      <c r="F602" s="1"/>
      <c r="G602" s="1"/>
      <c r="H602" s="1"/>
      <c r="I602" s="4"/>
    </row>
    <row r="603" ht="17.25" customHeight="1">
      <c r="A603" s="1"/>
      <c r="B603" s="4"/>
      <c r="C603" s="4"/>
      <c r="D603" s="1"/>
      <c r="E603" s="4"/>
      <c r="F603" s="1"/>
      <c r="G603" s="1"/>
      <c r="H603" s="1"/>
      <c r="I603" s="4"/>
    </row>
    <row r="604" ht="17.25" customHeight="1">
      <c r="A604" s="1"/>
      <c r="B604" s="4"/>
      <c r="C604" s="4"/>
      <c r="D604" s="1"/>
      <c r="E604" s="4"/>
      <c r="F604" s="1"/>
      <c r="G604" s="1"/>
      <c r="H604" s="1"/>
      <c r="I604" s="4"/>
    </row>
    <row r="605" ht="17.25" customHeight="1">
      <c r="A605" s="1"/>
      <c r="B605" s="4"/>
      <c r="C605" s="4"/>
      <c r="D605" s="1"/>
      <c r="E605" s="4"/>
      <c r="F605" s="1"/>
      <c r="G605" s="1"/>
      <c r="H605" s="1"/>
      <c r="I605" s="4"/>
    </row>
    <row r="606" ht="17.25" customHeight="1">
      <c r="A606" s="1"/>
      <c r="B606" s="4"/>
      <c r="C606" s="4"/>
      <c r="D606" s="1"/>
      <c r="E606" s="4"/>
      <c r="F606" s="1"/>
      <c r="G606" s="1"/>
      <c r="H606" s="1"/>
      <c r="I606" s="4"/>
    </row>
    <row r="607" ht="17.25" customHeight="1">
      <c r="A607" s="1"/>
      <c r="B607" s="4"/>
      <c r="C607" s="4"/>
      <c r="D607" s="1"/>
      <c r="E607" s="4"/>
      <c r="F607" s="1"/>
      <c r="G607" s="1"/>
      <c r="H607" s="1"/>
      <c r="I607" s="4"/>
    </row>
    <row r="608" ht="17.25" customHeight="1">
      <c r="A608" s="1"/>
      <c r="B608" s="4"/>
      <c r="C608" s="4"/>
      <c r="D608" s="1"/>
      <c r="E608" s="4"/>
      <c r="F608" s="1"/>
      <c r="G608" s="1"/>
      <c r="H608" s="1"/>
      <c r="I608" s="4"/>
    </row>
    <row r="609" ht="17.25" customHeight="1">
      <c r="A609" s="1"/>
      <c r="B609" s="4"/>
      <c r="C609" s="4"/>
      <c r="D609" s="1"/>
      <c r="E609" s="4"/>
      <c r="F609" s="1"/>
      <c r="G609" s="1"/>
      <c r="H609" s="1"/>
      <c r="I609" s="4"/>
    </row>
    <row r="610" ht="17.25" customHeight="1">
      <c r="A610" s="1"/>
      <c r="B610" s="4"/>
      <c r="C610" s="4"/>
      <c r="D610" s="1"/>
      <c r="E610" s="4"/>
      <c r="F610" s="1"/>
      <c r="G610" s="1"/>
      <c r="H610" s="1"/>
      <c r="I610" s="4"/>
    </row>
    <row r="611" ht="17.25" customHeight="1">
      <c r="A611" s="1"/>
      <c r="B611" s="4"/>
      <c r="C611" s="4"/>
      <c r="D611" s="1"/>
      <c r="E611" s="4"/>
      <c r="F611" s="1"/>
      <c r="G611" s="1"/>
      <c r="H611" s="1"/>
      <c r="I611" s="4"/>
    </row>
    <row r="612" ht="17.25" customHeight="1">
      <c r="A612" s="1"/>
      <c r="B612" s="4"/>
      <c r="C612" s="4"/>
      <c r="D612" s="1"/>
      <c r="E612" s="4"/>
      <c r="F612" s="1"/>
      <c r="G612" s="1"/>
      <c r="H612" s="1"/>
      <c r="I612" s="4"/>
    </row>
    <row r="613" ht="17.25" customHeight="1">
      <c r="A613" s="1"/>
      <c r="B613" s="4"/>
      <c r="C613" s="4"/>
      <c r="D613" s="1"/>
      <c r="E613" s="4"/>
      <c r="F613" s="1"/>
      <c r="G613" s="1"/>
      <c r="H613" s="1"/>
      <c r="I613" s="4"/>
    </row>
    <row r="614" ht="17.25" customHeight="1">
      <c r="A614" s="1"/>
      <c r="B614" s="4"/>
      <c r="C614" s="4"/>
      <c r="D614" s="1"/>
      <c r="E614" s="4"/>
      <c r="F614" s="1"/>
      <c r="G614" s="1"/>
      <c r="H614" s="1"/>
      <c r="I614" s="4"/>
    </row>
    <row r="615" ht="17.25" customHeight="1">
      <c r="A615" s="1"/>
      <c r="B615" s="4"/>
      <c r="C615" s="4"/>
      <c r="D615" s="1"/>
      <c r="E615" s="4"/>
      <c r="F615" s="1"/>
      <c r="G615" s="1"/>
      <c r="H615" s="1"/>
      <c r="I615" s="4"/>
    </row>
    <row r="616" ht="17.25" customHeight="1">
      <c r="A616" s="1"/>
      <c r="B616" s="4"/>
      <c r="C616" s="4"/>
      <c r="D616" s="1"/>
      <c r="E616" s="4"/>
      <c r="F616" s="1"/>
      <c r="G616" s="1"/>
      <c r="H616" s="1"/>
      <c r="I616" s="4"/>
    </row>
    <row r="617" ht="17.25" customHeight="1">
      <c r="A617" s="1"/>
      <c r="B617" s="4"/>
      <c r="C617" s="4"/>
      <c r="D617" s="1"/>
      <c r="E617" s="4"/>
      <c r="F617" s="1"/>
      <c r="G617" s="1"/>
      <c r="H617" s="1"/>
      <c r="I617" s="4"/>
    </row>
    <row r="618" ht="17.25" customHeight="1">
      <c r="A618" s="1"/>
      <c r="B618" s="4"/>
      <c r="C618" s="4"/>
      <c r="D618" s="1"/>
      <c r="E618" s="4"/>
      <c r="F618" s="1"/>
      <c r="G618" s="1"/>
      <c r="H618" s="1"/>
      <c r="I618" s="4"/>
    </row>
    <row r="619" ht="17.25" customHeight="1">
      <c r="A619" s="1"/>
      <c r="B619" s="4"/>
      <c r="C619" s="4"/>
      <c r="D619" s="1"/>
      <c r="E619" s="4"/>
      <c r="F619" s="1"/>
      <c r="G619" s="1"/>
      <c r="H619" s="1"/>
      <c r="I619" s="4"/>
    </row>
    <row r="620" ht="17.25" customHeight="1">
      <c r="A620" s="1"/>
      <c r="B620" s="4"/>
      <c r="C620" s="4"/>
      <c r="D620" s="1"/>
      <c r="E620" s="4"/>
      <c r="F620" s="1"/>
      <c r="G620" s="1"/>
      <c r="H620" s="1"/>
      <c r="I620" s="4"/>
    </row>
    <row r="621" ht="17.25" customHeight="1">
      <c r="A621" s="1"/>
      <c r="B621" s="4"/>
      <c r="C621" s="4"/>
      <c r="D621" s="1"/>
      <c r="E621" s="4"/>
      <c r="F621" s="1"/>
      <c r="G621" s="1"/>
      <c r="H621" s="1"/>
      <c r="I621" s="4"/>
    </row>
    <row r="622" ht="17.25" customHeight="1">
      <c r="A622" s="1"/>
      <c r="B622" s="4"/>
      <c r="C622" s="4"/>
      <c r="D622" s="1"/>
      <c r="E622" s="4"/>
      <c r="F622" s="1"/>
      <c r="G622" s="1"/>
      <c r="H622" s="1"/>
      <c r="I622" s="4"/>
    </row>
    <row r="623" ht="17.25" customHeight="1">
      <c r="A623" s="1"/>
      <c r="B623" s="4"/>
      <c r="C623" s="4"/>
      <c r="D623" s="1"/>
      <c r="E623" s="4"/>
      <c r="F623" s="1"/>
      <c r="G623" s="1"/>
      <c r="H623" s="1"/>
      <c r="I623" s="4"/>
    </row>
    <row r="624" ht="17.25" customHeight="1">
      <c r="A624" s="1"/>
      <c r="B624" s="4"/>
      <c r="C624" s="4"/>
      <c r="D624" s="1"/>
      <c r="E624" s="4"/>
      <c r="F624" s="1"/>
      <c r="G624" s="1"/>
      <c r="H624" s="1"/>
      <c r="I624" s="4"/>
    </row>
    <row r="625" ht="17.25" customHeight="1">
      <c r="A625" s="1"/>
      <c r="B625" s="4"/>
      <c r="C625" s="4"/>
      <c r="D625" s="1"/>
      <c r="E625" s="4"/>
      <c r="F625" s="1"/>
      <c r="G625" s="1"/>
      <c r="H625" s="1"/>
      <c r="I625" s="4"/>
    </row>
    <row r="626" ht="17.25" customHeight="1">
      <c r="A626" s="1"/>
      <c r="B626" s="4"/>
      <c r="C626" s="4"/>
      <c r="D626" s="1"/>
      <c r="E626" s="4"/>
      <c r="F626" s="1"/>
      <c r="G626" s="1"/>
      <c r="H626" s="1"/>
      <c r="I626" s="4"/>
    </row>
    <row r="627" ht="17.25" customHeight="1">
      <c r="A627" s="1"/>
      <c r="B627" s="4"/>
      <c r="C627" s="4"/>
      <c r="D627" s="1"/>
      <c r="E627" s="4"/>
      <c r="F627" s="1"/>
      <c r="G627" s="1"/>
      <c r="H627" s="1"/>
      <c r="I627" s="4"/>
    </row>
    <row r="628" ht="17.25" customHeight="1">
      <c r="A628" s="1"/>
      <c r="B628" s="4"/>
      <c r="C628" s="4"/>
      <c r="D628" s="1"/>
      <c r="E628" s="4"/>
      <c r="F628" s="1"/>
      <c r="G628" s="1"/>
      <c r="H628" s="1"/>
      <c r="I628" s="4"/>
    </row>
    <row r="629" ht="17.25" customHeight="1">
      <c r="A629" s="1"/>
      <c r="B629" s="4"/>
      <c r="C629" s="4"/>
      <c r="D629" s="1"/>
      <c r="E629" s="4"/>
      <c r="F629" s="1"/>
      <c r="G629" s="1"/>
      <c r="H629" s="1"/>
      <c r="I629" s="4"/>
    </row>
    <row r="630" ht="17.25" customHeight="1">
      <c r="A630" s="1"/>
      <c r="B630" s="4"/>
      <c r="C630" s="4"/>
      <c r="D630" s="1"/>
      <c r="E630" s="4"/>
      <c r="F630" s="1"/>
      <c r="G630" s="1"/>
      <c r="H630" s="1"/>
      <c r="I630" s="4"/>
    </row>
    <row r="631" ht="17.25" customHeight="1">
      <c r="A631" s="1"/>
      <c r="B631" s="4"/>
      <c r="C631" s="4"/>
      <c r="D631" s="1"/>
      <c r="E631" s="4"/>
      <c r="F631" s="1"/>
      <c r="G631" s="1"/>
      <c r="H631" s="1"/>
      <c r="I631" s="4"/>
    </row>
    <row r="632" ht="17.25" customHeight="1">
      <c r="A632" s="1"/>
      <c r="B632" s="4"/>
      <c r="C632" s="4"/>
      <c r="D632" s="1"/>
      <c r="E632" s="4"/>
      <c r="F632" s="1"/>
      <c r="G632" s="1"/>
      <c r="H632" s="1"/>
      <c r="I632" s="4"/>
    </row>
    <row r="633" ht="17.25" customHeight="1">
      <c r="A633" s="1"/>
      <c r="B633" s="4"/>
      <c r="C633" s="4"/>
      <c r="D633" s="1"/>
      <c r="E633" s="4"/>
      <c r="F633" s="1"/>
      <c r="G633" s="1"/>
      <c r="H633" s="1"/>
      <c r="I633" s="4"/>
    </row>
    <row r="634" ht="17.25" customHeight="1">
      <c r="A634" s="1"/>
      <c r="B634" s="4"/>
      <c r="C634" s="4"/>
      <c r="D634" s="1"/>
      <c r="E634" s="4"/>
      <c r="F634" s="1"/>
      <c r="G634" s="1"/>
      <c r="H634" s="1"/>
      <c r="I634" s="4"/>
    </row>
    <row r="635" ht="17.25" customHeight="1">
      <c r="A635" s="1"/>
      <c r="B635" s="4"/>
      <c r="C635" s="4"/>
      <c r="D635" s="1"/>
      <c r="E635" s="4"/>
      <c r="F635" s="1"/>
      <c r="G635" s="1"/>
      <c r="H635" s="1"/>
      <c r="I635" s="4"/>
    </row>
    <row r="636" ht="17.25" customHeight="1">
      <c r="A636" s="1"/>
      <c r="B636" s="4"/>
      <c r="C636" s="4"/>
      <c r="D636" s="1"/>
      <c r="E636" s="4"/>
      <c r="F636" s="1"/>
      <c r="G636" s="1"/>
      <c r="H636" s="1"/>
      <c r="I636" s="4"/>
    </row>
    <row r="637" ht="17.25" customHeight="1">
      <c r="A637" s="1"/>
      <c r="B637" s="4"/>
      <c r="C637" s="4"/>
      <c r="D637" s="1"/>
      <c r="E637" s="4"/>
      <c r="F637" s="1"/>
      <c r="G637" s="1"/>
      <c r="H637" s="1"/>
      <c r="I637" s="4"/>
    </row>
    <row r="638" ht="17.25" customHeight="1">
      <c r="A638" s="1"/>
      <c r="B638" s="4"/>
      <c r="C638" s="4"/>
      <c r="D638" s="1"/>
      <c r="E638" s="4"/>
      <c r="F638" s="1"/>
      <c r="G638" s="1"/>
      <c r="H638" s="1"/>
      <c r="I638" s="4"/>
    </row>
    <row r="639" ht="17.25" customHeight="1">
      <c r="A639" s="1"/>
      <c r="B639" s="4"/>
      <c r="C639" s="4"/>
      <c r="D639" s="1"/>
      <c r="E639" s="4"/>
      <c r="F639" s="1"/>
      <c r="G639" s="1"/>
      <c r="H639" s="1"/>
      <c r="I639" s="4"/>
    </row>
    <row r="640" ht="17.25" customHeight="1">
      <c r="A640" s="1"/>
      <c r="B640" s="4"/>
      <c r="C640" s="4"/>
      <c r="D640" s="1"/>
      <c r="E640" s="4"/>
      <c r="F640" s="1"/>
      <c r="G640" s="1"/>
      <c r="H640" s="1"/>
      <c r="I640" s="4"/>
    </row>
    <row r="641" ht="17.25" customHeight="1">
      <c r="A641" s="1"/>
      <c r="B641" s="4"/>
      <c r="C641" s="4"/>
      <c r="D641" s="1"/>
      <c r="E641" s="4"/>
      <c r="F641" s="1"/>
      <c r="G641" s="1"/>
      <c r="H641" s="1"/>
      <c r="I641" s="4"/>
    </row>
    <row r="642" ht="17.25" customHeight="1">
      <c r="A642" s="1"/>
      <c r="B642" s="4"/>
      <c r="C642" s="4"/>
      <c r="D642" s="1"/>
      <c r="E642" s="4"/>
      <c r="F642" s="1"/>
      <c r="G642" s="1"/>
      <c r="H642" s="1"/>
      <c r="I642" s="4"/>
    </row>
    <row r="643" ht="17.25" customHeight="1">
      <c r="A643" s="1"/>
      <c r="B643" s="4"/>
      <c r="C643" s="4"/>
      <c r="D643" s="1"/>
      <c r="E643" s="4"/>
      <c r="F643" s="1"/>
      <c r="G643" s="1"/>
      <c r="H643" s="1"/>
      <c r="I643" s="4"/>
    </row>
    <row r="644" ht="17.25" customHeight="1">
      <c r="A644" s="1"/>
      <c r="B644" s="4"/>
      <c r="C644" s="4"/>
      <c r="D644" s="1"/>
      <c r="E644" s="4"/>
      <c r="F644" s="1"/>
      <c r="G644" s="1"/>
      <c r="H644" s="1"/>
      <c r="I644" s="4"/>
    </row>
    <row r="645" ht="17.25" customHeight="1">
      <c r="A645" s="1"/>
      <c r="B645" s="4"/>
      <c r="C645" s="4"/>
      <c r="D645" s="1"/>
      <c r="E645" s="4"/>
      <c r="F645" s="1"/>
      <c r="G645" s="1"/>
      <c r="H645" s="1"/>
      <c r="I645" s="4"/>
    </row>
    <row r="646" ht="17.25" customHeight="1">
      <c r="A646" s="1"/>
      <c r="B646" s="4"/>
      <c r="C646" s="4"/>
      <c r="D646" s="1"/>
      <c r="E646" s="4"/>
      <c r="F646" s="1"/>
      <c r="G646" s="1"/>
      <c r="H646" s="1"/>
      <c r="I646" s="4"/>
    </row>
    <row r="647" ht="17.25" customHeight="1">
      <c r="A647" s="1"/>
      <c r="B647" s="4"/>
      <c r="C647" s="4"/>
      <c r="D647" s="1"/>
      <c r="E647" s="4"/>
      <c r="F647" s="1"/>
      <c r="G647" s="1"/>
      <c r="H647" s="1"/>
      <c r="I647" s="4"/>
    </row>
    <row r="648" ht="17.25" customHeight="1">
      <c r="A648" s="1"/>
      <c r="B648" s="4"/>
      <c r="C648" s="4"/>
      <c r="D648" s="1"/>
      <c r="E648" s="4"/>
      <c r="F648" s="1"/>
      <c r="G648" s="1"/>
      <c r="H648" s="1"/>
      <c r="I648" s="4"/>
    </row>
    <row r="649" ht="17.25" customHeight="1">
      <c r="A649" s="1"/>
      <c r="B649" s="4"/>
      <c r="C649" s="4"/>
      <c r="D649" s="1"/>
      <c r="E649" s="4"/>
      <c r="F649" s="1"/>
      <c r="G649" s="1"/>
      <c r="H649" s="1"/>
      <c r="I649" s="4"/>
    </row>
    <row r="650" ht="17.25" customHeight="1">
      <c r="A650" s="1"/>
      <c r="B650" s="4"/>
      <c r="C650" s="4"/>
      <c r="D650" s="1"/>
      <c r="E650" s="4"/>
      <c r="F650" s="1"/>
      <c r="G650" s="1"/>
      <c r="H650" s="1"/>
      <c r="I650" s="4"/>
    </row>
    <row r="651" ht="17.25" customHeight="1">
      <c r="A651" s="1"/>
      <c r="B651" s="4"/>
      <c r="C651" s="4"/>
      <c r="D651" s="1"/>
      <c r="E651" s="4"/>
      <c r="F651" s="1"/>
      <c r="G651" s="1"/>
      <c r="H651" s="1"/>
      <c r="I651" s="4"/>
    </row>
    <row r="652" ht="17.25" customHeight="1">
      <c r="A652" s="1"/>
      <c r="B652" s="4"/>
      <c r="C652" s="4"/>
      <c r="D652" s="1"/>
      <c r="E652" s="4"/>
      <c r="F652" s="1"/>
      <c r="G652" s="1"/>
      <c r="H652" s="1"/>
      <c r="I652" s="4"/>
    </row>
    <row r="653" ht="17.25" customHeight="1">
      <c r="A653" s="1"/>
      <c r="B653" s="4"/>
      <c r="C653" s="4"/>
      <c r="D653" s="1"/>
      <c r="E653" s="4"/>
      <c r="F653" s="1"/>
      <c r="G653" s="1"/>
      <c r="H653" s="1"/>
      <c r="I653" s="4"/>
    </row>
    <row r="654" ht="17.25" customHeight="1">
      <c r="A654" s="1"/>
      <c r="B654" s="4"/>
      <c r="C654" s="4"/>
      <c r="D654" s="1"/>
      <c r="E654" s="4"/>
      <c r="F654" s="1"/>
      <c r="G654" s="1"/>
      <c r="H654" s="1"/>
      <c r="I654" s="4"/>
    </row>
    <row r="655" ht="17.25" customHeight="1">
      <c r="A655" s="1"/>
      <c r="B655" s="4"/>
      <c r="C655" s="4"/>
      <c r="D655" s="1"/>
      <c r="E655" s="4"/>
      <c r="F655" s="1"/>
      <c r="G655" s="1"/>
      <c r="H655" s="1"/>
      <c r="I655" s="4"/>
    </row>
    <row r="656" ht="17.25" customHeight="1">
      <c r="A656" s="1"/>
      <c r="B656" s="4"/>
      <c r="C656" s="4"/>
      <c r="D656" s="1"/>
      <c r="E656" s="4"/>
      <c r="F656" s="1"/>
      <c r="G656" s="1"/>
      <c r="H656" s="1"/>
      <c r="I656" s="4"/>
    </row>
    <row r="657" ht="17.25" customHeight="1">
      <c r="A657" s="1"/>
      <c r="B657" s="4"/>
      <c r="C657" s="4"/>
      <c r="D657" s="1"/>
      <c r="E657" s="4"/>
      <c r="F657" s="1"/>
      <c r="G657" s="1"/>
      <c r="H657" s="1"/>
      <c r="I657" s="4"/>
    </row>
    <row r="658" ht="17.25" customHeight="1">
      <c r="A658" s="1"/>
      <c r="B658" s="4"/>
      <c r="C658" s="4"/>
      <c r="D658" s="1"/>
      <c r="E658" s="4"/>
      <c r="F658" s="1"/>
      <c r="G658" s="1"/>
      <c r="H658" s="1"/>
      <c r="I658" s="4"/>
    </row>
    <row r="659" ht="17.25" customHeight="1">
      <c r="A659" s="1"/>
      <c r="B659" s="4"/>
      <c r="C659" s="4"/>
      <c r="D659" s="1"/>
      <c r="E659" s="4"/>
      <c r="F659" s="1"/>
      <c r="G659" s="1"/>
      <c r="H659" s="1"/>
      <c r="I659" s="4"/>
    </row>
    <row r="660" ht="17.25" customHeight="1">
      <c r="A660" s="1"/>
      <c r="B660" s="4"/>
      <c r="C660" s="4"/>
      <c r="D660" s="1"/>
      <c r="E660" s="4"/>
      <c r="F660" s="1"/>
      <c r="G660" s="1"/>
      <c r="H660" s="1"/>
      <c r="I660" s="4"/>
    </row>
    <row r="661" ht="17.25" customHeight="1">
      <c r="A661" s="1"/>
      <c r="B661" s="4"/>
      <c r="C661" s="4"/>
      <c r="D661" s="1"/>
      <c r="E661" s="4"/>
      <c r="F661" s="1"/>
      <c r="G661" s="1"/>
      <c r="H661" s="1"/>
      <c r="I661" s="4"/>
    </row>
    <row r="662" ht="17.25" customHeight="1">
      <c r="A662" s="1"/>
      <c r="B662" s="4"/>
      <c r="C662" s="4"/>
      <c r="D662" s="1"/>
      <c r="E662" s="4"/>
      <c r="F662" s="1"/>
      <c r="G662" s="1"/>
      <c r="H662" s="1"/>
      <c r="I662" s="4"/>
    </row>
    <row r="663" ht="17.25" customHeight="1">
      <c r="A663" s="1"/>
      <c r="B663" s="4"/>
      <c r="C663" s="4"/>
      <c r="D663" s="1"/>
      <c r="E663" s="4"/>
      <c r="F663" s="1"/>
      <c r="G663" s="1"/>
      <c r="H663" s="1"/>
      <c r="I663" s="4"/>
    </row>
    <row r="664" ht="17.25" customHeight="1">
      <c r="A664" s="1"/>
      <c r="B664" s="4"/>
      <c r="C664" s="4"/>
      <c r="D664" s="1"/>
      <c r="E664" s="4"/>
      <c r="F664" s="1"/>
      <c r="G664" s="1"/>
      <c r="H664" s="1"/>
      <c r="I664" s="4"/>
    </row>
    <row r="665" ht="17.25" customHeight="1">
      <c r="A665" s="1"/>
      <c r="B665" s="4"/>
      <c r="C665" s="4"/>
      <c r="D665" s="1"/>
      <c r="E665" s="4"/>
      <c r="F665" s="1"/>
      <c r="G665" s="1"/>
      <c r="H665" s="1"/>
      <c r="I665" s="4"/>
    </row>
    <row r="666" ht="17.25" customHeight="1">
      <c r="A666" s="1"/>
      <c r="B666" s="4"/>
      <c r="C666" s="4"/>
      <c r="D666" s="1"/>
      <c r="E666" s="4"/>
      <c r="F666" s="1"/>
      <c r="G666" s="1"/>
      <c r="H666" s="1"/>
      <c r="I666" s="4"/>
    </row>
    <row r="667" ht="17.25" customHeight="1">
      <c r="A667" s="1"/>
      <c r="B667" s="4"/>
      <c r="C667" s="4"/>
      <c r="D667" s="1"/>
      <c r="E667" s="4"/>
      <c r="F667" s="1"/>
      <c r="G667" s="1"/>
      <c r="H667" s="1"/>
      <c r="I667" s="4"/>
    </row>
    <row r="668" ht="17.25" customHeight="1">
      <c r="A668" s="1"/>
      <c r="B668" s="4"/>
      <c r="C668" s="4"/>
      <c r="D668" s="1"/>
      <c r="E668" s="4"/>
      <c r="F668" s="1"/>
      <c r="G668" s="1"/>
      <c r="H668" s="1"/>
      <c r="I668" s="4"/>
    </row>
    <row r="669" ht="17.25" customHeight="1">
      <c r="A669" s="1"/>
      <c r="B669" s="4"/>
      <c r="C669" s="4"/>
      <c r="D669" s="1"/>
      <c r="E669" s="4"/>
      <c r="F669" s="1"/>
      <c r="G669" s="1"/>
      <c r="H669" s="1"/>
      <c r="I669" s="4"/>
    </row>
    <row r="670" ht="17.25" customHeight="1">
      <c r="A670" s="1"/>
      <c r="B670" s="4"/>
      <c r="C670" s="4"/>
      <c r="D670" s="1"/>
      <c r="E670" s="4"/>
      <c r="F670" s="1"/>
      <c r="G670" s="1"/>
      <c r="H670" s="1"/>
      <c r="I670" s="4"/>
    </row>
    <row r="671" ht="17.25" customHeight="1">
      <c r="A671" s="1"/>
      <c r="B671" s="4"/>
      <c r="C671" s="4"/>
      <c r="D671" s="1"/>
      <c r="E671" s="4"/>
      <c r="F671" s="1"/>
      <c r="G671" s="1"/>
      <c r="H671" s="1"/>
      <c r="I671" s="4"/>
    </row>
    <row r="672" ht="17.25" customHeight="1">
      <c r="A672" s="1"/>
      <c r="B672" s="4"/>
      <c r="C672" s="4"/>
      <c r="D672" s="1"/>
      <c r="E672" s="4"/>
      <c r="F672" s="1"/>
      <c r="G672" s="1"/>
      <c r="H672" s="1"/>
      <c r="I672" s="4"/>
    </row>
    <row r="673" ht="17.25" customHeight="1">
      <c r="A673" s="1"/>
      <c r="B673" s="4"/>
      <c r="C673" s="4"/>
      <c r="D673" s="1"/>
      <c r="E673" s="4"/>
      <c r="F673" s="1"/>
      <c r="G673" s="1"/>
      <c r="H673" s="1"/>
      <c r="I673" s="4"/>
    </row>
    <row r="674" ht="17.25" customHeight="1">
      <c r="A674" s="1"/>
      <c r="B674" s="4"/>
      <c r="C674" s="4"/>
      <c r="D674" s="1"/>
      <c r="E674" s="4"/>
      <c r="F674" s="1"/>
      <c r="G674" s="1"/>
      <c r="H674" s="1"/>
      <c r="I674" s="4"/>
    </row>
    <row r="675" ht="17.25" customHeight="1">
      <c r="A675" s="1"/>
      <c r="B675" s="4"/>
      <c r="C675" s="4"/>
      <c r="D675" s="1"/>
      <c r="E675" s="4"/>
      <c r="F675" s="1"/>
      <c r="G675" s="1"/>
      <c r="H675" s="1"/>
      <c r="I675" s="4"/>
    </row>
    <row r="676" ht="17.25" customHeight="1">
      <c r="A676" s="1"/>
      <c r="B676" s="4"/>
      <c r="C676" s="4"/>
      <c r="D676" s="1"/>
      <c r="E676" s="4"/>
      <c r="F676" s="1"/>
      <c r="G676" s="1"/>
      <c r="H676" s="1"/>
      <c r="I676" s="4"/>
    </row>
    <row r="677" ht="17.25" customHeight="1">
      <c r="A677" s="1"/>
      <c r="B677" s="4"/>
      <c r="C677" s="4"/>
      <c r="D677" s="1"/>
      <c r="E677" s="4"/>
      <c r="F677" s="1"/>
      <c r="G677" s="1"/>
      <c r="H677" s="1"/>
      <c r="I677" s="4"/>
    </row>
    <row r="678" ht="17.25" customHeight="1">
      <c r="A678" s="1"/>
      <c r="B678" s="4"/>
      <c r="C678" s="4"/>
      <c r="D678" s="1"/>
      <c r="E678" s="4"/>
      <c r="F678" s="1"/>
      <c r="G678" s="1"/>
      <c r="H678" s="1"/>
      <c r="I678" s="4"/>
    </row>
    <row r="679" ht="17.25" customHeight="1">
      <c r="A679" s="1"/>
      <c r="B679" s="4"/>
      <c r="C679" s="4"/>
      <c r="D679" s="1"/>
      <c r="E679" s="4"/>
      <c r="F679" s="1"/>
      <c r="G679" s="1"/>
      <c r="H679" s="1"/>
      <c r="I679" s="4"/>
    </row>
    <row r="680" ht="17.25" customHeight="1">
      <c r="A680" s="1"/>
      <c r="B680" s="4"/>
      <c r="C680" s="4"/>
      <c r="D680" s="1"/>
      <c r="E680" s="4"/>
      <c r="F680" s="1"/>
      <c r="G680" s="1"/>
      <c r="H680" s="1"/>
      <c r="I680" s="4"/>
    </row>
    <row r="681" ht="17.25" customHeight="1">
      <c r="A681" s="1"/>
      <c r="B681" s="4"/>
      <c r="C681" s="4"/>
      <c r="D681" s="1"/>
      <c r="E681" s="4"/>
      <c r="F681" s="1"/>
      <c r="G681" s="1"/>
      <c r="H681" s="1"/>
      <c r="I681" s="4"/>
    </row>
    <row r="682" ht="17.25" customHeight="1">
      <c r="A682" s="1"/>
      <c r="B682" s="4"/>
      <c r="C682" s="4"/>
      <c r="D682" s="1"/>
      <c r="E682" s="4"/>
      <c r="F682" s="1"/>
      <c r="G682" s="1"/>
      <c r="H682" s="1"/>
      <c r="I682" s="4"/>
    </row>
    <row r="683" ht="17.25" customHeight="1">
      <c r="A683" s="1"/>
      <c r="B683" s="4"/>
      <c r="C683" s="4"/>
      <c r="D683" s="1"/>
      <c r="E683" s="4"/>
      <c r="F683" s="1"/>
      <c r="G683" s="1"/>
      <c r="H683" s="1"/>
      <c r="I683" s="4"/>
    </row>
    <row r="684" ht="17.25" customHeight="1">
      <c r="A684" s="1"/>
      <c r="B684" s="4"/>
      <c r="C684" s="4"/>
      <c r="D684" s="1"/>
      <c r="E684" s="4"/>
      <c r="F684" s="1"/>
      <c r="G684" s="1"/>
      <c r="H684" s="1"/>
      <c r="I684" s="4"/>
    </row>
    <row r="685" ht="17.25" customHeight="1">
      <c r="A685" s="1"/>
      <c r="B685" s="4"/>
      <c r="C685" s="4"/>
      <c r="D685" s="1"/>
      <c r="E685" s="4"/>
      <c r="F685" s="1"/>
      <c r="G685" s="1"/>
      <c r="H685" s="1"/>
      <c r="I685" s="4"/>
    </row>
    <row r="686" ht="17.25" customHeight="1">
      <c r="A686" s="1"/>
      <c r="B686" s="4"/>
      <c r="C686" s="4"/>
      <c r="D686" s="1"/>
      <c r="E686" s="4"/>
      <c r="F686" s="1"/>
      <c r="G686" s="1"/>
      <c r="H686" s="1"/>
      <c r="I686" s="4"/>
    </row>
    <row r="687" ht="17.25" customHeight="1">
      <c r="A687" s="1"/>
      <c r="B687" s="4"/>
      <c r="C687" s="4"/>
      <c r="D687" s="1"/>
      <c r="E687" s="4"/>
      <c r="F687" s="1"/>
      <c r="G687" s="1"/>
      <c r="H687" s="1"/>
      <c r="I687" s="4"/>
    </row>
    <row r="688" ht="17.25" customHeight="1">
      <c r="A688" s="1"/>
      <c r="B688" s="4"/>
      <c r="C688" s="4"/>
      <c r="D688" s="1"/>
      <c r="E688" s="4"/>
      <c r="F688" s="1"/>
      <c r="G688" s="1"/>
      <c r="H688" s="1"/>
      <c r="I688" s="4"/>
    </row>
    <row r="689" ht="17.25" customHeight="1">
      <c r="A689" s="1"/>
      <c r="B689" s="4"/>
      <c r="C689" s="4"/>
      <c r="D689" s="1"/>
      <c r="E689" s="4"/>
      <c r="F689" s="1"/>
      <c r="G689" s="1"/>
      <c r="H689" s="1"/>
      <c r="I689" s="4"/>
    </row>
    <row r="690" ht="17.25" customHeight="1">
      <c r="A690" s="1"/>
      <c r="B690" s="4"/>
      <c r="C690" s="4"/>
      <c r="D690" s="1"/>
      <c r="E690" s="4"/>
      <c r="F690" s="1"/>
      <c r="G690" s="1"/>
      <c r="H690" s="1"/>
      <c r="I690" s="4"/>
    </row>
    <row r="691" ht="17.25" customHeight="1">
      <c r="A691" s="1"/>
      <c r="B691" s="4"/>
      <c r="C691" s="4"/>
      <c r="D691" s="1"/>
      <c r="E691" s="4"/>
      <c r="F691" s="1"/>
      <c r="G691" s="1"/>
      <c r="H691" s="1"/>
      <c r="I691" s="4"/>
    </row>
    <row r="692" ht="17.25" customHeight="1">
      <c r="A692" s="1"/>
      <c r="B692" s="4"/>
      <c r="C692" s="4"/>
      <c r="D692" s="1"/>
      <c r="E692" s="4"/>
      <c r="F692" s="1"/>
      <c r="G692" s="1"/>
      <c r="H692" s="1"/>
      <c r="I692" s="4"/>
    </row>
    <row r="693" ht="17.25" customHeight="1">
      <c r="A693" s="1"/>
      <c r="B693" s="4"/>
      <c r="C693" s="4"/>
      <c r="D693" s="1"/>
      <c r="E693" s="4"/>
      <c r="F693" s="1"/>
      <c r="G693" s="1"/>
      <c r="H693" s="1"/>
      <c r="I693" s="4"/>
    </row>
    <row r="694" ht="17.25" customHeight="1">
      <c r="A694" s="1"/>
      <c r="B694" s="4"/>
      <c r="C694" s="4"/>
      <c r="D694" s="1"/>
      <c r="E694" s="4"/>
      <c r="F694" s="1"/>
      <c r="G694" s="1"/>
      <c r="H694" s="1"/>
      <c r="I694" s="4"/>
    </row>
    <row r="695" ht="17.25" customHeight="1">
      <c r="A695" s="1"/>
      <c r="B695" s="4"/>
      <c r="C695" s="4"/>
      <c r="D695" s="1"/>
      <c r="E695" s="4"/>
      <c r="F695" s="1"/>
      <c r="G695" s="1"/>
      <c r="H695" s="1"/>
      <c r="I695" s="4"/>
    </row>
    <row r="696" ht="17.25" customHeight="1">
      <c r="A696" s="1"/>
      <c r="B696" s="4"/>
      <c r="C696" s="4"/>
      <c r="D696" s="1"/>
      <c r="E696" s="4"/>
      <c r="F696" s="1"/>
      <c r="G696" s="1"/>
      <c r="H696" s="1"/>
      <c r="I696" s="4"/>
    </row>
    <row r="697" ht="17.25" customHeight="1">
      <c r="A697" s="1"/>
      <c r="B697" s="4"/>
      <c r="C697" s="4"/>
      <c r="D697" s="1"/>
      <c r="E697" s="4"/>
      <c r="F697" s="1"/>
      <c r="G697" s="1"/>
      <c r="H697" s="1"/>
      <c r="I697" s="4"/>
    </row>
    <row r="698" ht="17.25" customHeight="1">
      <c r="A698" s="1"/>
      <c r="B698" s="4"/>
      <c r="C698" s="4"/>
      <c r="D698" s="1"/>
      <c r="E698" s="4"/>
      <c r="F698" s="1"/>
      <c r="G698" s="1"/>
      <c r="H698" s="1"/>
      <c r="I698" s="4"/>
    </row>
    <row r="699" ht="17.25" customHeight="1">
      <c r="A699" s="1"/>
      <c r="B699" s="4"/>
      <c r="C699" s="4"/>
      <c r="D699" s="1"/>
      <c r="E699" s="4"/>
      <c r="F699" s="1"/>
      <c r="G699" s="1"/>
      <c r="H699" s="1"/>
      <c r="I699" s="4"/>
    </row>
    <row r="700" ht="17.25" customHeight="1">
      <c r="A700" s="1"/>
      <c r="B700" s="4"/>
      <c r="C700" s="4"/>
      <c r="D700" s="1"/>
      <c r="E700" s="4"/>
      <c r="F700" s="1"/>
      <c r="G700" s="1"/>
      <c r="H700" s="1"/>
      <c r="I700" s="4"/>
    </row>
    <row r="701" ht="17.25" customHeight="1">
      <c r="A701" s="1"/>
      <c r="B701" s="4"/>
      <c r="C701" s="4"/>
      <c r="D701" s="1"/>
      <c r="E701" s="4"/>
      <c r="F701" s="1"/>
      <c r="G701" s="1"/>
      <c r="H701" s="1"/>
      <c r="I701" s="4"/>
    </row>
    <row r="702" ht="17.25" customHeight="1">
      <c r="A702" s="1"/>
      <c r="B702" s="4"/>
      <c r="C702" s="4"/>
      <c r="D702" s="1"/>
      <c r="E702" s="4"/>
      <c r="F702" s="1"/>
      <c r="G702" s="1"/>
      <c r="H702" s="1"/>
      <c r="I702" s="4"/>
    </row>
    <row r="703" ht="17.25" customHeight="1">
      <c r="A703" s="1"/>
      <c r="B703" s="4"/>
      <c r="C703" s="4"/>
      <c r="D703" s="1"/>
      <c r="E703" s="4"/>
      <c r="F703" s="1"/>
      <c r="G703" s="1"/>
      <c r="H703" s="1"/>
      <c r="I703" s="4"/>
    </row>
    <row r="704" ht="17.25" customHeight="1">
      <c r="A704" s="1"/>
      <c r="B704" s="4"/>
      <c r="C704" s="4"/>
      <c r="D704" s="1"/>
      <c r="E704" s="4"/>
      <c r="F704" s="1"/>
      <c r="G704" s="1"/>
      <c r="H704" s="1"/>
      <c r="I704" s="4"/>
    </row>
    <row r="705" ht="17.25" customHeight="1">
      <c r="A705" s="1"/>
      <c r="B705" s="4"/>
      <c r="C705" s="4"/>
      <c r="D705" s="1"/>
      <c r="E705" s="4"/>
      <c r="F705" s="1"/>
      <c r="G705" s="1"/>
      <c r="H705" s="1"/>
      <c r="I705" s="4"/>
    </row>
    <row r="706" ht="17.25" customHeight="1">
      <c r="A706" s="1"/>
      <c r="B706" s="4"/>
      <c r="C706" s="4"/>
      <c r="D706" s="1"/>
      <c r="E706" s="4"/>
      <c r="F706" s="1"/>
      <c r="G706" s="1"/>
      <c r="H706" s="1"/>
      <c r="I706" s="4"/>
    </row>
    <row r="707" ht="17.25" customHeight="1">
      <c r="A707" s="1"/>
      <c r="B707" s="4"/>
      <c r="C707" s="4"/>
      <c r="D707" s="1"/>
      <c r="E707" s="4"/>
      <c r="F707" s="1"/>
      <c r="G707" s="1"/>
      <c r="H707" s="1"/>
      <c r="I707" s="4"/>
    </row>
    <row r="708" ht="17.25" customHeight="1">
      <c r="A708" s="1"/>
      <c r="B708" s="4"/>
      <c r="C708" s="4"/>
      <c r="D708" s="1"/>
      <c r="E708" s="4"/>
      <c r="F708" s="1"/>
      <c r="G708" s="1"/>
      <c r="H708" s="1"/>
      <c r="I708" s="4"/>
    </row>
    <row r="709" ht="17.25" customHeight="1">
      <c r="A709" s="1"/>
      <c r="B709" s="4"/>
      <c r="C709" s="4"/>
      <c r="D709" s="1"/>
      <c r="E709" s="4"/>
      <c r="F709" s="1"/>
      <c r="G709" s="1"/>
      <c r="H709" s="1"/>
      <c r="I709" s="4"/>
    </row>
    <row r="710" ht="17.25" customHeight="1">
      <c r="A710" s="1"/>
      <c r="B710" s="4"/>
      <c r="C710" s="4"/>
      <c r="D710" s="1"/>
      <c r="E710" s="4"/>
      <c r="F710" s="1"/>
      <c r="G710" s="1"/>
      <c r="H710" s="1"/>
      <c r="I710" s="4"/>
    </row>
    <row r="711" ht="17.25" customHeight="1">
      <c r="A711" s="1"/>
      <c r="B711" s="4"/>
      <c r="C711" s="4"/>
      <c r="D711" s="1"/>
      <c r="E711" s="4"/>
      <c r="F711" s="1"/>
      <c r="G711" s="1"/>
      <c r="H711" s="1"/>
      <c r="I711" s="4"/>
    </row>
    <row r="712" ht="17.25" customHeight="1">
      <c r="A712" s="1"/>
      <c r="B712" s="4"/>
      <c r="C712" s="4"/>
      <c r="D712" s="1"/>
      <c r="E712" s="4"/>
      <c r="F712" s="1"/>
      <c r="G712" s="1"/>
      <c r="H712" s="1"/>
      <c r="I712" s="4"/>
    </row>
    <row r="713" ht="17.25" customHeight="1">
      <c r="A713" s="1"/>
      <c r="B713" s="4"/>
      <c r="C713" s="4"/>
      <c r="D713" s="1"/>
      <c r="E713" s="4"/>
      <c r="F713" s="1"/>
      <c r="G713" s="1"/>
      <c r="H713" s="1"/>
      <c r="I713" s="4"/>
    </row>
    <row r="714" ht="17.25" customHeight="1">
      <c r="A714" s="1"/>
      <c r="B714" s="4"/>
      <c r="C714" s="4"/>
      <c r="D714" s="1"/>
      <c r="E714" s="4"/>
      <c r="F714" s="1"/>
      <c r="G714" s="1"/>
      <c r="H714" s="1"/>
      <c r="I714" s="4"/>
    </row>
    <row r="715" ht="17.25" customHeight="1">
      <c r="A715" s="1"/>
      <c r="B715" s="4"/>
      <c r="C715" s="4"/>
      <c r="D715" s="1"/>
      <c r="E715" s="4"/>
      <c r="F715" s="1"/>
      <c r="G715" s="1"/>
      <c r="H715" s="1"/>
      <c r="I715" s="4"/>
    </row>
    <row r="716" ht="17.25" customHeight="1">
      <c r="A716" s="1"/>
      <c r="B716" s="4"/>
      <c r="C716" s="4"/>
      <c r="D716" s="1"/>
      <c r="E716" s="4"/>
      <c r="F716" s="1"/>
      <c r="G716" s="1"/>
      <c r="H716" s="1"/>
      <c r="I716" s="4"/>
    </row>
    <row r="717" ht="17.25" customHeight="1">
      <c r="A717" s="1"/>
      <c r="B717" s="4"/>
      <c r="C717" s="4"/>
      <c r="D717" s="1"/>
      <c r="E717" s="4"/>
      <c r="F717" s="1"/>
      <c r="G717" s="1"/>
      <c r="H717" s="1"/>
      <c r="I717" s="4"/>
    </row>
    <row r="718" ht="17.25" customHeight="1">
      <c r="A718" s="1"/>
      <c r="B718" s="4"/>
      <c r="C718" s="4"/>
      <c r="D718" s="1"/>
      <c r="E718" s="4"/>
      <c r="F718" s="1"/>
      <c r="G718" s="1"/>
      <c r="H718" s="1"/>
      <c r="I718" s="4"/>
    </row>
    <row r="719" ht="17.25" customHeight="1">
      <c r="A719" s="1"/>
      <c r="B719" s="4"/>
      <c r="C719" s="4"/>
      <c r="D719" s="1"/>
      <c r="E719" s="4"/>
      <c r="F719" s="1"/>
      <c r="G719" s="1"/>
      <c r="H719" s="1"/>
      <c r="I719" s="4"/>
    </row>
    <row r="720" ht="17.25" customHeight="1">
      <c r="A720" s="1"/>
      <c r="B720" s="4"/>
      <c r="C720" s="4"/>
      <c r="D720" s="1"/>
      <c r="E720" s="4"/>
      <c r="F720" s="1"/>
      <c r="G720" s="1"/>
      <c r="H720" s="1"/>
      <c r="I720" s="4"/>
    </row>
    <row r="721" ht="17.25" customHeight="1">
      <c r="A721" s="1"/>
      <c r="B721" s="4"/>
      <c r="C721" s="4"/>
      <c r="D721" s="1"/>
      <c r="E721" s="4"/>
      <c r="F721" s="1"/>
      <c r="G721" s="1"/>
      <c r="H721" s="1"/>
      <c r="I721" s="4"/>
    </row>
    <row r="722" ht="17.25" customHeight="1">
      <c r="A722" s="1"/>
      <c r="B722" s="4"/>
      <c r="C722" s="4"/>
      <c r="D722" s="1"/>
      <c r="E722" s="4"/>
      <c r="F722" s="1"/>
      <c r="G722" s="1"/>
      <c r="H722" s="1"/>
      <c r="I722" s="4"/>
    </row>
    <row r="723" ht="17.25" customHeight="1">
      <c r="A723" s="1"/>
      <c r="B723" s="4"/>
      <c r="C723" s="4"/>
      <c r="D723" s="1"/>
      <c r="E723" s="4"/>
      <c r="F723" s="1"/>
      <c r="G723" s="1"/>
      <c r="H723" s="1"/>
      <c r="I723" s="4"/>
    </row>
    <row r="724" ht="17.25" customHeight="1">
      <c r="A724" s="1"/>
      <c r="B724" s="4"/>
      <c r="C724" s="4"/>
      <c r="D724" s="1"/>
      <c r="E724" s="4"/>
      <c r="F724" s="1"/>
      <c r="G724" s="1"/>
      <c r="H724" s="1"/>
      <c r="I724" s="4"/>
    </row>
    <row r="725" ht="17.25" customHeight="1">
      <c r="A725" s="1"/>
      <c r="B725" s="4"/>
      <c r="C725" s="4"/>
      <c r="D725" s="1"/>
      <c r="E725" s="4"/>
      <c r="F725" s="1"/>
      <c r="G725" s="1"/>
      <c r="H725" s="1"/>
      <c r="I725" s="4"/>
    </row>
    <row r="726" ht="17.25" customHeight="1">
      <c r="A726" s="1"/>
      <c r="B726" s="4"/>
      <c r="C726" s="4"/>
      <c r="D726" s="1"/>
      <c r="E726" s="4"/>
      <c r="F726" s="1"/>
      <c r="G726" s="1"/>
      <c r="H726" s="1"/>
      <c r="I726" s="4"/>
    </row>
    <row r="727" ht="17.25" customHeight="1">
      <c r="A727" s="1"/>
      <c r="B727" s="4"/>
      <c r="C727" s="4"/>
      <c r="D727" s="1"/>
      <c r="E727" s="4"/>
      <c r="F727" s="1"/>
      <c r="G727" s="1"/>
      <c r="H727" s="1"/>
      <c r="I727" s="4"/>
    </row>
    <row r="728" ht="17.25" customHeight="1">
      <c r="A728" s="1"/>
      <c r="B728" s="4"/>
      <c r="C728" s="4"/>
      <c r="D728" s="1"/>
      <c r="E728" s="4"/>
      <c r="F728" s="1"/>
      <c r="G728" s="1"/>
      <c r="H728" s="1"/>
      <c r="I728" s="4"/>
    </row>
    <row r="729" ht="17.25" customHeight="1">
      <c r="A729" s="1"/>
      <c r="B729" s="4"/>
      <c r="C729" s="4"/>
      <c r="D729" s="1"/>
      <c r="E729" s="4"/>
      <c r="F729" s="1"/>
      <c r="G729" s="1"/>
      <c r="H729" s="1"/>
      <c r="I729" s="4"/>
    </row>
    <row r="730" ht="17.25" customHeight="1">
      <c r="A730" s="1"/>
      <c r="B730" s="4"/>
      <c r="C730" s="4"/>
      <c r="D730" s="1"/>
      <c r="E730" s="4"/>
      <c r="F730" s="1"/>
      <c r="G730" s="1"/>
      <c r="H730" s="1"/>
      <c r="I730" s="4"/>
    </row>
    <row r="731" ht="17.25" customHeight="1">
      <c r="A731" s="1"/>
      <c r="B731" s="4"/>
      <c r="C731" s="4"/>
      <c r="D731" s="1"/>
      <c r="E731" s="4"/>
      <c r="F731" s="1"/>
      <c r="G731" s="1"/>
      <c r="H731" s="1"/>
      <c r="I731" s="4"/>
    </row>
    <row r="732" ht="17.25" customHeight="1">
      <c r="A732" s="1"/>
      <c r="B732" s="4"/>
      <c r="C732" s="4"/>
      <c r="D732" s="1"/>
      <c r="E732" s="4"/>
      <c r="F732" s="1"/>
      <c r="G732" s="1"/>
      <c r="H732" s="1"/>
      <c r="I732" s="4"/>
    </row>
    <row r="733" ht="17.25" customHeight="1">
      <c r="A733" s="1"/>
      <c r="B733" s="4"/>
      <c r="C733" s="4"/>
      <c r="D733" s="1"/>
      <c r="E733" s="4"/>
      <c r="F733" s="1"/>
      <c r="G733" s="1"/>
      <c r="H733" s="1"/>
      <c r="I733" s="4"/>
    </row>
    <row r="734" ht="17.25" customHeight="1">
      <c r="A734" s="1"/>
      <c r="B734" s="4"/>
      <c r="C734" s="4"/>
      <c r="D734" s="1"/>
      <c r="E734" s="4"/>
      <c r="F734" s="1"/>
      <c r="G734" s="1"/>
      <c r="H734" s="1"/>
      <c r="I734" s="4"/>
    </row>
    <row r="735" ht="17.25" customHeight="1">
      <c r="A735" s="1"/>
      <c r="B735" s="4"/>
      <c r="C735" s="4"/>
      <c r="D735" s="1"/>
      <c r="E735" s="4"/>
      <c r="F735" s="1"/>
      <c r="G735" s="1"/>
      <c r="H735" s="1"/>
      <c r="I735" s="4"/>
    </row>
    <row r="736" ht="17.25" customHeight="1">
      <c r="A736" s="1"/>
      <c r="B736" s="4"/>
      <c r="C736" s="4"/>
      <c r="D736" s="1"/>
      <c r="E736" s="4"/>
      <c r="F736" s="1"/>
      <c r="G736" s="1"/>
      <c r="H736" s="1"/>
      <c r="I736" s="4"/>
    </row>
    <row r="737" ht="17.25" customHeight="1">
      <c r="A737" s="1"/>
      <c r="B737" s="4"/>
      <c r="C737" s="4"/>
      <c r="D737" s="1"/>
      <c r="E737" s="4"/>
      <c r="F737" s="1"/>
      <c r="G737" s="1"/>
      <c r="H737" s="1"/>
      <c r="I737" s="4"/>
    </row>
    <row r="738" ht="17.25" customHeight="1">
      <c r="A738" s="1"/>
      <c r="B738" s="4"/>
      <c r="C738" s="4"/>
      <c r="D738" s="1"/>
      <c r="E738" s="4"/>
      <c r="F738" s="1"/>
      <c r="G738" s="1"/>
      <c r="H738" s="1"/>
      <c r="I738" s="4"/>
    </row>
    <row r="739" ht="17.25" customHeight="1">
      <c r="A739" s="1"/>
      <c r="B739" s="4"/>
      <c r="C739" s="4"/>
      <c r="D739" s="1"/>
      <c r="E739" s="4"/>
      <c r="F739" s="1"/>
      <c r="G739" s="1"/>
      <c r="H739" s="1"/>
      <c r="I739" s="4"/>
    </row>
    <row r="740" ht="17.25" customHeight="1">
      <c r="A740" s="1"/>
      <c r="B740" s="4"/>
      <c r="C740" s="4"/>
      <c r="D740" s="1"/>
      <c r="E740" s="4"/>
      <c r="F740" s="1"/>
      <c r="G740" s="1"/>
      <c r="H740" s="1"/>
      <c r="I740" s="4"/>
    </row>
    <row r="741" ht="17.25" customHeight="1">
      <c r="A741" s="1"/>
      <c r="B741" s="4"/>
      <c r="C741" s="4"/>
      <c r="D741" s="1"/>
      <c r="E741" s="4"/>
      <c r="F741" s="1"/>
      <c r="G741" s="1"/>
      <c r="H741" s="1"/>
      <c r="I741" s="4"/>
    </row>
    <row r="742" ht="17.25" customHeight="1">
      <c r="A742" s="1"/>
      <c r="B742" s="4"/>
      <c r="C742" s="4"/>
      <c r="D742" s="1"/>
      <c r="E742" s="4"/>
      <c r="F742" s="1"/>
      <c r="G742" s="1"/>
      <c r="H742" s="1"/>
      <c r="I742" s="4"/>
    </row>
    <row r="743" ht="17.25" customHeight="1">
      <c r="A743" s="1"/>
      <c r="B743" s="4"/>
      <c r="C743" s="4"/>
      <c r="D743" s="1"/>
      <c r="E743" s="4"/>
      <c r="F743" s="1"/>
      <c r="G743" s="1"/>
      <c r="H743" s="1"/>
      <c r="I743" s="4"/>
    </row>
    <row r="744" ht="17.25" customHeight="1">
      <c r="A744" s="1"/>
      <c r="B744" s="4"/>
      <c r="C744" s="4"/>
      <c r="D744" s="1"/>
      <c r="E744" s="4"/>
      <c r="F744" s="1"/>
      <c r="G744" s="1"/>
      <c r="H744" s="1"/>
      <c r="I744" s="4"/>
    </row>
    <row r="745" ht="17.25" customHeight="1">
      <c r="A745" s="1"/>
      <c r="B745" s="4"/>
      <c r="C745" s="4"/>
      <c r="D745" s="1"/>
      <c r="E745" s="4"/>
      <c r="F745" s="1"/>
      <c r="G745" s="1"/>
      <c r="H745" s="1"/>
      <c r="I745" s="4"/>
    </row>
    <row r="746" ht="17.25" customHeight="1">
      <c r="A746" s="1"/>
      <c r="B746" s="4"/>
      <c r="C746" s="4"/>
      <c r="D746" s="1"/>
      <c r="E746" s="4"/>
      <c r="F746" s="1"/>
      <c r="G746" s="1"/>
      <c r="H746" s="1"/>
      <c r="I746" s="4"/>
    </row>
    <row r="747" ht="17.25" customHeight="1">
      <c r="A747" s="1"/>
      <c r="B747" s="4"/>
      <c r="C747" s="4"/>
      <c r="D747" s="1"/>
      <c r="E747" s="4"/>
      <c r="F747" s="1"/>
      <c r="G747" s="1"/>
      <c r="H747" s="1"/>
      <c r="I747" s="4"/>
    </row>
    <row r="748" ht="17.25" customHeight="1">
      <c r="A748" s="1"/>
      <c r="B748" s="4"/>
      <c r="C748" s="4"/>
      <c r="D748" s="1"/>
      <c r="E748" s="4"/>
      <c r="F748" s="1"/>
      <c r="G748" s="1"/>
      <c r="H748" s="1"/>
      <c r="I748" s="4"/>
    </row>
    <row r="749" ht="17.25" customHeight="1">
      <c r="A749" s="1"/>
      <c r="B749" s="4"/>
      <c r="C749" s="4"/>
      <c r="D749" s="1"/>
      <c r="E749" s="4"/>
      <c r="F749" s="1"/>
      <c r="G749" s="1"/>
      <c r="H749" s="1"/>
      <c r="I749" s="4"/>
    </row>
    <row r="750" ht="17.25" customHeight="1">
      <c r="A750" s="1"/>
      <c r="B750" s="4"/>
      <c r="C750" s="4"/>
      <c r="D750" s="1"/>
      <c r="E750" s="4"/>
      <c r="F750" s="1"/>
      <c r="G750" s="1"/>
      <c r="H750" s="1"/>
      <c r="I750" s="4"/>
    </row>
    <row r="751" ht="17.25" customHeight="1">
      <c r="A751" s="1"/>
      <c r="B751" s="4"/>
      <c r="C751" s="4"/>
      <c r="D751" s="1"/>
      <c r="E751" s="4"/>
      <c r="F751" s="1"/>
      <c r="G751" s="1"/>
      <c r="H751" s="1"/>
      <c r="I751" s="4"/>
    </row>
    <row r="752" ht="17.25" customHeight="1">
      <c r="A752" s="1"/>
      <c r="B752" s="4"/>
      <c r="C752" s="4"/>
      <c r="D752" s="1"/>
      <c r="E752" s="4"/>
      <c r="F752" s="1"/>
      <c r="G752" s="1"/>
      <c r="H752" s="1"/>
      <c r="I752" s="4"/>
    </row>
    <row r="753" ht="17.25" customHeight="1">
      <c r="A753" s="1"/>
      <c r="B753" s="4"/>
      <c r="C753" s="4"/>
      <c r="D753" s="1"/>
      <c r="E753" s="4"/>
      <c r="F753" s="1"/>
      <c r="G753" s="1"/>
      <c r="H753" s="1"/>
      <c r="I753" s="4"/>
    </row>
    <row r="754" ht="17.25" customHeight="1">
      <c r="A754" s="1"/>
      <c r="B754" s="4"/>
      <c r="C754" s="4"/>
      <c r="D754" s="1"/>
      <c r="E754" s="4"/>
      <c r="F754" s="1"/>
      <c r="G754" s="1"/>
      <c r="H754" s="1"/>
      <c r="I754" s="4"/>
    </row>
    <row r="755" ht="17.25" customHeight="1">
      <c r="A755" s="1"/>
      <c r="B755" s="4"/>
      <c r="C755" s="4"/>
      <c r="D755" s="1"/>
      <c r="E755" s="4"/>
      <c r="F755" s="1"/>
      <c r="G755" s="1"/>
      <c r="H755" s="1"/>
      <c r="I755" s="4"/>
    </row>
    <row r="756" ht="17.25" customHeight="1">
      <c r="A756" s="1"/>
      <c r="B756" s="4"/>
      <c r="C756" s="4"/>
      <c r="D756" s="1"/>
      <c r="E756" s="4"/>
      <c r="F756" s="1"/>
      <c r="G756" s="1"/>
      <c r="H756" s="1"/>
      <c r="I756" s="4"/>
    </row>
    <row r="757" ht="17.25" customHeight="1">
      <c r="A757" s="1"/>
      <c r="B757" s="4"/>
      <c r="C757" s="4"/>
      <c r="D757" s="1"/>
      <c r="E757" s="4"/>
      <c r="F757" s="1"/>
      <c r="G757" s="1"/>
      <c r="H757" s="1"/>
      <c r="I757" s="4"/>
    </row>
    <row r="758" ht="17.25" customHeight="1">
      <c r="A758" s="1"/>
      <c r="B758" s="4"/>
      <c r="C758" s="4"/>
      <c r="D758" s="1"/>
      <c r="E758" s="4"/>
      <c r="F758" s="1"/>
      <c r="G758" s="1"/>
      <c r="H758" s="1"/>
      <c r="I758" s="4"/>
    </row>
    <row r="759" ht="17.25" customHeight="1">
      <c r="A759" s="1"/>
      <c r="B759" s="4"/>
      <c r="C759" s="4"/>
      <c r="D759" s="1"/>
      <c r="E759" s="4"/>
      <c r="F759" s="1"/>
      <c r="G759" s="1"/>
      <c r="H759" s="1"/>
      <c r="I759" s="4"/>
    </row>
    <row r="760" ht="17.25" customHeight="1">
      <c r="A760" s="1"/>
      <c r="B760" s="4"/>
      <c r="C760" s="4"/>
      <c r="D760" s="1"/>
      <c r="E760" s="4"/>
      <c r="F760" s="1"/>
      <c r="G760" s="1"/>
      <c r="H760" s="1"/>
      <c r="I760" s="4"/>
    </row>
    <row r="761" ht="17.25" customHeight="1">
      <c r="A761" s="1"/>
      <c r="B761" s="4"/>
      <c r="C761" s="4"/>
      <c r="D761" s="1"/>
      <c r="E761" s="4"/>
      <c r="F761" s="1"/>
      <c r="G761" s="1"/>
      <c r="H761" s="1"/>
      <c r="I761" s="4"/>
    </row>
    <row r="762" ht="17.25" customHeight="1">
      <c r="A762" s="1"/>
      <c r="B762" s="4"/>
      <c r="C762" s="4"/>
      <c r="D762" s="1"/>
      <c r="E762" s="4"/>
      <c r="F762" s="1"/>
      <c r="G762" s="1"/>
      <c r="H762" s="1"/>
      <c r="I762" s="4"/>
    </row>
    <row r="763" ht="17.25" customHeight="1">
      <c r="A763" s="1"/>
      <c r="B763" s="4"/>
      <c r="C763" s="4"/>
      <c r="D763" s="1"/>
      <c r="E763" s="4"/>
      <c r="F763" s="1"/>
      <c r="G763" s="1"/>
      <c r="H763" s="1"/>
      <c r="I763" s="4"/>
    </row>
    <row r="764" ht="17.25" customHeight="1">
      <c r="A764" s="1"/>
      <c r="B764" s="4"/>
      <c r="C764" s="4"/>
      <c r="D764" s="1"/>
      <c r="E764" s="4"/>
      <c r="F764" s="1"/>
      <c r="G764" s="1"/>
      <c r="H764" s="1"/>
      <c r="I764" s="4"/>
    </row>
    <row r="765" ht="17.25" customHeight="1">
      <c r="A765" s="1"/>
      <c r="B765" s="4"/>
      <c r="C765" s="4"/>
      <c r="D765" s="1"/>
      <c r="E765" s="4"/>
      <c r="F765" s="1"/>
      <c r="G765" s="1"/>
      <c r="H765" s="1"/>
      <c r="I765" s="4"/>
    </row>
    <row r="766" ht="17.25" customHeight="1">
      <c r="A766" s="1"/>
      <c r="B766" s="4"/>
      <c r="C766" s="4"/>
      <c r="D766" s="1"/>
      <c r="E766" s="4"/>
      <c r="F766" s="1"/>
      <c r="G766" s="1"/>
      <c r="H766" s="1"/>
      <c r="I766" s="4"/>
    </row>
    <row r="767" ht="17.25" customHeight="1">
      <c r="A767" s="1"/>
      <c r="B767" s="4"/>
      <c r="C767" s="4"/>
      <c r="D767" s="1"/>
      <c r="E767" s="4"/>
      <c r="F767" s="1"/>
      <c r="G767" s="1"/>
      <c r="H767" s="1"/>
      <c r="I767" s="4"/>
    </row>
    <row r="768" ht="17.25" customHeight="1">
      <c r="A768" s="1"/>
      <c r="B768" s="4"/>
      <c r="C768" s="4"/>
      <c r="D768" s="1"/>
      <c r="E768" s="4"/>
      <c r="F768" s="1"/>
      <c r="G768" s="1"/>
      <c r="H768" s="1"/>
      <c r="I768" s="4"/>
    </row>
    <row r="769" ht="17.25" customHeight="1">
      <c r="A769" s="1"/>
      <c r="B769" s="4"/>
      <c r="C769" s="4"/>
      <c r="D769" s="1"/>
      <c r="E769" s="4"/>
      <c r="F769" s="1"/>
      <c r="G769" s="1"/>
      <c r="H769" s="1"/>
      <c r="I769" s="4"/>
    </row>
    <row r="770" ht="17.25" customHeight="1">
      <c r="A770" s="1"/>
      <c r="B770" s="4"/>
      <c r="C770" s="4"/>
      <c r="D770" s="1"/>
      <c r="E770" s="4"/>
      <c r="F770" s="1"/>
      <c r="G770" s="1"/>
      <c r="H770" s="1"/>
      <c r="I770" s="4"/>
    </row>
    <row r="771" ht="17.25" customHeight="1">
      <c r="A771" s="1"/>
      <c r="B771" s="4"/>
      <c r="C771" s="4"/>
      <c r="D771" s="1"/>
      <c r="E771" s="4"/>
      <c r="F771" s="1"/>
      <c r="G771" s="1"/>
      <c r="H771" s="1"/>
      <c r="I771" s="4"/>
    </row>
    <row r="772" ht="17.25" customHeight="1">
      <c r="A772" s="1"/>
      <c r="B772" s="4"/>
      <c r="C772" s="4"/>
      <c r="D772" s="1"/>
      <c r="E772" s="4"/>
      <c r="F772" s="1"/>
      <c r="G772" s="1"/>
      <c r="H772" s="1"/>
      <c r="I772" s="4"/>
    </row>
    <row r="773" ht="17.25" customHeight="1">
      <c r="A773" s="1"/>
      <c r="B773" s="4"/>
      <c r="C773" s="4"/>
      <c r="D773" s="1"/>
      <c r="E773" s="4"/>
      <c r="F773" s="1"/>
      <c r="G773" s="1"/>
      <c r="H773" s="1"/>
      <c r="I773" s="4"/>
    </row>
    <row r="774" ht="17.25" customHeight="1">
      <c r="A774" s="1"/>
      <c r="B774" s="4"/>
      <c r="C774" s="4"/>
      <c r="D774" s="1"/>
      <c r="E774" s="4"/>
      <c r="F774" s="1"/>
      <c r="G774" s="1"/>
      <c r="H774" s="1"/>
      <c r="I774" s="4"/>
    </row>
    <row r="775" ht="17.25" customHeight="1">
      <c r="A775" s="1"/>
      <c r="B775" s="4"/>
      <c r="C775" s="4"/>
      <c r="D775" s="1"/>
      <c r="E775" s="4"/>
      <c r="F775" s="1"/>
      <c r="G775" s="1"/>
      <c r="H775" s="1"/>
      <c r="I775" s="4"/>
    </row>
    <row r="776" ht="17.25" customHeight="1">
      <c r="A776" s="1"/>
      <c r="B776" s="4"/>
      <c r="C776" s="4"/>
      <c r="D776" s="1"/>
      <c r="E776" s="4"/>
      <c r="F776" s="1"/>
      <c r="G776" s="1"/>
      <c r="H776" s="1"/>
      <c r="I776" s="4"/>
    </row>
    <row r="777" ht="17.25" customHeight="1">
      <c r="A777" s="1"/>
      <c r="B777" s="4"/>
      <c r="C777" s="4"/>
      <c r="D777" s="1"/>
      <c r="E777" s="4"/>
      <c r="F777" s="1"/>
      <c r="G777" s="1"/>
      <c r="H777" s="1"/>
      <c r="I777" s="4"/>
    </row>
    <row r="778" ht="17.25" customHeight="1">
      <c r="A778" s="1"/>
      <c r="B778" s="4"/>
      <c r="C778" s="4"/>
      <c r="D778" s="1"/>
      <c r="E778" s="4"/>
      <c r="F778" s="1"/>
      <c r="G778" s="1"/>
      <c r="H778" s="1"/>
      <c r="I778" s="4"/>
    </row>
    <row r="779" ht="17.25" customHeight="1">
      <c r="A779" s="1"/>
      <c r="B779" s="4"/>
      <c r="C779" s="4"/>
      <c r="D779" s="1"/>
      <c r="E779" s="4"/>
      <c r="F779" s="1"/>
      <c r="G779" s="1"/>
      <c r="H779" s="1"/>
      <c r="I779" s="4"/>
    </row>
    <row r="780" ht="17.25" customHeight="1">
      <c r="A780" s="1"/>
      <c r="B780" s="4"/>
      <c r="C780" s="4"/>
      <c r="D780" s="1"/>
      <c r="E780" s="4"/>
      <c r="F780" s="1"/>
      <c r="G780" s="1"/>
      <c r="H780" s="1"/>
      <c r="I780" s="4"/>
    </row>
    <row r="781" ht="17.25" customHeight="1">
      <c r="A781" s="1"/>
      <c r="B781" s="4"/>
      <c r="C781" s="4"/>
      <c r="D781" s="1"/>
      <c r="E781" s="4"/>
      <c r="F781" s="1"/>
      <c r="G781" s="1"/>
      <c r="H781" s="1"/>
      <c r="I781" s="4"/>
    </row>
    <row r="782" ht="17.25" customHeight="1">
      <c r="A782" s="1"/>
      <c r="B782" s="4"/>
      <c r="C782" s="4"/>
      <c r="D782" s="1"/>
      <c r="E782" s="4"/>
      <c r="F782" s="1"/>
      <c r="G782" s="1"/>
      <c r="H782" s="1"/>
      <c r="I782" s="4"/>
    </row>
    <row r="783" ht="17.25" customHeight="1">
      <c r="A783" s="1"/>
      <c r="B783" s="4"/>
      <c r="C783" s="4"/>
      <c r="D783" s="1"/>
      <c r="E783" s="4"/>
      <c r="F783" s="1"/>
      <c r="G783" s="1"/>
      <c r="H783" s="1"/>
      <c r="I783" s="4"/>
    </row>
    <row r="784" ht="17.25" customHeight="1">
      <c r="A784" s="1"/>
      <c r="B784" s="4"/>
      <c r="C784" s="4"/>
      <c r="D784" s="1"/>
      <c r="E784" s="4"/>
      <c r="F784" s="1"/>
      <c r="G784" s="1"/>
      <c r="H784" s="1"/>
      <c r="I784" s="4"/>
    </row>
    <row r="785" ht="17.25" customHeight="1">
      <c r="A785" s="1"/>
      <c r="B785" s="4"/>
      <c r="C785" s="4"/>
      <c r="D785" s="1"/>
      <c r="E785" s="4"/>
      <c r="F785" s="1"/>
      <c r="G785" s="1"/>
      <c r="H785" s="1"/>
      <c r="I785" s="4"/>
    </row>
    <row r="786" ht="17.25" customHeight="1">
      <c r="A786" s="1"/>
      <c r="B786" s="4"/>
      <c r="C786" s="4"/>
      <c r="D786" s="1"/>
      <c r="E786" s="4"/>
      <c r="F786" s="1"/>
      <c r="G786" s="1"/>
      <c r="H786" s="1"/>
      <c r="I786" s="4"/>
    </row>
    <row r="787" ht="17.25" customHeight="1">
      <c r="A787" s="1"/>
      <c r="B787" s="4"/>
      <c r="C787" s="4"/>
      <c r="D787" s="1"/>
      <c r="E787" s="4"/>
      <c r="F787" s="1"/>
      <c r="G787" s="1"/>
      <c r="H787" s="1"/>
      <c r="I787" s="4"/>
    </row>
    <row r="788" ht="17.25" customHeight="1">
      <c r="A788" s="1"/>
      <c r="B788" s="4"/>
      <c r="C788" s="4"/>
      <c r="D788" s="1"/>
      <c r="E788" s="4"/>
      <c r="F788" s="1"/>
      <c r="G788" s="1"/>
      <c r="H788" s="1"/>
      <c r="I788" s="4"/>
    </row>
    <row r="789" ht="17.25" customHeight="1">
      <c r="A789" s="1"/>
      <c r="B789" s="4"/>
      <c r="C789" s="4"/>
      <c r="D789" s="1"/>
      <c r="E789" s="4"/>
      <c r="F789" s="1"/>
      <c r="G789" s="1"/>
      <c r="H789" s="1"/>
      <c r="I789" s="4"/>
    </row>
    <row r="790" ht="17.25" customHeight="1">
      <c r="A790" s="1"/>
      <c r="B790" s="4"/>
      <c r="C790" s="4"/>
      <c r="D790" s="1"/>
      <c r="E790" s="4"/>
      <c r="F790" s="1"/>
      <c r="G790" s="1"/>
      <c r="H790" s="1"/>
      <c r="I790" s="4"/>
    </row>
    <row r="791" ht="17.25" customHeight="1">
      <c r="A791" s="1"/>
      <c r="B791" s="4"/>
      <c r="C791" s="4"/>
      <c r="D791" s="1"/>
      <c r="E791" s="4"/>
      <c r="F791" s="1"/>
      <c r="G791" s="1"/>
      <c r="H791" s="1"/>
      <c r="I791" s="4"/>
    </row>
    <row r="792" ht="17.25" customHeight="1">
      <c r="A792" s="1"/>
      <c r="B792" s="4"/>
      <c r="C792" s="4"/>
      <c r="D792" s="1"/>
      <c r="E792" s="4"/>
      <c r="F792" s="1"/>
      <c r="G792" s="1"/>
      <c r="H792" s="1"/>
      <c r="I792" s="4"/>
    </row>
    <row r="793" ht="17.25" customHeight="1">
      <c r="A793" s="1"/>
      <c r="B793" s="4"/>
      <c r="C793" s="4"/>
      <c r="D793" s="1"/>
      <c r="E793" s="4"/>
      <c r="F793" s="1"/>
      <c r="G793" s="1"/>
      <c r="H793" s="1"/>
      <c r="I793" s="4"/>
    </row>
    <row r="794" ht="17.25" customHeight="1">
      <c r="A794" s="1"/>
      <c r="B794" s="4"/>
      <c r="C794" s="4"/>
      <c r="D794" s="1"/>
      <c r="E794" s="4"/>
      <c r="F794" s="1"/>
      <c r="G794" s="1"/>
      <c r="H794" s="1"/>
      <c r="I794" s="4"/>
    </row>
    <row r="795" ht="17.25" customHeight="1">
      <c r="A795" s="1"/>
      <c r="B795" s="4"/>
      <c r="C795" s="4"/>
      <c r="D795" s="1"/>
      <c r="E795" s="4"/>
      <c r="F795" s="1"/>
      <c r="G795" s="1"/>
      <c r="H795" s="1"/>
      <c r="I795" s="4"/>
    </row>
    <row r="796" ht="17.25" customHeight="1">
      <c r="A796" s="1"/>
      <c r="B796" s="4"/>
      <c r="C796" s="4"/>
      <c r="D796" s="1"/>
      <c r="E796" s="4"/>
      <c r="F796" s="1"/>
      <c r="G796" s="1"/>
      <c r="H796" s="1"/>
      <c r="I796" s="4"/>
    </row>
    <row r="797" ht="17.25" customHeight="1">
      <c r="A797" s="1"/>
      <c r="B797" s="4"/>
      <c r="C797" s="4"/>
      <c r="D797" s="1"/>
      <c r="E797" s="4"/>
      <c r="F797" s="1"/>
      <c r="G797" s="1"/>
      <c r="H797" s="1"/>
      <c r="I797" s="4"/>
    </row>
    <row r="798" ht="17.25" customHeight="1">
      <c r="A798" s="1"/>
      <c r="B798" s="4"/>
      <c r="C798" s="4"/>
      <c r="D798" s="1"/>
      <c r="E798" s="4"/>
      <c r="F798" s="1"/>
      <c r="G798" s="1"/>
      <c r="H798" s="1"/>
      <c r="I798" s="4"/>
    </row>
    <row r="799" ht="17.25" customHeight="1">
      <c r="A799" s="1"/>
      <c r="B799" s="4"/>
      <c r="C799" s="4"/>
      <c r="D799" s="1"/>
      <c r="E799" s="4"/>
      <c r="F799" s="1"/>
      <c r="G799" s="1"/>
      <c r="H799" s="1"/>
      <c r="I799" s="4"/>
    </row>
    <row r="800" ht="17.25" customHeight="1">
      <c r="A800" s="1"/>
      <c r="B800" s="4"/>
      <c r="C800" s="4"/>
      <c r="D800" s="1"/>
      <c r="E800" s="4"/>
      <c r="F800" s="1"/>
      <c r="G800" s="1"/>
      <c r="H800" s="1"/>
      <c r="I800" s="4"/>
    </row>
    <row r="801" ht="17.25" customHeight="1">
      <c r="A801" s="1"/>
      <c r="B801" s="4"/>
      <c r="C801" s="4"/>
      <c r="D801" s="1"/>
      <c r="E801" s="4"/>
      <c r="F801" s="1"/>
      <c r="G801" s="1"/>
      <c r="H801" s="1"/>
      <c r="I801" s="4"/>
    </row>
    <row r="802" ht="17.25" customHeight="1">
      <c r="A802" s="1"/>
      <c r="B802" s="4"/>
      <c r="C802" s="4"/>
      <c r="D802" s="1"/>
      <c r="E802" s="4"/>
      <c r="F802" s="1"/>
      <c r="G802" s="1"/>
      <c r="H802" s="1"/>
      <c r="I802" s="4"/>
    </row>
    <row r="803" ht="17.25" customHeight="1">
      <c r="A803" s="1"/>
      <c r="B803" s="4"/>
      <c r="C803" s="4"/>
      <c r="D803" s="1"/>
      <c r="E803" s="4"/>
      <c r="F803" s="1"/>
      <c r="G803" s="1"/>
      <c r="H803" s="1"/>
      <c r="I803" s="4"/>
    </row>
    <row r="804" ht="17.25" customHeight="1">
      <c r="A804" s="1"/>
      <c r="B804" s="4"/>
      <c r="C804" s="4"/>
      <c r="D804" s="1"/>
      <c r="E804" s="4"/>
      <c r="F804" s="1"/>
      <c r="G804" s="1"/>
      <c r="H804" s="1"/>
      <c r="I804" s="4"/>
    </row>
    <row r="805" ht="17.25" customHeight="1">
      <c r="A805" s="1"/>
      <c r="B805" s="4"/>
      <c r="C805" s="4"/>
      <c r="D805" s="1"/>
      <c r="E805" s="4"/>
      <c r="F805" s="1"/>
      <c r="G805" s="1"/>
      <c r="H805" s="1"/>
      <c r="I805" s="4"/>
    </row>
    <row r="806" ht="17.25" customHeight="1">
      <c r="A806" s="1"/>
      <c r="B806" s="4"/>
      <c r="C806" s="4"/>
      <c r="D806" s="1"/>
      <c r="E806" s="4"/>
      <c r="F806" s="1"/>
      <c r="G806" s="1"/>
      <c r="H806" s="1"/>
      <c r="I806" s="4"/>
    </row>
    <row r="807" ht="17.25" customHeight="1">
      <c r="A807" s="1"/>
      <c r="B807" s="4"/>
      <c r="C807" s="4"/>
      <c r="D807" s="1"/>
      <c r="E807" s="4"/>
      <c r="F807" s="1"/>
      <c r="G807" s="1"/>
      <c r="H807" s="1"/>
      <c r="I807" s="4"/>
    </row>
    <row r="808" ht="17.25" customHeight="1">
      <c r="A808" s="1"/>
      <c r="B808" s="4"/>
      <c r="C808" s="4"/>
      <c r="D808" s="1"/>
      <c r="E808" s="4"/>
      <c r="F808" s="1"/>
      <c r="G808" s="1"/>
      <c r="H808" s="1"/>
      <c r="I808" s="4"/>
    </row>
    <row r="809" ht="17.25" customHeight="1">
      <c r="A809" s="1"/>
      <c r="B809" s="4"/>
      <c r="C809" s="4"/>
      <c r="D809" s="1"/>
      <c r="E809" s="4"/>
      <c r="F809" s="1"/>
      <c r="G809" s="1"/>
      <c r="H809" s="1"/>
      <c r="I809" s="4"/>
    </row>
    <row r="810" ht="17.25" customHeight="1">
      <c r="A810" s="1"/>
      <c r="B810" s="4"/>
      <c r="C810" s="4"/>
      <c r="D810" s="1"/>
      <c r="E810" s="4"/>
      <c r="F810" s="1"/>
      <c r="G810" s="1"/>
      <c r="H810" s="1"/>
      <c r="I810" s="4"/>
    </row>
    <row r="811" ht="17.25" customHeight="1">
      <c r="A811" s="1"/>
      <c r="B811" s="4"/>
      <c r="C811" s="4"/>
      <c r="D811" s="1"/>
      <c r="E811" s="4"/>
      <c r="F811" s="1"/>
      <c r="G811" s="1"/>
      <c r="H811" s="1"/>
      <c r="I811" s="4"/>
    </row>
    <row r="812" ht="17.25" customHeight="1">
      <c r="A812" s="1"/>
      <c r="B812" s="4"/>
      <c r="C812" s="4"/>
      <c r="D812" s="1"/>
      <c r="E812" s="4"/>
      <c r="F812" s="1"/>
      <c r="G812" s="1"/>
      <c r="H812" s="1"/>
      <c r="I812" s="4"/>
    </row>
    <row r="813" ht="17.25" customHeight="1">
      <c r="A813" s="1"/>
      <c r="B813" s="4"/>
      <c r="C813" s="4"/>
      <c r="D813" s="1"/>
      <c r="E813" s="4"/>
      <c r="F813" s="1"/>
      <c r="G813" s="1"/>
      <c r="H813" s="1"/>
      <c r="I813" s="4"/>
    </row>
    <row r="814" ht="17.25" customHeight="1">
      <c r="A814" s="1"/>
      <c r="B814" s="4"/>
      <c r="C814" s="4"/>
      <c r="D814" s="1"/>
      <c r="E814" s="4"/>
      <c r="F814" s="1"/>
      <c r="G814" s="1"/>
      <c r="H814" s="1"/>
      <c r="I814" s="4"/>
    </row>
    <row r="815" ht="17.25" customHeight="1">
      <c r="A815" s="1"/>
      <c r="B815" s="4"/>
      <c r="C815" s="4"/>
      <c r="D815" s="1"/>
      <c r="E815" s="4"/>
      <c r="F815" s="1"/>
      <c r="G815" s="1"/>
      <c r="H815" s="1"/>
      <c r="I815" s="4"/>
    </row>
    <row r="816" ht="17.25" customHeight="1">
      <c r="A816" s="1"/>
      <c r="B816" s="4"/>
      <c r="C816" s="4"/>
      <c r="D816" s="1"/>
      <c r="E816" s="4"/>
      <c r="F816" s="1"/>
      <c r="G816" s="1"/>
      <c r="H816" s="1"/>
      <c r="I816" s="4"/>
    </row>
    <row r="817" ht="17.25" customHeight="1">
      <c r="A817" s="1"/>
      <c r="B817" s="4"/>
      <c r="C817" s="4"/>
      <c r="D817" s="1"/>
      <c r="E817" s="4"/>
      <c r="F817" s="1"/>
      <c r="G817" s="1"/>
      <c r="H817" s="1"/>
      <c r="I817" s="4"/>
    </row>
    <row r="818" ht="17.25" customHeight="1">
      <c r="A818" s="1"/>
      <c r="B818" s="4"/>
      <c r="C818" s="4"/>
      <c r="D818" s="1"/>
      <c r="E818" s="4"/>
      <c r="F818" s="1"/>
      <c r="G818" s="1"/>
      <c r="H818" s="1"/>
      <c r="I818" s="4"/>
    </row>
    <row r="819" ht="17.25" customHeight="1">
      <c r="A819" s="1"/>
      <c r="B819" s="4"/>
      <c r="C819" s="4"/>
      <c r="D819" s="1"/>
      <c r="E819" s="4"/>
      <c r="F819" s="1"/>
      <c r="G819" s="1"/>
      <c r="H819" s="1"/>
      <c r="I819" s="4"/>
    </row>
    <row r="820" ht="17.25" customHeight="1">
      <c r="A820" s="1"/>
      <c r="B820" s="4"/>
      <c r="C820" s="4"/>
      <c r="D820" s="1"/>
      <c r="E820" s="4"/>
      <c r="F820" s="1"/>
      <c r="G820" s="1"/>
      <c r="H820" s="1"/>
      <c r="I820" s="4"/>
    </row>
    <row r="821" ht="17.25" customHeight="1">
      <c r="A821" s="1"/>
      <c r="B821" s="4"/>
      <c r="C821" s="4"/>
      <c r="D821" s="1"/>
      <c r="E821" s="4"/>
      <c r="F821" s="1"/>
      <c r="G821" s="1"/>
      <c r="H821" s="1"/>
      <c r="I821" s="4"/>
    </row>
    <row r="822" ht="17.25" customHeight="1">
      <c r="A822" s="1"/>
      <c r="B822" s="4"/>
      <c r="C822" s="4"/>
      <c r="D822" s="1"/>
      <c r="E822" s="4"/>
      <c r="F822" s="1"/>
      <c r="G822" s="1"/>
      <c r="H822" s="1"/>
      <c r="I822" s="4"/>
    </row>
    <row r="823" ht="17.25" customHeight="1">
      <c r="A823" s="1"/>
      <c r="B823" s="4"/>
      <c r="C823" s="4"/>
      <c r="D823" s="1"/>
      <c r="E823" s="4"/>
      <c r="F823" s="1"/>
      <c r="G823" s="1"/>
      <c r="H823" s="1"/>
      <c r="I823" s="4"/>
    </row>
    <row r="824" ht="17.25" customHeight="1">
      <c r="A824" s="1"/>
      <c r="B824" s="4"/>
      <c r="C824" s="4"/>
      <c r="D824" s="1"/>
      <c r="E824" s="4"/>
      <c r="F824" s="1"/>
      <c r="G824" s="1"/>
      <c r="H824" s="1"/>
      <c r="I824" s="4"/>
    </row>
    <row r="825" ht="17.25" customHeight="1">
      <c r="A825" s="1"/>
      <c r="B825" s="4"/>
      <c r="C825" s="4"/>
      <c r="D825" s="1"/>
      <c r="E825" s="4"/>
      <c r="F825" s="1"/>
      <c r="G825" s="1"/>
      <c r="H825" s="1"/>
      <c r="I825" s="4"/>
    </row>
    <row r="826" ht="17.25" customHeight="1">
      <c r="A826" s="1"/>
      <c r="B826" s="4"/>
      <c r="C826" s="4"/>
      <c r="D826" s="1"/>
      <c r="E826" s="4"/>
      <c r="F826" s="1"/>
      <c r="G826" s="1"/>
      <c r="H826" s="1"/>
      <c r="I826" s="4"/>
    </row>
    <row r="827" ht="17.25" customHeight="1">
      <c r="A827" s="1"/>
      <c r="B827" s="4"/>
      <c r="C827" s="4"/>
      <c r="D827" s="1"/>
      <c r="E827" s="4"/>
      <c r="F827" s="1"/>
      <c r="G827" s="1"/>
      <c r="H827" s="1"/>
      <c r="I827" s="4"/>
    </row>
    <row r="828" ht="17.25" customHeight="1">
      <c r="A828" s="1"/>
      <c r="B828" s="4"/>
      <c r="C828" s="4"/>
      <c r="D828" s="1"/>
      <c r="E828" s="4"/>
      <c r="F828" s="1"/>
      <c r="G828" s="1"/>
      <c r="H828" s="1"/>
      <c r="I828" s="4"/>
    </row>
    <row r="829" ht="17.25" customHeight="1">
      <c r="A829" s="1"/>
      <c r="B829" s="4"/>
      <c r="C829" s="4"/>
      <c r="D829" s="1"/>
      <c r="E829" s="4"/>
      <c r="F829" s="1"/>
      <c r="G829" s="1"/>
      <c r="H829" s="1"/>
      <c r="I829" s="4"/>
    </row>
    <row r="830" ht="17.25" customHeight="1">
      <c r="A830" s="1"/>
      <c r="B830" s="4"/>
      <c r="C830" s="4"/>
      <c r="D830" s="1"/>
      <c r="E830" s="4"/>
      <c r="F830" s="1"/>
      <c r="G830" s="1"/>
      <c r="H830" s="1"/>
      <c r="I830" s="4"/>
    </row>
    <row r="831" ht="17.25" customHeight="1">
      <c r="A831" s="1"/>
      <c r="B831" s="4"/>
      <c r="C831" s="4"/>
      <c r="D831" s="1"/>
      <c r="E831" s="4"/>
      <c r="F831" s="1"/>
      <c r="G831" s="1"/>
      <c r="H831" s="1"/>
      <c r="I831" s="4"/>
    </row>
    <row r="832" ht="17.25" customHeight="1">
      <c r="A832" s="1"/>
      <c r="B832" s="4"/>
      <c r="C832" s="4"/>
      <c r="D832" s="1"/>
      <c r="E832" s="4"/>
      <c r="F832" s="1"/>
      <c r="G832" s="1"/>
      <c r="H832" s="1"/>
      <c r="I832" s="4"/>
    </row>
    <row r="833" ht="17.25" customHeight="1">
      <c r="A833" s="1"/>
      <c r="B833" s="4"/>
      <c r="C833" s="4"/>
      <c r="D833" s="1"/>
      <c r="E833" s="4"/>
      <c r="F833" s="1"/>
      <c r="G833" s="1"/>
      <c r="H833" s="1"/>
      <c r="I833" s="4"/>
    </row>
    <row r="834" ht="17.25" customHeight="1">
      <c r="A834" s="1"/>
      <c r="B834" s="4"/>
      <c r="C834" s="4"/>
      <c r="D834" s="1"/>
      <c r="E834" s="4"/>
      <c r="F834" s="1"/>
      <c r="G834" s="1"/>
      <c r="H834" s="1"/>
      <c r="I834" s="4"/>
    </row>
    <row r="835" ht="17.25" customHeight="1">
      <c r="A835" s="1"/>
      <c r="B835" s="4"/>
      <c r="C835" s="4"/>
      <c r="D835" s="1"/>
      <c r="E835" s="4"/>
      <c r="F835" s="1"/>
      <c r="G835" s="1"/>
      <c r="H835" s="1"/>
      <c r="I835" s="4"/>
    </row>
    <row r="836" ht="17.25" customHeight="1">
      <c r="A836" s="1"/>
      <c r="B836" s="4"/>
      <c r="C836" s="4"/>
      <c r="D836" s="1"/>
      <c r="E836" s="4"/>
      <c r="F836" s="1"/>
      <c r="G836" s="1"/>
      <c r="H836" s="1"/>
      <c r="I836" s="4"/>
    </row>
    <row r="837" ht="17.25" customHeight="1">
      <c r="A837" s="1"/>
      <c r="B837" s="4"/>
      <c r="C837" s="4"/>
      <c r="D837" s="1"/>
      <c r="E837" s="4"/>
      <c r="F837" s="1"/>
      <c r="G837" s="1"/>
      <c r="H837" s="1"/>
      <c r="I837" s="4"/>
    </row>
    <row r="838" ht="17.25" customHeight="1">
      <c r="A838" s="1"/>
      <c r="B838" s="4"/>
      <c r="C838" s="4"/>
      <c r="D838" s="1"/>
      <c r="E838" s="4"/>
      <c r="F838" s="1"/>
      <c r="G838" s="1"/>
      <c r="H838" s="1"/>
      <c r="I838" s="4"/>
    </row>
    <row r="839" ht="17.25" customHeight="1">
      <c r="A839" s="1"/>
      <c r="B839" s="4"/>
      <c r="C839" s="4"/>
      <c r="D839" s="1"/>
      <c r="E839" s="4"/>
      <c r="F839" s="1"/>
      <c r="G839" s="1"/>
      <c r="H839" s="1"/>
      <c r="I839" s="4"/>
    </row>
    <row r="840" ht="17.25" customHeight="1">
      <c r="A840" s="1"/>
      <c r="B840" s="4"/>
      <c r="C840" s="4"/>
      <c r="D840" s="1"/>
      <c r="E840" s="4"/>
      <c r="F840" s="1"/>
      <c r="G840" s="1"/>
      <c r="H840" s="1"/>
      <c r="I840" s="4"/>
    </row>
    <row r="841" ht="17.25" customHeight="1">
      <c r="A841" s="1"/>
      <c r="B841" s="4"/>
      <c r="C841" s="4"/>
      <c r="D841" s="1"/>
      <c r="E841" s="4"/>
      <c r="F841" s="1"/>
      <c r="G841" s="1"/>
      <c r="H841" s="1"/>
      <c r="I841" s="4"/>
    </row>
    <row r="842" ht="17.25" customHeight="1">
      <c r="A842" s="1"/>
      <c r="B842" s="4"/>
      <c r="C842" s="4"/>
      <c r="D842" s="1"/>
      <c r="E842" s="4"/>
      <c r="F842" s="1"/>
      <c r="G842" s="1"/>
      <c r="H842" s="1"/>
      <c r="I842" s="4"/>
    </row>
    <row r="843" ht="17.25" customHeight="1">
      <c r="A843" s="1"/>
      <c r="B843" s="4"/>
      <c r="C843" s="4"/>
      <c r="D843" s="1"/>
      <c r="E843" s="4"/>
      <c r="F843" s="1"/>
      <c r="G843" s="1"/>
      <c r="H843" s="1"/>
      <c r="I843" s="4"/>
    </row>
    <row r="844" ht="17.25" customHeight="1">
      <c r="A844" s="1"/>
      <c r="B844" s="4"/>
      <c r="C844" s="4"/>
      <c r="D844" s="1"/>
      <c r="E844" s="4"/>
      <c r="F844" s="1"/>
      <c r="G844" s="1"/>
      <c r="H844" s="1"/>
      <c r="I844" s="4"/>
    </row>
    <row r="845" ht="17.25" customHeight="1">
      <c r="A845" s="1"/>
      <c r="B845" s="4"/>
      <c r="C845" s="4"/>
      <c r="D845" s="1"/>
      <c r="E845" s="4"/>
      <c r="F845" s="1"/>
      <c r="G845" s="1"/>
      <c r="H845" s="1"/>
      <c r="I845" s="4"/>
    </row>
    <row r="846" ht="17.25" customHeight="1">
      <c r="A846" s="1"/>
      <c r="B846" s="4"/>
      <c r="C846" s="4"/>
      <c r="D846" s="1"/>
      <c r="E846" s="4"/>
      <c r="F846" s="1"/>
      <c r="G846" s="1"/>
      <c r="H846" s="1"/>
      <c r="I846" s="4"/>
    </row>
    <row r="847" ht="17.25" customHeight="1">
      <c r="A847" s="1"/>
      <c r="B847" s="4"/>
      <c r="C847" s="4"/>
      <c r="D847" s="1"/>
      <c r="E847" s="4"/>
      <c r="F847" s="1"/>
      <c r="G847" s="1"/>
      <c r="H847" s="1"/>
      <c r="I847" s="4"/>
    </row>
    <row r="848" ht="17.25" customHeight="1">
      <c r="A848" s="1"/>
      <c r="B848" s="4"/>
      <c r="C848" s="4"/>
      <c r="D848" s="1"/>
      <c r="E848" s="4"/>
      <c r="F848" s="1"/>
      <c r="G848" s="1"/>
      <c r="H848" s="1"/>
      <c r="I848" s="4"/>
    </row>
    <row r="849" ht="17.25" customHeight="1">
      <c r="A849" s="1"/>
      <c r="B849" s="4"/>
      <c r="C849" s="4"/>
      <c r="D849" s="1"/>
      <c r="E849" s="4"/>
      <c r="F849" s="1"/>
      <c r="G849" s="1"/>
      <c r="H849" s="1"/>
      <c r="I849" s="4"/>
    </row>
    <row r="850" ht="17.25" customHeight="1">
      <c r="A850" s="1"/>
      <c r="B850" s="4"/>
      <c r="C850" s="4"/>
      <c r="D850" s="1"/>
      <c r="E850" s="4"/>
      <c r="F850" s="1"/>
      <c r="G850" s="1"/>
      <c r="H850" s="1"/>
      <c r="I850" s="4"/>
    </row>
    <row r="851" ht="17.25" customHeight="1">
      <c r="A851" s="1"/>
      <c r="B851" s="4"/>
      <c r="C851" s="4"/>
      <c r="D851" s="1"/>
      <c r="E851" s="4"/>
      <c r="F851" s="1"/>
      <c r="G851" s="1"/>
      <c r="H851" s="1"/>
      <c r="I851" s="4"/>
    </row>
    <row r="852" ht="17.25" customHeight="1">
      <c r="A852" s="1"/>
      <c r="B852" s="4"/>
      <c r="C852" s="4"/>
      <c r="D852" s="1"/>
      <c r="E852" s="4"/>
      <c r="F852" s="1"/>
      <c r="G852" s="1"/>
      <c r="H852" s="1"/>
      <c r="I852" s="4"/>
    </row>
    <row r="853" ht="17.25" customHeight="1">
      <c r="A853" s="1"/>
      <c r="B853" s="4"/>
      <c r="C853" s="4"/>
      <c r="D853" s="1"/>
      <c r="E853" s="4"/>
      <c r="F853" s="1"/>
      <c r="G853" s="1"/>
      <c r="H853" s="1"/>
      <c r="I853" s="4"/>
    </row>
    <row r="854" ht="17.25" customHeight="1">
      <c r="A854" s="1"/>
      <c r="B854" s="4"/>
      <c r="C854" s="4"/>
      <c r="D854" s="1"/>
      <c r="E854" s="4"/>
      <c r="F854" s="1"/>
      <c r="G854" s="1"/>
      <c r="H854" s="1"/>
      <c r="I854" s="4"/>
    </row>
    <row r="855" ht="17.25" customHeight="1">
      <c r="A855" s="1"/>
      <c r="B855" s="4"/>
      <c r="C855" s="4"/>
      <c r="D855" s="1"/>
      <c r="E855" s="4"/>
      <c r="F855" s="1"/>
      <c r="G855" s="1"/>
      <c r="H855" s="1"/>
      <c r="I855" s="4"/>
    </row>
    <row r="856" ht="17.25" customHeight="1">
      <c r="A856" s="1"/>
      <c r="B856" s="4"/>
      <c r="C856" s="4"/>
      <c r="D856" s="1"/>
      <c r="E856" s="4"/>
      <c r="F856" s="1"/>
      <c r="G856" s="1"/>
      <c r="H856" s="1"/>
      <c r="I856" s="4"/>
    </row>
    <row r="857" ht="17.25" customHeight="1">
      <c r="A857" s="1"/>
      <c r="B857" s="4"/>
      <c r="C857" s="4"/>
      <c r="D857" s="1"/>
      <c r="E857" s="4"/>
      <c r="F857" s="1"/>
      <c r="G857" s="1"/>
      <c r="H857" s="1"/>
      <c r="I857" s="4"/>
    </row>
    <row r="858" ht="17.25" customHeight="1">
      <c r="A858" s="1"/>
      <c r="B858" s="4"/>
      <c r="C858" s="4"/>
      <c r="D858" s="1"/>
      <c r="E858" s="4"/>
      <c r="F858" s="1"/>
      <c r="G858" s="1"/>
      <c r="H858" s="1"/>
      <c r="I858" s="4"/>
    </row>
    <row r="859" ht="17.25" customHeight="1">
      <c r="A859" s="1"/>
      <c r="B859" s="4"/>
      <c r="C859" s="4"/>
      <c r="D859" s="1"/>
      <c r="E859" s="4"/>
      <c r="F859" s="1"/>
      <c r="G859" s="1"/>
      <c r="H859" s="1"/>
      <c r="I859" s="4"/>
    </row>
    <row r="860" ht="17.25" customHeight="1">
      <c r="A860" s="1"/>
      <c r="B860" s="4"/>
      <c r="C860" s="4"/>
      <c r="D860" s="1"/>
      <c r="E860" s="4"/>
      <c r="F860" s="1"/>
      <c r="G860" s="1"/>
      <c r="H860" s="1"/>
      <c r="I860" s="4"/>
    </row>
    <row r="861" ht="17.25" customHeight="1">
      <c r="A861" s="1"/>
      <c r="B861" s="4"/>
      <c r="C861" s="4"/>
      <c r="D861" s="1"/>
      <c r="E861" s="4"/>
      <c r="F861" s="1"/>
      <c r="G861" s="1"/>
      <c r="H861" s="1"/>
      <c r="I861" s="4"/>
    </row>
    <row r="862" ht="17.25" customHeight="1">
      <c r="A862" s="1"/>
      <c r="B862" s="4"/>
      <c r="C862" s="4"/>
      <c r="D862" s="1"/>
      <c r="E862" s="4"/>
      <c r="F862" s="1"/>
      <c r="G862" s="1"/>
      <c r="H862" s="1"/>
      <c r="I862" s="4"/>
    </row>
    <row r="863" ht="17.25" customHeight="1">
      <c r="A863" s="1"/>
      <c r="B863" s="4"/>
      <c r="C863" s="4"/>
      <c r="D863" s="1"/>
      <c r="E863" s="4"/>
      <c r="F863" s="1"/>
      <c r="G863" s="1"/>
      <c r="H863" s="1"/>
      <c r="I863" s="4"/>
    </row>
    <row r="864" ht="17.25" customHeight="1">
      <c r="A864" s="1"/>
      <c r="B864" s="4"/>
      <c r="C864" s="4"/>
      <c r="D864" s="1"/>
      <c r="E864" s="4"/>
      <c r="F864" s="1"/>
      <c r="G864" s="1"/>
      <c r="H864" s="1"/>
      <c r="I864" s="4"/>
    </row>
    <row r="865" ht="17.25" customHeight="1">
      <c r="A865" s="1"/>
      <c r="B865" s="4"/>
      <c r="C865" s="4"/>
      <c r="D865" s="1"/>
      <c r="E865" s="4"/>
      <c r="F865" s="1"/>
      <c r="G865" s="1"/>
      <c r="H865" s="1"/>
      <c r="I865" s="4"/>
    </row>
    <row r="866" ht="17.25" customHeight="1">
      <c r="A866" s="1"/>
      <c r="B866" s="4"/>
      <c r="C866" s="4"/>
      <c r="D866" s="1"/>
      <c r="E866" s="4"/>
      <c r="F866" s="1"/>
      <c r="G866" s="1"/>
      <c r="H866" s="1"/>
      <c r="I866" s="4"/>
    </row>
    <row r="867" ht="17.25" customHeight="1">
      <c r="A867" s="1"/>
      <c r="B867" s="4"/>
      <c r="C867" s="4"/>
      <c r="D867" s="1"/>
      <c r="E867" s="4"/>
      <c r="F867" s="1"/>
      <c r="G867" s="1"/>
      <c r="H867" s="1"/>
      <c r="I867" s="4"/>
    </row>
    <row r="868" ht="17.25" customHeight="1">
      <c r="A868" s="1"/>
      <c r="B868" s="4"/>
      <c r="C868" s="4"/>
      <c r="D868" s="1"/>
      <c r="E868" s="4"/>
      <c r="F868" s="1"/>
      <c r="G868" s="1"/>
      <c r="H868" s="1"/>
      <c r="I868" s="4"/>
    </row>
    <row r="869" ht="17.25" customHeight="1">
      <c r="A869" s="1"/>
      <c r="B869" s="4"/>
      <c r="C869" s="4"/>
      <c r="D869" s="1"/>
      <c r="E869" s="4"/>
      <c r="F869" s="1"/>
      <c r="G869" s="1"/>
      <c r="H869" s="1"/>
      <c r="I869" s="4"/>
    </row>
    <row r="870" ht="17.25" customHeight="1">
      <c r="A870" s="1"/>
      <c r="B870" s="4"/>
      <c r="C870" s="4"/>
      <c r="D870" s="1"/>
      <c r="E870" s="4"/>
      <c r="F870" s="1"/>
      <c r="G870" s="1"/>
      <c r="H870" s="1"/>
      <c r="I870" s="4"/>
    </row>
    <row r="871" ht="17.25" customHeight="1">
      <c r="A871" s="1"/>
      <c r="B871" s="4"/>
      <c r="C871" s="4"/>
      <c r="D871" s="1"/>
      <c r="E871" s="4"/>
      <c r="F871" s="1"/>
      <c r="G871" s="1"/>
      <c r="H871" s="1"/>
      <c r="I871" s="4"/>
    </row>
    <row r="872" ht="17.25" customHeight="1">
      <c r="A872" s="1"/>
      <c r="B872" s="4"/>
      <c r="C872" s="4"/>
      <c r="D872" s="1"/>
      <c r="E872" s="4"/>
      <c r="F872" s="1"/>
      <c r="G872" s="1"/>
      <c r="H872" s="1"/>
      <c r="I872" s="4"/>
    </row>
    <row r="873" ht="17.25" customHeight="1">
      <c r="A873" s="1"/>
      <c r="B873" s="4"/>
      <c r="C873" s="4"/>
      <c r="D873" s="1"/>
      <c r="E873" s="4"/>
      <c r="F873" s="1"/>
      <c r="G873" s="1"/>
      <c r="H873" s="1"/>
      <c r="I873" s="4"/>
    </row>
    <row r="874" ht="17.25" customHeight="1">
      <c r="A874" s="1"/>
      <c r="B874" s="4"/>
      <c r="C874" s="4"/>
      <c r="D874" s="1"/>
      <c r="E874" s="4"/>
      <c r="F874" s="1"/>
      <c r="G874" s="1"/>
      <c r="H874" s="1"/>
      <c r="I874" s="4"/>
    </row>
    <row r="875" ht="17.25" customHeight="1">
      <c r="A875" s="1"/>
      <c r="B875" s="4"/>
      <c r="C875" s="4"/>
      <c r="D875" s="1"/>
      <c r="E875" s="4"/>
      <c r="F875" s="1"/>
      <c r="G875" s="1"/>
      <c r="H875" s="1"/>
      <c r="I875" s="4"/>
    </row>
    <row r="876" ht="17.25" customHeight="1">
      <c r="A876" s="1"/>
      <c r="B876" s="4"/>
      <c r="C876" s="4"/>
      <c r="D876" s="1"/>
      <c r="E876" s="4"/>
      <c r="F876" s="1"/>
      <c r="G876" s="1"/>
      <c r="H876" s="1"/>
      <c r="I876" s="4"/>
    </row>
    <row r="877" ht="17.25" customHeight="1">
      <c r="A877" s="1"/>
      <c r="B877" s="4"/>
      <c r="C877" s="4"/>
      <c r="D877" s="1"/>
      <c r="E877" s="4"/>
      <c r="F877" s="1"/>
      <c r="G877" s="1"/>
      <c r="H877" s="1"/>
      <c r="I877" s="4"/>
    </row>
    <row r="878" ht="17.25" customHeight="1">
      <c r="A878" s="1"/>
      <c r="B878" s="4"/>
      <c r="C878" s="4"/>
      <c r="D878" s="1"/>
      <c r="E878" s="4"/>
      <c r="F878" s="1"/>
      <c r="G878" s="1"/>
      <c r="H878" s="1"/>
      <c r="I878" s="4"/>
    </row>
    <row r="879" ht="17.25" customHeight="1">
      <c r="A879" s="1"/>
      <c r="B879" s="4"/>
      <c r="C879" s="4"/>
      <c r="D879" s="1"/>
      <c r="E879" s="4"/>
      <c r="F879" s="1"/>
      <c r="G879" s="1"/>
      <c r="H879" s="1"/>
      <c r="I879" s="4"/>
    </row>
    <row r="880" ht="17.25" customHeight="1">
      <c r="A880" s="1"/>
      <c r="B880" s="4"/>
      <c r="C880" s="4"/>
      <c r="D880" s="1"/>
      <c r="E880" s="4"/>
      <c r="F880" s="1"/>
      <c r="G880" s="1"/>
      <c r="H880" s="1"/>
      <c r="I880" s="4"/>
    </row>
    <row r="881" ht="17.25" customHeight="1">
      <c r="A881" s="1"/>
      <c r="B881" s="4"/>
      <c r="C881" s="4"/>
      <c r="D881" s="1"/>
      <c r="E881" s="4"/>
      <c r="F881" s="1"/>
      <c r="G881" s="1"/>
      <c r="H881" s="1"/>
      <c r="I881" s="4"/>
    </row>
    <row r="882" ht="17.25" customHeight="1">
      <c r="A882" s="1"/>
      <c r="B882" s="4"/>
      <c r="C882" s="4"/>
      <c r="D882" s="1"/>
      <c r="E882" s="4"/>
      <c r="F882" s="1"/>
      <c r="G882" s="1"/>
      <c r="H882" s="1"/>
      <c r="I882" s="4"/>
    </row>
    <row r="883" ht="17.25" customHeight="1">
      <c r="A883" s="1"/>
      <c r="B883" s="4"/>
      <c r="C883" s="4"/>
      <c r="D883" s="1"/>
      <c r="E883" s="4"/>
      <c r="F883" s="1"/>
      <c r="G883" s="1"/>
      <c r="H883" s="1"/>
      <c r="I883" s="4"/>
    </row>
    <row r="884" ht="17.25" customHeight="1">
      <c r="A884" s="1"/>
      <c r="B884" s="4"/>
      <c r="C884" s="4"/>
      <c r="D884" s="1"/>
      <c r="E884" s="4"/>
      <c r="F884" s="1"/>
      <c r="G884" s="1"/>
      <c r="H884" s="1"/>
      <c r="I884" s="4"/>
    </row>
    <row r="885" ht="17.25" customHeight="1">
      <c r="A885" s="1"/>
      <c r="B885" s="4"/>
      <c r="C885" s="4"/>
      <c r="D885" s="1"/>
      <c r="E885" s="4"/>
      <c r="F885" s="1"/>
      <c r="G885" s="1"/>
      <c r="H885" s="1"/>
      <c r="I885" s="4"/>
    </row>
    <row r="886" ht="17.25" customHeight="1">
      <c r="A886" s="1"/>
      <c r="B886" s="4"/>
      <c r="C886" s="4"/>
      <c r="D886" s="1"/>
      <c r="E886" s="4"/>
      <c r="F886" s="1"/>
      <c r="G886" s="1"/>
      <c r="H886" s="1"/>
      <c r="I886" s="4"/>
    </row>
    <row r="887" ht="17.25" customHeight="1">
      <c r="A887" s="1"/>
      <c r="B887" s="4"/>
      <c r="C887" s="4"/>
      <c r="D887" s="1"/>
      <c r="E887" s="4"/>
      <c r="F887" s="1"/>
      <c r="G887" s="1"/>
      <c r="H887" s="1"/>
      <c r="I887" s="4"/>
    </row>
    <row r="888" ht="17.25" customHeight="1">
      <c r="A888" s="1"/>
      <c r="B888" s="4"/>
      <c r="C888" s="4"/>
      <c r="D888" s="1"/>
      <c r="E888" s="4"/>
      <c r="F888" s="1"/>
      <c r="G888" s="1"/>
      <c r="H888" s="1"/>
      <c r="I888" s="4"/>
    </row>
    <row r="889" ht="17.25" customHeight="1">
      <c r="A889" s="1"/>
      <c r="B889" s="4"/>
      <c r="C889" s="4"/>
      <c r="D889" s="1"/>
      <c r="E889" s="4"/>
      <c r="F889" s="1"/>
      <c r="G889" s="1"/>
      <c r="H889" s="1"/>
      <c r="I889" s="4"/>
    </row>
    <row r="890" ht="17.25" customHeight="1">
      <c r="A890" s="1"/>
      <c r="B890" s="4"/>
      <c r="C890" s="4"/>
      <c r="D890" s="1"/>
      <c r="E890" s="4"/>
      <c r="F890" s="1"/>
      <c r="G890" s="1"/>
      <c r="H890" s="1"/>
      <c r="I890" s="4"/>
    </row>
    <row r="891" ht="17.25" customHeight="1">
      <c r="A891" s="1"/>
      <c r="B891" s="4"/>
      <c r="C891" s="4"/>
      <c r="D891" s="1"/>
      <c r="E891" s="4"/>
      <c r="F891" s="1"/>
      <c r="G891" s="1"/>
      <c r="H891" s="1"/>
      <c r="I891" s="4"/>
    </row>
    <row r="892" ht="17.25" customHeight="1">
      <c r="A892" s="1"/>
      <c r="B892" s="4"/>
      <c r="C892" s="4"/>
      <c r="D892" s="1"/>
      <c r="E892" s="4"/>
      <c r="F892" s="1"/>
      <c r="G892" s="1"/>
      <c r="H892" s="1"/>
      <c r="I892" s="4"/>
    </row>
    <row r="893" ht="17.25" customHeight="1">
      <c r="A893" s="1"/>
      <c r="B893" s="4"/>
      <c r="C893" s="4"/>
      <c r="D893" s="1"/>
      <c r="E893" s="4"/>
      <c r="F893" s="1"/>
      <c r="G893" s="1"/>
      <c r="H893" s="1"/>
      <c r="I893" s="4"/>
    </row>
    <row r="894" ht="17.25" customHeight="1">
      <c r="A894" s="1"/>
      <c r="B894" s="4"/>
      <c r="C894" s="4"/>
      <c r="D894" s="1"/>
      <c r="E894" s="4"/>
      <c r="F894" s="1"/>
      <c r="G894" s="1"/>
      <c r="H894" s="1"/>
      <c r="I894" s="4"/>
    </row>
    <row r="895" ht="17.25" customHeight="1">
      <c r="A895" s="1"/>
      <c r="B895" s="4"/>
      <c r="C895" s="4"/>
      <c r="D895" s="1"/>
      <c r="E895" s="4"/>
      <c r="F895" s="1"/>
      <c r="G895" s="1"/>
      <c r="H895" s="1"/>
      <c r="I895" s="4"/>
    </row>
    <row r="896" ht="17.25" customHeight="1">
      <c r="A896" s="1"/>
      <c r="B896" s="4"/>
      <c r="C896" s="4"/>
      <c r="D896" s="1"/>
      <c r="E896" s="4"/>
      <c r="F896" s="1"/>
      <c r="G896" s="1"/>
      <c r="H896" s="1"/>
      <c r="I896" s="4"/>
    </row>
    <row r="897" ht="17.25" customHeight="1">
      <c r="A897" s="1"/>
      <c r="B897" s="4"/>
      <c r="C897" s="4"/>
      <c r="D897" s="1"/>
      <c r="E897" s="4"/>
      <c r="F897" s="1"/>
      <c r="G897" s="1"/>
      <c r="H897" s="1"/>
      <c r="I897" s="4"/>
    </row>
    <row r="898" ht="17.25" customHeight="1">
      <c r="A898" s="1"/>
      <c r="B898" s="4"/>
      <c r="C898" s="4"/>
      <c r="D898" s="1"/>
      <c r="E898" s="4"/>
      <c r="F898" s="1"/>
      <c r="G898" s="1"/>
      <c r="H898" s="1"/>
      <c r="I898" s="4"/>
    </row>
    <row r="899" ht="17.25" customHeight="1">
      <c r="A899" s="1"/>
      <c r="B899" s="4"/>
      <c r="C899" s="4"/>
      <c r="D899" s="1"/>
      <c r="E899" s="4"/>
      <c r="F899" s="1"/>
      <c r="G899" s="1"/>
      <c r="H899" s="1"/>
      <c r="I899" s="4"/>
    </row>
    <row r="900" ht="17.25" customHeight="1">
      <c r="A900" s="1"/>
      <c r="B900" s="4"/>
      <c r="C900" s="4"/>
      <c r="D900" s="1"/>
      <c r="E900" s="4"/>
      <c r="F900" s="1"/>
      <c r="G900" s="1"/>
      <c r="H900" s="1"/>
      <c r="I900" s="4"/>
    </row>
    <row r="901" ht="17.25" customHeight="1">
      <c r="A901" s="1"/>
      <c r="B901" s="4"/>
      <c r="C901" s="4"/>
      <c r="D901" s="1"/>
      <c r="E901" s="4"/>
      <c r="F901" s="1"/>
      <c r="G901" s="1"/>
      <c r="H901" s="1"/>
      <c r="I901" s="4"/>
    </row>
    <row r="902" ht="17.25" customHeight="1">
      <c r="A902" s="1"/>
      <c r="B902" s="4"/>
      <c r="C902" s="4"/>
      <c r="D902" s="1"/>
      <c r="E902" s="4"/>
      <c r="F902" s="1"/>
      <c r="G902" s="1"/>
      <c r="H902" s="1"/>
      <c r="I902" s="4"/>
    </row>
    <row r="903" ht="17.25" customHeight="1">
      <c r="A903" s="1"/>
      <c r="B903" s="4"/>
      <c r="C903" s="4"/>
      <c r="D903" s="1"/>
      <c r="E903" s="4"/>
      <c r="F903" s="1"/>
      <c r="G903" s="1"/>
      <c r="H903" s="1"/>
      <c r="I903" s="4"/>
    </row>
    <row r="904" ht="17.25" customHeight="1">
      <c r="A904" s="1"/>
      <c r="B904" s="4"/>
      <c r="C904" s="4"/>
      <c r="D904" s="1"/>
      <c r="E904" s="4"/>
      <c r="F904" s="1"/>
      <c r="G904" s="1"/>
      <c r="H904" s="1"/>
      <c r="I904" s="4"/>
    </row>
    <row r="905" ht="17.25" customHeight="1">
      <c r="A905" s="1"/>
      <c r="B905" s="4"/>
      <c r="C905" s="4"/>
      <c r="D905" s="1"/>
      <c r="E905" s="4"/>
      <c r="F905" s="1"/>
      <c r="G905" s="1"/>
      <c r="H905" s="1"/>
      <c r="I905" s="4"/>
    </row>
    <row r="906" ht="17.25" customHeight="1">
      <c r="A906" s="1"/>
      <c r="B906" s="4"/>
      <c r="C906" s="4"/>
      <c r="D906" s="1"/>
      <c r="E906" s="4"/>
      <c r="F906" s="1"/>
      <c r="G906" s="1"/>
      <c r="H906" s="1"/>
      <c r="I906" s="4"/>
    </row>
    <row r="907" ht="17.25" customHeight="1">
      <c r="A907" s="1"/>
      <c r="B907" s="4"/>
      <c r="C907" s="4"/>
      <c r="D907" s="1"/>
      <c r="E907" s="4"/>
      <c r="F907" s="1"/>
      <c r="G907" s="1"/>
      <c r="H907" s="1"/>
      <c r="I907" s="4"/>
    </row>
    <row r="908" ht="17.25" customHeight="1">
      <c r="A908" s="1"/>
      <c r="B908" s="4"/>
      <c r="C908" s="4"/>
      <c r="D908" s="1"/>
      <c r="E908" s="4"/>
      <c r="F908" s="1"/>
      <c r="G908" s="1"/>
      <c r="H908" s="1"/>
      <c r="I908" s="4"/>
    </row>
    <row r="909" ht="17.25" customHeight="1">
      <c r="A909" s="1"/>
      <c r="B909" s="4"/>
      <c r="C909" s="4"/>
      <c r="D909" s="1"/>
      <c r="E909" s="4"/>
      <c r="F909" s="1"/>
      <c r="G909" s="1"/>
      <c r="H909" s="1"/>
      <c r="I909" s="4"/>
    </row>
    <row r="910" ht="17.25" customHeight="1">
      <c r="A910" s="1"/>
      <c r="B910" s="4"/>
      <c r="C910" s="4"/>
      <c r="D910" s="1"/>
      <c r="E910" s="4"/>
      <c r="F910" s="1"/>
      <c r="G910" s="1"/>
      <c r="H910" s="1"/>
      <c r="I910" s="4"/>
    </row>
    <row r="911" ht="17.25" customHeight="1">
      <c r="A911" s="1"/>
      <c r="B911" s="4"/>
      <c r="C911" s="4"/>
      <c r="D911" s="1"/>
      <c r="E911" s="4"/>
      <c r="F911" s="1"/>
      <c r="G911" s="1"/>
      <c r="H911" s="1"/>
      <c r="I911" s="4"/>
    </row>
    <row r="912" ht="17.25" customHeight="1">
      <c r="A912" s="1"/>
      <c r="B912" s="4"/>
      <c r="C912" s="4"/>
      <c r="D912" s="1"/>
      <c r="E912" s="4"/>
      <c r="F912" s="1"/>
      <c r="G912" s="1"/>
      <c r="H912" s="1"/>
      <c r="I912" s="4"/>
    </row>
    <row r="913" ht="17.25" customHeight="1">
      <c r="A913" s="1"/>
      <c r="B913" s="4"/>
      <c r="C913" s="4"/>
      <c r="D913" s="1"/>
      <c r="E913" s="4"/>
      <c r="F913" s="1"/>
      <c r="G913" s="1"/>
      <c r="H913" s="1"/>
      <c r="I913" s="4"/>
    </row>
    <row r="914" ht="17.25" customHeight="1">
      <c r="A914" s="1"/>
      <c r="B914" s="4"/>
      <c r="C914" s="4"/>
      <c r="D914" s="1"/>
      <c r="E914" s="4"/>
      <c r="F914" s="1"/>
      <c r="G914" s="1"/>
      <c r="H914" s="1"/>
      <c r="I914" s="4"/>
    </row>
    <row r="915" ht="17.25" customHeight="1">
      <c r="A915" s="1"/>
      <c r="B915" s="4"/>
      <c r="C915" s="4"/>
      <c r="D915" s="1"/>
      <c r="E915" s="4"/>
      <c r="F915" s="1"/>
      <c r="G915" s="1"/>
      <c r="H915" s="1"/>
      <c r="I915" s="4"/>
    </row>
    <row r="916" ht="17.25" customHeight="1">
      <c r="A916" s="1"/>
      <c r="B916" s="4"/>
      <c r="C916" s="4"/>
      <c r="D916" s="1"/>
      <c r="E916" s="4"/>
      <c r="F916" s="1"/>
      <c r="G916" s="1"/>
      <c r="H916" s="1"/>
      <c r="I916" s="4"/>
    </row>
    <row r="917" ht="17.25" customHeight="1">
      <c r="A917" s="1"/>
      <c r="B917" s="4"/>
      <c r="C917" s="4"/>
      <c r="D917" s="1"/>
      <c r="E917" s="4"/>
      <c r="F917" s="1"/>
      <c r="G917" s="1"/>
      <c r="H917" s="1"/>
      <c r="I917" s="4"/>
    </row>
    <row r="918" ht="17.25" customHeight="1">
      <c r="A918" s="1"/>
      <c r="B918" s="4"/>
      <c r="C918" s="4"/>
      <c r="D918" s="1"/>
      <c r="E918" s="4"/>
      <c r="F918" s="1"/>
      <c r="G918" s="1"/>
      <c r="H918" s="1"/>
      <c r="I918" s="4"/>
    </row>
    <row r="919" ht="17.25" customHeight="1">
      <c r="A919" s="1"/>
      <c r="B919" s="4"/>
      <c r="C919" s="4"/>
      <c r="D919" s="1"/>
      <c r="E919" s="4"/>
      <c r="F919" s="1"/>
      <c r="G919" s="1"/>
      <c r="H919" s="1"/>
      <c r="I919" s="4"/>
    </row>
    <row r="920" ht="17.25" customHeight="1">
      <c r="A920" s="1"/>
      <c r="B920" s="4"/>
      <c r="C920" s="4"/>
      <c r="D920" s="1"/>
      <c r="E920" s="4"/>
      <c r="F920" s="1"/>
      <c r="G920" s="1"/>
      <c r="H920" s="1"/>
      <c r="I920" s="4"/>
    </row>
    <row r="921" ht="17.25" customHeight="1">
      <c r="A921" s="1"/>
      <c r="B921" s="4"/>
      <c r="C921" s="4"/>
      <c r="D921" s="1"/>
      <c r="E921" s="4"/>
      <c r="F921" s="1"/>
      <c r="G921" s="1"/>
      <c r="H921" s="1"/>
      <c r="I921" s="4"/>
    </row>
    <row r="922" ht="17.25" customHeight="1">
      <c r="A922" s="1"/>
      <c r="B922" s="4"/>
      <c r="C922" s="4"/>
      <c r="D922" s="1"/>
      <c r="E922" s="4"/>
      <c r="F922" s="1"/>
      <c r="G922" s="1"/>
      <c r="H922" s="1"/>
      <c r="I922" s="4"/>
    </row>
    <row r="923" ht="17.25" customHeight="1">
      <c r="A923" s="1"/>
      <c r="B923" s="4"/>
      <c r="C923" s="4"/>
      <c r="D923" s="1"/>
      <c r="E923" s="4"/>
      <c r="F923" s="1"/>
      <c r="G923" s="1"/>
      <c r="H923" s="1"/>
      <c r="I923" s="4"/>
    </row>
    <row r="924" ht="17.25" customHeight="1">
      <c r="A924" s="1"/>
      <c r="B924" s="4"/>
      <c r="C924" s="4"/>
      <c r="D924" s="1"/>
      <c r="E924" s="4"/>
      <c r="F924" s="1"/>
      <c r="G924" s="1"/>
      <c r="H924" s="1"/>
      <c r="I924" s="4"/>
    </row>
    <row r="925" ht="17.25" customHeight="1">
      <c r="A925" s="1"/>
      <c r="B925" s="4"/>
      <c r="C925" s="4"/>
      <c r="D925" s="1"/>
      <c r="E925" s="4"/>
      <c r="F925" s="1"/>
      <c r="G925" s="1"/>
      <c r="H925" s="1"/>
      <c r="I925" s="4"/>
    </row>
    <row r="926" ht="17.25" customHeight="1">
      <c r="A926" s="1"/>
      <c r="B926" s="4"/>
      <c r="C926" s="4"/>
      <c r="D926" s="1"/>
      <c r="E926" s="4"/>
      <c r="F926" s="1"/>
      <c r="G926" s="1"/>
      <c r="H926" s="1"/>
      <c r="I926" s="4"/>
    </row>
    <row r="927" ht="17.25" customHeight="1">
      <c r="A927" s="1"/>
      <c r="B927" s="4"/>
      <c r="C927" s="4"/>
      <c r="D927" s="1"/>
      <c r="E927" s="4"/>
      <c r="F927" s="1"/>
      <c r="G927" s="1"/>
      <c r="H927" s="1"/>
      <c r="I927" s="4"/>
    </row>
    <row r="928" ht="17.25" customHeight="1">
      <c r="A928" s="1"/>
      <c r="B928" s="4"/>
      <c r="C928" s="4"/>
      <c r="D928" s="1"/>
      <c r="E928" s="4"/>
      <c r="F928" s="1"/>
      <c r="G928" s="1"/>
      <c r="H928" s="1"/>
      <c r="I928" s="4"/>
    </row>
    <row r="929" ht="17.25" customHeight="1">
      <c r="A929" s="1"/>
      <c r="B929" s="4"/>
      <c r="C929" s="4"/>
      <c r="D929" s="1"/>
      <c r="E929" s="4"/>
      <c r="F929" s="1"/>
      <c r="G929" s="1"/>
      <c r="H929" s="1"/>
      <c r="I929" s="4"/>
    </row>
    <row r="930" ht="17.25" customHeight="1">
      <c r="A930" s="1"/>
      <c r="B930" s="4"/>
      <c r="C930" s="4"/>
      <c r="D930" s="1"/>
      <c r="E930" s="4"/>
      <c r="F930" s="1"/>
      <c r="G930" s="1"/>
      <c r="H930" s="1"/>
      <c r="I930" s="4"/>
    </row>
    <row r="931" ht="17.25" customHeight="1">
      <c r="A931" s="1"/>
      <c r="B931" s="4"/>
      <c r="C931" s="4"/>
      <c r="D931" s="1"/>
      <c r="E931" s="4"/>
      <c r="F931" s="1"/>
      <c r="G931" s="1"/>
      <c r="H931" s="1"/>
      <c r="I931" s="4"/>
    </row>
    <row r="932" ht="17.25" customHeight="1">
      <c r="A932" s="1"/>
      <c r="B932" s="4"/>
      <c r="C932" s="4"/>
      <c r="D932" s="1"/>
      <c r="E932" s="4"/>
      <c r="F932" s="1"/>
      <c r="G932" s="1"/>
      <c r="H932" s="1"/>
      <c r="I932" s="4"/>
    </row>
    <row r="933" ht="17.25" customHeight="1">
      <c r="A933" s="1"/>
      <c r="B933" s="4"/>
      <c r="C933" s="4"/>
      <c r="D933" s="1"/>
      <c r="E933" s="4"/>
      <c r="F933" s="1"/>
      <c r="G933" s="1"/>
      <c r="H933" s="1"/>
      <c r="I933" s="4"/>
    </row>
    <row r="934" ht="17.25" customHeight="1">
      <c r="A934" s="1"/>
      <c r="B934" s="4"/>
      <c r="C934" s="4"/>
      <c r="D934" s="1"/>
      <c r="E934" s="4"/>
      <c r="F934" s="1"/>
      <c r="G934" s="1"/>
      <c r="H934" s="1"/>
      <c r="I934" s="4"/>
    </row>
    <row r="935" ht="17.25" customHeight="1">
      <c r="A935" s="1"/>
      <c r="B935" s="4"/>
      <c r="C935" s="4"/>
      <c r="D935" s="1"/>
      <c r="E935" s="4"/>
      <c r="F935" s="1"/>
      <c r="G935" s="1"/>
      <c r="H935" s="1"/>
      <c r="I935" s="4"/>
    </row>
    <row r="936" ht="17.25" customHeight="1">
      <c r="A936" s="1"/>
      <c r="B936" s="4"/>
      <c r="C936" s="4"/>
      <c r="D936" s="1"/>
      <c r="E936" s="4"/>
      <c r="F936" s="1"/>
      <c r="G936" s="1"/>
      <c r="H936" s="1"/>
      <c r="I936" s="4"/>
    </row>
    <row r="937" ht="17.25" customHeight="1">
      <c r="A937" s="1"/>
      <c r="B937" s="4"/>
      <c r="C937" s="4"/>
      <c r="D937" s="1"/>
      <c r="E937" s="4"/>
      <c r="F937" s="1"/>
      <c r="G937" s="1"/>
      <c r="H937" s="1"/>
      <c r="I937" s="4"/>
    </row>
    <row r="938" ht="17.25" customHeight="1">
      <c r="A938" s="1"/>
      <c r="B938" s="4"/>
      <c r="C938" s="4"/>
      <c r="D938" s="1"/>
      <c r="E938" s="4"/>
      <c r="F938" s="1"/>
      <c r="G938" s="1"/>
      <c r="H938" s="1"/>
      <c r="I938" s="4"/>
    </row>
    <row r="939" ht="17.25" customHeight="1">
      <c r="A939" s="1"/>
      <c r="B939" s="4"/>
      <c r="C939" s="4"/>
      <c r="D939" s="1"/>
      <c r="E939" s="4"/>
      <c r="F939" s="1"/>
      <c r="G939" s="1"/>
      <c r="H939" s="1"/>
      <c r="I939" s="4"/>
    </row>
    <row r="940" ht="17.25" customHeight="1">
      <c r="A940" s="1"/>
      <c r="B940" s="4"/>
      <c r="C940" s="4"/>
      <c r="D940" s="1"/>
      <c r="E940" s="4"/>
      <c r="F940" s="1"/>
      <c r="G940" s="1"/>
      <c r="H940" s="1"/>
      <c r="I940" s="4"/>
    </row>
    <row r="941" ht="17.25" customHeight="1">
      <c r="A941" s="1"/>
      <c r="B941" s="4"/>
      <c r="C941" s="4"/>
      <c r="D941" s="1"/>
      <c r="E941" s="4"/>
      <c r="F941" s="1"/>
      <c r="G941" s="1"/>
      <c r="H941" s="1"/>
      <c r="I941" s="4"/>
    </row>
    <row r="942" ht="17.25" customHeight="1">
      <c r="A942" s="1"/>
      <c r="B942" s="4"/>
      <c r="C942" s="4"/>
      <c r="D942" s="1"/>
      <c r="E942" s="4"/>
      <c r="F942" s="1"/>
      <c r="G942" s="1"/>
      <c r="H942" s="1"/>
      <c r="I942" s="4"/>
    </row>
    <row r="943" ht="17.25" customHeight="1">
      <c r="A943" s="1"/>
      <c r="B943" s="4"/>
      <c r="C943" s="4"/>
      <c r="D943" s="1"/>
      <c r="E943" s="4"/>
      <c r="F943" s="1"/>
      <c r="G943" s="1"/>
      <c r="H943" s="1"/>
      <c r="I943" s="4"/>
    </row>
    <row r="944" ht="17.25" customHeight="1">
      <c r="A944" s="1"/>
      <c r="B944" s="4"/>
      <c r="C944" s="4"/>
      <c r="D944" s="1"/>
      <c r="E944" s="4"/>
      <c r="F944" s="1"/>
      <c r="G944" s="1"/>
      <c r="H944" s="1"/>
      <c r="I944" s="4"/>
    </row>
    <row r="945" ht="17.25" customHeight="1">
      <c r="A945" s="1"/>
      <c r="B945" s="4"/>
      <c r="C945" s="4"/>
      <c r="D945" s="1"/>
      <c r="E945" s="4"/>
      <c r="F945" s="1"/>
      <c r="G945" s="1"/>
      <c r="H945" s="1"/>
      <c r="I945" s="4"/>
    </row>
    <row r="946" ht="17.25" customHeight="1">
      <c r="A946" s="1"/>
      <c r="B946" s="4"/>
      <c r="C946" s="4"/>
      <c r="D946" s="1"/>
      <c r="E946" s="4"/>
      <c r="F946" s="1"/>
      <c r="G946" s="1"/>
      <c r="H946" s="1"/>
      <c r="I946" s="4"/>
    </row>
    <row r="947" ht="17.25" customHeight="1">
      <c r="A947" s="1"/>
      <c r="B947" s="4"/>
      <c r="C947" s="4"/>
      <c r="D947" s="1"/>
      <c r="E947" s="4"/>
      <c r="F947" s="1"/>
      <c r="G947" s="1"/>
      <c r="H947" s="1"/>
      <c r="I947" s="4"/>
    </row>
    <row r="948" ht="17.25" customHeight="1">
      <c r="A948" s="1"/>
      <c r="B948" s="4"/>
      <c r="C948" s="4"/>
      <c r="D948" s="1"/>
      <c r="E948" s="4"/>
      <c r="F948" s="1"/>
      <c r="G948" s="1"/>
      <c r="H948" s="1"/>
      <c r="I948" s="4"/>
    </row>
    <row r="949" ht="17.25" customHeight="1">
      <c r="A949" s="1"/>
      <c r="B949" s="4"/>
      <c r="C949" s="4"/>
      <c r="D949" s="1"/>
      <c r="E949" s="4"/>
      <c r="F949" s="1"/>
      <c r="G949" s="1"/>
      <c r="H949" s="1"/>
      <c r="I949" s="4"/>
    </row>
    <row r="950" ht="17.25" customHeight="1">
      <c r="A950" s="1"/>
      <c r="B950" s="4"/>
      <c r="C950" s="4"/>
      <c r="D950" s="1"/>
      <c r="E950" s="4"/>
      <c r="F950" s="1"/>
      <c r="G950" s="1"/>
      <c r="H950" s="1"/>
      <c r="I950" s="4"/>
    </row>
    <row r="951" ht="17.25" customHeight="1">
      <c r="A951" s="1"/>
      <c r="B951" s="4"/>
      <c r="C951" s="4"/>
      <c r="D951" s="1"/>
      <c r="E951" s="4"/>
      <c r="F951" s="1"/>
      <c r="G951" s="1"/>
      <c r="H951" s="1"/>
      <c r="I951" s="4"/>
    </row>
    <row r="952" ht="17.25" customHeight="1">
      <c r="A952" s="1"/>
      <c r="B952" s="4"/>
      <c r="C952" s="4"/>
      <c r="D952" s="1"/>
      <c r="E952" s="4"/>
      <c r="F952" s="1"/>
      <c r="G952" s="1"/>
      <c r="H952" s="1"/>
      <c r="I952" s="4"/>
    </row>
    <row r="953" ht="17.25" customHeight="1">
      <c r="A953" s="1"/>
      <c r="B953" s="4"/>
      <c r="C953" s="4"/>
      <c r="D953" s="1"/>
      <c r="E953" s="4"/>
      <c r="F953" s="1"/>
      <c r="G953" s="1"/>
      <c r="H953" s="1"/>
      <c r="I953" s="4"/>
    </row>
    <row r="954" ht="17.25" customHeight="1">
      <c r="A954" s="1"/>
      <c r="B954" s="4"/>
      <c r="C954" s="4"/>
      <c r="D954" s="1"/>
      <c r="E954" s="4"/>
      <c r="F954" s="1"/>
      <c r="G954" s="1"/>
      <c r="H954" s="1"/>
      <c r="I954" s="4"/>
    </row>
    <row r="955" ht="17.25" customHeight="1">
      <c r="A955" s="1"/>
      <c r="B955" s="4"/>
      <c r="C955" s="4"/>
      <c r="D955" s="1"/>
      <c r="E955" s="4"/>
      <c r="F955" s="1"/>
      <c r="G955" s="1"/>
      <c r="H955" s="1"/>
      <c r="I955" s="4"/>
    </row>
    <row r="956" ht="17.25" customHeight="1">
      <c r="A956" s="1"/>
      <c r="B956" s="4"/>
      <c r="C956" s="4"/>
      <c r="D956" s="1"/>
      <c r="E956" s="4"/>
      <c r="F956" s="1"/>
      <c r="G956" s="1"/>
      <c r="H956" s="1"/>
      <c r="I956" s="4"/>
    </row>
    <row r="957" ht="17.25" customHeight="1">
      <c r="A957" s="1"/>
      <c r="B957" s="4"/>
      <c r="C957" s="4"/>
      <c r="D957" s="1"/>
      <c r="E957" s="4"/>
      <c r="F957" s="1"/>
      <c r="G957" s="1"/>
      <c r="H957" s="1"/>
      <c r="I957" s="4"/>
    </row>
    <row r="958" ht="17.25" customHeight="1">
      <c r="A958" s="1"/>
      <c r="B958" s="4"/>
      <c r="C958" s="4"/>
      <c r="D958" s="1"/>
      <c r="E958" s="4"/>
      <c r="F958" s="1"/>
      <c r="G958" s="1"/>
      <c r="H958" s="1"/>
      <c r="I958" s="4"/>
    </row>
    <row r="959" ht="17.25" customHeight="1">
      <c r="A959" s="1"/>
      <c r="B959" s="4"/>
      <c r="C959" s="4"/>
      <c r="D959" s="1"/>
      <c r="E959" s="4"/>
      <c r="F959" s="1"/>
      <c r="G959" s="1"/>
      <c r="H959" s="1"/>
      <c r="I959" s="4"/>
    </row>
    <row r="960" ht="17.25" customHeight="1">
      <c r="A960" s="1"/>
      <c r="B960" s="4"/>
      <c r="C960" s="4"/>
      <c r="D960" s="1"/>
      <c r="E960" s="4"/>
      <c r="F960" s="1"/>
      <c r="G960" s="1"/>
      <c r="H960" s="1"/>
      <c r="I960" s="4"/>
    </row>
    <row r="961" ht="17.25" customHeight="1">
      <c r="A961" s="1"/>
      <c r="B961" s="4"/>
      <c r="C961" s="4"/>
      <c r="D961" s="1"/>
      <c r="E961" s="4"/>
      <c r="F961" s="1"/>
      <c r="G961" s="1"/>
      <c r="H961" s="1"/>
      <c r="I961" s="4"/>
    </row>
    <row r="962" ht="17.25" customHeight="1">
      <c r="A962" s="1"/>
      <c r="B962" s="4"/>
      <c r="C962" s="4"/>
      <c r="D962" s="1"/>
      <c r="E962" s="4"/>
      <c r="F962" s="1"/>
      <c r="G962" s="1"/>
      <c r="H962" s="1"/>
      <c r="I962" s="4"/>
    </row>
    <row r="963" ht="17.25" customHeight="1">
      <c r="A963" s="1"/>
      <c r="B963" s="4"/>
      <c r="C963" s="4"/>
      <c r="D963" s="1"/>
      <c r="E963" s="4"/>
      <c r="F963" s="1"/>
      <c r="G963" s="1"/>
      <c r="H963" s="1"/>
      <c r="I963" s="4"/>
    </row>
    <row r="964" ht="17.25" customHeight="1">
      <c r="A964" s="1"/>
      <c r="B964" s="4"/>
      <c r="C964" s="4"/>
      <c r="D964" s="1"/>
      <c r="E964" s="4"/>
      <c r="F964" s="1"/>
      <c r="G964" s="1"/>
      <c r="H964" s="1"/>
      <c r="I964" s="4"/>
    </row>
    <row r="965" ht="17.25" customHeight="1">
      <c r="A965" s="1"/>
      <c r="B965" s="4"/>
      <c r="C965" s="4"/>
      <c r="D965" s="1"/>
      <c r="E965" s="4"/>
      <c r="F965" s="1"/>
      <c r="G965" s="1"/>
      <c r="H965" s="1"/>
      <c r="I965" s="4"/>
    </row>
    <row r="966" ht="17.25" customHeight="1">
      <c r="A966" s="1"/>
      <c r="B966" s="4"/>
      <c r="C966" s="4"/>
      <c r="D966" s="1"/>
      <c r="E966" s="4"/>
      <c r="F966" s="1"/>
      <c r="G966" s="1"/>
      <c r="H966" s="1"/>
      <c r="I966" s="4"/>
    </row>
    <row r="967" ht="17.25" customHeight="1">
      <c r="A967" s="1"/>
      <c r="B967" s="4"/>
      <c r="C967" s="4"/>
      <c r="D967" s="1"/>
      <c r="E967" s="4"/>
      <c r="F967" s="1"/>
      <c r="G967" s="1"/>
      <c r="H967" s="1"/>
      <c r="I967" s="4"/>
    </row>
    <row r="968" ht="17.25" customHeight="1">
      <c r="A968" s="1"/>
      <c r="B968" s="4"/>
      <c r="C968" s="4"/>
      <c r="D968" s="1"/>
      <c r="E968" s="4"/>
      <c r="F968" s="1"/>
      <c r="G968" s="1"/>
      <c r="H968" s="1"/>
      <c r="I968" s="4"/>
    </row>
    <row r="969" ht="17.25" customHeight="1">
      <c r="A969" s="1"/>
      <c r="B969" s="4"/>
      <c r="C969" s="4"/>
      <c r="D969" s="1"/>
      <c r="E969" s="4"/>
      <c r="F969" s="1"/>
      <c r="G969" s="1"/>
      <c r="H969" s="1"/>
      <c r="I969" s="4"/>
    </row>
    <row r="970" ht="17.25" customHeight="1">
      <c r="A970" s="1"/>
      <c r="B970" s="4"/>
      <c r="C970" s="4"/>
      <c r="D970" s="1"/>
      <c r="E970" s="4"/>
      <c r="F970" s="1"/>
      <c r="G970" s="1"/>
      <c r="H970" s="1"/>
      <c r="I970" s="4"/>
    </row>
    <row r="971" ht="17.25" customHeight="1">
      <c r="A971" s="1"/>
      <c r="B971" s="4"/>
      <c r="C971" s="4"/>
      <c r="D971" s="1"/>
      <c r="E971" s="4"/>
      <c r="F971" s="1"/>
      <c r="G971" s="1"/>
      <c r="H971" s="1"/>
      <c r="I971" s="4"/>
    </row>
    <row r="972" ht="17.25" customHeight="1">
      <c r="A972" s="1"/>
      <c r="B972" s="4"/>
      <c r="C972" s="4"/>
      <c r="D972" s="1"/>
      <c r="E972" s="4"/>
      <c r="F972" s="1"/>
      <c r="G972" s="1"/>
      <c r="H972" s="1"/>
      <c r="I972" s="4"/>
    </row>
    <row r="973" ht="17.25" customHeight="1">
      <c r="A973" s="1"/>
      <c r="B973" s="4"/>
      <c r="C973" s="4"/>
      <c r="D973" s="1"/>
      <c r="E973" s="4"/>
      <c r="F973" s="1"/>
      <c r="G973" s="1"/>
      <c r="H973" s="1"/>
      <c r="I973" s="4"/>
    </row>
    <row r="974" ht="17.25" customHeight="1">
      <c r="A974" s="1"/>
      <c r="B974" s="4"/>
      <c r="C974" s="4"/>
      <c r="D974" s="1"/>
      <c r="E974" s="4"/>
      <c r="F974" s="1"/>
      <c r="G974" s="1"/>
      <c r="H974" s="1"/>
      <c r="I974" s="4"/>
    </row>
    <row r="975" ht="17.25" customHeight="1">
      <c r="A975" s="1"/>
      <c r="B975" s="4"/>
      <c r="C975" s="4"/>
      <c r="D975" s="1"/>
      <c r="E975" s="4"/>
      <c r="F975" s="1"/>
      <c r="G975" s="1"/>
      <c r="H975" s="1"/>
      <c r="I975" s="4"/>
    </row>
    <row r="976" ht="17.25" customHeight="1">
      <c r="A976" s="1"/>
      <c r="B976" s="4"/>
      <c r="C976" s="4"/>
      <c r="D976" s="1"/>
      <c r="E976" s="4"/>
      <c r="F976" s="1"/>
      <c r="G976" s="1"/>
      <c r="H976" s="1"/>
      <c r="I976" s="4"/>
    </row>
    <row r="977" ht="17.25" customHeight="1">
      <c r="A977" s="1"/>
      <c r="B977" s="4"/>
      <c r="C977" s="4"/>
      <c r="D977" s="1"/>
      <c r="E977" s="4"/>
      <c r="F977" s="1"/>
      <c r="G977" s="1"/>
      <c r="H977" s="1"/>
      <c r="I977" s="4"/>
    </row>
    <row r="978" ht="17.25" customHeight="1">
      <c r="A978" s="1"/>
      <c r="B978" s="4"/>
      <c r="C978" s="4"/>
      <c r="D978" s="1"/>
      <c r="E978" s="4"/>
      <c r="F978" s="1"/>
      <c r="G978" s="1"/>
      <c r="H978" s="1"/>
      <c r="I978" s="4"/>
    </row>
    <row r="979" ht="17.25" customHeight="1">
      <c r="A979" s="1"/>
      <c r="B979" s="4"/>
      <c r="C979" s="4"/>
      <c r="D979" s="1"/>
      <c r="E979" s="4"/>
      <c r="F979" s="1"/>
      <c r="G979" s="1"/>
      <c r="H979" s="1"/>
      <c r="I979" s="4"/>
    </row>
    <row r="980" ht="17.25" customHeight="1">
      <c r="A980" s="1"/>
      <c r="B980" s="4"/>
      <c r="C980" s="4"/>
      <c r="D980" s="1"/>
      <c r="E980" s="4"/>
      <c r="F980" s="1"/>
      <c r="G980" s="1"/>
      <c r="H980" s="1"/>
      <c r="I980" s="4"/>
    </row>
    <row r="981" ht="17.25" customHeight="1">
      <c r="A981" s="1"/>
      <c r="B981" s="4"/>
      <c r="C981" s="4"/>
      <c r="D981" s="1"/>
      <c r="E981" s="4"/>
      <c r="F981" s="1"/>
      <c r="G981" s="1"/>
      <c r="H981" s="1"/>
      <c r="I981" s="4"/>
    </row>
    <row r="982" ht="17.25" customHeight="1">
      <c r="A982" s="1"/>
      <c r="B982" s="4"/>
      <c r="C982" s="4"/>
      <c r="D982" s="1"/>
      <c r="E982" s="4"/>
      <c r="F982" s="1"/>
      <c r="G982" s="1"/>
      <c r="H982" s="1"/>
      <c r="I982" s="4"/>
    </row>
    <row r="983" ht="17.25" customHeight="1">
      <c r="A983" s="1"/>
      <c r="B983" s="4"/>
      <c r="C983" s="4"/>
      <c r="D983" s="1"/>
      <c r="E983" s="4"/>
      <c r="F983" s="1"/>
      <c r="G983" s="1"/>
      <c r="H983" s="1"/>
      <c r="I983" s="4"/>
    </row>
    <row r="984" ht="17.25" customHeight="1">
      <c r="A984" s="1"/>
      <c r="B984" s="4"/>
      <c r="C984" s="4"/>
      <c r="D984" s="1"/>
      <c r="E984" s="4"/>
      <c r="F984" s="1"/>
      <c r="G984" s="1"/>
      <c r="H984" s="1"/>
      <c r="I984" s="4"/>
    </row>
    <row r="985" ht="17.25" customHeight="1">
      <c r="A985" s="1"/>
      <c r="B985" s="4"/>
      <c r="C985" s="4"/>
      <c r="D985" s="1"/>
      <c r="E985" s="4"/>
      <c r="F985" s="1"/>
      <c r="G985" s="1"/>
      <c r="H985" s="1"/>
      <c r="I985" s="4"/>
    </row>
    <row r="986" ht="17.25" customHeight="1">
      <c r="A986" s="1"/>
      <c r="B986" s="4"/>
      <c r="C986" s="4"/>
      <c r="D986" s="1"/>
      <c r="E986" s="4"/>
      <c r="F986" s="1"/>
      <c r="G986" s="1"/>
      <c r="H986" s="1"/>
      <c r="I986" s="4"/>
    </row>
    <row r="987" ht="17.25" customHeight="1">
      <c r="A987" s="1"/>
      <c r="B987" s="4"/>
      <c r="C987" s="4"/>
      <c r="D987" s="1"/>
      <c r="E987" s="4"/>
      <c r="F987" s="1"/>
      <c r="G987" s="1"/>
      <c r="H987" s="1"/>
      <c r="I987" s="4"/>
    </row>
    <row r="988" ht="17.25" customHeight="1">
      <c r="A988" s="1"/>
      <c r="B988" s="4"/>
      <c r="C988" s="4"/>
      <c r="D988" s="1"/>
      <c r="E988" s="4"/>
      <c r="F988" s="1"/>
      <c r="G988" s="1"/>
      <c r="H988" s="1"/>
      <c r="I988" s="4"/>
    </row>
    <row r="989" ht="17.25" customHeight="1">
      <c r="A989" s="1"/>
      <c r="B989" s="4"/>
      <c r="C989" s="4"/>
      <c r="D989" s="1"/>
      <c r="E989" s="4"/>
      <c r="F989" s="1"/>
      <c r="G989" s="1"/>
      <c r="H989" s="1"/>
      <c r="I989" s="4"/>
    </row>
    <row r="990" ht="17.25" customHeight="1">
      <c r="A990" s="1"/>
      <c r="B990" s="4"/>
      <c r="C990" s="4"/>
      <c r="D990" s="1"/>
      <c r="E990" s="4"/>
      <c r="F990" s="1"/>
      <c r="G990" s="1"/>
      <c r="H990" s="1"/>
      <c r="I990" s="4"/>
    </row>
    <row r="991" ht="17.25" customHeight="1">
      <c r="A991" s="1"/>
      <c r="B991" s="4"/>
      <c r="C991" s="4"/>
      <c r="D991" s="1"/>
      <c r="E991" s="4"/>
      <c r="F991" s="1"/>
      <c r="G991" s="1"/>
      <c r="H991" s="1"/>
      <c r="I991" s="4"/>
    </row>
    <row r="992" ht="17.25" customHeight="1">
      <c r="A992" s="1"/>
      <c r="B992" s="4"/>
      <c r="C992" s="4"/>
      <c r="D992" s="1"/>
      <c r="E992" s="4"/>
      <c r="F992" s="1"/>
      <c r="G992" s="1"/>
      <c r="H992" s="1"/>
      <c r="I992" s="4"/>
    </row>
    <row r="993" ht="17.25" customHeight="1">
      <c r="A993" s="1"/>
      <c r="B993" s="4"/>
      <c r="C993" s="4"/>
      <c r="D993" s="1"/>
      <c r="E993" s="4"/>
      <c r="F993" s="1"/>
      <c r="G993" s="1"/>
      <c r="H993" s="1"/>
      <c r="I993" s="4"/>
    </row>
    <row r="994" ht="17.25" customHeight="1">
      <c r="A994" s="1"/>
      <c r="B994" s="4"/>
      <c r="C994" s="4"/>
      <c r="D994" s="1"/>
      <c r="E994" s="4"/>
      <c r="F994" s="1"/>
      <c r="G994" s="1"/>
      <c r="H994" s="1"/>
      <c r="I994" s="4"/>
    </row>
    <row r="995" ht="17.25" customHeight="1">
      <c r="A995" s="1"/>
      <c r="B995" s="4"/>
      <c r="C995" s="4"/>
      <c r="D995" s="1"/>
      <c r="E995" s="4"/>
      <c r="F995" s="1"/>
      <c r="G995" s="1"/>
      <c r="H995" s="1"/>
      <c r="I995" s="4"/>
    </row>
    <row r="996" ht="17.25" customHeight="1">
      <c r="A996" s="1"/>
      <c r="B996" s="4"/>
      <c r="C996" s="4"/>
      <c r="D996" s="1"/>
      <c r="E996" s="4"/>
      <c r="F996" s="1"/>
      <c r="G996" s="1"/>
      <c r="H996" s="1"/>
      <c r="I996" s="4"/>
    </row>
    <row r="997" ht="17.25" customHeight="1">
      <c r="A997" s="1"/>
      <c r="B997" s="4"/>
      <c r="C997" s="4"/>
      <c r="D997" s="1"/>
      <c r="E997" s="4"/>
      <c r="F997" s="1"/>
      <c r="G997" s="1"/>
      <c r="H997" s="1"/>
      <c r="I997" s="4"/>
    </row>
    <row r="998" ht="17.25" customHeight="1">
      <c r="A998" s="1"/>
      <c r="B998" s="4"/>
      <c r="C998" s="4"/>
      <c r="D998" s="1"/>
      <c r="E998" s="4"/>
      <c r="F998" s="1"/>
      <c r="G998" s="1"/>
      <c r="H998" s="1"/>
      <c r="I998" s="4"/>
    </row>
    <row r="999" ht="17.25" customHeight="1">
      <c r="A999" s="1"/>
      <c r="B999" s="4"/>
      <c r="C999" s="4"/>
      <c r="D999" s="1"/>
      <c r="E999" s="4"/>
      <c r="F999" s="1"/>
      <c r="G999" s="1"/>
      <c r="H999" s="1"/>
      <c r="I999" s="4"/>
    </row>
    <row r="1000" ht="17.25" customHeight="1">
      <c r="A1000" s="1"/>
      <c r="B1000" s="4"/>
      <c r="C1000" s="4"/>
      <c r="D1000" s="1"/>
      <c r="E1000" s="4"/>
      <c r="F1000" s="1"/>
      <c r="G1000" s="1"/>
      <c r="H1000" s="1"/>
      <c r="I1000" s="4"/>
    </row>
  </sheetData>
  <autoFilter ref="$A$2:$J$288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2" width="14.0"/>
    <col customWidth="1" min="3" max="3" width="27.43"/>
    <col customWidth="1" min="4" max="4" width="15.0"/>
    <col customWidth="1" min="5" max="5" width="46.14"/>
    <col customWidth="1" min="6" max="6" width="11.57"/>
    <col customWidth="1" min="7" max="7" width="16.14"/>
    <col customWidth="1" min="8" max="8" width="15.71"/>
    <col customWidth="1" min="9" max="9" width="19.14"/>
    <col customWidth="1" min="10" max="26" width="9.0"/>
  </cols>
  <sheetData>
    <row r="1" ht="47.25" customHeight="1">
      <c r="A1" s="2" t="s">
        <v>0</v>
      </c>
      <c r="B1" s="3"/>
      <c r="C1" s="3"/>
      <c r="D1" s="7"/>
      <c r="E1" s="7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75" customHeight="1">
      <c r="A2" s="13" t="s">
        <v>4</v>
      </c>
      <c r="B2" s="17"/>
      <c r="C2" s="22"/>
      <c r="D2" s="22"/>
      <c r="E2" s="22"/>
      <c r="F2" s="22"/>
      <c r="G2" s="22"/>
      <c r="H2" s="25"/>
      <c r="I2" s="26"/>
      <c r="J2" s="26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7.25" customHeight="1">
      <c r="A3" s="29"/>
      <c r="B3" s="22"/>
      <c r="C3" s="22"/>
      <c r="D3" s="22"/>
      <c r="E3" s="22"/>
      <c r="F3" s="26"/>
      <c r="G3" s="26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7.25" customHeight="1">
      <c r="A4" s="31" t="s">
        <v>23</v>
      </c>
      <c r="B4" s="31"/>
      <c r="C4" s="31"/>
      <c r="D4" s="34"/>
      <c r="E4" s="34"/>
      <c r="F4" s="37">
        <f t="shared" ref="F4:H4" si="1">SUM(F6:F1397)</f>
        <v>441191</v>
      </c>
      <c r="G4" s="37">
        <f t="shared" si="1"/>
        <v>5428800390</v>
      </c>
      <c r="H4" s="37">
        <f t="shared" si="1"/>
        <v>257635009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8.25" customHeight="1">
      <c r="A5" s="39" t="s">
        <v>41</v>
      </c>
      <c r="B5" s="39" t="s">
        <v>49</v>
      </c>
      <c r="C5" s="39" t="s">
        <v>50</v>
      </c>
      <c r="D5" s="39" t="s">
        <v>51</v>
      </c>
      <c r="E5" s="39" t="s">
        <v>52</v>
      </c>
      <c r="F5" s="42" t="s">
        <v>53</v>
      </c>
      <c r="G5" s="42" t="s">
        <v>12</v>
      </c>
      <c r="H5" s="42" t="s">
        <v>13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7.25" customHeight="1">
      <c r="A6" s="44" t="s">
        <v>26</v>
      </c>
      <c r="B6" s="47" t="s">
        <v>63</v>
      </c>
      <c r="C6" s="44" t="s">
        <v>68</v>
      </c>
      <c r="D6" s="48" t="s">
        <v>69</v>
      </c>
      <c r="E6" s="44" t="s">
        <v>70</v>
      </c>
      <c r="F6" s="50">
        <v>253.0</v>
      </c>
      <c r="G6" s="50">
        <v>5220720.0</v>
      </c>
      <c r="H6" s="50">
        <v>278100.0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7.25" customHeight="1">
      <c r="A7" s="44" t="s">
        <v>26</v>
      </c>
      <c r="B7" s="51" t="s">
        <v>63</v>
      </c>
      <c r="C7" s="44" t="s">
        <v>82</v>
      </c>
      <c r="D7" s="48" t="s">
        <v>84</v>
      </c>
      <c r="E7" s="44" t="s">
        <v>85</v>
      </c>
      <c r="F7" s="50">
        <v>4.0</v>
      </c>
      <c r="G7" s="50">
        <v>187600.0</v>
      </c>
      <c r="H7" s="50">
        <v>0.0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7.25" customHeight="1">
      <c r="A8" s="44" t="s">
        <v>26</v>
      </c>
      <c r="B8" s="51" t="s">
        <v>63</v>
      </c>
      <c r="C8" s="44" t="s">
        <v>88</v>
      </c>
      <c r="D8" s="48" t="s">
        <v>89</v>
      </c>
      <c r="E8" s="44" t="s">
        <v>90</v>
      </c>
      <c r="F8" s="50">
        <v>21744.0</v>
      </c>
      <c r="G8" s="50">
        <v>2.8753627E8</v>
      </c>
      <c r="H8" s="50">
        <v>6140240.0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7.25" customHeight="1">
      <c r="A9" s="44" t="s">
        <v>26</v>
      </c>
      <c r="B9" s="47" t="s">
        <v>91</v>
      </c>
      <c r="C9" s="44" t="s">
        <v>92</v>
      </c>
      <c r="D9" s="48" t="s">
        <v>93</v>
      </c>
      <c r="E9" s="44" t="s">
        <v>94</v>
      </c>
      <c r="F9" s="50">
        <v>26.0</v>
      </c>
      <c r="G9" s="50">
        <v>621000.0</v>
      </c>
      <c r="H9" s="50">
        <v>57600.0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7.25" customHeight="1">
      <c r="A10" s="44" t="s">
        <v>26</v>
      </c>
      <c r="B10" s="47" t="s">
        <v>91</v>
      </c>
      <c r="C10" s="44" t="s">
        <v>92</v>
      </c>
      <c r="D10" s="48" t="s">
        <v>93</v>
      </c>
      <c r="E10" s="44" t="s">
        <v>96</v>
      </c>
      <c r="F10" s="50">
        <v>32.0</v>
      </c>
      <c r="G10" s="50">
        <v>480900.0</v>
      </c>
      <c r="H10" s="50">
        <v>27500.0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7.25" customHeight="1">
      <c r="A11" s="44" t="s">
        <v>26</v>
      </c>
      <c r="B11" s="52" t="s">
        <v>99</v>
      </c>
      <c r="C11" s="44" t="s">
        <v>102</v>
      </c>
      <c r="D11" s="48" t="s">
        <v>103</v>
      </c>
      <c r="E11" s="44" t="s">
        <v>104</v>
      </c>
      <c r="F11" s="50">
        <v>2382.0</v>
      </c>
      <c r="G11" s="50">
        <v>5.50538E7</v>
      </c>
      <c r="H11" s="50">
        <v>4893300.0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7.25" customHeight="1">
      <c r="A12" s="44" t="s">
        <v>26</v>
      </c>
      <c r="B12" s="47" t="s">
        <v>99</v>
      </c>
      <c r="C12" s="44" t="s">
        <v>102</v>
      </c>
      <c r="D12" s="48" t="s">
        <v>103</v>
      </c>
      <c r="E12" s="44" t="s">
        <v>105</v>
      </c>
      <c r="F12" s="50">
        <v>3.0</v>
      </c>
      <c r="G12" s="50">
        <v>44700.0</v>
      </c>
      <c r="H12" s="50">
        <v>0.0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7.25" customHeight="1">
      <c r="A13" s="44" t="s">
        <v>26</v>
      </c>
      <c r="B13" s="47" t="s">
        <v>99</v>
      </c>
      <c r="C13" s="44" t="s">
        <v>102</v>
      </c>
      <c r="D13" s="48" t="s">
        <v>103</v>
      </c>
      <c r="E13" s="44" t="s">
        <v>108</v>
      </c>
      <c r="F13" s="50">
        <v>100.0</v>
      </c>
      <c r="G13" s="50">
        <v>1718300.0</v>
      </c>
      <c r="H13" s="50">
        <v>134180.0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7.25" customHeight="1">
      <c r="A14" s="44" t="s">
        <v>26</v>
      </c>
      <c r="B14" s="47" t="s">
        <v>99</v>
      </c>
      <c r="C14" s="44" t="s">
        <v>102</v>
      </c>
      <c r="D14" s="48" t="s">
        <v>103</v>
      </c>
      <c r="E14" s="44" t="s">
        <v>109</v>
      </c>
      <c r="F14" s="50">
        <v>10.0</v>
      </c>
      <c r="G14" s="50">
        <v>137000.0</v>
      </c>
      <c r="H14" s="50">
        <v>8940.0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7.25" customHeight="1">
      <c r="A15" s="44" t="s">
        <v>26</v>
      </c>
      <c r="B15" s="47" t="s">
        <v>99</v>
      </c>
      <c r="C15" s="44" t="s">
        <v>102</v>
      </c>
      <c r="D15" s="48" t="s">
        <v>103</v>
      </c>
      <c r="E15" s="44" t="s">
        <v>110</v>
      </c>
      <c r="F15" s="50">
        <v>9.0</v>
      </c>
      <c r="G15" s="50">
        <v>162100.0</v>
      </c>
      <c r="H15" s="50">
        <v>7560.0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7.25" customHeight="1">
      <c r="A16" s="44" t="s">
        <v>26</v>
      </c>
      <c r="B16" s="47" t="s">
        <v>99</v>
      </c>
      <c r="C16" s="44" t="s">
        <v>102</v>
      </c>
      <c r="D16" s="48" t="s">
        <v>103</v>
      </c>
      <c r="E16" s="44" t="s">
        <v>111</v>
      </c>
      <c r="F16" s="50">
        <v>2.0</v>
      </c>
      <c r="G16" s="50">
        <v>65000.0</v>
      </c>
      <c r="H16" s="50">
        <v>6500.0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7.25" customHeight="1">
      <c r="A17" s="44" t="s">
        <v>26</v>
      </c>
      <c r="B17" s="51" t="s">
        <v>99</v>
      </c>
      <c r="C17" s="44" t="s">
        <v>102</v>
      </c>
      <c r="D17" s="48" t="s">
        <v>103</v>
      </c>
      <c r="E17" s="44" t="s">
        <v>116</v>
      </c>
      <c r="F17" s="50">
        <v>11.0</v>
      </c>
      <c r="G17" s="50">
        <v>157900.0</v>
      </c>
      <c r="H17" s="50">
        <v>11920.0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7.25" customHeight="1">
      <c r="A18" s="44" t="s">
        <v>26</v>
      </c>
      <c r="B18" s="47" t="s">
        <v>91</v>
      </c>
      <c r="C18" s="44" t="s">
        <v>117</v>
      </c>
      <c r="D18" s="48" t="s">
        <v>118</v>
      </c>
      <c r="E18" s="44" t="s">
        <v>119</v>
      </c>
      <c r="F18" s="50">
        <v>0.0</v>
      </c>
      <c r="G18" s="50">
        <v>0.0</v>
      </c>
      <c r="H18" s="50">
        <v>0.0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7.25" customHeight="1">
      <c r="A19" s="44" t="s">
        <v>26</v>
      </c>
      <c r="B19" s="47" t="s">
        <v>91</v>
      </c>
      <c r="C19" s="44" t="s">
        <v>117</v>
      </c>
      <c r="D19" s="48" t="s">
        <v>118</v>
      </c>
      <c r="E19" s="44" t="s">
        <v>120</v>
      </c>
      <c r="F19" s="50">
        <v>0.0</v>
      </c>
      <c r="G19" s="50">
        <v>0.0</v>
      </c>
      <c r="H19" s="50">
        <v>0.0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7.25" customHeight="1">
      <c r="A20" s="44" t="s">
        <v>26</v>
      </c>
      <c r="B20" s="47" t="s">
        <v>91</v>
      </c>
      <c r="C20" s="44" t="s">
        <v>117</v>
      </c>
      <c r="D20" s="48" t="s">
        <v>118</v>
      </c>
      <c r="E20" s="44" t="s">
        <v>121</v>
      </c>
      <c r="F20" s="50">
        <v>0.0</v>
      </c>
      <c r="G20" s="50">
        <v>0.0</v>
      </c>
      <c r="H20" s="50">
        <v>0.0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7.25" customHeight="1">
      <c r="A21" s="44" t="s">
        <v>26</v>
      </c>
      <c r="B21" s="47" t="s">
        <v>99</v>
      </c>
      <c r="C21" s="44" t="s">
        <v>126</v>
      </c>
      <c r="D21" s="48" t="s">
        <v>127</v>
      </c>
      <c r="E21" s="44" t="s">
        <v>128</v>
      </c>
      <c r="F21" s="50">
        <v>2123.0</v>
      </c>
      <c r="G21" s="50">
        <v>5.71087E7</v>
      </c>
      <c r="H21" s="50">
        <v>4802120.0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7.25" customHeight="1">
      <c r="A22" s="44" t="s">
        <v>26</v>
      </c>
      <c r="B22" s="52" t="s">
        <v>91</v>
      </c>
      <c r="C22" s="44" t="s">
        <v>126</v>
      </c>
      <c r="D22" s="48" t="s">
        <v>127</v>
      </c>
      <c r="E22" s="44" t="s">
        <v>129</v>
      </c>
      <c r="F22" s="50">
        <v>19.0</v>
      </c>
      <c r="G22" s="50">
        <v>701100.0</v>
      </c>
      <c r="H22" s="50">
        <v>51660.0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7.25" customHeight="1">
      <c r="A23" s="44" t="s">
        <v>26</v>
      </c>
      <c r="B23" s="47" t="s">
        <v>91</v>
      </c>
      <c r="C23" s="44" t="s">
        <v>126</v>
      </c>
      <c r="D23" s="48" t="s">
        <v>127</v>
      </c>
      <c r="E23" s="44" t="s">
        <v>130</v>
      </c>
      <c r="F23" s="50">
        <v>0.0</v>
      </c>
      <c r="G23" s="50">
        <v>0.0</v>
      </c>
      <c r="H23" s="50">
        <v>0.0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7.25" customHeight="1">
      <c r="A24" s="44" t="s">
        <v>26</v>
      </c>
      <c r="B24" s="47" t="s">
        <v>91</v>
      </c>
      <c r="C24" s="44" t="s">
        <v>126</v>
      </c>
      <c r="D24" s="48" t="s">
        <v>127</v>
      </c>
      <c r="E24" s="44" t="s">
        <v>131</v>
      </c>
      <c r="F24" s="50">
        <v>6.0</v>
      </c>
      <c r="G24" s="50">
        <v>107400.0</v>
      </c>
      <c r="H24" s="50">
        <v>10000.0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7.25" customHeight="1">
      <c r="A25" s="44" t="s">
        <v>26</v>
      </c>
      <c r="B25" s="47" t="s">
        <v>91</v>
      </c>
      <c r="C25" s="44" t="s">
        <v>126</v>
      </c>
      <c r="D25" s="48" t="s">
        <v>127</v>
      </c>
      <c r="E25" s="44" t="s">
        <v>132</v>
      </c>
      <c r="F25" s="50">
        <v>3.0</v>
      </c>
      <c r="G25" s="50">
        <v>56700.0</v>
      </c>
      <c r="H25" s="50">
        <v>3780.0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7.25" customHeight="1">
      <c r="A26" s="44" t="s">
        <v>26</v>
      </c>
      <c r="B26" s="47" t="s">
        <v>91</v>
      </c>
      <c r="C26" s="44" t="s">
        <v>126</v>
      </c>
      <c r="D26" s="48" t="s">
        <v>127</v>
      </c>
      <c r="E26" s="44" t="s">
        <v>133</v>
      </c>
      <c r="F26" s="50">
        <v>0.0</v>
      </c>
      <c r="G26" s="50">
        <v>0.0</v>
      </c>
      <c r="H26" s="50">
        <v>0.0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7.25" customHeight="1">
      <c r="A27" s="44" t="s">
        <v>26</v>
      </c>
      <c r="B27" s="47" t="s">
        <v>91</v>
      </c>
      <c r="C27" s="44" t="s">
        <v>134</v>
      </c>
      <c r="D27" s="48" t="s">
        <v>135</v>
      </c>
      <c r="E27" s="44" t="s">
        <v>136</v>
      </c>
      <c r="F27" s="50">
        <v>0.0</v>
      </c>
      <c r="G27" s="50">
        <v>0.0</v>
      </c>
      <c r="H27" s="50">
        <v>0.0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7.25" customHeight="1">
      <c r="A28" s="44" t="s">
        <v>26</v>
      </c>
      <c r="B28" s="47" t="s">
        <v>91</v>
      </c>
      <c r="C28" s="44" t="s">
        <v>134</v>
      </c>
      <c r="D28" s="48" t="s">
        <v>135</v>
      </c>
      <c r="E28" s="44" t="s">
        <v>139</v>
      </c>
      <c r="F28" s="50">
        <v>0.0</v>
      </c>
      <c r="G28" s="50">
        <v>0.0</v>
      </c>
      <c r="H28" s="50">
        <v>0.0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7.25" customHeight="1">
      <c r="A29" s="44" t="s">
        <v>26</v>
      </c>
      <c r="B29" s="47" t="s">
        <v>91</v>
      </c>
      <c r="C29" s="44" t="s">
        <v>134</v>
      </c>
      <c r="D29" s="48" t="s">
        <v>135</v>
      </c>
      <c r="E29" s="44" t="s">
        <v>140</v>
      </c>
      <c r="F29" s="50">
        <v>0.0</v>
      </c>
      <c r="G29" s="50">
        <v>0.0</v>
      </c>
      <c r="H29" s="50">
        <v>0.0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7.25" customHeight="1">
      <c r="A30" s="44" t="s">
        <v>26</v>
      </c>
      <c r="B30" s="47" t="s">
        <v>91</v>
      </c>
      <c r="C30" s="44" t="s">
        <v>134</v>
      </c>
      <c r="D30" s="48" t="s">
        <v>135</v>
      </c>
      <c r="E30" s="44" t="s">
        <v>141</v>
      </c>
      <c r="F30" s="50">
        <v>0.0</v>
      </c>
      <c r="G30" s="50">
        <v>0.0</v>
      </c>
      <c r="H30" s="50">
        <v>0.0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7.25" customHeight="1">
      <c r="A31" s="44" t="s">
        <v>26</v>
      </c>
      <c r="B31" s="47" t="s">
        <v>91</v>
      </c>
      <c r="C31" s="44" t="s">
        <v>134</v>
      </c>
      <c r="D31" s="48" t="s">
        <v>135</v>
      </c>
      <c r="E31" s="44" t="s">
        <v>142</v>
      </c>
      <c r="F31" s="50">
        <v>0.0</v>
      </c>
      <c r="G31" s="50">
        <v>0.0</v>
      </c>
      <c r="H31" s="50">
        <v>0.0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7.25" customHeight="1">
      <c r="A32" s="44" t="s">
        <v>26</v>
      </c>
      <c r="B32" s="47" t="s">
        <v>91</v>
      </c>
      <c r="C32" s="44" t="s">
        <v>134</v>
      </c>
      <c r="D32" s="48" t="s">
        <v>135</v>
      </c>
      <c r="E32" s="44" t="s">
        <v>143</v>
      </c>
      <c r="F32" s="50">
        <v>0.0</v>
      </c>
      <c r="G32" s="50">
        <v>0.0</v>
      </c>
      <c r="H32" s="50">
        <v>0.0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7.25" customHeight="1">
      <c r="A33" s="44" t="s">
        <v>26</v>
      </c>
      <c r="B33" s="47" t="s">
        <v>91</v>
      </c>
      <c r="C33" s="44" t="s">
        <v>134</v>
      </c>
      <c r="D33" s="48" t="s">
        <v>135</v>
      </c>
      <c r="E33" s="44" t="s">
        <v>144</v>
      </c>
      <c r="F33" s="50">
        <v>0.0</v>
      </c>
      <c r="G33" s="50">
        <v>0.0</v>
      </c>
      <c r="H33" s="50">
        <v>0.0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7.25" customHeight="1">
      <c r="A34" s="44" t="s">
        <v>26</v>
      </c>
      <c r="B34" s="47" t="s">
        <v>91</v>
      </c>
      <c r="C34" s="44" t="s">
        <v>134</v>
      </c>
      <c r="D34" s="48" t="s">
        <v>135</v>
      </c>
      <c r="E34" s="44" t="s">
        <v>145</v>
      </c>
      <c r="F34" s="50">
        <v>0.0</v>
      </c>
      <c r="G34" s="50">
        <v>0.0</v>
      </c>
      <c r="H34" s="50">
        <v>0.0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7.25" customHeight="1">
      <c r="A35" s="44" t="s">
        <v>26</v>
      </c>
      <c r="B35" s="47" t="s">
        <v>63</v>
      </c>
      <c r="C35" s="44" t="s">
        <v>134</v>
      </c>
      <c r="D35" s="48" t="s">
        <v>135</v>
      </c>
      <c r="E35" s="44" t="s">
        <v>146</v>
      </c>
      <c r="F35" s="50">
        <v>6.0</v>
      </c>
      <c r="G35" s="50">
        <v>222000.0</v>
      </c>
      <c r="H35" s="50">
        <v>22200.0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7.25" customHeight="1">
      <c r="A36" s="44" t="s">
        <v>26</v>
      </c>
      <c r="B36" s="47" t="s">
        <v>63</v>
      </c>
      <c r="C36" s="44" t="s">
        <v>134</v>
      </c>
      <c r="D36" s="48" t="s">
        <v>135</v>
      </c>
      <c r="E36" s="44" t="s">
        <v>146</v>
      </c>
      <c r="F36" s="50">
        <v>7.0</v>
      </c>
      <c r="G36" s="50">
        <v>259000.0</v>
      </c>
      <c r="H36" s="50">
        <v>22200.0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7.25" customHeight="1">
      <c r="A37" s="44" t="s">
        <v>26</v>
      </c>
      <c r="B37" s="47" t="s">
        <v>63</v>
      </c>
      <c r="C37" s="44" t="s">
        <v>134</v>
      </c>
      <c r="D37" s="48" t="s">
        <v>135</v>
      </c>
      <c r="E37" s="44" t="s">
        <v>151</v>
      </c>
      <c r="F37" s="50">
        <v>4.0</v>
      </c>
      <c r="G37" s="50">
        <v>120000.0</v>
      </c>
      <c r="H37" s="50">
        <v>12000.0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7.25" customHeight="1">
      <c r="A38" s="44" t="s">
        <v>26</v>
      </c>
      <c r="B38" s="47" t="s">
        <v>63</v>
      </c>
      <c r="C38" s="44" t="s">
        <v>134</v>
      </c>
      <c r="D38" s="48" t="s">
        <v>135</v>
      </c>
      <c r="E38" s="44" t="s">
        <v>152</v>
      </c>
      <c r="F38" s="50">
        <v>6.0</v>
      </c>
      <c r="G38" s="50">
        <v>192000.0</v>
      </c>
      <c r="H38" s="50">
        <v>19200.0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7.25" customHeight="1">
      <c r="A39" s="44" t="s">
        <v>26</v>
      </c>
      <c r="B39" s="47" t="s">
        <v>63</v>
      </c>
      <c r="C39" s="44" t="s">
        <v>153</v>
      </c>
      <c r="D39" s="48" t="s">
        <v>154</v>
      </c>
      <c r="E39" s="44" t="s">
        <v>155</v>
      </c>
      <c r="F39" s="50">
        <v>34.0</v>
      </c>
      <c r="G39" s="50">
        <v>1469400.0</v>
      </c>
      <c r="H39" s="50">
        <v>16680.0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7.25" customHeight="1">
      <c r="A40" s="44" t="s">
        <v>26</v>
      </c>
      <c r="B40" s="47" t="s">
        <v>91</v>
      </c>
      <c r="C40" s="44" t="s">
        <v>156</v>
      </c>
      <c r="D40" s="48" t="s">
        <v>157</v>
      </c>
      <c r="E40" s="44" t="s">
        <v>158</v>
      </c>
      <c r="F40" s="50">
        <v>2197.0</v>
      </c>
      <c r="G40" s="50">
        <v>5.09704E7</v>
      </c>
      <c r="H40" s="50">
        <v>4673920.0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7.25" customHeight="1">
      <c r="A41" s="44" t="s">
        <v>26</v>
      </c>
      <c r="B41" s="47" t="s">
        <v>91</v>
      </c>
      <c r="C41" s="44" t="s">
        <v>159</v>
      </c>
      <c r="D41" s="48" t="s">
        <v>160</v>
      </c>
      <c r="E41" s="44" t="s">
        <v>161</v>
      </c>
      <c r="F41" s="50">
        <v>22.0</v>
      </c>
      <c r="G41" s="50">
        <v>444400.0</v>
      </c>
      <c r="H41" s="50">
        <v>0.0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7.25" customHeight="1">
      <c r="A42" s="44" t="s">
        <v>26</v>
      </c>
      <c r="B42" s="47" t="s">
        <v>91</v>
      </c>
      <c r="C42" s="44" t="s">
        <v>159</v>
      </c>
      <c r="D42" s="48" t="s">
        <v>160</v>
      </c>
      <c r="E42" s="44" t="s">
        <v>162</v>
      </c>
      <c r="F42" s="50">
        <v>1505.0</v>
      </c>
      <c r="G42" s="50">
        <v>6.37835E7</v>
      </c>
      <c r="H42" s="50">
        <v>4836400.0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7.25" customHeight="1">
      <c r="A43" s="44" t="s">
        <v>26</v>
      </c>
      <c r="B43" s="47" t="s">
        <v>91</v>
      </c>
      <c r="C43" s="44" t="s">
        <v>159</v>
      </c>
      <c r="D43" s="48" t="s">
        <v>160</v>
      </c>
      <c r="E43" s="44" t="s">
        <v>164</v>
      </c>
      <c r="F43" s="50">
        <v>8.0</v>
      </c>
      <c r="G43" s="50">
        <v>644000.0</v>
      </c>
      <c r="H43" s="50">
        <v>0.0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7.25" customHeight="1">
      <c r="A44" s="44" t="s">
        <v>26</v>
      </c>
      <c r="B44" s="47" t="s">
        <v>91</v>
      </c>
      <c r="C44" s="44" t="s">
        <v>159</v>
      </c>
      <c r="D44" s="48" t="s">
        <v>160</v>
      </c>
      <c r="E44" s="44" t="s">
        <v>165</v>
      </c>
      <c r="F44" s="50">
        <v>1.0</v>
      </c>
      <c r="G44" s="50">
        <v>12900.0</v>
      </c>
      <c r="H44" s="50">
        <v>0.0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7.25" customHeight="1">
      <c r="A45" s="44" t="s">
        <v>26</v>
      </c>
      <c r="B45" s="47" t="s">
        <v>91</v>
      </c>
      <c r="C45" s="44" t="s">
        <v>159</v>
      </c>
      <c r="D45" s="48" t="s">
        <v>160</v>
      </c>
      <c r="E45" s="44" t="s">
        <v>168</v>
      </c>
      <c r="F45" s="50">
        <v>8.0</v>
      </c>
      <c r="G45" s="50">
        <v>196400.0</v>
      </c>
      <c r="H45" s="50">
        <v>0.0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7.25" customHeight="1">
      <c r="A46" s="44" t="s">
        <v>26</v>
      </c>
      <c r="B46" s="47" t="s">
        <v>91</v>
      </c>
      <c r="C46" s="44" t="s">
        <v>159</v>
      </c>
      <c r="D46" s="48" t="s">
        <v>160</v>
      </c>
      <c r="E46" s="44" t="s">
        <v>171</v>
      </c>
      <c r="F46" s="50">
        <v>42.0</v>
      </c>
      <c r="G46" s="50">
        <v>1835600.0</v>
      </c>
      <c r="H46" s="50">
        <v>0.0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7.25" customHeight="1">
      <c r="A47" s="44" t="s">
        <v>26</v>
      </c>
      <c r="B47" s="47" t="s">
        <v>91</v>
      </c>
      <c r="C47" s="44" t="s">
        <v>159</v>
      </c>
      <c r="D47" s="48" t="s">
        <v>160</v>
      </c>
      <c r="E47" s="44" t="s">
        <v>172</v>
      </c>
      <c r="F47" s="50">
        <v>8.0</v>
      </c>
      <c r="G47" s="50">
        <v>676000.0</v>
      </c>
      <c r="H47" s="50">
        <v>0.0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7.25" customHeight="1">
      <c r="A48" s="44" t="s">
        <v>26</v>
      </c>
      <c r="B48" s="47" t="s">
        <v>91</v>
      </c>
      <c r="C48" s="44" t="s">
        <v>159</v>
      </c>
      <c r="D48" s="48" t="s">
        <v>160</v>
      </c>
      <c r="E48" s="44" t="s">
        <v>173</v>
      </c>
      <c r="F48" s="50">
        <v>40.0</v>
      </c>
      <c r="G48" s="50">
        <v>869000.0</v>
      </c>
      <c r="H48" s="50">
        <v>0.0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7.25" customHeight="1">
      <c r="A49" s="44" t="s">
        <v>26</v>
      </c>
      <c r="B49" s="47" t="s">
        <v>91</v>
      </c>
      <c r="C49" s="44" t="s">
        <v>159</v>
      </c>
      <c r="D49" s="48" t="s">
        <v>160</v>
      </c>
      <c r="E49" s="44" t="s">
        <v>174</v>
      </c>
      <c r="F49" s="50">
        <v>18.0</v>
      </c>
      <c r="G49" s="50">
        <v>823200.0</v>
      </c>
      <c r="H49" s="50">
        <v>0.0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7.25" customHeight="1">
      <c r="A50" s="44" t="s">
        <v>26</v>
      </c>
      <c r="B50" s="47" t="s">
        <v>91</v>
      </c>
      <c r="C50" s="44" t="s">
        <v>159</v>
      </c>
      <c r="D50" s="48" t="s">
        <v>160</v>
      </c>
      <c r="E50" s="44" t="s">
        <v>175</v>
      </c>
      <c r="F50" s="50">
        <v>2.0</v>
      </c>
      <c r="G50" s="50">
        <v>174000.0</v>
      </c>
      <c r="H50" s="50">
        <v>0.0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7.25" customHeight="1">
      <c r="A51" s="44" t="s">
        <v>26</v>
      </c>
      <c r="B51" s="47" t="s">
        <v>63</v>
      </c>
      <c r="C51" s="44" t="s">
        <v>176</v>
      </c>
      <c r="D51" s="48" t="s">
        <v>177</v>
      </c>
      <c r="E51" s="44" t="s">
        <v>178</v>
      </c>
      <c r="F51" s="50">
        <v>549.0</v>
      </c>
      <c r="G51" s="50">
        <v>2.85208E7</v>
      </c>
      <c r="H51" s="50">
        <v>1570000.0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7.25" customHeight="1">
      <c r="A52" s="44" t="s">
        <v>26</v>
      </c>
      <c r="B52" s="47" t="s">
        <v>63</v>
      </c>
      <c r="C52" s="44" t="s">
        <v>176</v>
      </c>
      <c r="D52" s="48" t="s">
        <v>177</v>
      </c>
      <c r="E52" s="44" t="s">
        <v>179</v>
      </c>
      <c r="F52" s="50">
        <v>146.0</v>
      </c>
      <c r="G52" s="50">
        <v>4569000.0</v>
      </c>
      <c r="H52" s="50">
        <v>6400.0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7.25" customHeight="1">
      <c r="A53" s="44" t="s">
        <v>26</v>
      </c>
      <c r="B53" s="47" t="s">
        <v>63</v>
      </c>
      <c r="C53" s="44" t="s">
        <v>176</v>
      </c>
      <c r="D53" s="48" t="s">
        <v>177</v>
      </c>
      <c r="E53" s="44" t="s">
        <v>180</v>
      </c>
      <c r="F53" s="50">
        <v>27.0</v>
      </c>
      <c r="G53" s="50">
        <v>653400.0</v>
      </c>
      <c r="H53" s="50">
        <v>9680.0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7.25" customHeight="1">
      <c r="A54" s="44" t="s">
        <v>26</v>
      </c>
      <c r="B54" s="47" t="s">
        <v>63</v>
      </c>
      <c r="C54" s="44" t="s">
        <v>176</v>
      </c>
      <c r="D54" s="48" t="s">
        <v>177</v>
      </c>
      <c r="E54" s="44" t="s">
        <v>181</v>
      </c>
      <c r="F54" s="50">
        <v>52.0</v>
      </c>
      <c r="G54" s="50">
        <v>2272600.0</v>
      </c>
      <c r="H54" s="50">
        <v>25740.0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7.25" customHeight="1">
      <c r="A55" s="44" t="s">
        <v>26</v>
      </c>
      <c r="B55" s="47" t="s">
        <v>63</v>
      </c>
      <c r="C55" s="44" t="s">
        <v>176</v>
      </c>
      <c r="D55" s="48" t="s">
        <v>177</v>
      </c>
      <c r="E55" s="44" t="s">
        <v>186</v>
      </c>
      <c r="F55" s="50">
        <v>129.0</v>
      </c>
      <c r="G55" s="50">
        <v>3008700.0</v>
      </c>
      <c r="H55" s="50">
        <v>47300.0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7.25" customHeight="1">
      <c r="A56" s="44" t="s">
        <v>26</v>
      </c>
      <c r="B56" s="47" t="s">
        <v>63</v>
      </c>
      <c r="C56" s="44" t="s">
        <v>176</v>
      </c>
      <c r="D56" s="48" t="s">
        <v>177</v>
      </c>
      <c r="E56" s="44" t="s">
        <v>187</v>
      </c>
      <c r="F56" s="50">
        <v>23.0</v>
      </c>
      <c r="G56" s="50">
        <v>420700.0</v>
      </c>
      <c r="H56" s="50">
        <v>8400.0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7.25" customHeight="1">
      <c r="A57" s="44" t="s">
        <v>26</v>
      </c>
      <c r="B57" s="47" t="s">
        <v>63</v>
      </c>
      <c r="C57" s="44" t="s">
        <v>176</v>
      </c>
      <c r="D57" s="48" t="s">
        <v>177</v>
      </c>
      <c r="E57" s="44" t="s">
        <v>188</v>
      </c>
      <c r="F57" s="50">
        <v>0.0</v>
      </c>
      <c r="G57" s="50">
        <v>0.0</v>
      </c>
      <c r="H57" s="50">
        <v>0.0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7.25" customHeight="1">
      <c r="A58" s="44" t="s">
        <v>26</v>
      </c>
      <c r="B58" s="47" t="s">
        <v>63</v>
      </c>
      <c r="C58" s="44" t="s">
        <v>176</v>
      </c>
      <c r="D58" s="48" t="s">
        <v>177</v>
      </c>
      <c r="E58" s="44" t="s">
        <v>189</v>
      </c>
      <c r="F58" s="50">
        <v>1.0</v>
      </c>
      <c r="G58" s="50">
        <v>35200.0</v>
      </c>
      <c r="H58" s="50">
        <v>0.0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7.25" customHeight="1">
      <c r="A59" s="44" t="s">
        <v>26</v>
      </c>
      <c r="B59" s="47" t="s">
        <v>63</v>
      </c>
      <c r="C59" s="44" t="s">
        <v>176</v>
      </c>
      <c r="D59" s="48" t="s">
        <v>177</v>
      </c>
      <c r="E59" s="44" t="s">
        <v>190</v>
      </c>
      <c r="F59" s="50">
        <v>2.0</v>
      </c>
      <c r="G59" s="50">
        <v>52800.0</v>
      </c>
      <c r="H59" s="50">
        <v>0.0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7.25" customHeight="1">
      <c r="A60" s="44" t="s">
        <v>26</v>
      </c>
      <c r="B60" s="47" t="s">
        <v>91</v>
      </c>
      <c r="C60" s="44" t="s">
        <v>191</v>
      </c>
      <c r="D60" s="48" t="s">
        <v>192</v>
      </c>
      <c r="E60" s="44" t="s">
        <v>193</v>
      </c>
      <c r="F60" s="50">
        <v>0.0</v>
      </c>
      <c r="G60" s="50">
        <v>0.0</v>
      </c>
      <c r="H60" s="50">
        <v>0.0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7.25" customHeight="1">
      <c r="A61" s="44" t="s">
        <v>26</v>
      </c>
      <c r="B61" s="47" t="s">
        <v>91</v>
      </c>
      <c r="C61" s="44" t="s">
        <v>191</v>
      </c>
      <c r="D61" s="48" t="s">
        <v>192</v>
      </c>
      <c r="E61" s="44" t="s">
        <v>194</v>
      </c>
      <c r="F61" s="50">
        <v>19.0</v>
      </c>
      <c r="G61" s="50">
        <v>1420900.0</v>
      </c>
      <c r="H61" s="50">
        <v>0.0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7.25" customHeight="1">
      <c r="A62" s="44" t="s">
        <v>26</v>
      </c>
      <c r="B62" s="47" t="s">
        <v>91</v>
      </c>
      <c r="C62" s="44" t="s">
        <v>191</v>
      </c>
      <c r="D62" s="48" t="s">
        <v>192</v>
      </c>
      <c r="E62" s="44" t="s">
        <v>195</v>
      </c>
      <c r="F62" s="50">
        <v>61.0</v>
      </c>
      <c r="G62" s="50">
        <v>4613900.0</v>
      </c>
      <c r="H62" s="50">
        <v>30000.0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7.25" customHeight="1">
      <c r="A63" s="44" t="s">
        <v>26</v>
      </c>
      <c r="B63" s="47" t="s">
        <v>91</v>
      </c>
      <c r="C63" s="44" t="s">
        <v>191</v>
      </c>
      <c r="D63" s="48" t="s">
        <v>192</v>
      </c>
      <c r="E63" s="44" t="s">
        <v>196</v>
      </c>
      <c r="F63" s="50">
        <v>1103.0</v>
      </c>
      <c r="G63" s="50">
        <v>4.3956E7</v>
      </c>
      <c r="H63" s="50">
        <v>3074000.0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7.25" customHeight="1">
      <c r="A64" s="44" t="s">
        <v>26</v>
      </c>
      <c r="B64" s="47" t="s">
        <v>91</v>
      </c>
      <c r="C64" s="44" t="s">
        <v>191</v>
      </c>
      <c r="D64" s="48" t="s">
        <v>192</v>
      </c>
      <c r="E64" s="44" t="s">
        <v>197</v>
      </c>
      <c r="F64" s="50">
        <v>16.0</v>
      </c>
      <c r="G64" s="50">
        <v>633000.0</v>
      </c>
      <c r="H64" s="50">
        <v>23820.0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7.25" customHeight="1">
      <c r="A65" s="44" t="s">
        <v>26</v>
      </c>
      <c r="B65" s="47" t="s">
        <v>91</v>
      </c>
      <c r="C65" s="44" t="s">
        <v>191</v>
      </c>
      <c r="D65" s="48" t="s">
        <v>192</v>
      </c>
      <c r="E65" s="44" t="s">
        <v>200</v>
      </c>
      <c r="F65" s="50">
        <v>3.0</v>
      </c>
      <c r="G65" s="50">
        <v>223800.0</v>
      </c>
      <c r="H65" s="50">
        <v>0.0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7.25" customHeight="1">
      <c r="A66" s="44" t="s">
        <v>26</v>
      </c>
      <c r="B66" s="47" t="s">
        <v>91</v>
      </c>
      <c r="C66" s="44" t="s">
        <v>191</v>
      </c>
      <c r="D66" s="48" t="s">
        <v>192</v>
      </c>
      <c r="E66" s="44" t="s">
        <v>201</v>
      </c>
      <c r="F66" s="50">
        <v>394.0</v>
      </c>
      <c r="G66" s="50">
        <v>2.9981E7</v>
      </c>
      <c r="H66" s="50">
        <v>1590000.0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7.25" customHeight="1">
      <c r="A67" s="44" t="s">
        <v>26</v>
      </c>
      <c r="B67" s="47" t="s">
        <v>91</v>
      </c>
      <c r="C67" s="44" t="s">
        <v>191</v>
      </c>
      <c r="D67" s="48" t="s">
        <v>192</v>
      </c>
      <c r="E67" s="44" t="s">
        <v>202</v>
      </c>
      <c r="F67" s="50">
        <v>6.0</v>
      </c>
      <c r="G67" s="50">
        <v>415000.0</v>
      </c>
      <c r="H67" s="50">
        <v>0.0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7.25" customHeight="1">
      <c r="A68" s="44" t="s">
        <v>26</v>
      </c>
      <c r="B68" s="47" t="s">
        <v>91</v>
      </c>
      <c r="C68" s="44" t="s">
        <v>191</v>
      </c>
      <c r="D68" s="48" t="s">
        <v>192</v>
      </c>
      <c r="E68" s="44" t="s">
        <v>203</v>
      </c>
      <c r="F68" s="50">
        <v>13.0</v>
      </c>
      <c r="G68" s="50">
        <v>892200.0</v>
      </c>
      <c r="H68" s="50">
        <v>0.0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7.25" customHeight="1">
      <c r="A69" s="44" t="s">
        <v>26</v>
      </c>
      <c r="B69" s="47" t="s">
        <v>91</v>
      </c>
      <c r="C69" s="44" t="s">
        <v>191</v>
      </c>
      <c r="D69" s="48" t="s">
        <v>192</v>
      </c>
      <c r="E69" s="44" t="s">
        <v>204</v>
      </c>
      <c r="F69" s="50">
        <v>45.0</v>
      </c>
      <c r="G69" s="50">
        <v>1663000.0</v>
      </c>
      <c r="H69" s="50">
        <v>148000.0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7.25" customHeight="1">
      <c r="A70" s="44" t="s">
        <v>26</v>
      </c>
      <c r="B70" s="47" t="s">
        <v>91</v>
      </c>
      <c r="C70" s="44" t="s">
        <v>191</v>
      </c>
      <c r="D70" s="48" t="s">
        <v>192</v>
      </c>
      <c r="E70" s="44" t="s">
        <v>205</v>
      </c>
      <c r="F70" s="50">
        <v>0.0</v>
      </c>
      <c r="G70" s="50">
        <v>0.0</v>
      </c>
      <c r="H70" s="50">
        <v>0.0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7.25" customHeight="1">
      <c r="A71" s="44" t="s">
        <v>26</v>
      </c>
      <c r="B71" s="47" t="s">
        <v>91</v>
      </c>
      <c r="C71" s="44" t="s">
        <v>191</v>
      </c>
      <c r="D71" s="48" t="s">
        <v>192</v>
      </c>
      <c r="E71" s="44" t="s">
        <v>206</v>
      </c>
      <c r="F71" s="50">
        <v>20.0</v>
      </c>
      <c r="G71" s="50">
        <v>1420000.0</v>
      </c>
      <c r="H71" s="50">
        <v>90000.0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7.25" customHeight="1">
      <c r="A72" s="44" t="s">
        <v>26</v>
      </c>
      <c r="B72" s="47" t="s">
        <v>91</v>
      </c>
      <c r="C72" s="44" t="s">
        <v>191</v>
      </c>
      <c r="D72" s="48" t="s">
        <v>192</v>
      </c>
      <c r="E72" s="44" t="s">
        <v>208</v>
      </c>
      <c r="F72" s="50">
        <v>9.0</v>
      </c>
      <c r="G72" s="50">
        <v>619200.0</v>
      </c>
      <c r="H72" s="50">
        <v>10000.0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7.25" customHeight="1">
      <c r="A73" s="44" t="s">
        <v>26</v>
      </c>
      <c r="B73" s="47" t="s">
        <v>91</v>
      </c>
      <c r="C73" s="44" t="s">
        <v>210</v>
      </c>
      <c r="D73" s="48" t="s">
        <v>211</v>
      </c>
      <c r="E73" s="44" t="s">
        <v>212</v>
      </c>
      <c r="F73" s="50">
        <v>10.0</v>
      </c>
      <c r="G73" s="50">
        <v>885000.0</v>
      </c>
      <c r="H73" s="50">
        <v>30000.0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7.25" customHeight="1">
      <c r="A74" s="44" t="s">
        <v>26</v>
      </c>
      <c r="B74" s="47" t="s">
        <v>91</v>
      </c>
      <c r="C74" s="44" t="s">
        <v>210</v>
      </c>
      <c r="D74" s="48" t="s">
        <v>211</v>
      </c>
      <c r="E74" s="44" t="s">
        <v>213</v>
      </c>
      <c r="F74" s="50">
        <v>0.0</v>
      </c>
      <c r="G74" s="50">
        <v>0.0</v>
      </c>
      <c r="H74" s="50">
        <v>0.0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7.25" customHeight="1">
      <c r="A75" s="44" t="s">
        <v>26</v>
      </c>
      <c r="B75" s="47" t="s">
        <v>91</v>
      </c>
      <c r="C75" s="44" t="s">
        <v>210</v>
      </c>
      <c r="D75" s="48" t="s">
        <v>211</v>
      </c>
      <c r="E75" s="44" t="s">
        <v>216</v>
      </c>
      <c r="F75" s="50">
        <v>7.0</v>
      </c>
      <c r="G75" s="50">
        <v>320200.0</v>
      </c>
      <c r="H75" s="50">
        <v>18080.0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7.25" customHeight="1">
      <c r="A76" s="44" t="s">
        <v>26</v>
      </c>
      <c r="B76" s="47" t="s">
        <v>91</v>
      </c>
      <c r="C76" s="44" t="s">
        <v>210</v>
      </c>
      <c r="D76" s="48" t="s">
        <v>211</v>
      </c>
      <c r="E76" s="44" t="s">
        <v>217</v>
      </c>
      <c r="F76" s="50">
        <v>0.0</v>
      </c>
      <c r="G76" s="50">
        <v>0.0</v>
      </c>
      <c r="H76" s="50">
        <v>0.0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7.25" customHeight="1">
      <c r="A77" s="44" t="s">
        <v>26</v>
      </c>
      <c r="B77" s="47" t="s">
        <v>91</v>
      </c>
      <c r="C77" s="44" t="s">
        <v>210</v>
      </c>
      <c r="D77" s="48" t="s">
        <v>211</v>
      </c>
      <c r="E77" s="44" t="s">
        <v>218</v>
      </c>
      <c r="F77" s="50">
        <v>0.0</v>
      </c>
      <c r="G77" s="50">
        <v>0.0</v>
      </c>
      <c r="H77" s="50">
        <v>0.0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7.25" customHeight="1">
      <c r="A78" s="44" t="s">
        <v>26</v>
      </c>
      <c r="B78" s="47" t="s">
        <v>91</v>
      </c>
      <c r="C78" s="44" t="s">
        <v>210</v>
      </c>
      <c r="D78" s="48" t="s">
        <v>211</v>
      </c>
      <c r="E78" s="44" t="s">
        <v>219</v>
      </c>
      <c r="F78" s="50">
        <v>4.0</v>
      </c>
      <c r="G78" s="50">
        <v>219900.0</v>
      </c>
      <c r="H78" s="50">
        <v>0.0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7.25" customHeight="1">
      <c r="A79" s="44" t="s">
        <v>26</v>
      </c>
      <c r="B79" s="47" t="s">
        <v>91</v>
      </c>
      <c r="C79" s="44" t="s">
        <v>210</v>
      </c>
      <c r="D79" s="48" t="s">
        <v>211</v>
      </c>
      <c r="E79" s="44" t="s">
        <v>220</v>
      </c>
      <c r="F79" s="50">
        <v>0.0</v>
      </c>
      <c r="G79" s="50">
        <v>0.0</v>
      </c>
      <c r="H79" s="50">
        <v>0.0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7.25" customHeight="1">
      <c r="A80" s="44" t="s">
        <v>26</v>
      </c>
      <c r="B80" s="47" t="s">
        <v>91</v>
      </c>
      <c r="C80" s="44" t="s">
        <v>210</v>
      </c>
      <c r="D80" s="48" t="s">
        <v>211</v>
      </c>
      <c r="E80" s="44" t="s">
        <v>221</v>
      </c>
      <c r="F80" s="50">
        <v>7.0</v>
      </c>
      <c r="G80" s="50">
        <v>263200.0</v>
      </c>
      <c r="H80" s="50">
        <v>22560.0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7.25" customHeight="1">
      <c r="A81" s="44" t="s">
        <v>26</v>
      </c>
      <c r="B81" s="47" t="s">
        <v>91</v>
      </c>
      <c r="C81" s="44" t="s">
        <v>210</v>
      </c>
      <c r="D81" s="48" t="s">
        <v>211</v>
      </c>
      <c r="E81" s="44" t="s">
        <v>222</v>
      </c>
      <c r="F81" s="50">
        <v>288.0</v>
      </c>
      <c r="G81" s="50">
        <v>2.0572E7</v>
      </c>
      <c r="H81" s="50">
        <v>1420000.0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7.25" customHeight="1">
      <c r="A82" s="44" t="s">
        <v>26</v>
      </c>
      <c r="B82" s="47" t="s">
        <v>91</v>
      </c>
      <c r="C82" s="44" t="s">
        <v>223</v>
      </c>
      <c r="D82" s="48" t="s">
        <v>224</v>
      </c>
      <c r="E82" s="44" t="s">
        <v>225</v>
      </c>
      <c r="F82" s="50">
        <v>2032.0</v>
      </c>
      <c r="G82" s="50">
        <v>3.664872E7</v>
      </c>
      <c r="H82" s="50">
        <v>3377180.0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7.25" customHeight="1">
      <c r="A83" s="44" t="s">
        <v>26</v>
      </c>
      <c r="B83" s="47" t="s">
        <v>91</v>
      </c>
      <c r="C83" s="44" t="s">
        <v>223</v>
      </c>
      <c r="D83" s="48" t="s">
        <v>224</v>
      </c>
      <c r="E83" s="44" t="s">
        <v>225</v>
      </c>
      <c r="F83" s="50">
        <v>21.0</v>
      </c>
      <c r="G83" s="50">
        <v>393040.0</v>
      </c>
      <c r="H83" s="50">
        <v>10060.0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7.25" customHeight="1">
      <c r="A84" s="44" t="s">
        <v>26</v>
      </c>
      <c r="B84" s="47" t="s">
        <v>91</v>
      </c>
      <c r="C84" s="44" t="s">
        <v>223</v>
      </c>
      <c r="D84" s="48" t="s">
        <v>224</v>
      </c>
      <c r="E84" s="44" t="s">
        <v>226</v>
      </c>
      <c r="F84" s="50">
        <v>0.0</v>
      </c>
      <c r="G84" s="50">
        <v>0.0</v>
      </c>
      <c r="H84" s="50">
        <v>0.0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7.25" customHeight="1">
      <c r="A85" s="44" t="s">
        <v>26</v>
      </c>
      <c r="B85" s="47" t="s">
        <v>91</v>
      </c>
      <c r="C85" s="44" t="s">
        <v>229</v>
      </c>
      <c r="D85" s="48" t="s">
        <v>230</v>
      </c>
      <c r="E85" s="44" t="s">
        <v>231</v>
      </c>
      <c r="F85" s="50">
        <v>130.0</v>
      </c>
      <c r="G85" s="50">
        <v>2256800.0</v>
      </c>
      <c r="H85" s="50">
        <v>152680.0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7.25" customHeight="1">
      <c r="A86" s="44" t="s">
        <v>26</v>
      </c>
      <c r="B86" s="47" t="s">
        <v>63</v>
      </c>
      <c r="C86" s="44" t="s">
        <v>229</v>
      </c>
      <c r="D86" s="48" t="s">
        <v>230</v>
      </c>
      <c r="E86" s="44" t="s">
        <v>232</v>
      </c>
      <c r="F86" s="50">
        <v>19.0</v>
      </c>
      <c r="G86" s="50">
        <v>452200.0</v>
      </c>
      <c r="H86" s="50">
        <v>38080.0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7.25" customHeight="1">
      <c r="A87" s="44" t="s">
        <v>26</v>
      </c>
      <c r="B87" s="47" t="s">
        <v>63</v>
      </c>
      <c r="C87" s="44" t="s">
        <v>229</v>
      </c>
      <c r="D87" s="48" t="s">
        <v>230</v>
      </c>
      <c r="E87" s="44" t="s">
        <v>233</v>
      </c>
      <c r="F87" s="50">
        <v>2.0</v>
      </c>
      <c r="G87" s="50">
        <v>31600.0</v>
      </c>
      <c r="H87" s="50">
        <v>3160.0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7.25" customHeight="1">
      <c r="A88" s="44" t="s">
        <v>26</v>
      </c>
      <c r="B88" s="47" t="s">
        <v>91</v>
      </c>
      <c r="C88" s="44" t="s">
        <v>229</v>
      </c>
      <c r="D88" s="48" t="s">
        <v>230</v>
      </c>
      <c r="E88" s="44" t="s">
        <v>237</v>
      </c>
      <c r="F88" s="50">
        <v>26.0</v>
      </c>
      <c r="G88" s="50">
        <v>829660.0</v>
      </c>
      <c r="H88" s="50">
        <v>63800.0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7.25" customHeight="1">
      <c r="A89" s="44" t="s">
        <v>26</v>
      </c>
      <c r="B89" s="47" t="s">
        <v>91</v>
      </c>
      <c r="C89" s="44" t="s">
        <v>229</v>
      </c>
      <c r="D89" s="48" t="s">
        <v>230</v>
      </c>
      <c r="E89" s="44" t="s">
        <v>238</v>
      </c>
      <c r="F89" s="50">
        <v>0.0</v>
      </c>
      <c r="G89" s="50">
        <v>0.0</v>
      </c>
      <c r="H89" s="50">
        <v>0.0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7.25" customHeight="1">
      <c r="A90" s="44" t="s">
        <v>26</v>
      </c>
      <c r="B90" s="47" t="s">
        <v>91</v>
      </c>
      <c r="C90" s="44" t="s">
        <v>229</v>
      </c>
      <c r="D90" s="48" t="s">
        <v>230</v>
      </c>
      <c r="E90" s="44" t="s">
        <v>239</v>
      </c>
      <c r="F90" s="50">
        <v>30.0</v>
      </c>
      <c r="G90" s="50">
        <v>954300.0</v>
      </c>
      <c r="H90" s="50">
        <v>48160.0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7.25" customHeight="1">
      <c r="A91" s="44" t="s">
        <v>26</v>
      </c>
      <c r="B91" s="47" t="s">
        <v>91</v>
      </c>
      <c r="C91" s="44" t="s">
        <v>229</v>
      </c>
      <c r="D91" s="48" t="s">
        <v>230</v>
      </c>
      <c r="E91" s="44" t="s">
        <v>240</v>
      </c>
      <c r="F91" s="50">
        <v>19.0</v>
      </c>
      <c r="G91" s="50">
        <v>566200.0</v>
      </c>
      <c r="H91" s="50">
        <v>43840.0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7.25" customHeight="1">
      <c r="A92" s="44" t="s">
        <v>26</v>
      </c>
      <c r="B92" s="47" t="s">
        <v>91</v>
      </c>
      <c r="C92" s="44" t="s">
        <v>229</v>
      </c>
      <c r="D92" s="48" t="s">
        <v>230</v>
      </c>
      <c r="E92" s="44" t="s">
        <v>241</v>
      </c>
      <c r="F92" s="50">
        <v>18.0</v>
      </c>
      <c r="G92" s="50">
        <v>333000.0</v>
      </c>
      <c r="H92" s="50">
        <v>29600.0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7.25" customHeight="1">
      <c r="A93" s="44" t="s">
        <v>26</v>
      </c>
      <c r="B93" s="47" t="s">
        <v>91</v>
      </c>
      <c r="C93" s="44" t="s">
        <v>229</v>
      </c>
      <c r="D93" s="48" t="s">
        <v>230</v>
      </c>
      <c r="E93" s="44" t="s">
        <v>242</v>
      </c>
      <c r="F93" s="50">
        <v>21.0</v>
      </c>
      <c r="G93" s="50">
        <v>919800.0</v>
      </c>
      <c r="H93" s="50">
        <v>61320.0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7.25" customHeight="1">
      <c r="A94" s="44" t="s">
        <v>26</v>
      </c>
      <c r="B94" s="47" t="s">
        <v>91</v>
      </c>
      <c r="C94" s="44" t="s">
        <v>229</v>
      </c>
      <c r="D94" s="48" t="s">
        <v>230</v>
      </c>
      <c r="E94" s="44" t="s">
        <v>245</v>
      </c>
      <c r="F94" s="50">
        <v>10.0</v>
      </c>
      <c r="G94" s="50">
        <v>239000.0</v>
      </c>
      <c r="H94" s="50">
        <v>23900.0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7.25" customHeight="1">
      <c r="A95" s="44" t="s">
        <v>26</v>
      </c>
      <c r="B95" s="47" t="s">
        <v>91</v>
      </c>
      <c r="C95" s="44" t="s">
        <v>229</v>
      </c>
      <c r="D95" s="48" t="s">
        <v>230</v>
      </c>
      <c r="E95" s="44" t="s">
        <v>246</v>
      </c>
      <c r="F95" s="50">
        <v>12.0</v>
      </c>
      <c r="G95" s="50">
        <v>185040.0</v>
      </c>
      <c r="H95" s="50">
        <v>12320.0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7.25" customHeight="1">
      <c r="A96" s="44" t="s">
        <v>26</v>
      </c>
      <c r="B96" s="47" t="s">
        <v>91</v>
      </c>
      <c r="C96" s="44" t="s">
        <v>229</v>
      </c>
      <c r="D96" s="48" t="s">
        <v>230</v>
      </c>
      <c r="E96" s="44" t="s">
        <v>247</v>
      </c>
      <c r="F96" s="50">
        <v>0.0</v>
      </c>
      <c r="G96" s="50">
        <v>0.0</v>
      </c>
      <c r="H96" s="50">
        <v>0.0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7.25" customHeight="1">
      <c r="A97" s="44" t="s">
        <v>26</v>
      </c>
      <c r="B97" s="47" t="s">
        <v>91</v>
      </c>
      <c r="C97" s="44" t="s">
        <v>229</v>
      </c>
      <c r="D97" s="48" t="s">
        <v>230</v>
      </c>
      <c r="E97" s="44" t="s">
        <v>248</v>
      </c>
      <c r="F97" s="50">
        <v>0.0</v>
      </c>
      <c r="G97" s="50">
        <v>0.0</v>
      </c>
      <c r="H97" s="50">
        <v>0.0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7.25" customHeight="1">
      <c r="A98" s="44" t="s">
        <v>26</v>
      </c>
      <c r="B98" s="47" t="s">
        <v>91</v>
      </c>
      <c r="C98" s="44" t="s">
        <v>229</v>
      </c>
      <c r="D98" s="48" t="s">
        <v>230</v>
      </c>
      <c r="E98" s="44" t="s">
        <v>249</v>
      </c>
      <c r="F98" s="50">
        <v>0.0</v>
      </c>
      <c r="G98" s="50">
        <v>0.0</v>
      </c>
      <c r="H98" s="50">
        <v>0.0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7.25" customHeight="1">
      <c r="A99" s="44" t="s">
        <v>26</v>
      </c>
      <c r="B99" s="47" t="s">
        <v>91</v>
      </c>
      <c r="C99" s="44" t="s">
        <v>229</v>
      </c>
      <c r="D99" s="48" t="s">
        <v>230</v>
      </c>
      <c r="E99" s="44" t="s">
        <v>252</v>
      </c>
      <c r="F99" s="50">
        <v>0.0</v>
      </c>
      <c r="G99" s="50">
        <v>0.0</v>
      </c>
      <c r="H99" s="50">
        <v>0.0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7.25" customHeight="1">
      <c r="A100" s="44" t="s">
        <v>26</v>
      </c>
      <c r="B100" s="47" t="s">
        <v>91</v>
      </c>
      <c r="C100" s="44" t="s">
        <v>229</v>
      </c>
      <c r="D100" s="48" t="s">
        <v>230</v>
      </c>
      <c r="E100" s="44" t="s">
        <v>253</v>
      </c>
      <c r="F100" s="50">
        <v>0.0</v>
      </c>
      <c r="G100" s="50">
        <v>0.0</v>
      </c>
      <c r="H100" s="50">
        <v>0.0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7.25" customHeight="1">
      <c r="A101" s="44" t="s">
        <v>26</v>
      </c>
      <c r="B101" s="47" t="s">
        <v>91</v>
      </c>
      <c r="C101" s="44" t="s">
        <v>229</v>
      </c>
      <c r="D101" s="48" t="s">
        <v>230</v>
      </c>
      <c r="E101" s="44" t="s">
        <v>254</v>
      </c>
      <c r="F101" s="50">
        <v>0.0</v>
      </c>
      <c r="G101" s="50">
        <v>0.0</v>
      </c>
      <c r="H101" s="50">
        <v>0.0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7.25" customHeight="1">
      <c r="A102" s="44" t="s">
        <v>26</v>
      </c>
      <c r="B102" s="47" t="s">
        <v>91</v>
      </c>
      <c r="C102" s="44" t="s">
        <v>229</v>
      </c>
      <c r="D102" s="48" t="s">
        <v>230</v>
      </c>
      <c r="E102" s="44" t="s">
        <v>255</v>
      </c>
      <c r="F102" s="50">
        <v>0.0</v>
      </c>
      <c r="G102" s="50">
        <v>0.0</v>
      </c>
      <c r="H102" s="50">
        <v>0.0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7.25" customHeight="1">
      <c r="A103" s="44" t="s">
        <v>26</v>
      </c>
      <c r="B103" s="47" t="s">
        <v>91</v>
      </c>
      <c r="C103" s="44" t="s">
        <v>229</v>
      </c>
      <c r="D103" s="48" t="s">
        <v>230</v>
      </c>
      <c r="E103" s="44" t="s">
        <v>256</v>
      </c>
      <c r="F103" s="50">
        <v>0.0</v>
      </c>
      <c r="G103" s="50">
        <v>0.0</v>
      </c>
      <c r="H103" s="50">
        <v>0.0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7.25" customHeight="1">
      <c r="A104" s="44" t="s">
        <v>26</v>
      </c>
      <c r="B104" s="47" t="s">
        <v>91</v>
      </c>
      <c r="C104" s="44" t="s">
        <v>229</v>
      </c>
      <c r="D104" s="48" t="s">
        <v>230</v>
      </c>
      <c r="E104" s="44" t="s">
        <v>257</v>
      </c>
      <c r="F104" s="50">
        <v>0.0</v>
      </c>
      <c r="G104" s="50">
        <v>0.0</v>
      </c>
      <c r="H104" s="50">
        <v>0.0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7.25" customHeight="1">
      <c r="A105" s="44" t="s">
        <v>26</v>
      </c>
      <c r="B105" s="47" t="s">
        <v>91</v>
      </c>
      <c r="C105" s="44" t="s">
        <v>229</v>
      </c>
      <c r="D105" s="48" t="s">
        <v>230</v>
      </c>
      <c r="E105" s="44" t="s">
        <v>258</v>
      </c>
      <c r="F105" s="50">
        <v>0.0</v>
      </c>
      <c r="G105" s="50">
        <v>0.0</v>
      </c>
      <c r="H105" s="50">
        <v>0.0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7.25" customHeight="1">
      <c r="A106" s="44" t="s">
        <v>26</v>
      </c>
      <c r="B106" s="47" t="s">
        <v>91</v>
      </c>
      <c r="C106" s="44" t="s">
        <v>229</v>
      </c>
      <c r="D106" s="48" t="s">
        <v>230</v>
      </c>
      <c r="E106" s="44" t="s">
        <v>259</v>
      </c>
      <c r="F106" s="50">
        <v>0.0</v>
      </c>
      <c r="G106" s="50">
        <v>0.0</v>
      </c>
      <c r="H106" s="50">
        <v>0.0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7.25" customHeight="1">
      <c r="A107" s="44" t="s">
        <v>26</v>
      </c>
      <c r="B107" s="47" t="s">
        <v>91</v>
      </c>
      <c r="C107" s="44" t="s">
        <v>229</v>
      </c>
      <c r="D107" s="48" t="s">
        <v>230</v>
      </c>
      <c r="E107" s="44" t="s">
        <v>260</v>
      </c>
      <c r="F107" s="50">
        <v>0.0</v>
      </c>
      <c r="G107" s="50">
        <v>0.0</v>
      </c>
      <c r="H107" s="50">
        <v>0.0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7.25" customHeight="1">
      <c r="A108" s="44" t="s">
        <v>26</v>
      </c>
      <c r="B108" s="47" t="s">
        <v>91</v>
      </c>
      <c r="C108" s="44" t="s">
        <v>229</v>
      </c>
      <c r="D108" s="48" t="s">
        <v>230</v>
      </c>
      <c r="E108" s="44" t="s">
        <v>263</v>
      </c>
      <c r="F108" s="50">
        <v>0.0</v>
      </c>
      <c r="G108" s="50">
        <v>0.0</v>
      </c>
      <c r="H108" s="50">
        <v>0.0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7.25" customHeight="1">
      <c r="A109" s="44" t="s">
        <v>26</v>
      </c>
      <c r="B109" s="47" t="s">
        <v>91</v>
      </c>
      <c r="C109" s="44" t="s">
        <v>229</v>
      </c>
      <c r="D109" s="48" t="s">
        <v>230</v>
      </c>
      <c r="E109" s="44" t="s">
        <v>264</v>
      </c>
      <c r="F109" s="50">
        <v>0.0</v>
      </c>
      <c r="G109" s="50">
        <v>0.0</v>
      </c>
      <c r="H109" s="50">
        <v>0.0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7.25" customHeight="1">
      <c r="A110" s="44" t="s">
        <v>26</v>
      </c>
      <c r="B110" s="47" t="s">
        <v>91</v>
      </c>
      <c r="C110" s="44" t="s">
        <v>229</v>
      </c>
      <c r="D110" s="48" t="s">
        <v>230</v>
      </c>
      <c r="E110" s="44" t="s">
        <v>265</v>
      </c>
      <c r="F110" s="50">
        <v>0.0</v>
      </c>
      <c r="G110" s="50">
        <v>0.0</v>
      </c>
      <c r="H110" s="50">
        <v>0.0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7.25" customHeight="1">
      <c r="A111" s="44" t="s">
        <v>26</v>
      </c>
      <c r="B111" s="47" t="s">
        <v>91</v>
      </c>
      <c r="C111" s="44" t="s">
        <v>229</v>
      </c>
      <c r="D111" s="48" t="s">
        <v>230</v>
      </c>
      <c r="E111" s="44" t="s">
        <v>266</v>
      </c>
      <c r="F111" s="50">
        <v>2.0</v>
      </c>
      <c r="G111" s="50">
        <v>73400.0</v>
      </c>
      <c r="H111" s="50">
        <v>7340.0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7.25" customHeight="1">
      <c r="A112" s="44" t="s">
        <v>26</v>
      </c>
      <c r="B112" s="47" t="s">
        <v>91</v>
      </c>
      <c r="C112" s="44" t="s">
        <v>229</v>
      </c>
      <c r="D112" s="48" t="s">
        <v>230</v>
      </c>
      <c r="E112" s="44" t="s">
        <v>267</v>
      </c>
      <c r="F112" s="50">
        <v>8.0</v>
      </c>
      <c r="G112" s="50">
        <v>342720.0</v>
      </c>
      <c r="H112" s="50">
        <v>34240.0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7.25" customHeight="1">
      <c r="A113" s="44" t="s">
        <v>26</v>
      </c>
      <c r="B113" s="47" t="s">
        <v>91</v>
      </c>
      <c r="C113" s="44" t="s">
        <v>229</v>
      </c>
      <c r="D113" s="48" t="s">
        <v>230</v>
      </c>
      <c r="E113" s="44" t="s">
        <v>268</v>
      </c>
      <c r="F113" s="50">
        <v>0.0</v>
      </c>
      <c r="G113" s="50">
        <v>0.0</v>
      </c>
      <c r="H113" s="50">
        <v>0.0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7.25" customHeight="1">
      <c r="A114" s="44" t="s">
        <v>26</v>
      </c>
      <c r="B114" s="47" t="s">
        <v>91</v>
      </c>
      <c r="C114" s="44" t="s">
        <v>229</v>
      </c>
      <c r="D114" s="48" t="s">
        <v>230</v>
      </c>
      <c r="E114" s="44" t="s">
        <v>269</v>
      </c>
      <c r="F114" s="50">
        <v>2.0</v>
      </c>
      <c r="G114" s="50">
        <v>112180.0</v>
      </c>
      <c r="H114" s="50">
        <v>10000.0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7.25" customHeight="1">
      <c r="A115" s="44" t="s">
        <v>26</v>
      </c>
      <c r="B115" s="47" t="s">
        <v>63</v>
      </c>
      <c r="C115" s="44" t="s">
        <v>270</v>
      </c>
      <c r="D115" s="48" t="s">
        <v>271</v>
      </c>
      <c r="E115" s="44" t="s">
        <v>272</v>
      </c>
      <c r="F115" s="50">
        <v>414.0</v>
      </c>
      <c r="G115" s="50">
        <v>1.36206E7</v>
      </c>
      <c r="H115" s="50">
        <v>144760.0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7.25" customHeight="1">
      <c r="A116" s="44" t="s">
        <v>26</v>
      </c>
      <c r="B116" s="47" t="s">
        <v>63</v>
      </c>
      <c r="C116" s="44" t="s">
        <v>270</v>
      </c>
      <c r="D116" s="48" t="s">
        <v>271</v>
      </c>
      <c r="E116" s="44" t="s">
        <v>273</v>
      </c>
      <c r="F116" s="50">
        <v>147.0</v>
      </c>
      <c r="G116" s="50">
        <v>4312500.0</v>
      </c>
      <c r="H116" s="50">
        <v>142700.0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7.25" customHeight="1">
      <c r="A117" s="44" t="s">
        <v>26</v>
      </c>
      <c r="B117" s="47" t="s">
        <v>63</v>
      </c>
      <c r="C117" s="44" t="s">
        <v>270</v>
      </c>
      <c r="D117" s="48" t="s">
        <v>271</v>
      </c>
      <c r="E117" s="44" t="s">
        <v>274</v>
      </c>
      <c r="F117" s="50">
        <v>96.0</v>
      </c>
      <c r="G117" s="50">
        <v>2294400.0</v>
      </c>
      <c r="H117" s="50">
        <v>43020.0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7.25" customHeight="1">
      <c r="A118" s="44" t="s">
        <v>26</v>
      </c>
      <c r="B118" s="47" t="s">
        <v>63</v>
      </c>
      <c r="C118" s="44" t="s">
        <v>270</v>
      </c>
      <c r="D118" s="48" t="s">
        <v>271</v>
      </c>
      <c r="E118" s="44" t="s">
        <v>277</v>
      </c>
      <c r="F118" s="50">
        <v>113.0</v>
      </c>
      <c r="G118" s="50">
        <v>4621700.0</v>
      </c>
      <c r="H118" s="50">
        <v>98160.0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7.25" customHeight="1">
      <c r="A119" s="44" t="s">
        <v>26</v>
      </c>
      <c r="B119" s="47" t="s">
        <v>63</v>
      </c>
      <c r="C119" s="44" t="s">
        <v>270</v>
      </c>
      <c r="D119" s="48" t="s">
        <v>271</v>
      </c>
      <c r="E119" s="44" t="s">
        <v>278</v>
      </c>
      <c r="F119" s="50">
        <v>216.0</v>
      </c>
      <c r="G119" s="50">
        <v>6130400.0</v>
      </c>
      <c r="H119" s="50">
        <v>204380.0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7.25" customHeight="1">
      <c r="A120" s="44" t="s">
        <v>26</v>
      </c>
      <c r="B120" s="47" t="s">
        <v>63</v>
      </c>
      <c r="C120" s="44" t="s">
        <v>270</v>
      </c>
      <c r="D120" s="48" t="s">
        <v>271</v>
      </c>
      <c r="E120" s="44" t="s">
        <v>281</v>
      </c>
      <c r="F120" s="50">
        <v>65.0</v>
      </c>
      <c r="G120" s="50">
        <v>1345500.0</v>
      </c>
      <c r="H120" s="50">
        <v>16560.0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7.25" customHeight="1">
      <c r="A121" s="44" t="s">
        <v>26</v>
      </c>
      <c r="B121" s="47" t="s">
        <v>63</v>
      </c>
      <c r="C121" s="44" t="s">
        <v>270</v>
      </c>
      <c r="D121" s="48" t="s">
        <v>271</v>
      </c>
      <c r="E121" s="44" t="s">
        <v>282</v>
      </c>
      <c r="F121" s="50">
        <v>29.0</v>
      </c>
      <c r="G121" s="50">
        <v>896100.0</v>
      </c>
      <c r="H121" s="50">
        <v>6180.0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7.25" customHeight="1">
      <c r="A122" s="44" t="s">
        <v>26</v>
      </c>
      <c r="B122" s="47" t="s">
        <v>63</v>
      </c>
      <c r="C122" s="44" t="s">
        <v>270</v>
      </c>
      <c r="D122" s="48" t="s">
        <v>271</v>
      </c>
      <c r="E122" s="44" t="s">
        <v>283</v>
      </c>
      <c r="F122" s="50">
        <v>19.0</v>
      </c>
      <c r="G122" s="50">
        <v>623100.0</v>
      </c>
      <c r="H122" s="50">
        <v>12360.0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7.25" customHeight="1">
      <c r="A123" s="44" t="s">
        <v>26</v>
      </c>
      <c r="B123" s="47" t="s">
        <v>63</v>
      </c>
      <c r="C123" s="44" t="s">
        <v>270</v>
      </c>
      <c r="D123" s="48" t="s">
        <v>271</v>
      </c>
      <c r="E123" s="44" t="s">
        <v>284</v>
      </c>
      <c r="F123" s="50">
        <v>3.0</v>
      </c>
      <c r="G123" s="50">
        <v>62100.0</v>
      </c>
      <c r="H123" s="50">
        <v>0.0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7.25" customHeight="1">
      <c r="A124" s="44" t="s">
        <v>26</v>
      </c>
      <c r="B124" s="47" t="s">
        <v>63</v>
      </c>
      <c r="C124" s="44" t="s">
        <v>270</v>
      </c>
      <c r="D124" s="48" t="s">
        <v>271</v>
      </c>
      <c r="E124" s="44" t="s">
        <v>285</v>
      </c>
      <c r="F124" s="50">
        <v>0.0</v>
      </c>
      <c r="G124" s="50">
        <v>0.0</v>
      </c>
      <c r="H124" s="50">
        <v>0.0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7.25" customHeight="1">
      <c r="A125" s="44" t="s">
        <v>26</v>
      </c>
      <c r="B125" s="47" t="s">
        <v>91</v>
      </c>
      <c r="C125" s="44" t="s">
        <v>270</v>
      </c>
      <c r="D125" s="48" t="s">
        <v>271</v>
      </c>
      <c r="E125" s="44" t="s">
        <v>286</v>
      </c>
      <c r="F125" s="50">
        <v>67.0</v>
      </c>
      <c r="G125" s="50">
        <v>1098800.0</v>
      </c>
      <c r="H125" s="50">
        <v>13120.0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7.25" customHeight="1">
      <c r="A126" s="44" t="s">
        <v>26</v>
      </c>
      <c r="B126" s="47" t="s">
        <v>63</v>
      </c>
      <c r="C126" s="44" t="s">
        <v>270</v>
      </c>
      <c r="D126" s="48" t="s">
        <v>271</v>
      </c>
      <c r="E126" s="44" t="s">
        <v>287</v>
      </c>
      <c r="F126" s="50">
        <v>4.0</v>
      </c>
      <c r="G126" s="50">
        <v>378800.0</v>
      </c>
      <c r="H126" s="50">
        <v>0.0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7.25" customHeight="1">
      <c r="A127" s="44" t="s">
        <v>26</v>
      </c>
      <c r="B127" s="47" t="s">
        <v>63</v>
      </c>
      <c r="C127" s="44" t="s">
        <v>270</v>
      </c>
      <c r="D127" s="48" t="s">
        <v>271</v>
      </c>
      <c r="E127" s="44" t="s">
        <v>288</v>
      </c>
      <c r="F127" s="50">
        <v>10.0</v>
      </c>
      <c r="G127" s="50">
        <v>229000.0</v>
      </c>
      <c r="H127" s="50">
        <v>0.0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7.25" customHeight="1">
      <c r="A128" s="44" t="s">
        <v>26</v>
      </c>
      <c r="B128" s="47" t="s">
        <v>63</v>
      </c>
      <c r="C128" s="44" t="s">
        <v>270</v>
      </c>
      <c r="D128" s="48" t="s">
        <v>271</v>
      </c>
      <c r="E128" s="44" t="s">
        <v>289</v>
      </c>
      <c r="F128" s="50">
        <v>6.0</v>
      </c>
      <c r="G128" s="50">
        <v>197400.0</v>
      </c>
      <c r="H128" s="50">
        <v>0.0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7.25" customHeight="1">
      <c r="A129" s="44" t="s">
        <v>26</v>
      </c>
      <c r="B129" s="47" t="s">
        <v>63</v>
      </c>
      <c r="C129" s="44" t="s">
        <v>270</v>
      </c>
      <c r="D129" s="48" t="s">
        <v>271</v>
      </c>
      <c r="E129" s="44" t="s">
        <v>290</v>
      </c>
      <c r="F129" s="50">
        <v>1.0</v>
      </c>
      <c r="G129" s="50">
        <v>57900.0</v>
      </c>
      <c r="H129" s="50">
        <v>0.0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7.25" customHeight="1">
      <c r="A130" s="44" t="s">
        <v>26</v>
      </c>
      <c r="B130" s="47" t="s">
        <v>63</v>
      </c>
      <c r="C130" s="44" t="s">
        <v>270</v>
      </c>
      <c r="D130" s="48" t="s">
        <v>271</v>
      </c>
      <c r="E130" s="44" t="s">
        <v>291</v>
      </c>
      <c r="F130" s="50">
        <v>1.0</v>
      </c>
      <c r="G130" s="50">
        <v>21900.0</v>
      </c>
      <c r="H130" s="50">
        <v>0.0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7.25" customHeight="1">
      <c r="A131" s="44" t="s">
        <v>26</v>
      </c>
      <c r="B131" s="47" t="s">
        <v>63</v>
      </c>
      <c r="C131" s="44" t="s">
        <v>270</v>
      </c>
      <c r="D131" s="48" t="s">
        <v>271</v>
      </c>
      <c r="E131" s="44" t="s">
        <v>292</v>
      </c>
      <c r="F131" s="50">
        <v>7.0</v>
      </c>
      <c r="G131" s="50">
        <v>202300.0</v>
      </c>
      <c r="H131" s="50">
        <v>5780.0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7.25" customHeight="1">
      <c r="A132" s="44" t="s">
        <v>26</v>
      </c>
      <c r="B132" s="47" t="s">
        <v>63</v>
      </c>
      <c r="C132" s="44" t="s">
        <v>270</v>
      </c>
      <c r="D132" s="48" t="s">
        <v>271</v>
      </c>
      <c r="E132" s="44" t="s">
        <v>295</v>
      </c>
      <c r="F132" s="50">
        <v>5.0</v>
      </c>
      <c r="G132" s="50">
        <v>69500.0</v>
      </c>
      <c r="H132" s="50">
        <v>0.0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7.25" customHeight="1">
      <c r="A133" s="44" t="s">
        <v>26</v>
      </c>
      <c r="B133" s="47" t="s">
        <v>63</v>
      </c>
      <c r="C133" s="44" t="s">
        <v>270</v>
      </c>
      <c r="D133" s="48" t="s">
        <v>271</v>
      </c>
      <c r="E133" s="44" t="s">
        <v>296</v>
      </c>
      <c r="F133" s="50">
        <v>16.0</v>
      </c>
      <c r="G133" s="50">
        <v>302400.0</v>
      </c>
      <c r="H133" s="50">
        <v>7560.0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6.5" customHeight="1">
      <c r="A134" s="44" t="s">
        <v>26</v>
      </c>
      <c r="B134" s="47" t="s">
        <v>91</v>
      </c>
      <c r="C134" s="44" t="s">
        <v>270</v>
      </c>
      <c r="D134" s="48" t="s">
        <v>271</v>
      </c>
      <c r="E134" s="44" t="s">
        <v>297</v>
      </c>
      <c r="F134" s="50">
        <v>3.0</v>
      </c>
      <c r="G134" s="50">
        <v>42700.0</v>
      </c>
      <c r="H134" s="50">
        <v>0.0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7.25" customHeight="1">
      <c r="A135" s="44" t="s">
        <v>26</v>
      </c>
      <c r="B135" s="47" t="s">
        <v>63</v>
      </c>
      <c r="C135" s="44" t="s">
        <v>270</v>
      </c>
      <c r="D135" s="48" t="s">
        <v>271</v>
      </c>
      <c r="E135" s="44" t="s">
        <v>298</v>
      </c>
      <c r="F135" s="50">
        <v>0.0</v>
      </c>
      <c r="G135" s="50">
        <v>0.0</v>
      </c>
      <c r="H135" s="50">
        <v>0.0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7.25" customHeight="1">
      <c r="A136" s="44" t="s">
        <v>26</v>
      </c>
      <c r="B136" s="47" t="s">
        <v>63</v>
      </c>
      <c r="C136" s="44" t="s">
        <v>270</v>
      </c>
      <c r="D136" s="48" t="s">
        <v>271</v>
      </c>
      <c r="E136" s="44" t="s">
        <v>301</v>
      </c>
      <c r="F136" s="50">
        <v>0.0</v>
      </c>
      <c r="G136" s="50">
        <v>0.0</v>
      </c>
      <c r="H136" s="50">
        <v>0.0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7.25" customHeight="1">
      <c r="A137" s="44" t="s">
        <v>26</v>
      </c>
      <c r="B137" s="47" t="s">
        <v>63</v>
      </c>
      <c r="C137" s="44" t="s">
        <v>270</v>
      </c>
      <c r="D137" s="48" t="s">
        <v>271</v>
      </c>
      <c r="E137" s="44" t="s">
        <v>302</v>
      </c>
      <c r="F137" s="50">
        <v>0.0</v>
      </c>
      <c r="G137" s="50">
        <v>0.0</v>
      </c>
      <c r="H137" s="50">
        <v>0.0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7.25" customHeight="1">
      <c r="A138" s="44" t="s">
        <v>26</v>
      </c>
      <c r="B138" s="47" t="s">
        <v>63</v>
      </c>
      <c r="C138" s="44" t="s">
        <v>270</v>
      </c>
      <c r="D138" s="48" t="s">
        <v>271</v>
      </c>
      <c r="E138" s="44" t="s">
        <v>303</v>
      </c>
      <c r="F138" s="50">
        <v>0.0</v>
      </c>
      <c r="G138" s="50">
        <v>0.0</v>
      </c>
      <c r="H138" s="50">
        <v>0.0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7.25" customHeight="1">
      <c r="A139" s="44" t="s">
        <v>26</v>
      </c>
      <c r="B139" s="47" t="s">
        <v>63</v>
      </c>
      <c r="C139" s="44" t="s">
        <v>304</v>
      </c>
      <c r="D139" s="48" t="s">
        <v>305</v>
      </c>
      <c r="E139" s="44" t="s">
        <v>306</v>
      </c>
      <c r="F139" s="50">
        <v>442.0</v>
      </c>
      <c r="G139" s="50">
        <v>1.31716E7</v>
      </c>
      <c r="H139" s="50">
        <v>242440.0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7.25" customHeight="1">
      <c r="A140" s="44" t="s">
        <v>26</v>
      </c>
      <c r="B140" s="47" t="s">
        <v>63</v>
      </c>
      <c r="C140" s="44" t="s">
        <v>304</v>
      </c>
      <c r="D140" s="48" t="s">
        <v>305</v>
      </c>
      <c r="E140" s="44" t="s">
        <v>307</v>
      </c>
      <c r="F140" s="50">
        <v>25.0</v>
      </c>
      <c r="G140" s="50">
        <v>1120000.0</v>
      </c>
      <c r="H140" s="50">
        <v>8960.0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7.25" customHeight="1">
      <c r="A141" s="44" t="s">
        <v>26</v>
      </c>
      <c r="B141" s="47" t="s">
        <v>63</v>
      </c>
      <c r="C141" s="44" t="s">
        <v>304</v>
      </c>
      <c r="D141" s="48" t="s">
        <v>305</v>
      </c>
      <c r="E141" s="44" t="s">
        <v>310</v>
      </c>
      <c r="F141" s="50">
        <v>5.0</v>
      </c>
      <c r="G141" s="50">
        <v>150000.0</v>
      </c>
      <c r="H141" s="50">
        <v>0.0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7.25" customHeight="1">
      <c r="A142" s="44" t="s">
        <v>26</v>
      </c>
      <c r="B142" s="47" t="s">
        <v>63</v>
      </c>
      <c r="C142" s="44" t="s">
        <v>304</v>
      </c>
      <c r="D142" s="48" t="s">
        <v>305</v>
      </c>
      <c r="E142" s="44" t="s">
        <v>311</v>
      </c>
      <c r="F142" s="50">
        <v>12.0</v>
      </c>
      <c r="G142" s="50">
        <v>420000.0</v>
      </c>
      <c r="H142" s="50">
        <v>0.0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7.25" customHeight="1">
      <c r="A143" s="44" t="s">
        <v>26</v>
      </c>
      <c r="B143" s="47" t="s">
        <v>63</v>
      </c>
      <c r="C143" s="44" t="s">
        <v>304</v>
      </c>
      <c r="D143" s="48" t="s">
        <v>305</v>
      </c>
      <c r="E143" s="44" t="s">
        <v>312</v>
      </c>
      <c r="F143" s="50">
        <v>14.0</v>
      </c>
      <c r="G143" s="50">
        <v>627200.0</v>
      </c>
      <c r="H143" s="50">
        <v>8960.0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7.25" customHeight="1">
      <c r="A144" s="44" t="s">
        <v>26</v>
      </c>
      <c r="B144" s="47" t="s">
        <v>63</v>
      </c>
      <c r="C144" s="44" t="s">
        <v>304</v>
      </c>
      <c r="D144" s="48" t="s">
        <v>305</v>
      </c>
      <c r="E144" s="44" t="s">
        <v>313</v>
      </c>
      <c r="F144" s="50">
        <v>2.0</v>
      </c>
      <c r="G144" s="50">
        <v>53600.0</v>
      </c>
      <c r="H144" s="50">
        <v>0.0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7.25" customHeight="1">
      <c r="A145" s="44" t="s">
        <v>26</v>
      </c>
      <c r="B145" s="47" t="s">
        <v>63</v>
      </c>
      <c r="C145" s="44" t="s">
        <v>304</v>
      </c>
      <c r="D145" s="48" t="s">
        <v>305</v>
      </c>
      <c r="E145" s="44" t="s">
        <v>314</v>
      </c>
      <c r="F145" s="50">
        <v>0.0</v>
      </c>
      <c r="G145" s="50">
        <v>0.0</v>
      </c>
      <c r="H145" s="50">
        <v>0.0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7.25" customHeight="1">
      <c r="A146" s="44" t="s">
        <v>26</v>
      </c>
      <c r="B146" s="47" t="s">
        <v>63</v>
      </c>
      <c r="C146" s="44" t="s">
        <v>304</v>
      </c>
      <c r="D146" s="48" t="s">
        <v>305</v>
      </c>
      <c r="E146" s="44" t="s">
        <v>315</v>
      </c>
      <c r="F146" s="50">
        <v>0.0</v>
      </c>
      <c r="G146" s="50">
        <v>0.0</v>
      </c>
      <c r="H146" s="50">
        <v>0.0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7.25" customHeight="1">
      <c r="A147" s="44" t="s">
        <v>26</v>
      </c>
      <c r="B147" s="47" t="s">
        <v>63</v>
      </c>
      <c r="C147" s="44" t="s">
        <v>304</v>
      </c>
      <c r="D147" s="48" t="s">
        <v>305</v>
      </c>
      <c r="E147" s="44" t="s">
        <v>316</v>
      </c>
      <c r="F147" s="50">
        <v>29.0</v>
      </c>
      <c r="G147" s="50">
        <v>1009200.0</v>
      </c>
      <c r="H147" s="50">
        <v>20880.0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7.25" customHeight="1">
      <c r="A148" s="44" t="s">
        <v>26</v>
      </c>
      <c r="B148" s="47" t="s">
        <v>63</v>
      </c>
      <c r="C148" s="44" t="s">
        <v>304</v>
      </c>
      <c r="D148" s="48" t="s">
        <v>305</v>
      </c>
      <c r="E148" s="44" t="s">
        <v>319</v>
      </c>
      <c r="F148" s="50">
        <v>60.0</v>
      </c>
      <c r="G148" s="50">
        <v>1608000.0</v>
      </c>
      <c r="H148" s="50">
        <v>0.0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7.25" customHeight="1">
      <c r="A149" s="44" t="s">
        <v>26</v>
      </c>
      <c r="B149" s="47" t="s">
        <v>63</v>
      </c>
      <c r="C149" s="44" t="s">
        <v>320</v>
      </c>
      <c r="D149" s="48" t="s">
        <v>321</v>
      </c>
      <c r="E149" s="44" t="s">
        <v>322</v>
      </c>
      <c r="F149" s="50">
        <v>59.0</v>
      </c>
      <c r="G149" s="50">
        <v>970800.0</v>
      </c>
      <c r="H149" s="50">
        <v>76480.0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7.25" customHeight="1">
      <c r="A150" s="44" t="s">
        <v>26</v>
      </c>
      <c r="B150" s="47" t="s">
        <v>63</v>
      </c>
      <c r="C150" s="44" t="s">
        <v>320</v>
      </c>
      <c r="D150" s="48" t="s">
        <v>321</v>
      </c>
      <c r="E150" s="44" t="s">
        <v>324</v>
      </c>
      <c r="F150" s="50">
        <v>0.0</v>
      </c>
      <c r="G150" s="50">
        <v>0.0</v>
      </c>
      <c r="H150" s="50">
        <v>0.0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7.25" customHeight="1">
      <c r="A151" s="44" t="s">
        <v>26</v>
      </c>
      <c r="B151" s="47" t="s">
        <v>63</v>
      </c>
      <c r="C151" s="44" t="s">
        <v>320</v>
      </c>
      <c r="D151" s="48" t="s">
        <v>321</v>
      </c>
      <c r="E151" s="44" t="s">
        <v>326</v>
      </c>
      <c r="F151" s="50">
        <v>4.0</v>
      </c>
      <c r="G151" s="50">
        <v>112000.0</v>
      </c>
      <c r="H151" s="50">
        <v>10000.0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7.25" customHeight="1">
      <c r="A152" s="44" t="s">
        <v>26</v>
      </c>
      <c r="B152" s="47" t="s">
        <v>63</v>
      </c>
      <c r="C152" s="44" t="s">
        <v>320</v>
      </c>
      <c r="D152" s="48" t="s">
        <v>321</v>
      </c>
      <c r="E152" s="44" t="s">
        <v>327</v>
      </c>
      <c r="F152" s="50">
        <v>0.0</v>
      </c>
      <c r="G152" s="50">
        <v>0.0</v>
      </c>
      <c r="H152" s="50">
        <v>0.0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7.25" customHeight="1">
      <c r="A153" s="44" t="s">
        <v>26</v>
      </c>
      <c r="B153" s="47" t="s">
        <v>63</v>
      </c>
      <c r="C153" s="44" t="s">
        <v>320</v>
      </c>
      <c r="D153" s="48" t="s">
        <v>321</v>
      </c>
      <c r="E153" s="44" t="s">
        <v>329</v>
      </c>
      <c r="F153" s="50">
        <v>2.0</v>
      </c>
      <c r="G153" s="50">
        <v>7000.0</v>
      </c>
      <c r="H153" s="50">
        <v>0.0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7.25" customHeight="1">
      <c r="A154" s="44" t="s">
        <v>26</v>
      </c>
      <c r="B154" s="47" t="s">
        <v>63</v>
      </c>
      <c r="C154" s="44" t="s">
        <v>320</v>
      </c>
      <c r="D154" s="48" t="s">
        <v>321</v>
      </c>
      <c r="E154" s="44" t="s">
        <v>330</v>
      </c>
      <c r="F154" s="50">
        <v>2.0</v>
      </c>
      <c r="G154" s="50">
        <v>7000.0</v>
      </c>
      <c r="H154" s="50">
        <v>0.0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7.25" customHeight="1">
      <c r="A155" s="44" t="s">
        <v>26</v>
      </c>
      <c r="B155" s="47" t="s">
        <v>63</v>
      </c>
      <c r="C155" s="44" t="s">
        <v>320</v>
      </c>
      <c r="D155" s="48" t="s">
        <v>321</v>
      </c>
      <c r="E155" s="44" t="s">
        <v>331</v>
      </c>
      <c r="F155" s="50">
        <v>163.0</v>
      </c>
      <c r="G155" s="50">
        <v>489000.0</v>
      </c>
      <c r="H155" s="50">
        <v>39400.0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7.25" customHeight="1">
      <c r="A156" s="44" t="s">
        <v>26</v>
      </c>
      <c r="B156" s="47" t="s">
        <v>91</v>
      </c>
      <c r="C156" s="44" t="s">
        <v>320</v>
      </c>
      <c r="D156" s="48" t="s">
        <v>321</v>
      </c>
      <c r="E156" s="44" t="s">
        <v>332</v>
      </c>
      <c r="F156" s="50">
        <v>0.0</v>
      </c>
      <c r="G156" s="50">
        <v>0.0</v>
      </c>
      <c r="H156" s="50">
        <v>0.0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7.25" customHeight="1">
      <c r="A157" s="44" t="s">
        <v>26</v>
      </c>
      <c r="B157" s="47" t="s">
        <v>63</v>
      </c>
      <c r="C157" s="44" t="s">
        <v>320</v>
      </c>
      <c r="D157" s="48" t="s">
        <v>321</v>
      </c>
      <c r="E157" s="44" t="s">
        <v>333</v>
      </c>
      <c r="F157" s="50">
        <v>2.0</v>
      </c>
      <c r="G157" s="50">
        <v>23800.0</v>
      </c>
      <c r="H157" s="50">
        <v>2380.0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7.25" customHeight="1">
      <c r="A158" s="44" t="s">
        <v>26</v>
      </c>
      <c r="B158" s="47" t="s">
        <v>63</v>
      </c>
      <c r="C158" s="44" t="s">
        <v>320</v>
      </c>
      <c r="D158" s="48" t="s">
        <v>321</v>
      </c>
      <c r="E158" s="44" t="s">
        <v>336</v>
      </c>
      <c r="F158" s="50">
        <v>6.0</v>
      </c>
      <c r="G158" s="50">
        <v>71400.0</v>
      </c>
      <c r="H158" s="50">
        <v>7140.0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7.25" customHeight="1">
      <c r="A159" s="44" t="s">
        <v>26</v>
      </c>
      <c r="B159" s="47" t="s">
        <v>63</v>
      </c>
      <c r="C159" s="44" t="s">
        <v>337</v>
      </c>
      <c r="D159" s="48" t="s">
        <v>338</v>
      </c>
      <c r="E159" s="44" t="s">
        <v>339</v>
      </c>
      <c r="F159" s="50">
        <v>116.0</v>
      </c>
      <c r="G159" s="50">
        <v>3483700.0</v>
      </c>
      <c r="H159" s="50">
        <v>321380.0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7.25" customHeight="1">
      <c r="A160" s="44" t="s">
        <v>26</v>
      </c>
      <c r="B160" s="47" t="s">
        <v>63</v>
      </c>
      <c r="C160" s="44" t="s">
        <v>337</v>
      </c>
      <c r="D160" s="48" t="s">
        <v>338</v>
      </c>
      <c r="E160" s="44" t="s">
        <v>340</v>
      </c>
      <c r="F160" s="50">
        <v>0.0</v>
      </c>
      <c r="G160" s="50">
        <v>0.0</v>
      </c>
      <c r="H160" s="50">
        <v>0.0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7.25" customHeight="1">
      <c r="A161" s="44" t="s">
        <v>26</v>
      </c>
      <c r="B161" s="47" t="s">
        <v>63</v>
      </c>
      <c r="C161" s="44" t="s">
        <v>337</v>
      </c>
      <c r="D161" s="48" t="s">
        <v>338</v>
      </c>
      <c r="E161" s="44" t="s">
        <v>340</v>
      </c>
      <c r="F161" s="50">
        <v>1.0</v>
      </c>
      <c r="G161" s="50">
        <v>60000.0</v>
      </c>
      <c r="H161" s="50">
        <v>0.0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7.25" customHeight="1">
      <c r="A162" s="44" t="s">
        <v>26</v>
      </c>
      <c r="B162" s="47" t="s">
        <v>91</v>
      </c>
      <c r="C162" s="44" t="s">
        <v>337</v>
      </c>
      <c r="D162" s="48" t="s">
        <v>338</v>
      </c>
      <c r="E162" s="44" t="s">
        <v>341</v>
      </c>
      <c r="F162" s="50">
        <v>5.0</v>
      </c>
      <c r="G162" s="50">
        <v>165000.0</v>
      </c>
      <c r="H162" s="50">
        <v>0.0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7.25" customHeight="1">
      <c r="A163" s="44" t="s">
        <v>26</v>
      </c>
      <c r="B163" s="47" t="s">
        <v>63</v>
      </c>
      <c r="C163" s="44" t="s">
        <v>337</v>
      </c>
      <c r="D163" s="48" t="s">
        <v>338</v>
      </c>
      <c r="E163" s="44" t="s">
        <v>342</v>
      </c>
      <c r="F163" s="50">
        <v>0.0</v>
      </c>
      <c r="G163" s="50">
        <v>0.0</v>
      </c>
      <c r="H163" s="50">
        <v>0.0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7.25" customHeight="1">
      <c r="A164" s="44" t="s">
        <v>26</v>
      </c>
      <c r="B164" s="47" t="s">
        <v>63</v>
      </c>
      <c r="C164" s="44" t="s">
        <v>337</v>
      </c>
      <c r="D164" s="48" t="s">
        <v>338</v>
      </c>
      <c r="E164" s="44" t="s">
        <v>342</v>
      </c>
      <c r="F164" s="50">
        <v>1.0</v>
      </c>
      <c r="G164" s="50">
        <v>43000.0</v>
      </c>
      <c r="H164" s="50">
        <v>0.0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7.25" customHeight="1">
      <c r="A165" s="44" t="s">
        <v>26</v>
      </c>
      <c r="B165" s="47" t="s">
        <v>63</v>
      </c>
      <c r="C165" s="44" t="s">
        <v>337</v>
      </c>
      <c r="D165" s="48" t="s">
        <v>338</v>
      </c>
      <c r="E165" s="44" t="s">
        <v>343</v>
      </c>
      <c r="F165" s="50">
        <v>5.0</v>
      </c>
      <c r="G165" s="50">
        <v>400000.0</v>
      </c>
      <c r="H165" s="50">
        <v>0.0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7.25" customHeight="1">
      <c r="A166" s="44" t="s">
        <v>26</v>
      </c>
      <c r="B166" s="47" t="s">
        <v>63</v>
      </c>
      <c r="C166" s="44" t="s">
        <v>337</v>
      </c>
      <c r="D166" s="48" t="s">
        <v>338</v>
      </c>
      <c r="E166" s="44" t="s">
        <v>344</v>
      </c>
      <c r="F166" s="50">
        <v>0.0</v>
      </c>
      <c r="G166" s="50">
        <v>0.0</v>
      </c>
      <c r="H166" s="50">
        <v>0.0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7.25" customHeight="1">
      <c r="A167" s="44" t="s">
        <v>26</v>
      </c>
      <c r="B167" s="47" t="s">
        <v>63</v>
      </c>
      <c r="C167" s="44" t="s">
        <v>337</v>
      </c>
      <c r="D167" s="48" t="s">
        <v>338</v>
      </c>
      <c r="E167" s="44" t="s">
        <v>347</v>
      </c>
      <c r="F167" s="50">
        <v>0.0</v>
      </c>
      <c r="G167" s="50">
        <v>0.0</v>
      </c>
      <c r="H167" s="50">
        <v>0.0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7.25" customHeight="1">
      <c r="A168" s="44" t="s">
        <v>26</v>
      </c>
      <c r="B168" s="47" t="s">
        <v>63</v>
      </c>
      <c r="C168" s="44" t="s">
        <v>350</v>
      </c>
      <c r="D168" s="48" t="s">
        <v>351</v>
      </c>
      <c r="E168" s="44" t="s">
        <v>352</v>
      </c>
      <c r="F168" s="50">
        <v>4.0</v>
      </c>
      <c r="G168" s="50">
        <v>120000.0</v>
      </c>
      <c r="H168" s="50">
        <v>12000.0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7.25" customHeight="1">
      <c r="A169" s="44" t="s">
        <v>26</v>
      </c>
      <c r="B169" s="47" t="s">
        <v>91</v>
      </c>
      <c r="C169" s="44" t="s">
        <v>350</v>
      </c>
      <c r="D169" s="48" t="s">
        <v>351</v>
      </c>
      <c r="E169" s="44" t="s">
        <v>353</v>
      </c>
      <c r="F169" s="50">
        <v>320.0</v>
      </c>
      <c r="G169" s="50">
        <v>5967100.0</v>
      </c>
      <c r="H169" s="50">
        <v>464820.0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7.25" customHeight="1">
      <c r="A170" s="44" t="s">
        <v>26</v>
      </c>
      <c r="B170" s="47" t="s">
        <v>91</v>
      </c>
      <c r="C170" s="44" t="s">
        <v>354</v>
      </c>
      <c r="D170" s="48" t="s">
        <v>355</v>
      </c>
      <c r="E170" s="44" t="s">
        <v>356</v>
      </c>
      <c r="F170" s="50">
        <v>100.0</v>
      </c>
      <c r="G170" s="50">
        <v>1200200.0</v>
      </c>
      <c r="H170" s="50">
        <v>2700.0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7.25" customHeight="1">
      <c r="A171" s="44" t="s">
        <v>26</v>
      </c>
      <c r="B171" s="47" t="s">
        <v>91</v>
      </c>
      <c r="C171" s="44" t="s">
        <v>357</v>
      </c>
      <c r="D171" s="48" t="s">
        <v>358</v>
      </c>
      <c r="E171" s="44" t="s">
        <v>359</v>
      </c>
      <c r="F171" s="50">
        <v>16.0</v>
      </c>
      <c r="G171" s="50">
        <v>488000.0</v>
      </c>
      <c r="H171" s="50">
        <v>0.0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7.25" customHeight="1">
      <c r="A172" s="44" t="s">
        <v>26</v>
      </c>
      <c r="B172" s="47" t="s">
        <v>91</v>
      </c>
      <c r="C172" s="44" t="s">
        <v>357</v>
      </c>
      <c r="D172" s="48" t="s">
        <v>358</v>
      </c>
      <c r="E172" s="44" t="s">
        <v>360</v>
      </c>
      <c r="F172" s="50">
        <v>9.0</v>
      </c>
      <c r="G172" s="50">
        <v>232200.0</v>
      </c>
      <c r="H172" s="50">
        <v>0.0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7.25" customHeight="1">
      <c r="A173" s="44" t="s">
        <v>26</v>
      </c>
      <c r="B173" s="47" t="s">
        <v>91</v>
      </c>
      <c r="C173" s="44" t="s">
        <v>357</v>
      </c>
      <c r="D173" s="48" t="s">
        <v>358</v>
      </c>
      <c r="E173" s="44" t="s">
        <v>361</v>
      </c>
      <c r="F173" s="50">
        <v>2950.0</v>
      </c>
      <c r="G173" s="50">
        <v>6.17642E7</v>
      </c>
      <c r="H173" s="50">
        <v>3306380.0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7.25" customHeight="1">
      <c r="A174" s="44" t="s">
        <v>26</v>
      </c>
      <c r="B174" s="47" t="s">
        <v>91</v>
      </c>
      <c r="C174" s="44" t="s">
        <v>357</v>
      </c>
      <c r="D174" s="48" t="s">
        <v>358</v>
      </c>
      <c r="E174" s="44" t="s">
        <v>362</v>
      </c>
      <c r="F174" s="50">
        <v>9.0</v>
      </c>
      <c r="G174" s="50">
        <v>272500.0</v>
      </c>
      <c r="H174" s="50">
        <v>0.0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7.25" customHeight="1">
      <c r="A175" s="44" t="s">
        <v>26</v>
      </c>
      <c r="B175" s="47" t="s">
        <v>91</v>
      </c>
      <c r="C175" s="44" t="s">
        <v>357</v>
      </c>
      <c r="D175" s="48" t="s">
        <v>358</v>
      </c>
      <c r="E175" s="44" t="s">
        <v>363</v>
      </c>
      <c r="F175" s="50">
        <v>7.0</v>
      </c>
      <c r="G175" s="50">
        <v>232300.0</v>
      </c>
      <c r="H175" s="50">
        <v>0.0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7.25" customHeight="1">
      <c r="A176" s="44" t="s">
        <v>26</v>
      </c>
      <c r="B176" s="47" t="s">
        <v>91</v>
      </c>
      <c r="C176" s="44" t="s">
        <v>357</v>
      </c>
      <c r="D176" s="48" t="s">
        <v>358</v>
      </c>
      <c r="E176" s="44" t="s">
        <v>365</v>
      </c>
      <c r="F176" s="50">
        <v>1.0</v>
      </c>
      <c r="G176" s="50">
        <v>37500.0</v>
      </c>
      <c r="H176" s="50">
        <v>0.0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7.25" customHeight="1">
      <c r="A177" s="44" t="s">
        <v>26</v>
      </c>
      <c r="B177" s="47" t="s">
        <v>91</v>
      </c>
      <c r="C177" s="44" t="s">
        <v>357</v>
      </c>
      <c r="D177" s="48" t="s">
        <v>358</v>
      </c>
      <c r="E177" s="44" t="s">
        <v>367</v>
      </c>
      <c r="F177" s="50">
        <v>1197.0</v>
      </c>
      <c r="G177" s="50">
        <v>2.81911E7</v>
      </c>
      <c r="H177" s="50">
        <v>1560400.0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7.25" customHeight="1">
      <c r="A178" s="44" t="s">
        <v>26</v>
      </c>
      <c r="B178" s="47" t="s">
        <v>91</v>
      </c>
      <c r="C178" s="44" t="s">
        <v>357</v>
      </c>
      <c r="D178" s="48" t="s">
        <v>358</v>
      </c>
      <c r="E178" s="44" t="s">
        <v>368</v>
      </c>
      <c r="F178" s="50">
        <v>0.0</v>
      </c>
      <c r="G178" s="50">
        <v>0.0</v>
      </c>
      <c r="H178" s="50">
        <v>0.0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7.25" customHeight="1">
      <c r="A179" s="44" t="s">
        <v>26</v>
      </c>
      <c r="B179" s="47" t="s">
        <v>91</v>
      </c>
      <c r="C179" s="44" t="s">
        <v>357</v>
      </c>
      <c r="D179" s="48" t="s">
        <v>358</v>
      </c>
      <c r="E179" s="44" t="s">
        <v>369</v>
      </c>
      <c r="F179" s="50">
        <v>9.0</v>
      </c>
      <c r="G179" s="50">
        <v>319300.0</v>
      </c>
      <c r="H179" s="50">
        <v>0.0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7.25" customHeight="1">
      <c r="A180" s="44" t="s">
        <v>26</v>
      </c>
      <c r="B180" s="47" t="s">
        <v>91</v>
      </c>
      <c r="C180" s="44" t="s">
        <v>370</v>
      </c>
      <c r="D180" s="48" t="s">
        <v>371</v>
      </c>
      <c r="E180" s="44" t="s">
        <v>372</v>
      </c>
      <c r="F180" s="50">
        <v>2936.0</v>
      </c>
      <c r="G180" s="50">
        <v>3.451426E7</v>
      </c>
      <c r="H180" s="50">
        <v>3201390.0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7.25" customHeight="1">
      <c r="A181" s="44" t="s">
        <v>26</v>
      </c>
      <c r="B181" s="47" t="s">
        <v>63</v>
      </c>
      <c r="C181" s="44" t="s">
        <v>373</v>
      </c>
      <c r="D181" s="48" t="s">
        <v>374</v>
      </c>
      <c r="E181" s="44" t="s">
        <v>375</v>
      </c>
      <c r="F181" s="50">
        <v>14.0</v>
      </c>
      <c r="G181" s="50">
        <v>316000.0</v>
      </c>
      <c r="H181" s="50">
        <v>31600.0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7.25" customHeight="1">
      <c r="A182" s="44" t="s">
        <v>26</v>
      </c>
      <c r="B182" s="47" t="s">
        <v>91</v>
      </c>
      <c r="C182" s="44" t="s">
        <v>376</v>
      </c>
      <c r="D182" s="48" t="s">
        <v>377</v>
      </c>
      <c r="E182" s="44" t="s">
        <v>378</v>
      </c>
      <c r="F182" s="50">
        <v>179.0</v>
      </c>
      <c r="G182" s="50">
        <v>2827100.0</v>
      </c>
      <c r="H182" s="50">
        <v>0.0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7.25" customHeight="1">
      <c r="A183" s="44" t="s">
        <v>26</v>
      </c>
      <c r="B183" s="47" t="s">
        <v>91</v>
      </c>
      <c r="C183" s="44" t="s">
        <v>376</v>
      </c>
      <c r="D183" s="48" t="s">
        <v>377</v>
      </c>
      <c r="E183" s="44" t="s">
        <v>380</v>
      </c>
      <c r="F183" s="50">
        <v>284.0</v>
      </c>
      <c r="G183" s="50">
        <v>5367600.0</v>
      </c>
      <c r="H183" s="50">
        <v>0.0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7.25" customHeight="1">
      <c r="A184" s="44" t="s">
        <v>26</v>
      </c>
      <c r="B184" s="47" t="s">
        <v>91</v>
      </c>
      <c r="C184" s="44" t="s">
        <v>376</v>
      </c>
      <c r="D184" s="48" t="s">
        <v>377</v>
      </c>
      <c r="E184" s="44" t="s">
        <v>384</v>
      </c>
      <c r="F184" s="50">
        <v>16.0</v>
      </c>
      <c r="G184" s="50">
        <v>622400.0</v>
      </c>
      <c r="H184" s="50">
        <v>0.0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7.25" customHeight="1">
      <c r="A185" s="44" t="s">
        <v>26</v>
      </c>
      <c r="B185" s="47" t="s">
        <v>91</v>
      </c>
      <c r="C185" s="44" t="s">
        <v>376</v>
      </c>
      <c r="D185" s="48" t="s">
        <v>377</v>
      </c>
      <c r="E185" s="44" t="s">
        <v>385</v>
      </c>
      <c r="F185" s="50">
        <v>6.0</v>
      </c>
      <c r="G185" s="50">
        <v>119400.0</v>
      </c>
      <c r="H185" s="50">
        <v>0.0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7.25" customHeight="1">
      <c r="A186" s="44" t="s">
        <v>26</v>
      </c>
      <c r="B186" s="47" t="s">
        <v>91</v>
      </c>
      <c r="C186" s="44" t="s">
        <v>376</v>
      </c>
      <c r="D186" s="48" t="s">
        <v>377</v>
      </c>
      <c r="E186" s="44" t="s">
        <v>386</v>
      </c>
      <c r="F186" s="50">
        <v>2.0</v>
      </c>
      <c r="G186" s="50">
        <v>39800.0</v>
      </c>
      <c r="H186" s="50">
        <v>0.0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7.25" customHeight="1">
      <c r="A187" s="44" t="s">
        <v>26</v>
      </c>
      <c r="B187" s="47" t="s">
        <v>91</v>
      </c>
      <c r="C187" s="44" t="s">
        <v>376</v>
      </c>
      <c r="D187" s="48" t="s">
        <v>377</v>
      </c>
      <c r="E187" s="44" t="s">
        <v>387</v>
      </c>
      <c r="F187" s="50">
        <v>119.0</v>
      </c>
      <c r="G187" s="50">
        <v>2011100.0</v>
      </c>
      <c r="H187" s="50">
        <v>0.0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7.25" customHeight="1">
      <c r="A188" s="44" t="s">
        <v>26</v>
      </c>
      <c r="B188" s="47" t="s">
        <v>91</v>
      </c>
      <c r="C188" s="44" t="s">
        <v>376</v>
      </c>
      <c r="D188" s="48" t="s">
        <v>377</v>
      </c>
      <c r="E188" s="44" t="s">
        <v>388</v>
      </c>
      <c r="F188" s="50">
        <v>6.0</v>
      </c>
      <c r="G188" s="50">
        <v>119400.0</v>
      </c>
      <c r="H188" s="50">
        <v>0.0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7.25" customHeight="1">
      <c r="A189" s="44" t="s">
        <v>26</v>
      </c>
      <c r="B189" s="47" t="s">
        <v>91</v>
      </c>
      <c r="C189" s="44" t="s">
        <v>376</v>
      </c>
      <c r="D189" s="48" t="s">
        <v>377</v>
      </c>
      <c r="E189" s="44" t="s">
        <v>389</v>
      </c>
      <c r="F189" s="50">
        <v>1.0</v>
      </c>
      <c r="G189" s="50">
        <v>12900.0</v>
      </c>
      <c r="H189" s="50">
        <v>0.0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7.25" customHeight="1">
      <c r="A190" s="44" t="s">
        <v>26</v>
      </c>
      <c r="B190" s="47" t="s">
        <v>91</v>
      </c>
      <c r="C190" s="44" t="s">
        <v>376</v>
      </c>
      <c r="D190" s="48" t="s">
        <v>377</v>
      </c>
      <c r="E190" s="44" t="s">
        <v>390</v>
      </c>
      <c r="F190" s="50">
        <v>2.0</v>
      </c>
      <c r="G190" s="50">
        <v>27800.0</v>
      </c>
      <c r="H190" s="50">
        <v>0.0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7.25" customHeight="1">
      <c r="A191" s="44" t="s">
        <v>26</v>
      </c>
      <c r="B191" s="47" t="s">
        <v>91</v>
      </c>
      <c r="C191" s="44" t="s">
        <v>376</v>
      </c>
      <c r="D191" s="48" t="s">
        <v>377</v>
      </c>
      <c r="E191" s="44" t="s">
        <v>391</v>
      </c>
      <c r="F191" s="50">
        <v>1461.0</v>
      </c>
      <c r="G191" s="50">
        <v>2.31069E7</v>
      </c>
      <c r="H191" s="50">
        <v>0.0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7.25" customHeight="1">
      <c r="A192" s="44" t="s">
        <v>26</v>
      </c>
      <c r="B192" s="47" t="s">
        <v>91</v>
      </c>
      <c r="C192" s="44" t="s">
        <v>376</v>
      </c>
      <c r="D192" s="48" t="s">
        <v>377</v>
      </c>
      <c r="E192" s="44" t="s">
        <v>392</v>
      </c>
      <c r="F192" s="50">
        <v>18.0</v>
      </c>
      <c r="G192" s="50">
        <v>592200.0</v>
      </c>
      <c r="H192" s="50">
        <v>0.0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7.25" customHeight="1">
      <c r="A193" s="44" t="s">
        <v>26</v>
      </c>
      <c r="B193" s="47" t="s">
        <v>91</v>
      </c>
      <c r="C193" s="44" t="s">
        <v>376</v>
      </c>
      <c r="D193" s="48" t="s">
        <v>377</v>
      </c>
      <c r="E193" s="44" t="s">
        <v>393</v>
      </c>
      <c r="F193" s="50">
        <v>2946.0</v>
      </c>
      <c r="G193" s="50">
        <v>5.397301E7</v>
      </c>
      <c r="H193" s="50">
        <v>5022810.0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7.25" customHeight="1">
      <c r="A194" s="44" t="s">
        <v>26</v>
      </c>
      <c r="B194" s="47" t="s">
        <v>91</v>
      </c>
      <c r="C194" s="44" t="s">
        <v>376</v>
      </c>
      <c r="D194" s="48" t="s">
        <v>377</v>
      </c>
      <c r="E194" s="44" t="s">
        <v>396</v>
      </c>
      <c r="F194" s="50">
        <v>1.0</v>
      </c>
      <c r="G194" s="50">
        <v>14900.0</v>
      </c>
      <c r="H194" s="50">
        <v>0.0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7.25" customHeight="1">
      <c r="A195" s="44" t="s">
        <v>26</v>
      </c>
      <c r="B195" s="47" t="s">
        <v>91</v>
      </c>
      <c r="C195" s="44" t="s">
        <v>376</v>
      </c>
      <c r="D195" s="48" t="s">
        <v>377</v>
      </c>
      <c r="E195" s="44" t="s">
        <v>397</v>
      </c>
      <c r="F195" s="50">
        <v>2.0</v>
      </c>
      <c r="G195" s="50">
        <v>35800.0</v>
      </c>
      <c r="H195" s="50">
        <v>0.0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7.25" customHeight="1">
      <c r="A196" s="44" t="s">
        <v>26</v>
      </c>
      <c r="B196" s="47" t="s">
        <v>91</v>
      </c>
      <c r="C196" s="44" t="s">
        <v>376</v>
      </c>
      <c r="D196" s="48" t="s">
        <v>377</v>
      </c>
      <c r="E196" s="44" t="s">
        <v>398</v>
      </c>
      <c r="F196" s="50">
        <v>519.0</v>
      </c>
      <c r="G196" s="50">
        <v>8180100.0</v>
      </c>
      <c r="H196" s="50">
        <v>0.0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7.25" customHeight="1">
      <c r="A197" s="44" t="s">
        <v>26</v>
      </c>
      <c r="B197" s="47" t="s">
        <v>91</v>
      </c>
      <c r="C197" s="44" t="s">
        <v>376</v>
      </c>
      <c r="D197" s="48" t="s">
        <v>377</v>
      </c>
      <c r="E197" s="44" t="s">
        <v>399</v>
      </c>
      <c r="F197" s="50">
        <v>98.0</v>
      </c>
      <c r="G197" s="50">
        <v>1180900.0</v>
      </c>
      <c r="H197" s="50">
        <v>0.0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7.25" customHeight="1">
      <c r="A198" s="44" t="s">
        <v>26</v>
      </c>
      <c r="B198" s="47" t="s">
        <v>91</v>
      </c>
      <c r="C198" s="44" t="s">
        <v>376</v>
      </c>
      <c r="D198" s="48" t="s">
        <v>377</v>
      </c>
      <c r="E198" s="44" t="s">
        <v>400</v>
      </c>
      <c r="F198" s="50">
        <v>4.0</v>
      </c>
      <c r="G198" s="50">
        <v>151600.0</v>
      </c>
      <c r="H198" s="50">
        <v>0.0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7.25" customHeight="1">
      <c r="A199" s="44" t="s">
        <v>26</v>
      </c>
      <c r="B199" s="47" t="s">
        <v>91</v>
      </c>
      <c r="C199" s="44" t="s">
        <v>376</v>
      </c>
      <c r="D199" s="48" t="s">
        <v>377</v>
      </c>
      <c r="E199" s="44" t="s">
        <v>401</v>
      </c>
      <c r="F199" s="50">
        <v>2.0</v>
      </c>
      <c r="G199" s="50">
        <v>71800.0</v>
      </c>
      <c r="H199" s="50">
        <v>0.0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7.25" customHeight="1">
      <c r="A200" s="44" t="s">
        <v>26</v>
      </c>
      <c r="B200" s="47" t="s">
        <v>91</v>
      </c>
      <c r="C200" s="44" t="s">
        <v>376</v>
      </c>
      <c r="D200" s="48" t="s">
        <v>377</v>
      </c>
      <c r="E200" s="44" t="s">
        <v>404</v>
      </c>
      <c r="F200" s="50">
        <v>9.0</v>
      </c>
      <c r="G200" s="50">
        <v>206100.0</v>
      </c>
      <c r="H200" s="50">
        <v>0.0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7.25" customHeight="1">
      <c r="A201" s="44" t="s">
        <v>26</v>
      </c>
      <c r="B201" s="47" t="s">
        <v>91</v>
      </c>
      <c r="C201" s="44" t="s">
        <v>376</v>
      </c>
      <c r="D201" s="48" t="s">
        <v>377</v>
      </c>
      <c r="E201" s="44" t="s">
        <v>387</v>
      </c>
      <c r="F201" s="50">
        <v>18.0</v>
      </c>
      <c r="G201" s="50">
        <v>358200.0</v>
      </c>
      <c r="H201" s="50">
        <v>0.0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7.25" customHeight="1">
      <c r="A202" s="44" t="s">
        <v>26</v>
      </c>
      <c r="B202" s="47" t="s">
        <v>91</v>
      </c>
      <c r="C202" s="44" t="s">
        <v>376</v>
      </c>
      <c r="D202" s="48" t="s">
        <v>377</v>
      </c>
      <c r="E202" s="44" t="s">
        <v>405</v>
      </c>
      <c r="F202" s="50">
        <v>295.0</v>
      </c>
      <c r="G202" s="50">
        <v>5605000.0</v>
      </c>
      <c r="H202" s="50">
        <v>0.0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7.25" customHeight="1">
      <c r="A203" s="44" t="s">
        <v>26</v>
      </c>
      <c r="B203" s="47" t="s">
        <v>99</v>
      </c>
      <c r="C203" s="44" t="s">
        <v>408</v>
      </c>
      <c r="D203" s="48" t="s">
        <v>409</v>
      </c>
      <c r="E203" s="44" t="s">
        <v>410</v>
      </c>
      <c r="F203" s="50">
        <v>24.0</v>
      </c>
      <c r="G203" s="50">
        <v>735600.0</v>
      </c>
      <c r="H203" s="50">
        <v>42210.0</v>
      </c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7.25" customHeight="1">
      <c r="A204" s="44" t="s">
        <v>26</v>
      </c>
      <c r="B204" s="47" t="s">
        <v>63</v>
      </c>
      <c r="C204" s="44" t="s">
        <v>411</v>
      </c>
      <c r="D204" s="48" t="s">
        <v>412</v>
      </c>
      <c r="E204" s="44" t="s">
        <v>413</v>
      </c>
      <c r="F204" s="50">
        <v>0.0</v>
      </c>
      <c r="G204" s="50">
        <v>0.0</v>
      </c>
      <c r="H204" s="50">
        <v>0.0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7.25" customHeight="1">
      <c r="A205" s="44" t="s">
        <v>26</v>
      </c>
      <c r="B205" s="47" t="s">
        <v>63</v>
      </c>
      <c r="C205" s="44" t="s">
        <v>411</v>
      </c>
      <c r="D205" s="48" t="s">
        <v>412</v>
      </c>
      <c r="E205" s="44" t="s">
        <v>414</v>
      </c>
      <c r="F205" s="50">
        <v>0.0</v>
      </c>
      <c r="G205" s="50">
        <v>0.0</v>
      </c>
      <c r="H205" s="50">
        <v>0.0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7.25" customHeight="1">
      <c r="A206" s="44" t="s">
        <v>26</v>
      </c>
      <c r="B206" s="47" t="s">
        <v>63</v>
      </c>
      <c r="C206" s="44" t="s">
        <v>411</v>
      </c>
      <c r="D206" s="48" t="s">
        <v>412</v>
      </c>
      <c r="E206" s="44" t="s">
        <v>415</v>
      </c>
      <c r="F206" s="50">
        <v>0.0</v>
      </c>
      <c r="G206" s="50">
        <v>0.0</v>
      </c>
      <c r="H206" s="50">
        <v>0.0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7.25" customHeight="1">
      <c r="A207" s="44" t="s">
        <v>26</v>
      </c>
      <c r="B207" s="47" t="s">
        <v>63</v>
      </c>
      <c r="C207" s="44" t="s">
        <v>411</v>
      </c>
      <c r="D207" s="48" t="s">
        <v>412</v>
      </c>
      <c r="E207" s="44" t="s">
        <v>416</v>
      </c>
      <c r="F207" s="50">
        <v>0.0</v>
      </c>
      <c r="G207" s="50">
        <v>0.0</v>
      </c>
      <c r="H207" s="50">
        <v>0.0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7.25" customHeight="1">
      <c r="A208" s="44" t="s">
        <v>26</v>
      </c>
      <c r="B208" s="47" t="s">
        <v>63</v>
      </c>
      <c r="C208" s="44" t="s">
        <v>411</v>
      </c>
      <c r="D208" s="48" t="s">
        <v>412</v>
      </c>
      <c r="E208" s="44" t="s">
        <v>417</v>
      </c>
      <c r="F208" s="50">
        <v>0.0</v>
      </c>
      <c r="G208" s="50">
        <v>0.0</v>
      </c>
      <c r="H208" s="50">
        <v>0.0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7.25" customHeight="1">
      <c r="A209" s="44" t="s">
        <v>26</v>
      </c>
      <c r="B209" s="47" t="s">
        <v>91</v>
      </c>
      <c r="C209" s="44" t="s">
        <v>418</v>
      </c>
      <c r="D209" s="48" t="s">
        <v>419</v>
      </c>
      <c r="E209" s="44" t="s">
        <v>420</v>
      </c>
      <c r="F209" s="50">
        <v>28.0</v>
      </c>
      <c r="G209" s="50">
        <v>700000.0</v>
      </c>
      <c r="H209" s="50">
        <v>31600.0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7.25" customHeight="1">
      <c r="A210" s="44" t="s">
        <v>26</v>
      </c>
      <c r="B210" s="47" t="s">
        <v>91</v>
      </c>
      <c r="C210" s="44" t="s">
        <v>418</v>
      </c>
      <c r="D210" s="48" t="s">
        <v>419</v>
      </c>
      <c r="E210" s="44" t="s">
        <v>421</v>
      </c>
      <c r="F210" s="50">
        <v>11.0</v>
      </c>
      <c r="G210" s="50">
        <v>165000.0</v>
      </c>
      <c r="H210" s="50">
        <v>7110.0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7.25" customHeight="1">
      <c r="A211" s="44" t="s">
        <v>26</v>
      </c>
      <c r="B211" s="47" t="s">
        <v>63</v>
      </c>
      <c r="C211" s="44" t="s">
        <v>424</v>
      </c>
      <c r="D211" s="48" t="s">
        <v>425</v>
      </c>
      <c r="E211" s="44" t="s">
        <v>426</v>
      </c>
      <c r="F211" s="50">
        <v>21.0</v>
      </c>
      <c r="G211" s="50">
        <v>598500.0</v>
      </c>
      <c r="H211" s="50">
        <v>54200.0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7.25" customHeight="1">
      <c r="A212" s="44" t="s">
        <v>26</v>
      </c>
      <c r="B212" s="47" t="s">
        <v>63</v>
      </c>
      <c r="C212" s="44" t="s">
        <v>424</v>
      </c>
      <c r="D212" s="48" t="s">
        <v>425</v>
      </c>
      <c r="E212" s="44" t="s">
        <v>427</v>
      </c>
      <c r="F212" s="50">
        <v>2.0</v>
      </c>
      <c r="G212" s="50">
        <v>55600.0</v>
      </c>
      <c r="H212" s="50">
        <v>10000.0</v>
      </c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7.25" customHeight="1">
      <c r="A213" s="44" t="s">
        <v>26</v>
      </c>
      <c r="B213" s="47" t="s">
        <v>63</v>
      </c>
      <c r="C213" s="44" t="s">
        <v>424</v>
      </c>
      <c r="D213" s="48" t="s">
        <v>425</v>
      </c>
      <c r="E213" s="44" t="s">
        <v>428</v>
      </c>
      <c r="F213" s="50">
        <v>4.0</v>
      </c>
      <c r="G213" s="50">
        <v>219600.0</v>
      </c>
      <c r="H213" s="50">
        <v>20000.0</v>
      </c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7.25" customHeight="1">
      <c r="A214" s="44" t="s">
        <v>26</v>
      </c>
      <c r="B214" s="47" t="s">
        <v>63</v>
      </c>
      <c r="C214" s="44" t="s">
        <v>424</v>
      </c>
      <c r="D214" s="48" t="s">
        <v>425</v>
      </c>
      <c r="E214" s="44" t="s">
        <v>429</v>
      </c>
      <c r="F214" s="50">
        <v>0.0</v>
      </c>
      <c r="G214" s="50">
        <v>0.0</v>
      </c>
      <c r="H214" s="50">
        <v>0.0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7.25" customHeight="1">
      <c r="A215" s="44" t="s">
        <v>26</v>
      </c>
      <c r="B215" s="47" t="s">
        <v>63</v>
      </c>
      <c r="C215" s="44" t="s">
        <v>424</v>
      </c>
      <c r="D215" s="48" t="s">
        <v>425</v>
      </c>
      <c r="E215" s="44" t="s">
        <v>430</v>
      </c>
      <c r="F215" s="50">
        <v>2.0</v>
      </c>
      <c r="G215" s="50">
        <v>51800.0</v>
      </c>
      <c r="H215" s="50">
        <v>5180.0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7.25" customHeight="1">
      <c r="A216" s="44" t="s">
        <v>26</v>
      </c>
      <c r="B216" s="47" t="s">
        <v>63</v>
      </c>
      <c r="C216" s="44" t="s">
        <v>424</v>
      </c>
      <c r="D216" s="48" t="s">
        <v>425</v>
      </c>
      <c r="E216" s="44" t="s">
        <v>431</v>
      </c>
      <c r="F216" s="50">
        <v>530.0</v>
      </c>
      <c r="G216" s="50">
        <v>7912000.0</v>
      </c>
      <c r="H216" s="50">
        <v>433560.0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7.25" customHeight="1">
      <c r="A217" s="44" t="s">
        <v>26</v>
      </c>
      <c r="B217" s="47" t="s">
        <v>63</v>
      </c>
      <c r="C217" s="44" t="s">
        <v>424</v>
      </c>
      <c r="D217" s="48" t="s">
        <v>425</v>
      </c>
      <c r="E217" s="44" t="s">
        <v>434</v>
      </c>
      <c r="F217" s="50">
        <v>0.0</v>
      </c>
      <c r="G217" s="50">
        <v>0.0</v>
      </c>
      <c r="H217" s="50">
        <v>0.0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7.25" customHeight="1">
      <c r="A218" s="44" t="s">
        <v>26</v>
      </c>
      <c r="B218" s="47" t="s">
        <v>63</v>
      </c>
      <c r="C218" s="44" t="s">
        <v>424</v>
      </c>
      <c r="D218" s="48" t="s">
        <v>425</v>
      </c>
      <c r="E218" s="44" t="s">
        <v>435</v>
      </c>
      <c r="F218" s="50">
        <v>0.0</v>
      </c>
      <c r="G218" s="50">
        <v>0.0</v>
      </c>
      <c r="H218" s="50">
        <v>0.0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7.25" customHeight="1">
      <c r="A219" s="44" t="s">
        <v>26</v>
      </c>
      <c r="B219" s="47" t="s">
        <v>63</v>
      </c>
      <c r="C219" s="44" t="s">
        <v>424</v>
      </c>
      <c r="D219" s="48" t="s">
        <v>425</v>
      </c>
      <c r="E219" s="44" t="s">
        <v>436</v>
      </c>
      <c r="F219" s="50">
        <v>0.0</v>
      </c>
      <c r="G219" s="50">
        <v>0.0</v>
      </c>
      <c r="H219" s="50">
        <v>0.0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7.25" customHeight="1">
      <c r="A220" s="44" t="s">
        <v>26</v>
      </c>
      <c r="B220" s="47" t="s">
        <v>63</v>
      </c>
      <c r="C220" s="44" t="s">
        <v>424</v>
      </c>
      <c r="D220" s="48" t="s">
        <v>425</v>
      </c>
      <c r="E220" s="44" t="s">
        <v>438</v>
      </c>
      <c r="F220" s="50">
        <v>1.0</v>
      </c>
      <c r="G220" s="50">
        <v>84900.0</v>
      </c>
      <c r="H220" s="50">
        <v>0.0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7.25" customHeight="1">
      <c r="A221" s="44" t="s">
        <v>26</v>
      </c>
      <c r="B221" s="47" t="s">
        <v>63</v>
      </c>
      <c r="C221" s="44" t="s">
        <v>424</v>
      </c>
      <c r="D221" s="48" t="s">
        <v>425</v>
      </c>
      <c r="E221" s="44" t="s">
        <v>439</v>
      </c>
      <c r="F221" s="50">
        <v>0.0</v>
      </c>
      <c r="G221" s="50">
        <v>0.0</v>
      </c>
      <c r="H221" s="50">
        <v>0.0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7.25" customHeight="1">
      <c r="A222" s="44" t="s">
        <v>26</v>
      </c>
      <c r="B222" s="47" t="s">
        <v>63</v>
      </c>
      <c r="C222" s="44" t="s">
        <v>309</v>
      </c>
      <c r="D222" s="48" t="s">
        <v>308</v>
      </c>
      <c r="E222" s="44" t="s">
        <v>440</v>
      </c>
      <c r="F222" s="50">
        <v>0.0</v>
      </c>
      <c r="G222" s="50">
        <v>0.0</v>
      </c>
      <c r="H222" s="50">
        <v>0.0</v>
      </c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7.25" customHeight="1">
      <c r="A223" s="44" t="s">
        <v>26</v>
      </c>
      <c r="B223" s="47" t="s">
        <v>63</v>
      </c>
      <c r="C223" s="44" t="s">
        <v>309</v>
      </c>
      <c r="D223" s="48" t="s">
        <v>308</v>
      </c>
      <c r="E223" s="44" t="s">
        <v>441</v>
      </c>
      <c r="F223" s="50">
        <v>0.0</v>
      </c>
      <c r="G223" s="50">
        <v>0.0</v>
      </c>
      <c r="H223" s="50">
        <v>0.0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7.25" customHeight="1">
      <c r="A224" s="44" t="s">
        <v>26</v>
      </c>
      <c r="B224" s="47" t="s">
        <v>63</v>
      </c>
      <c r="C224" s="44" t="s">
        <v>309</v>
      </c>
      <c r="D224" s="48" t="s">
        <v>308</v>
      </c>
      <c r="E224" s="44" t="s">
        <v>442</v>
      </c>
      <c r="F224" s="50">
        <v>30.0</v>
      </c>
      <c r="G224" s="50">
        <v>690000.0</v>
      </c>
      <c r="H224" s="50">
        <v>10000.0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7.25" customHeight="1">
      <c r="A225" s="44" t="s">
        <v>26</v>
      </c>
      <c r="B225" s="47" t="s">
        <v>63</v>
      </c>
      <c r="C225" s="44" t="s">
        <v>309</v>
      </c>
      <c r="D225" s="48" t="s">
        <v>308</v>
      </c>
      <c r="E225" s="44" t="s">
        <v>443</v>
      </c>
      <c r="F225" s="50">
        <v>0.0</v>
      </c>
      <c r="G225" s="50">
        <v>0.0</v>
      </c>
      <c r="H225" s="50">
        <v>0.0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7.25" customHeight="1">
      <c r="A226" s="44" t="s">
        <v>26</v>
      </c>
      <c r="B226" s="47" t="s">
        <v>63</v>
      </c>
      <c r="C226" s="44" t="s">
        <v>444</v>
      </c>
      <c r="D226" s="48" t="s">
        <v>445</v>
      </c>
      <c r="E226" s="44" t="s">
        <v>446</v>
      </c>
      <c r="F226" s="50">
        <v>0.0</v>
      </c>
      <c r="G226" s="50">
        <v>0.0</v>
      </c>
      <c r="H226" s="50">
        <v>0.0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7.25" customHeight="1">
      <c r="A227" s="44" t="s">
        <v>26</v>
      </c>
      <c r="B227" s="47" t="s">
        <v>63</v>
      </c>
      <c r="C227" s="44" t="s">
        <v>444</v>
      </c>
      <c r="D227" s="48" t="s">
        <v>445</v>
      </c>
      <c r="E227" s="44" t="s">
        <v>447</v>
      </c>
      <c r="F227" s="50">
        <v>4.0</v>
      </c>
      <c r="G227" s="50">
        <v>107600.0</v>
      </c>
      <c r="H227" s="50">
        <v>0.0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7.25" customHeight="1">
      <c r="A228" s="44" t="s">
        <v>26</v>
      </c>
      <c r="B228" s="47" t="s">
        <v>63</v>
      </c>
      <c r="C228" s="44" t="s">
        <v>444</v>
      </c>
      <c r="D228" s="48" t="s">
        <v>445</v>
      </c>
      <c r="E228" s="44" t="s">
        <v>450</v>
      </c>
      <c r="F228" s="50">
        <v>26.0</v>
      </c>
      <c r="G228" s="50">
        <v>983400.0</v>
      </c>
      <c r="H228" s="50">
        <v>32140.0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7.25" customHeight="1">
      <c r="A229" s="44" t="s">
        <v>26</v>
      </c>
      <c r="B229" s="47" t="s">
        <v>63</v>
      </c>
      <c r="C229" s="44" t="s">
        <v>444</v>
      </c>
      <c r="D229" s="48" t="s">
        <v>445</v>
      </c>
      <c r="E229" s="44" t="s">
        <v>451</v>
      </c>
      <c r="F229" s="50">
        <v>68.0</v>
      </c>
      <c r="G229" s="50">
        <v>2752900.0</v>
      </c>
      <c r="H229" s="50">
        <v>70000.0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7.25" customHeight="1">
      <c r="A230" s="44" t="s">
        <v>26</v>
      </c>
      <c r="B230" s="47" t="s">
        <v>63</v>
      </c>
      <c r="C230" s="44" t="s">
        <v>444</v>
      </c>
      <c r="D230" s="48" t="s">
        <v>445</v>
      </c>
      <c r="E230" s="44" t="s">
        <v>452</v>
      </c>
      <c r="F230" s="50">
        <v>0.0</v>
      </c>
      <c r="G230" s="50">
        <v>0.0</v>
      </c>
      <c r="H230" s="50">
        <v>0.0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7.25" customHeight="1">
      <c r="A231" s="44" t="s">
        <v>26</v>
      </c>
      <c r="B231" s="47" t="s">
        <v>63</v>
      </c>
      <c r="C231" s="44" t="s">
        <v>444</v>
      </c>
      <c r="D231" s="48" t="s">
        <v>445</v>
      </c>
      <c r="E231" s="44" t="s">
        <v>453</v>
      </c>
      <c r="F231" s="50">
        <v>0.0</v>
      </c>
      <c r="G231" s="50">
        <v>0.0</v>
      </c>
      <c r="H231" s="50">
        <v>0.0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7.25" customHeight="1">
      <c r="A232" s="44" t="s">
        <v>26</v>
      </c>
      <c r="B232" s="47" t="s">
        <v>63</v>
      </c>
      <c r="C232" s="44" t="s">
        <v>444</v>
      </c>
      <c r="D232" s="48" t="s">
        <v>445</v>
      </c>
      <c r="E232" s="44" t="s">
        <v>454</v>
      </c>
      <c r="F232" s="50">
        <v>1.0</v>
      </c>
      <c r="G232" s="50">
        <v>40900.0</v>
      </c>
      <c r="H232" s="50">
        <v>0.0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7.25" customHeight="1">
      <c r="A233" s="44" t="s">
        <v>26</v>
      </c>
      <c r="B233" s="47" t="s">
        <v>63</v>
      </c>
      <c r="C233" s="44" t="s">
        <v>444</v>
      </c>
      <c r="D233" s="48" t="s">
        <v>445</v>
      </c>
      <c r="E233" s="44" t="s">
        <v>457</v>
      </c>
      <c r="F233" s="50">
        <v>0.0</v>
      </c>
      <c r="G233" s="50">
        <v>0.0</v>
      </c>
      <c r="H233" s="50">
        <v>0.0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7.25" customHeight="1">
      <c r="A234" s="44" t="s">
        <v>26</v>
      </c>
      <c r="B234" s="47" t="s">
        <v>63</v>
      </c>
      <c r="C234" s="44" t="s">
        <v>444</v>
      </c>
      <c r="D234" s="48" t="s">
        <v>445</v>
      </c>
      <c r="E234" s="44" t="s">
        <v>458</v>
      </c>
      <c r="F234" s="50">
        <v>1.0</v>
      </c>
      <c r="G234" s="50">
        <v>36900.0</v>
      </c>
      <c r="H234" s="50">
        <v>0.0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7.25" customHeight="1">
      <c r="A235" s="44" t="s">
        <v>26</v>
      </c>
      <c r="B235" s="47" t="s">
        <v>63</v>
      </c>
      <c r="C235" s="44" t="s">
        <v>444</v>
      </c>
      <c r="D235" s="48" t="s">
        <v>445</v>
      </c>
      <c r="E235" s="44" t="s">
        <v>459</v>
      </c>
      <c r="F235" s="50">
        <v>1.0</v>
      </c>
      <c r="G235" s="50">
        <v>49900.0</v>
      </c>
      <c r="H235" s="50">
        <v>0.0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7.25" customHeight="1">
      <c r="A236" s="44" t="s">
        <v>26</v>
      </c>
      <c r="B236" s="47" t="s">
        <v>63</v>
      </c>
      <c r="C236" s="44" t="s">
        <v>444</v>
      </c>
      <c r="D236" s="48" t="s">
        <v>445</v>
      </c>
      <c r="E236" s="44" t="s">
        <v>460</v>
      </c>
      <c r="F236" s="50">
        <v>0.0</v>
      </c>
      <c r="G236" s="50">
        <v>0.0</v>
      </c>
      <c r="H236" s="50">
        <v>0.0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7.25" customHeight="1">
      <c r="A237" s="44" t="s">
        <v>26</v>
      </c>
      <c r="B237" s="47" t="s">
        <v>63</v>
      </c>
      <c r="C237" s="44" t="s">
        <v>444</v>
      </c>
      <c r="D237" s="48" t="s">
        <v>445</v>
      </c>
      <c r="E237" s="44" t="s">
        <v>463</v>
      </c>
      <c r="F237" s="50">
        <v>0.0</v>
      </c>
      <c r="G237" s="50">
        <v>0.0</v>
      </c>
      <c r="H237" s="50">
        <v>0.0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7.25" customHeight="1">
      <c r="A238" s="44" t="s">
        <v>26</v>
      </c>
      <c r="B238" s="47" t="s">
        <v>63</v>
      </c>
      <c r="C238" s="44" t="s">
        <v>444</v>
      </c>
      <c r="D238" s="48" t="s">
        <v>445</v>
      </c>
      <c r="E238" s="44" t="s">
        <v>464</v>
      </c>
      <c r="F238" s="50">
        <v>1.0</v>
      </c>
      <c r="G238" s="50">
        <v>36900.0</v>
      </c>
      <c r="H238" s="50">
        <v>0.0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7.25" customHeight="1">
      <c r="A239" s="44" t="s">
        <v>26</v>
      </c>
      <c r="B239" s="47" t="s">
        <v>63</v>
      </c>
      <c r="C239" s="44" t="s">
        <v>444</v>
      </c>
      <c r="D239" s="48" t="s">
        <v>445</v>
      </c>
      <c r="E239" s="44" t="s">
        <v>465</v>
      </c>
      <c r="F239" s="50">
        <v>0.0</v>
      </c>
      <c r="G239" s="50">
        <v>0.0</v>
      </c>
      <c r="H239" s="50">
        <v>0.0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7.25" customHeight="1">
      <c r="A240" s="44" t="s">
        <v>26</v>
      </c>
      <c r="B240" s="47" t="s">
        <v>63</v>
      </c>
      <c r="C240" s="44" t="s">
        <v>444</v>
      </c>
      <c r="D240" s="48" t="s">
        <v>445</v>
      </c>
      <c r="E240" s="44" t="s">
        <v>466</v>
      </c>
      <c r="F240" s="50">
        <v>11.0</v>
      </c>
      <c r="G240" s="50">
        <v>195500.0</v>
      </c>
      <c r="H240" s="50">
        <v>3500.0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7.25" customHeight="1">
      <c r="A241" s="44" t="s">
        <v>26</v>
      </c>
      <c r="B241" s="47" t="s">
        <v>63</v>
      </c>
      <c r="C241" s="44" t="s">
        <v>444</v>
      </c>
      <c r="D241" s="48" t="s">
        <v>445</v>
      </c>
      <c r="E241" s="44" t="s">
        <v>467</v>
      </c>
      <c r="F241" s="50">
        <v>11.0</v>
      </c>
      <c r="G241" s="50">
        <v>303900.0</v>
      </c>
      <c r="H241" s="50">
        <v>5380.0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7.25" customHeight="1">
      <c r="A242" s="44" t="s">
        <v>26</v>
      </c>
      <c r="B242" s="47" t="s">
        <v>63</v>
      </c>
      <c r="C242" s="44" t="s">
        <v>444</v>
      </c>
      <c r="D242" s="48" t="s">
        <v>445</v>
      </c>
      <c r="E242" s="44" t="s">
        <v>468</v>
      </c>
      <c r="F242" s="50">
        <v>114.0</v>
      </c>
      <c r="G242" s="50">
        <v>4542600.0</v>
      </c>
      <c r="H242" s="50">
        <v>140040.0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7.25" customHeight="1">
      <c r="A243" s="44" t="s">
        <v>26</v>
      </c>
      <c r="B243" s="47" t="s">
        <v>63</v>
      </c>
      <c r="C243" s="44" t="s">
        <v>444</v>
      </c>
      <c r="D243" s="48" t="s">
        <v>445</v>
      </c>
      <c r="E243" s="44" t="s">
        <v>469</v>
      </c>
      <c r="F243" s="50">
        <v>242.0</v>
      </c>
      <c r="G243" s="50">
        <v>1.13498E7</v>
      </c>
      <c r="H243" s="50">
        <v>697380.0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7.25" customHeight="1">
      <c r="A244" s="44" t="s">
        <v>26</v>
      </c>
      <c r="B244" s="47" t="s">
        <v>63</v>
      </c>
      <c r="C244" s="44" t="s">
        <v>444</v>
      </c>
      <c r="D244" s="48" t="s">
        <v>445</v>
      </c>
      <c r="E244" s="44" t="s">
        <v>470</v>
      </c>
      <c r="F244" s="50">
        <v>6.0</v>
      </c>
      <c r="G244" s="50">
        <v>208400.0</v>
      </c>
      <c r="H244" s="50">
        <v>0.0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7.25" customHeight="1">
      <c r="A245" s="44" t="s">
        <v>26</v>
      </c>
      <c r="B245" s="47" t="s">
        <v>63</v>
      </c>
      <c r="C245" s="44" t="s">
        <v>473</v>
      </c>
      <c r="D245" s="48" t="s">
        <v>474</v>
      </c>
      <c r="E245" s="44" t="s">
        <v>475</v>
      </c>
      <c r="F245" s="50">
        <v>4348.0</v>
      </c>
      <c r="G245" s="50">
        <v>6.556058E7</v>
      </c>
      <c r="H245" s="50">
        <v>4994140.0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7.25" customHeight="1">
      <c r="A246" s="44" t="s">
        <v>26</v>
      </c>
      <c r="B246" s="47" t="s">
        <v>63</v>
      </c>
      <c r="C246" s="44" t="s">
        <v>476</v>
      </c>
      <c r="D246" s="48" t="s">
        <v>477</v>
      </c>
      <c r="E246" s="44" t="s">
        <v>478</v>
      </c>
      <c r="F246" s="50">
        <v>71.0</v>
      </c>
      <c r="G246" s="50">
        <v>780290.0</v>
      </c>
      <c r="H246" s="50">
        <v>63690.0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7.25" customHeight="1">
      <c r="A247" s="44" t="s">
        <v>26</v>
      </c>
      <c r="B247" s="47" t="s">
        <v>63</v>
      </c>
      <c r="C247" s="44" t="s">
        <v>479</v>
      </c>
      <c r="D247" s="48" t="s">
        <v>480</v>
      </c>
      <c r="E247" s="44" t="s">
        <v>481</v>
      </c>
      <c r="F247" s="50">
        <v>4478.0</v>
      </c>
      <c r="G247" s="50">
        <v>7.503638E7</v>
      </c>
      <c r="H247" s="50">
        <v>4887830.0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7.25" customHeight="1">
      <c r="A248" s="44" t="s">
        <v>26</v>
      </c>
      <c r="B248" s="47" t="s">
        <v>91</v>
      </c>
      <c r="C248" s="44" t="s">
        <v>126</v>
      </c>
      <c r="D248" s="48" t="s">
        <v>127</v>
      </c>
      <c r="E248" s="44" t="s">
        <v>482</v>
      </c>
      <c r="F248" s="50">
        <v>0.0</v>
      </c>
      <c r="G248" s="50">
        <v>0.0</v>
      </c>
      <c r="H248" s="50">
        <v>0.0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7.25" customHeight="1">
      <c r="A249" s="44" t="s">
        <v>26</v>
      </c>
      <c r="B249" s="47" t="s">
        <v>91</v>
      </c>
      <c r="C249" s="44" t="s">
        <v>126</v>
      </c>
      <c r="D249" s="48" t="s">
        <v>127</v>
      </c>
      <c r="E249" s="44" t="s">
        <v>483</v>
      </c>
      <c r="F249" s="50">
        <v>0.0</v>
      </c>
      <c r="G249" s="50">
        <v>0.0</v>
      </c>
      <c r="H249" s="50">
        <v>0.0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7.25" customHeight="1">
      <c r="A250" s="44" t="s">
        <v>26</v>
      </c>
      <c r="B250" s="47" t="s">
        <v>91</v>
      </c>
      <c r="C250" s="44" t="s">
        <v>126</v>
      </c>
      <c r="D250" s="48" t="s">
        <v>127</v>
      </c>
      <c r="E250" s="44" t="s">
        <v>485</v>
      </c>
      <c r="F250" s="50">
        <v>0.0</v>
      </c>
      <c r="G250" s="50">
        <v>0.0</v>
      </c>
      <c r="H250" s="50">
        <v>0.0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7.25" customHeight="1">
      <c r="A251" s="44" t="s">
        <v>26</v>
      </c>
      <c r="B251" s="47" t="s">
        <v>63</v>
      </c>
      <c r="C251" s="44" t="s">
        <v>153</v>
      </c>
      <c r="D251" s="48" t="s">
        <v>154</v>
      </c>
      <c r="E251" s="44" t="s">
        <v>487</v>
      </c>
      <c r="F251" s="50">
        <v>1619.0</v>
      </c>
      <c r="G251" s="50">
        <v>6.87716E7</v>
      </c>
      <c r="H251" s="50">
        <v>5251560.0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7.25" customHeight="1">
      <c r="A252" s="44" t="s">
        <v>26</v>
      </c>
      <c r="B252" s="47" t="s">
        <v>63</v>
      </c>
      <c r="C252" s="44" t="s">
        <v>373</v>
      </c>
      <c r="D252" s="48" t="s">
        <v>374</v>
      </c>
      <c r="E252" s="44" t="s">
        <v>488</v>
      </c>
      <c r="F252" s="50">
        <v>2.0</v>
      </c>
      <c r="G252" s="50">
        <v>82000.0</v>
      </c>
      <c r="H252" s="50">
        <v>8200.0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7.25" customHeight="1">
      <c r="A253" s="44" t="s">
        <v>26</v>
      </c>
      <c r="B253" s="47" t="s">
        <v>63</v>
      </c>
      <c r="C253" s="44" t="s">
        <v>373</v>
      </c>
      <c r="D253" s="48" t="s">
        <v>374</v>
      </c>
      <c r="E253" s="44" t="s">
        <v>491</v>
      </c>
      <c r="F253" s="50">
        <v>2.0</v>
      </c>
      <c r="G253" s="50">
        <v>62000.0</v>
      </c>
      <c r="H253" s="50">
        <v>6200.0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7.25" customHeight="1">
      <c r="A254" s="44" t="s">
        <v>26</v>
      </c>
      <c r="B254" s="47" t="s">
        <v>91</v>
      </c>
      <c r="C254" s="44" t="s">
        <v>492</v>
      </c>
      <c r="D254" s="48" t="s">
        <v>493</v>
      </c>
      <c r="E254" s="44" t="s">
        <v>494</v>
      </c>
      <c r="F254" s="50">
        <v>629.0</v>
      </c>
      <c r="G254" s="50">
        <v>8654300.0</v>
      </c>
      <c r="H254" s="50">
        <v>838840.0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7.25" customHeight="1">
      <c r="A255" s="44" t="s">
        <v>26</v>
      </c>
      <c r="B255" s="47" t="s">
        <v>63</v>
      </c>
      <c r="C255" s="44" t="s">
        <v>411</v>
      </c>
      <c r="D255" s="48" t="s">
        <v>412</v>
      </c>
      <c r="E255" s="44" t="s">
        <v>413</v>
      </c>
      <c r="F255" s="50">
        <v>2.0</v>
      </c>
      <c r="G255" s="50">
        <v>30000.0</v>
      </c>
      <c r="H255" s="50">
        <v>0.0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7.25" customHeight="1">
      <c r="A256" s="44" t="s">
        <v>26</v>
      </c>
      <c r="B256" s="47" t="s">
        <v>63</v>
      </c>
      <c r="C256" s="44" t="s">
        <v>411</v>
      </c>
      <c r="D256" s="48" t="s">
        <v>412</v>
      </c>
      <c r="E256" s="44" t="s">
        <v>416</v>
      </c>
      <c r="F256" s="50">
        <v>12.0</v>
      </c>
      <c r="G256" s="50">
        <v>240000.0</v>
      </c>
      <c r="H256" s="50">
        <v>0.0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7.25" customHeight="1">
      <c r="A257" s="44" t="s">
        <v>26</v>
      </c>
      <c r="B257" s="47" t="s">
        <v>63</v>
      </c>
      <c r="C257" s="44" t="s">
        <v>411</v>
      </c>
      <c r="D257" s="48" t="s">
        <v>412</v>
      </c>
      <c r="E257" s="44" t="s">
        <v>417</v>
      </c>
      <c r="F257" s="50">
        <v>3.0</v>
      </c>
      <c r="G257" s="50">
        <v>54000.0</v>
      </c>
      <c r="H257" s="50">
        <v>0.0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7.25" customHeight="1">
      <c r="A258" s="44" t="s">
        <v>26</v>
      </c>
      <c r="B258" s="47" t="s">
        <v>91</v>
      </c>
      <c r="C258" s="44" t="s">
        <v>354</v>
      </c>
      <c r="D258" s="48" t="s">
        <v>355</v>
      </c>
      <c r="E258" s="44" t="s">
        <v>495</v>
      </c>
      <c r="F258" s="50">
        <v>3335.0</v>
      </c>
      <c r="G258" s="50">
        <v>5.90387E7</v>
      </c>
      <c r="H258" s="50">
        <v>5725400.0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7.25" customHeight="1">
      <c r="A259" s="44" t="s">
        <v>26</v>
      </c>
      <c r="B259" s="47" t="s">
        <v>91</v>
      </c>
      <c r="C259" s="44" t="s">
        <v>354</v>
      </c>
      <c r="D259" s="48" t="s">
        <v>355</v>
      </c>
      <c r="E259" s="44" t="s">
        <v>496</v>
      </c>
      <c r="F259" s="50">
        <v>0.0</v>
      </c>
      <c r="G259" s="50">
        <v>0.0</v>
      </c>
      <c r="H259" s="50">
        <v>0.0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7.25" customHeight="1">
      <c r="A260" s="44" t="s">
        <v>26</v>
      </c>
      <c r="B260" s="47" t="s">
        <v>91</v>
      </c>
      <c r="C260" s="44" t="s">
        <v>354</v>
      </c>
      <c r="D260" s="48" t="s">
        <v>355</v>
      </c>
      <c r="E260" s="44" t="s">
        <v>497</v>
      </c>
      <c r="F260" s="50">
        <v>0.0</v>
      </c>
      <c r="G260" s="50">
        <v>0.0</v>
      </c>
      <c r="H260" s="50">
        <v>0.0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7.25" customHeight="1">
      <c r="A261" s="44" t="s">
        <v>26</v>
      </c>
      <c r="B261" s="47" t="s">
        <v>91</v>
      </c>
      <c r="C261" s="44" t="s">
        <v>354</v>
      </c>
      <c r="D261" s="48" t="s">
        <v>355</v>
      </c>
      <c r="E261" s="44" t="s">
        <v>498</v>
      </c>
      <c r="F261" s="50">
        <v>1.0</v>
      </c>
      <c r="G261" s="50">
        <v>28900.0</v>
      </c>
      <c r="H261" s="50">
        <v>0.0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7.25" customHeight="1">
      <c r="A262" s="44" t="s">
        <v>26</v>
      </c>
      <c r="B262" s="44" t="s">
        <v>91</v>
      </c>
      <c r="C262" s="44" t="s">
        <v>354</v>
      </c>
      <c r="D262" s="48" t="s">
        <v>355</v>
      </c>
      <c r="E262" s="44" t="s">
        <v>499</v>
      </c>
      <c r="F262" s="50">
        <v>0.0</v>
      </c>
      <c r="G262" s="50">
        <v>0.0</v>
      </c>
      <c r="H262" s="50">
        <v>0.0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7.25" customHeight="1">
      <c r="A263" s="44" t="s">
        <v>26</v>
      </c>
      <c r="B263" s="44" t="s">
        <v>91</v>
      </c>
      <c r="C263" s="44" t="s">
        <v>354</v>
      </c>
      <c r="D263" s="48" t="s">
        <v>355</v>
      </c>
      <c r="E263" s="44" t="s">
        <v>502</v>
      </c>
      <c r="F263" s="50">
        <v>5.0</v>
      </c>
      <c r="G263" s="50">
        <v>80600.0</v>
      </c>
      <c r="H263" s="50">
        <v>0.0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7.25" customHeight="1">
      <c r="A264" s="44" t="s">
        <v>26</v>
      </c>
      <c r="B264" s="44" t="s">
        <v>91</v>
      </c>
      <c r="C264" s="44" t="s">
        <v>503</v>
      </c>
      <c r="D264" s="48" t="s">
        <v>504</v>
      </c>
      <c r="E264" s="44" t="s">
        <v>505</v>
      </c>
      <c r="F264" s="50">
        <v>191.0</v>
      </c>
      <c r="G264" s="50">
        <v>2056700.0</v>
      </c>
      <c r="H264" s="50">
        <v>0.0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7.25" customHeight="1">
      <c r="A265" s="44" t="s">
        <v>26</v>
      </c>
      <c r="B265" s="44" t="s">
        <v>91</v>
      </c>
      <c r="C265" s="44" t="s">
        <v>503</v>
      </c>
      <c r="D265" s="48" t="s">
        <v>504</v>
      </c>
      <c r="E265" s="44" t="s">
        <v>506</v>
      </c>
      <c r="F265" s="50">
        <v>228.0</v>
      </c>
      <c r="G265" s="50">
        <v>4343200.0</v>
      </c>
      <c r="H265" s="50">
        <v>199400.0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7.25" customHeight="1">
      <c r="A266" s="44" t="s">
        <v>26</v>
      </c>
      <c r="B266" s="44" t="s">
        <v>91</v>
      </c>
      <c r="C266" s="44" t="s">
        <v>503</v>
      </c>
      <c r="D266" s="48" t="s">
        <v>504</v>
      </c>
      <c r="E266" s="44" t="s">
        <v>507</v>
      </c>
      <c r="F266" s="50">
        <v>0.0</v>
      </c>
      <c r="G266" s="50">
        <v>0.0</v>
      </c>
      <c r="H266" s="50">
        <v>0.0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7.25" customHeight="1">
      <c r="A267" s="44" t="s">
        <v>26</v>
      </c>
      <c r="B267" s="44" t="s">
        <v>91</v>
      </c>
      <c r="C267" s="44" t="s">
        <v>503</v>
      </c>
      <c r="D267" s="48" t="s">
        <v>504</v>
      </c>
      <c r="E267" s="44" t="s">
        <v>510</v>
      </c>
      <c r="F267" s="50">
        <v>28.0</v>
      </c>
      <c r="G267" s="50">
        <v>277200.0</v>
      </c>
      <c r="H267" s="50">
        <v>0.0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7.25" customHeight="1">
      <c r="A268" s="44" t="s">
        <v>26</v>
      </c>
      <c r="B268" s="44" t="s">
        <v>91</v>
      </c>
      <c r="C268" s="44" t="s">
        <v>503</v>
      </c>
      <c r="D268" s="48" t="s">
        <v>504</v>
      </c>
      <c r="E268" s="44" t="s">
        <v>511</v>
      </c>
      <c r="F268" s="50">
        <v>16.0</v>
      </c>
      <c r="G268" s="50">
        <v>241400.0</v>
      </c>
      <c r="H268" s="50">
        <v>0.0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7.25" customHeight="1">
      <c r="A269" s="44" t="s">
        <v>26</v>
      </c>
      <c r="B269" s="44" t="s">
        <v>91</v>
      </c>
      <c r="C269" s="44" t="s">
        <v>126</v>
      </c>
      <c r="D269" s="48" t="s">
        <v>127</v>
      </c>
      <c r="E269" s="44" t="s">
        <v>512</v>
      </c>
      <c r="F269" s="50">
        <v>0.0</v>
      </c>
      <c r="G269" s="50">
        <v>0.0</v>
      </c>
      <c r="H269" s="50">
        <v>0.0</v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7.25" customHeight="1">
      <c r="A270" s="44" t="s">
        <v>26</v>
      </c>
      <c r="B270" s="44" t="s">
        <v>91</v>
      </c>
      <c r="C270" s="44" t="s">
        <v>513</v>
      </c>
      <c r="D270" s="48" t="s">
        <v>514</v>
      </c>
      <c r="E270" s="44" t="s">
        <v>515</v>
      </c>
      <c r="F270" s="50">
        <v>306.0</v>
      </c>
      <c r="G270" s="50">
        <v>7650000.0</v>
      </c>
      <c r="H270" s="50">
        <v>0.0</v>
      </c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7.25" customHeight="1">
      <c r="A271" s="44" t="s">
        <v>26</v>
      </c>
      <c r="B271" s="44" t="s">
        <v>91</v>
      </c>
      <c r="C271" s="44" t="s">
        <v>513</v>
      </c>
      <c r="D271" s="48" t="s">
        <v>514</v>
      </c>
      <c r="E271" s="44" t="s">
        <v>516</v>
      </c>
      <c r="F271" s="50">
        <v>20.0</v>
      </c>
      <c r="G271" s="50">
        <v>833000.0</v>
      </c>
      <c r="H271" s="50">
        <v>0.0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7.25" customHeight="1">
      <c r="A272" s="44" t="s">
        <v>26</v>
      </c>
      <c r="B272" s="44" t="s">
        <v>91</v>
      </c>
      <c r="C272" s="44" t="s">
        <v>126</v>
      </c>
      <c r="D272" s="48" t="s">
        <v>127</v>
      </c>
      <c r="E272" s="44" t="s">
        <v>517</v>
      </c>
      <c r="F272" s="50">
        <v>0.0</v>
      </c>
      <c r="G272" s="50">
        <v>0.0</v>
      </c>
      <c r="H272" s="50">
        <v>0.0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7.25" customHeight="1">
      <c r="A273" s="44" t="s">
        <v>26</v>
      </c>
      <c r="B273" s="44" t="s">
        <v>91</v>
      </c>
      <c r="C273" s="44" t="s">
        <v>126</v>
      </c>
      <c r="D273" s="48" t="s">
        <v>127</v>
      </c>
      <c r="E273" s="44" t="s">
        <v>520</v>
      </c>
      <c r="F273" s="50">
        <v>0.0</v>
      </c>
      <c r="G273" s="50">
        <v>0.0</v>
      </c>
      <c r="H273" s="50">
        <v>0.0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7.25" customHeight="1">
      <c r="A274" s="44" t="s">
        <v>26</v>
      </c>
      <c r="B274" s="44" t="s">
        <v>91</v>
      </c>
      <c r="C274" s="44" t="s">
        <v>126</v>
      </c>
      <c r="D274" s="48" t="s">
        <v>127</v>
      </c>
      <c r="E274" s="44" t="s">
        <v>521</v>
      </c>
      <c r="F274" s="50">
        <v>0.0</v>
      </c>
      <c r="G274" s="50">
        <v>0.0</v>
      </c>
      <c r="H274" s="50">
        <v>0.0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7.25" customHeight="1">
      <c r="A275" s="44" t="s">
        <v>26</v>
      </c>
      <c r="B275" s="44" t="s">
        <v>91</v>
      </c>
      <c r="C275" s="44" t="s">
        <v>522</v>
      </c>
      <c r="D275" s="48" t="s">
        <v>523</v>
      </c>
      <c r="E275" s="44" t="s">
        <v>524</v>
      </c>
      <c r="F275" s="50">
        <v>0.0</v>
      </c>
      <c r="G275" s="50">
        <v>0.0</v>
      </c>
      <c r="H275" s="50">
        <v>0.0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7.25" customHeight="1">
      <c r="A276" s="44" t="s">
        <v>26</v>
      </c>
      <c r="B276" s="44" t="s">
        <v>91</v>
      </c>
      <c r="C276" s="44" t="s">
        <v>354</v>
      </c>
      <c r="D276" s="48" t="s">
        <v>355</v>
      </c>
      <c r="E276" s="44" t="s">
        <v>525</v>
      </c>
      <c r="F276" s="50">
        <v>0.0</v>
      </c>
      <c r="G276" s="50">
        <v>0.0</v>
      </c>
      <c r="H276" s="50">
        <v>0.0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7.25" customHeight="1">
      <c r="A277" s="44" t="s">
        <v>26</v>
      </c>
      <c r="B277" s="44" t="s">
        <v>91</v>
      </c>
      <c r="C277" s="44" t="s">
        <v>354</v>
      </c>
      <c r="D277" s="48" t="s">
        <v>355</v>
      </c>
      <c r="E277" s="44" t="s">
        <v>526</v>
      </c>
      <c r="F277" s="50">
        <v>0.0</v>
      </c>
      <c r="G277" s="50">
        <v>0.0</v>
      </c>
      <c r="H277" s="50">
        <v>0.0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7.25" customHeight="1">
      <c r="A278" s="44" t="s">
        <v>26</v>
      </c>
      <c r="B278" s="44" t="s">
        <v>91</v>
      </c>
      <c r="C278" s="44" t="s">
        <v>354</v>
      </c>
      <c r="D278" s="48" t="s">
        <v>355</v>
      </c>
      <c r="E278" s="44" t="s">
        <v>527</v>
      </c>
      <c r="F278" s="50">
        <v>0.0</v>
      </c>
      <c r="G278" s="50">
        <v>0.0</v>
      </c>
      <c r="H278" s="50">
        <v>0.0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7.25" customHeight="1">
      <c r="A279" s="44" t="s">
        <v>26</v>
      </c>
      <c r="B279" s="44" t="s">
        <v>91</v>
      </c>
      <c r="C279" s="44" t="s">
        <v>354</v>
      </c>
      <c r="D279" s="48" t="s">
        <v>355</v>
      </c>
      <c r="E279" s="44" t="s">
        <v>528</v>
      </c>
      <c r="F279" s="50">
        <v>0.0</v>
      </c>
      <c r="G279" s="50">
        <v>0.0</v>
      </c>
      <c r="H279" s="50">
        <v>0.0</v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7.25" customHeight="1">
      <c r="A280" s="44" t="s">
        <v>26</v>
      </c>
      <c r="B280" s="44" t="s">
        <v>91</v>
      </c>
      <c r="C280" s="44" t="s">
        <v>354</v>
      </c>
      <c r="D280" s="48" t="s">
        <v>355</v>
      </c>
      <c r="E280" s="44" t="s">
        <v>529</v>
      </c>
      <c r="F280" s="50">
        <v>0.0</v>
      </c>
      <c r="G280" s="50">
        <v>0.0</v>
      </c>
      <c r="H280" s="50">
        <v>0.0</v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7.25" customHeight="1">
      <c r="A281" s="44" t="s">
        <v>26</v>
      </c>
      <c r="B281" s="44" t="s">
        <v>91</v>
      </c>
      <c r="C281" s="44" t="s">
        <v>354</v>
      </c>
      <c r="D281" s="48" t="s">
        <v>355</v>
      </c>
      <c r="E281" s="44" t="s">
        <v>530</v>
      </c>
      <c r="F281" s="50">
        <v>0.0</v>
      </c>
      <c r="G281" s="50">
        <v>0.0</v>
      </c>
      <c r="H281" s="50">
        <v>0.0</v>
      </c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7.25" customHeight="1">
      <c r="A282" s="44" t="s">
        <v>26</v>
      </c>
      <c r="B282" s="44" t="s">
        <v>91</v>
      </c>
      <c r="C282" s="44" t="s">
        <v>354</v>
      </c>
      <c r="D282" s="48" t="s">
        <v>355</v>
      </c>
      <c r="E282" s="44" t="s">
        <v>531</v>
      </c>
      <c r="F282" s="50">
        <v>0.0</v>
      </c>
      <c r="G282" s="50">
        <v>0.0</v>
      </c>
      <c r="H282" s="50">
        <v>0.0</v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7.25" customHeight="1">
      <c r="A283" s="44" t="s">
        <v>26</v>
      </c>
      <c r="B283" s="44" t="s">
        <v>91</v>
      </c>
      <c r="C283" s="44" t="s">
        <v>354</v>
      </c>
      <c r="D283" s="48" t="s">
        <v>355</v>
      </c>
      <c r="E283" s="44" t="s">
        <v>534</v>
      </c>
      <c r="F283" s="50">
        <v>0.0</v>
      </c>
      <c r="G283" s="50">
        <v>0.0</v>
      </c>
      <c r="H283" s="50">
        <v>0.0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7.25" customHeight="1">
      <c r="A284" s="44" t="s">
        <v>26</v>
      </c>
      <c r="B284" s="44" t="s">
        <v>91</v>
      </c>
      <c r="C284" s="44" t="s">
        <v>354</v>
      </c>
      <c r="D284" s="48" t="s">
        <v>355</v>
      </c>
      <c r="E284" s="44" t="s">
        <v>535</v>
      </c>
      <c r="F284" s="50">
        <v>0.0</v>
      </c>
      <c r="G284" s="50">
        <v>0.0</v>
      </c>
      <c r="H284" s="50">
        <v>0.0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7.25" customHeight="1">
      <c r="A285" s="44" t="s">
        <v>26</v>
      </c>
      <c r="B285" s="44" t="s">
        <v>91</v>
      </c>
      <c r="C285" s="44" t="s">
        <v>536</v>
      </c>
      <c r="D285" s="48" t="s">
        <v>358</v>
      </c>
      <c r="E285" s="44" t="s">
        <v>537</v>
      </c>
      <c r="F285" s="50">
        <v>0.0</v>
      </c>
      <c r="G285" s="50">
        <v>0.0</v>
      </c>
      <c r="H285" s="50">
        <v>0.0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7.25" customHeight="1">
      <c r="A286" s="44" t="s">
        <v>26</v>
      </c>
      <c r="B286" s="44" t="s">
        <v>91</v>
      </c>
      <c r="C286" s="44" t="s">
        <v>536</v>
      </c>
      <c r="D286" s="48" t="s">
        <v>358</v>
      </c>
      <c r="E286" s="44" t="s">
        <v>538</v>
      </c>
      <c r="F286" s="50">
        <v>0.0</v>
      </c>
      <c r="G286" s="50">
        <v>0.0</v>
      </c>
      <c r="H286" s="50">
        <v>0.0</v>
      </c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7.25" customHeight="1">
      <c r="A287" s="44" t="s">
        <v>26</v>
      </c>
      <c r="B287" s="44" t="s">
        <v>91</v>
      </c>
      <c r="C287" s="44" t="s">
        <v>536</v>
      </c>
      <c r="D287" s="48" t="s">
        <v>358</v>
      </c>
      <c r="E287" s="44" t="s">
        <v>541</v>
      </c>
      <c r="F287" s="50">
        <v>0.0</v>
      </c>
      <c r="G287" s="50">
        <v>0.0</v>
      </c>
      <c r="H287" s="50">
        <v>0.0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7.25" customHeight="1">
      <c r="A288" s="44" t="s">
        <v>26</v>
      </c>
      <c r="B288" s="44" t="s">
        <v>91</v>
      </c>
      <c r="C288" s="44" t="s">
        <v>536</v>
      </c>
      <c r="D288" s="48" t="s">
        <v>358</v>
      </c>
      <c r="E288" s="44" t="s">
        <v>542</v>
      </c>
      <c r="F288" s="50">
        <v>0.0</v>
      </c>
      <c r="G288" s="50">
        <v>0.0</v>
      </c>
      <c r="H288" s="50">
        <v>0.0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7.25" customHeight="1">
      <c r="A289" s="44" t="s">
        <v>26</v>
      </c>
      <c r="B289" s="44" t="s">
        <v>91</v>
      </c>
      <c r="C289" s="44" t="s">
        <v>536</v>
      </c>
      <c r="D289" s="48" t="s">
        <v>358</v>
      </c>
      <c r="E289" s="44" t="s">
        <v>543</v>
      </c>
      <c r="F289" s="50">
        <v>0.0</v>
      </c>
      <c r="G289" s="50">
        <v>0.0</v>
      </c>
      <c r="H289" s="50">
        <v>0.0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7.25" customHeight="1">
      <c r="A290" s="44" t="s">
        <v>26</v>
      </c>
      <c r="B290" s="44" t="s">
        <v>91</v>
      </c>
      <c r="C290" s="44" t="s">
        <v>536</v>
      </c>
      <c r="D290" s="48" t="s">
        <v>358</v>
      </c>
      <c r="E290" s="44" t="s">
        <v>544</v>
      </c>
      <c r="F290" s="50">
        <v>0.0</v>
      </c>
      <c r="G290" s="50">
        <v>0.0</v>
      </c>
      <c r="H290" s="50">
        <v>0.0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7.25" customHeight="1">
      <c r="A291" s="44" t="s">
        <v>26</v>
      </c>
      <c r="B291" s="44" t="s">
        <v>91</v>
      </c>
      <c r="C291" s="44" t="s">
        <v>536</v>
      </c>
      <c r="D291" s="44" t="s">
        <v>358</v>
      </c>
      <c r="E291" s="44" t="s">
        <v>545</v>
      </c>
      <c r="F291" s="50">
        <v>0.0</v>
      </c>
      <c r="G291" s="50">
        <v>0.0</v>
      </c>
      <c r="H291" s="50">
        <v>0.0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7.25" customHeight="1">
      <c r="A292" s="44" t="s">
        <v>26</v>
      </c>
      <c r="B292" s="44" t="s">
        <v>91</v>
      </c>
      <c r="C292" s="44" t="s">
        <v>536</v>
      </c>
      <c r="D292" s="44" t="s">
        <v>358</v>
      </c>
      <c r="E292" s="44" t="s">
        <v>546</v>
      </c>
      <c r="F292" s="50">
        <v>0.0</v>
      </c>
      <c r="G292" s="50">
        <v>0.0</v>
      </c>
      <c r="H292" s="50">
        <v>0.0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7.25" customHeight="1">
      <c r="A293" s="44" t="s">
        <v>26</v>
      </c>
      <c r="B293" s="44" t="s">
        <v>91</v>
      </c>
      <c r="C293" s="44" t="s">
        <v>536</v>
      </c>
      <c r="D293" s="44" t="s">
        <v>358</v>
      </c>
      <c r="E293" s="44" t="s">
        <v>549</v>
      </c>
      <c r="F293" s="50">
        <v>0.0</v>
      </c>
      <c r="G293" s="50">
        <v>0.0</v>
      </c>
      <c r="H293" s="50">
        <v>0.0</v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7.25" customHeight="1">
      <c r="A294" s="44" t="s">
        <v>26</v>
      </c>
      <c r="B294" s="44" t="s">
        <v>91</v>
      </c>
      <c r="C294" s="44" t="s">
        <v>473</v>
      </c>
      <c r="D294" s="44" t="s">
        <v>474</v>
      </c>
      <c r="E294" s="44" t="s">
        <v>550</v>
      </c>
      <c r="F294" s="50">
        <v>0.0</v>
      </c>
      <c r="G294" s="50">
        <v>0.0</v>
      </c>
      <c r="H294" s="50">
        <v>0.0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7.25" customHeight="1">
      <c r="A295" s="44" t="s">
        <v>26</v>
      </c>
      <c r="B295" s="44" t="s">
        <v>91</v>
      </c>
      <c r="C295" s="44" t="s">
        <v>473</v>
      </c>
      <c r="D295" s="44" t="s">
        <v>474</v>
      </c>
      <c r="E295" s="44" t="s">
        <v>551</v>
      </c>
      <c r="F295" s="50">
        <v>0.0</v>
      </c>
      <c r="G295" s="50">
        <v>0.0</v>
      </c>
      <c r="H295" s="50">
        <v>0.0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7.25" customHeight="1">
      <c r="A296" s="44" t="s">
        <v>26</v>
      </c>
      <c r="B296" s="44" t="s">
        <v>91</v>
      </c>
      <c r="C296" s="44" t="s">
        <v>473</v>
      </c>
      <c r="D296" s="44" t="s">
        <v>474</v>
      </c>
      <c r="E296" s="44" t="s">
        <v>552</v>
      </c>
      <c r="F296" s="50">
        <v>0.0</v>
      </c>
      <c r="G296" s="50">
        <v>0.0</v>
      </c>
      <c r="H296" s="50">
        <v>0.0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7.25" customHeight="1">
      <c r="A297" s="44" t="s">
        <v>26</v>
      </c>
      <c r="B297" s="44" t="s">
        <v>63</v>
      </c>
      <c r="C297" s="44" t="s">
        <v>553</v>
      </c>
      <c r="D297" s="44" t="s">
        <v>554</v>
      </c>
      <c r="E297" s="44" t="s">
        <v>555</v>
      </c>
      <c r="F297" s="50">
        <v>0.0</v>
      </c>
      <c r="G297" s="50">
        <v>0.0</v>
      </c>
      <c r="H297" s="50">
        <v>0.0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7.25" customHeight="1">
      <c r="A298" s="44" t="s">
        <v>26</v>
      </c>
      <c r="B298" s="44" t="s">
        <v>91</v>
      </c>
      <c r="C298" s="44" t="s">
        <v>473</v>
      </c>
      <c r="D298" s="44" t="s">
        <v>474</v>
      </c>
      <c r="E298" s="44" t="s">
        <v>556</v>
      </c>
      <c r="F298" s="50">
        <v>0.0</v>
      </c>
      <c r="G298" s="50">
        <v>0.0</v>
      </c>
      <c r="H298" s="50">
        <v>0.0</v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7.25" customHeight="1">
      <c r="A299" s="44" t="s">
        <v>26</v>
      </c>
      <c r="B299" s="44" t="s">
        <v>91</v>
      </c>
      <c r="C299" s="44" t="s">
        <v>473</v>
      </c>
      <c r="D299" s="44" t="s">
        <v>474</v>
      </c>
      <c r="E299" s="44" t="s">
        <v>557</v>
      </c>
      <c r="F299" s="50">
        <v>0.0</v>
      </c>
      <c r="G299" s="50">
        <v>0.0</v>
      </c>
      <c r="H299" s="50">
        <v>0.0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7.25" customHeight="1">
      <c r="A300" s="44" t="s">
        <v>26</v>
      </c>
      <c r="B300" s="44" t="s">
        <v>91</v>
      </c>
      <c r="C300" s="44" t="s">
        <v>558</v>
      </c>
      <c r="D300" s="44" t="s">
        <v>559</v>
      </c>
      <c r="E300" s="44" t="s">
        <v>560</v>
      </c>
      <c r="F300" s="50">
        <v>0.0</v>
      </c>
      <c r="G300" s="50">
        <v>0.0</v>
      </c>
      <c r="H300" s="50">
        <v>0.0</v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7.25" customHeight="1">
      <c r="A301" s="44" t="s">
        <v>26</v>
      </c>
      <c r="B301" s="44" t="s">
        <v>91</v>
      </c>
      <c r="C301" s="44" t="s">
        <v>558</v>
      </c>
      <c r="D301" s="44" t="s">
        <v>559</v>
      </c>
      <c r="E301" s="44" t="s">
        <v>561</v>
      </c>
      <c r="F301" s="50">
        <v>0.0</v>
      </c>
      <c r="G301" s="50">
        <v>0.0</v>
      </c>
      <c r="H301" s="50">
        <v>0.0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7.25" customHeight="1">
      <c r="A302" s="44" t="s">
        <v>26</v>
      </c>
      <c r="B302" s="44" t="s">
        <v>91</v>
      </c>
      <c r="C302" s="44" t="s">
        <v>558</v>
      </c>
      <c r="D302" s="44" t="s">
        <v>559</v>
      </c>
      <c r="E302" s="44" t="s">
        <v>562</v>
      </c>
      <c r="F302" s="50">
        <v>0.0</v>
      </c>
      <c r="G302" s="50">
        <v>0.0</v>
      </c>
      <c r="H302" s="50">
        <v>0.0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7.25" customHeight="1">
      <c r="A303" s="45" t="s">
        <v>26</v>
      </c>
      <c r="B303" s="45" t="s">
        <v>91</v>
      </c>
      <c r="C303" s="45" t="s">
        <v>558</v>
      </c>
      <c r="D303" s="45" t="s">
        <v>559</v>
      </c>
      <c r="E303" s="45" t="s">
        <v>565</v>
      </c>
      <c r="F303" s="54">
        <v>0.0</v>
      </c>
      <c r="G303" s="54">
        <v>0.0</v>
      </c>
      <c r="H303" s="54">
        <v>0.0</v>
      </c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7.25" customHeight="1">
      <c r="A304" s="44" t="s">
        <v>27</v>
      </c>
      <c r="B304" s="47" t="s">
        <v>99</v>
      </c>
      <c r="C304" s="47" t="s">
        <v>568</v>
      </c>
      <c r="D304" s="48" t="s">
        <v>569</v>
      </c>
      <c r="E304" s="56" t="s">
        <v>570</v>
      </c>
      <c r="F304" s="57">
        <v>0.0</v>
      </c>
      <c r="G304" s="57">
        <v>0.0</v>
      </c>
      <c r="H304" s="57">
        <v>0.0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7.25" customHeight="1">
      <c r="A305" s="44" t="s">
        <v>27</v>
      </c>
      <c r="B305" s="47" t="s">
        <v>99</v>
      </c>
      <c r="C305" s="47" t="s">
        <v>568</v>
      </c>
      <c r="D305" s="48" t="s">
        <v>569</v>
      </c>
      <c r="E305" s="56" t="s">
        <v>573</v>
      </c>
      <c r="F305" s="58">
        <v>729.0</v>
      </c>
      <c r="G305" s="58">
        <v>3.7312E7</v>
      </c>
      <c r="H305" s="58">
        <v>4967600.0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7.25" customHeight="1">
      <c r="A306" s="44" t="s">
        <v>27</v>
      </c>
      <c r="B306" s="47" t="s">
        <v>99</v>
      </c>
      <c r="C306" s="47" t="s">
        <v>574</v>
      </c>
      <c r="D306" s="48" t="s">
        <v>448</v>
      </c>
      <c r="E306" s="56" t="s">
        <v>575</v>
      </c>
      <c r="F306" s="58">
        <v>65.0</v>
      </c>
      <c r="G306" s="58">
        <v>1967900.0</v>
      </c>
      <c r="H306" s="58">
        <v>371630.0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7.25" customHeight="1">
      <c r="A307" s="44" t="s">
        <v>27</v>
      </c>
      <c r="B307" s="47" t="s">
        <v>99</v>
      </c>
      <c r="C307" s="47" t="s">
        <v>574</v>
      </c>
      <c r="D307" s="48" t="s">
        <v>448</v>
      </c>
      <c r="E307" s="56" t="s">
        <v>576</v>
      </c>
      <c r="F307" s="58">
        <v>11.0</v>
      </c>
      <c r="G307" s="58">
        <v>345000.0</v>
      </c>
      <c r="H307" s="58">
        <v>63050.0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7.25" customHeight="1">
      <c r="A308" s="44" t="s">
        <v>27</v>
      </c>
      <c r="B308" s="47" t="s">
        <v>91</v>
      </c>
      <c r="C308" s="47" t="s">
        <v>577</v>
      </c>
      <c r="D308" s="48" t="s">
        <v>578</v>
      </c>
      <c r="E308" s="56" t="s">
        <v>579</v>
      </c>
      <c r="F308" s="58">
        <v>699.0</v>
      </c>
      <c r="G308" s="58">
        <v>2.4332E7</v>
      </c>
      <c r="H308" s="58">
        <v>4785490.0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7.25" customHeight="1">
      <c r="A309" s="44" t="s">
        <v>27</v>
      </c>
      <c r="B309" s="47" t="s">
        <v>91</v>
      </c>
      <c r="C309" s="47" t="s">
        <v>577</v>
      </c>
      <c r="D309" s="48" t="s">
        <v>578</v>
      </c>
      <c r="E309" s="56" t="s">
        <v>582</v>
      </c>
      <c r="F309" s="58">
        <v>31.0</v>
      </c>
      <c r="G309" s="58">
        <v>2044500.0</v>
      </c>
      <c r="H309" s="58">
        <v>290000.0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7.25" customHeight="1">
      <c r="A310" s="44" t="s">
        <v>27</v>
      </c>
      <c r="B310" s="47" t="s">
        <v>91</v>
      </c>
      <c r="C310" s="47" t="s">
        <v>577</v>
      </c>
      <c r="D310" s="48" t="s">
        <v>578</v>
      </c>
      <c r="E310" s="56" t="s">
        <v>583</v>
      </c>
      <c r="F310" s="58">
        <v>4.0</v>
      </c>
      <c r="G310" s="58">
        <v>269200.0</v>
      </c>
      <c r="H310" s="58">
        <v>40000.0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7.25" customHeight="1">
      <c r="A311" s="44" t="s">
        <v>27</v>
      </c>
      <c r="B311" s="47" t="s">
        <v>91</v>
      </c>
      <c r="C311" s="47" t="s">
        <v>577</v>
      </c>
      <c r="D311" s="48" t="s">
        <v>578</v>
      </c>
      <c r="E311" s="56" t="s">
        <v>584</v>
      </c>
      <c r="F311" s="58">
        <v>3.0</v>
      </c>
      <c r="G311" s="58">
        <v>106500.0</v>
      </c>
      <c r="H311" s="58">
        <v>21140.0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7.25" customHeight="1">
      <c r="A312" s="44" t="s">
        <v>27</v>
      </c>
      <c r="B312" s="47" t="s">
        <v>91</v>
      </c>
      <c r="C312" s="47" t="s">
        <v>577</v>
      </c>
      <c r="D312" s="48" t="s">
        <v>578</v>
      </c>
      <c r="E312" s="56" t="s">
        <v>587</v>
      </c>
      <c r="F312" s="58">
        <v>0.0</v>
      </c>
      <c r="G312" s="58">
        <v>0.0</v>
      </c>
      <c r="H312" s="58">
        <v>0.0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7.25" customHeight="1">
      <c r="A313" s="44" t="s">
        <v>27</v>
      </c>
      <c r="B313" s="47" t="s">
        <v>63</v>
      </c>
      <c r="C313" s="47" t="s">
        <v>588</v>
      </c>
      <c r="D313" s="48" t="s">
        <v>589</v>
      </c>
      <c r="E313" s="56" t="s">
        <v>590</v>
      </c>
      <c r="F313" s="58">
        <v>603.0</v>
      </c>
      <c r="G313" s="58">
        <v>1.84941E7</v>
      </c>
      <c r="H313" s="58">
        <v>3507210.0</v>
      </c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7.25" customHeight="1">
      <c r="A314" s="44" t="s">
        <v>27</v>
      </c>
      <c r="B314" s="47" t="s">
        <v>63</v>
      </c>
      <c r="C314" s="47" t="s">
        <v>588</v>
      </c>
      <c r="D314" s="48" t="s">
        <v>589</v>
      </c>
      <c r="E314" s="56" t="s">
        <v>591</v>
      </c>
      <c r="F314" s="58">
        <v>7.0</v>
      </c>
      <c r="G314" s="58">
        <v>199100.0</v>
      </c>
      <c r="H314" s="58">
        <v>37810.0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7.25" customHeight="1">
      <c r="A315" s="44" t="s">
        <v>27</v>
      </c>
      <c r="B315" s="47" t="s">
        <v>63</v>
      </c>
      <c r="C315" s="47" t="s">
        <v>588</v>
      </c>
      <c r="D315" s="48" t="s">
        <v>589</v>
      </c>
      <c r="E315" s="56" t="s">
        <v>592</v>
      </c>
      <c r="F315" s="58">
        <v>68.0</v>
      </c>
      <c r="G315" s="58">
        <v>1702800.0</v>
      </c>
      <c r="H315" s="58">
        <v>320500.0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7.25" customHeight="1">
      <c r="A316" s="44" t="s">
        <v>27</v>
      </c>
      <c r="B316" s="47" t="s">
        <v>63</v>
      </c>
      <c r="C316" s="47" t="s">
        <v>588</v>
      </c>
      <c r="D316" s="48" t="s">
        <v>589</v>
      </c>
      <c r="E316" s="56" t="s">
        <v>593</v>
      </c>
      <c r="F316" s="58">
        <v>0.0</v>
      </c>
      <c r="G316" s="58">
        <v>0.0</v>
      </c>
      <c r="H316" s="58">
        <v>0.0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7.25" customHeight="1">
      <c r="A317" s="44" t="s">
        <v>27</v>
      </c>
      <c r="B317" s="47" t="s">
        <v>63</v>
      </c>
      <c r="C317" s="47" t="s">
        <v>588</v>
      </c>
      <c r="D317" s="48" t="s">
        <v>589</v>
      </c>
      <c r="E317" s="56" t="s">
        <v>594</v>
      </c>
      <c r="F317" s="58">
        <v>11.0</v>
      </c>
      <c r="G317" s="58">
        <v>337700.0</v>
      </c>
      <c r="H317" s="58">
        <v>64240.0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7.25" customHeight="1">
      <c r="A318" s="44" t="s">
        <v>27</v>
      </c>
      <c r="B318" s="47" t="s">
        <v>63</v>
      </c>
      <c r="C318" s="47" t="s">
        <v>588</v>
      </c>
      <c r="D318" s="48" t="s">
        <v>589</v>
      </c>
      <c r="E318" s="56" t="s">
        <v>595</v>
      </c>
      <c r="F318" s="58">
        <v>18.0</v>
      </c>
      <c r="G318" s="58">
        <v>493800.0</v>
      </c>
      <c r="H318" s="58">
        <v>93870.0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7.25" customHeight="1">
      <c r="A319" s="44" t="s">
        <v>27</v>
      </c>
      <c r="B319" s="47" t="s">
        <v>63</v>
      </c>
      <c r="C319" s="47" t="s">
        <v>588</v>
      </c>
      <c r="D319" s="48" t="s">
        <v>589</v>
      </c>
      <c r="E319" s="56" t="s">
        <v>596</v>
      </c>
      <c r="F319" s="58">
        <v>7.0</v>
      </c>
      <c r="G319" s="58">
        <v>206800.0</v>
      </c>
      <c r="H319" s="58">
        <v>39280.0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7.25" customHeight="1">
      <c r="A320" s="44" t="s">
        <v>27</v>
      </c>
      <c r="B320" s="47" t="s">
        <v>63</v>
      </c>
      <c r="C320" s="47" t="s">
        <v>588</v>
      </c>
      <c r="D320" s="48" t="s">
        <v>589</v>
      </c>
      <c r="E320" s="56" t="s">
        <v>597</v>
      </c>
      <c r="F320" s="58">
        <v>0.0</v>
      </c>
      <c r="G320" s="58">
        <v>0.0</v>
      </c>
      <c r="H320" s="58">
        <v>0.0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7.25" customHeight="1">
      <c r="A321" s="44" t="s">
        <v>27</v>
      </c>
      <c r="B321" s="47" t="s">
        <v>63</v>
      </c>
      <c r="C321" s="47" t="s">
        <v>588</v>
      </c>
      <c r="D321" s="48" t="s">
        <v>589</v>
      </c>
      <c r="E321" s="56" t="s">
        <v>600</v>
      </c>
      <c r="F321" s="58">
        <v>22.0</v>
      </c>
      <c r="G321" s="58">
        <v>746800.0</v>
      </c>
      <c r="H321" s="58">
        <v>141800.0</v>
      </c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7.25" customHeight="1">
      <c r="A322" s="44" t="s">
        <v>27</v>
      </c>
      <c r="B322" s="47" t="s">
        <v>63</v>
      </c>
      <c r="C322" s="47" t="s">
        <v>588</v>
      </c>
      <c r="D322" s="48" t="s">
        <v>589</v>
      </c>
      <c r="E322" s="56" t="s">
        <v>603</v>
      </c>
      <c r="F322" s="58">
        <v>23.0</v>
      </c>
      <c r="G322" s="58">
        <v>1016900.0</v>
      </c>
      <c r="H322" s="58">
        <v>171220.0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7.25" customHeight="1">
      <c r="A323" s="44" t="s">
        <v>27</v>
      </c>
      <c r="B323" s="47" t="s">
        <v>63</v>
      </c>
      <c r="C323" s="47" t="s">
        <v>588</v>
      </c>
      <c r="D323" s="48" t="s">
        <v>589</v>
      </c>
      <c r="E323" s="56" t="s">
        <v>604</v>
      </c>
      <c r="F323" s="58">
        <v>0.0</v>
      </c>
      <c r="G323" s="58">
        <v>0.0</v>
      </c>
      <c r="H323" s="58">
        <v>0.0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7.25" customHeight="1">
      <c r="A324" s="44" t="s">
        <v>27</v>
      </c>
      <c r="B324" s="47" t="s">
        <v>63</v>
      </c>
      <c r="C324" s="47" t="s">
        <v>588</v>
      </c>
      <c r="D324" s="48" t="s">
        <v>589</v>
      </c>
      <c r="E324" s="56" t="s">
        <v>605</v>
      </c>
      <c r="F324" s="58">
        <v>6.0</v>
      </c>
      <c r="G324" s="58">
        <v>136800.0</v>
      </c>
      <c r="H324" s="58">
        <v>25950.0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7.25" customHeight="1">
      <c r="A325" s="44" t="s">
        <v>27</v>
      </c>
      <c r="B325" s="47" t="s">
        <v>63</v>
      </c>
      <c r="C325" s="47" t="s">
        <v>588</v>
      </c>
      <c r="D325" s="48" t="s">
        <v>589</v>
      </c>
      <c r="E325" s="56" t="s">
        <v>606</v>
      </c>
      <c r="F325" s="58">
        <v>5.0</v>
      </c>
      <c r="G325" s="58">
        <v>111500.0</v>
      </c>
      <c r="H325" s="58">
        <v>21460.0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7.25" customHeight="1">
      <c r="A326" s="44" t="s">
        <v>27</v>
      </c>
      <c r="B326" s="47" t="s">
        <v>63</v>
      </c>
      <c r="C326" s="47" t="s">
        <v>588</v>
      </c>
      <c r="D326" s="48" t="s">
        <v>589</v>
      </c>
      <c r="E326" s="56" t="s">
        <v>607</v>
      </c>
      <c r="F326" s="58">
        <v>4.0</v>
      </c>
      <c r="G326" s="58">
        <v>78700.0</v>
      </c>
      <c r="H326" s="58">
        <v>14940.0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7.25" customHeight="1">
      <c r="A327" s="44" t="s">
        <v>27</v>
      </c>
      <c r="B327" s="47" t="s">
        <v>63</v>
      </c>
      <c r="C327" s="47" t="s">
        <v>588</v>
      </c>
      <c r="D327" s="48" t="s">
        <v>589</v>
      </c>
      <c r="E327" s="56" t="s">
        <v>608</v>
      </c>
      <c r="F327" s="58">
        <v>0.0</v>
      </c>
      <c r="G327" s="58">
        <v>0.0</v>
      </c>
      <c r="H327" s="58">
        <v>0.0</v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7.25" customHeight="1">
      <c r="A328" s="44" t="s">
        <v>27</v>
      </c>
      <c r="B328" s="47" t="s">
        <v>63</v>
      </c>
      <c r="C328" s="44" t="s">
        <v>588</v>
      </c>
      <c r="D328" s="48" t="s">
        <v>589</v>
      </c>
      <c r="E328" s="56" t="s">
        <v>609</v>
      </c>
      <c r="F328" s="58">
        <v>0.0</v>
      </c>
      <c r="G328" s="58">
        <v>0.0</v>
      </c>
      <c r="H328" s="58">
        <v>0.0</v>
      </c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7.25" customHeight="1">
      <c r="A329" s="44" t="s">
        <v>27</v>
      </c>
      <c r="B329" s="47" t="s">
        <v>63</v>
      </c>
      <c r="C329" s="44" t="s">
        <v>588</v>
      </c>
      <c r="D329" s="48" t="s">
        <v>589</v>
      </c>
      <c r="E329" s="56" t="s">
        <v>610</v>
      </c>
      <c r="F329" s="58">
        <v>2.0</v>
      </c>
      <c r="G329" s="58">
        <v>92400.0</v>
      </c>
      <c r="H329" s="58">
        <v>17930.0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7.25" customHeight="1">
      <c r="A330" s="44" t="s">
        <v>27</v>
      </c>
      <c r="B330" s="47" t="s">
        <v>63</v>
      </c>
      <c r="C330" s="44" t="s">
        <v>588</v>
      </c>
      <c r="D330" s="48" t="s">
        <v>589</v>
      </c>
      <c r="E330" s="56" t="s">
        <v>611</v>
      </c>
      <c r="F330" s="58">
        <v>13.0</v>
      </c>
      <c r="G330" s="58">
        <v>203900.0</v>
      </c>
      <c r="H330" s="58">
        <v>38700.0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7.25" customHeight="1">
      <c r="A331" s="44" t="s">
        <v>27</v>
      </c>
      <c r="B331" s="44" t="s">
        <v>63</v>
      </c>
      <c r="C331" s="44" t="s">
        <v>588</v>
      </c>
      <c r="D331" s="48" t="s">
        <v>589</v>
      </c>
      <c r="E331" s="56" t="s">
        <v>612</v>
      </c>
      <c r="F331" s="58">
        <v>7.0</v>
      </c>
      <c r="G331" s="58">
        <v>241800.0</v>
      </c>
      <c r="H331" s="58">
        <v>46210.0</v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7.25" customHeight="1">
      <c r="A332" s="44" t="s">
        <v>27</v>
      </c>
      <c r="B332" s="44" t="s">
        <v>63</v>
      </c>
      <c r="C332" s="44" t="s">
        <v>280</v>
      </c>
      <c r="D332" s="48" t="s">
        <v>279</v>
      </c>
      <c r="E332" s="56" t="s">
        <v>613</v>
      </c>
      <c r="F332" s="58">
        <v>0.0</v>
      </c>
      <c r="G332" s="58">
        <v>0.0</v>
      </c>
      <c r="H332" s="58">
        <v>0.0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7.25" customHeight="1">
      <c r="A333" s="44" t="s">
        <v>27</v>
      </c>
      <c r="B333" s="44" t="s">
        <v>63</v>
      </c>
      <c r="C333" s="44" t="s">
        <v>280</v>
      </c>
      <c r="D333" s="48" t="s">
        <v>279</v>
      </c>
      <c r="E333" s="56" t="s">
        <v>614</v>
      </c>
      <c r="F333" s="58">
        <v>0.0</v>
      </c>
      <c r="G333" s="58">
        <v>0.0</v>
      </c>
      <c r="H333" s="58">
        <v>0.0</v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7.25" customHeight="1">
      <c r="A334" s="44" t="s">
        <v>27</v>
      </c>
      <c r="B334" s="44" t="s">
        <v>63</v>
      </c>
      <c r="C334" s="44" t="s">
        <v>280</v>
      </c>
      <c r="D334" s="48" t="s">
        <v>279</v>
      </c>
      <c r="E334" s="56" t="s">
        <v>617</v>
      </c>
      <c r="F334" s="58">
        <v>0.0</v>
      </c>
      <c r="G334" s="58">
        <v>0.0</v>
      </c>
      <c r="H334" s="58">
        <v>0.0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7.25" customHeight="1">
      <c r="A335" s="44" t="s">
        <v>27</v>
      </c>
      <c r="B335" s="44" t="s">
        <v>63</v>
      </c>
      <c r="C335" s="44" t="s">
        <v>280</v>
      </c>
      <c r="D335" s="48" t="s">
        <v>279</v>
      </c>
      <c r="E335" s="56" t="s">
        <v>618</v>
      </c>
      <c r="F335" s="58">
        <v>0.0</v>
      </c>
      <c r="G335" s="58">
        <v>0.0</v>
      </c>
      <c r="H335" s="58">
        <v>0.0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7.25" customHeight="1">
      <c r="A336" s="44" t="s">
        <v>27</v>
      </c>
      <c r="B336" s="44" t="s">
        <v>63</v>
      </c>
      <c r="C336" s="44" t="s">
        <v>280</v>
      </c>
      <c r="D336" s="48" t="s">
        <v>279</v>
      </c>
      <c r="E336" s="56" t="s">
        <v>619</v>
      </c>
      <c r="F336" s="58">
        <v>1.0</v>
      </c>
      <c r="G336" s="58">
        <v>22000.0</v>
      </c>
      <c r="H336" s="58">
        <v>4180.0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7.25" customHeight="1">
      <c r="A337" s="44" t="s">
        <v>27</v>
      </c>
      <c r="B337" s="44" t="s">
        <v>63</v>
      </c>
      <c r="C337" s="44" t="s">
        <v>280</v>
      </c>
      <c r="D337" s="48" t="s">
        <v>279</v>
      </c>
      <c r="E337" s="56" t="s">
        <v>620</v>
      </c>
      <c r="F337" s="58">
        <v>1.0</v>
      </c>
      <c r="G337" s="58">
        <v>38000.0</v>
      </c>
      <c r="H337" s="58">
        <v>7220.0</v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7.25" customHeight="1">
      <c r="A338" s="44" t="s">
        <v>27</v>
      </c>
      <c r="B338" s="44" t="s">
        <v>63</v>
      </c>
      <c r="C338" s="44" t="s">
        <v>280</v>
      </c>
      <c r="D338" s="48" t="s">
        <v>279</v>
      </c>
      <c r="E338" s="56" t="s">
        <v>621</v>
      </c>
      <c r="F338" s="58">
        <v>0.0</v>
      </c>
      <c r="G338" s="58">
        <v>0.0</v>
      </c>
      <c r="H338" s="58">
        <v>0.0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7.25" customHeight="1">
      <c r="A339" s="44" t="s">
        <v>27</v>
      </c>
      <c r="B339" s="44" t="s">
        <v>63</v>
      </c>
      <c r="C339" s="44" t="s">
        <v>280</v>
      </c>
      <c r="D339" s="48" t="s">
        <v>279</v>
      </c>
      <c r="E339" s="56" t="s">
        <v>622</v>
      </c>
      <c r="F339" s="58">
        <v>0.0</v>
      </c>
      <c r="G339" s="58">
        <v>0.0</v>
      </c>
      <c r="H339" s="58">
        <v>0.0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7.25" customHeight="1">
      <c r="A340" s="44" t="s">
        <v>27</v>
      </c>
      <c r="B340" s="44" t="s">
        <v>63</v>
      </c>
      <c r="C340" s="44" t="s">
        <v>280</v>
      </c>
      <c r="D340" s="48" t="s">
        <v>279</v>
      </c>
      <c r="E340" s="56" t="s">
        <v>623</v>
      </c>
      <c r="F340" s="58">
        <v>0.0</v>
      </c>
      <c r="G340" s="58">
        <v>0.0</v>
      </c>
      <c r="H340" s="58">
        <v>0.0</v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7.25" customHeight="1">
      <c r="A341" s="44" t="s">
        <v>27</v>
      </c>
      <c r="B341" s="44" t="s">
        <v>63</v>
      </c>
      <c r="C341" s="44" t="s">
        <v>280</v>
      </c>
      <c r="D341" s="48" t="s">
        <v>279</v>
      </c>
      <c r="E341" s="56" t="s">
        <v>624</v>
      </c>
      <c r="F341" s="58">
        <v>2.0</v>
      </c>
      <c r="G341" s="58">
        <v>60000.0</v>
      </c>
      <c r="H341" s="58">
        <v>9600.0</v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7.25" customHeight="1">
      <c r="A342" s="44" t="s">
        <v>27</v>
      </c>
      <c r="B342" s="44" t="s">
        <v>63</v>
      </c>
      <c r="C342" s="44" t="s">
        <v>280</v>
      </c>
      <c r="D342" s="48" t="s">
        <v>279</v>
      </c>
      <c r="E342" s="56" t="s">
        <v>625</v>
      </c>
      <c r="F342" s="58">
        <v>0.0</v>
      </c>
      <c r="G342" s="58">
        <v>0.0</v>
      </c>
      <c r="H342" s="58">
        <v>0.0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7.25" customHeight="1">
      <c r="A343" s="44" t="s">
        <v>27</v>
      </c>
      <c r="B343" s="44" t="s">
        <v>63</v>
      </c>
      <c r="C343" s="44" t="s">
        <v>280</v>
      </c>
      <c r="D343" s="48" t="s">
        <v>279</v>
      </c>
      <c r="E343" s="56" t="s">
        <v>626</v>
      </c>
      <c r="F343" s="58">
        <v>0.0</v>
      </c>
      <c r="G343" s="58">
        <v>0.0</v>
      </c>
      <c r="H343" s="58">
        <v>0.0</v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7.25" customHeight="1">
      <c r="A344" s="44" t="s">
        <v>27</v>
      </c>
      <c r="B344" s="44" t="s">
        <v>63</v>
      </c>
      <c r="C344" s="44" t="s">
        <v>280</v>
      </c>
      <c r="D344" s="48" t="s">
        <v>279</v>
      </c>
      <c r="E344" s="56" t="s">
        <v>627</v>
      </c>
      <c r="F344" s="58">
        <v>0.0</v>
      </c>
      <c r="G344" s="58">
        <v>0.0</v>
      </c>
      <c r="H344" s="58">
        <v>0.0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7.25" customHeight="1">
      <c r="A345" s="44" t="s">
        <v>27</v>
      </c>
      <c r="B345" s="44" t="s">
        <v>63</v>
      </c>
      <c r="C345" s="44" t="s">
        <v>280</v>
      </c>
      <c r="D345" s="48" t="s">
        <v>279</v>
      </c>
      <c r="E345" s="56" t="s">
        <v>630</v>
      </c>
      <c r="F345" s="58">
        <v>1.0</v>
      </c>
      <c r="G345" s="58">
        <v>55000.0</v>
      </c>
      <c r="H345" s="58">
        <v>8800.0</v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7.25" customHeight="1">
      <c r="A346" s="44" t="s">
        <v>27</v>
      </c>
      <c r="B346" s="47" t="s">
        <v>63</v>
      </c>
      <c r="C346" s="44" t="s">
        <v>280</v>
      </c>
      <c r="D346" s="48" t="s">
        <v>279</v>
      </c>
      <c r="E346" s="56" t="s">
        <v>631</v>
      </c>
      <c r="F346" s="58">
        <v>6.0</v>
      </c>
      <c r="G346" s="58">
        <v>120400.0</v>
      </c>
      <c r="H346" s="58">
        <v>22810.0</v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7.25" customHeight="1">
      <c r="A347" s="44" t="s">
        <v>27</v>
      </c>
      <c r="B347" s="44" t="s">
        <v>63</v>
      </c>
      <c r="C347" s="44" t="s">
        <v>632</v>
      </c>
      <c r="D347" s="48" t="s">
        <v>633</v>
      </c>
      <c r="E347" s="56" t="s">
        <v>634</v>
      </c>
      <c r="F347" s="58">
        <v>3.0</v>
      </c>
      <c r="G347" s="58">
        <v>39900.0</v>
      </c>
      <c r="H347" s="58">
        <v>7360.0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7.25" customHeight="1">
      <c r="A348" s="44" t="s">
        <v>27</v>
      </c>
      <c r="B348" s="44" t="s">
        <v>63</v>
      </c>
      <c r="C348" s="44" t="s">
        <v>632</v>
      </c>
      <c r="D348" s="48" t="s">
        <v>633</v>
      </c>
      <c r="E348" s="56" t="s">
        <v>635</v>
      </c>
      <c r="F348" s="58">
        <v>3.0</v>
      </c>
      <c r="G348" s="58">
        <v>68700.0</v>
      </c>
      <c r="H348" s="58">
        <v>12700.0</v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7.25" customHeight="1">
      <c r="A349" s="44" t="s">
        <v>27</v>
      </c>
      <c r="B349" s="44" t="s">
        <v>63</v>
      </c>
      <c r="C349" s="44" t="s">
        <v>632</v>
      </c>
      <c r="D349" s="48" t="s">
        <v>633</v>
      </c>
      <c r="E349" s="56" t="s">
        <v>638</v>
      </c>
      <c r="F349" s="58">
        <v>2.0</v>
      </c>
      <c r="G349" s="58">
        <v>45800.0</v>
      </c>
      <c r="H349" s="58">
        <v>8520.0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7.25" customHeight="1">
      <c r="A350" s="44" t="s">
        <v>27</v>
      </c>
      <c r="B350" s="44" t="s">
        <v>63</v>
      </c>
      <c r="C350" s="44" t="s">
        <v>632</v>
      </c>
      <c r="D350" s="48" t="s">
        <v>633</v>
      </c>
      <c r="E350" s="56" t="s">
        <v>639</v>
      </c>
      <c r="F350" s="58">
        <v>1.0</v>
      </c>
      <c r="G350" s="58">
        <v>17900.0</v>
      </c>
      <c r="H350" s="58">
        <v>2860.0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7.25" customHeight="1">
      <c r="A351" s="44" t="s">
        <v>27</v>
      </c>
      <c r="B351" s="44" t="s">
        <v>63</v>
      </c>
      <c r="C351" s="44" t="s">
        <v>632</v>
      </c>
      <c r="D351" s="48" t="s">
        <v>633</v>
      </c>
      <c r="E351" s="56" t="s">
        <v>640</v>
      </c>
      <c r="F351" s="58">
        <v>935.0</v>
      </c>
      <c r="G351" s="58">
        <v>1.41531E7</v>
      </c>
      <c r="H351" s="58">
        <v>2375280.0</v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7.25" customHeight="1">
      <c r="A352" s="44" t="s">
        <v>27</v>
      </c>
      <c r="B352" s="44" t="s">
        <v>63</v>
      </c>
      <c r="C352" s="44" t="s">
        <v>632</v>
      </c>
      <c r="D352" s="48" t="s">
        <v>633</v>
      </c>
      <c r="E352" s="56" t="s">
        <v>641</v>
      </c>
      <c r="F352" s="58">
        <v>19.0</v>
      </c>
      <c r="G352" s="58">
        <v>225700.0</v>
      </c>
      <c r="H352" s="58">
        <v>40490.0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7.25" customHeight="1">
      <c r="A353" s="44" t="s">
        <v>27</v>
      </c>
      <c r="B353" s="44" t="s">
        <v>63</v>
      </c>
      <c r="C353" s="44" t="s">
        <v>632</v>
      </c>
      <c r="D353" s="48" t="s">
        <v>633</v>
      </c>
      <c r="E353" s="56" t="s">
        <v>642</v>
      </c>
      <c r="F353" s="58">
        <v>5.0</v>
      </c>
      <c r="G353" s="58">
        <v>74500.0</v>
      </c>
      <c r="H353" s="58">
        <v>13970.0</v>
      </c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7.25" customHeight="1">
      <c r="A354" s="44" t="s">
        <v>27</v>
      </c>
      <c r="B354" s="44" t="s">
        <v>63</v>
      </c>
      <c r="C354" s="44" t="s">
        <v>632</v>
      </c>
      <c r="D354" s="48" t="s">
        <v>633</v>
      </c>
      <c r="E354" s="56" t="s">
        <v>643</v>
      </c>
      <c r="F354" s="58">
        <v>61.0</v>
      </c>
      <c r="G354" s="58">
        <v>970400.0</v>
      </c>
      <c r="H354" s="58">
        <v>159350.0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7.25" customHeight="1">
      <c r="A355" s="44" t="s">
        <v>27</v>
      </c>
      <c r="B355" s="44" t="s">
        <v>63</v>
      </c>
      <c r="C355" s="44" t="s">
        <v>632</v>
      </c>
      <c r="D355" s="48" t="s">
        <v>633</v>
      </c>
      <c r="E355" s="56" t="s">
        <v>644</v>
      </c>
      <c r="F355" s="58">
        <v>5.0</v>
      </c>
      <c r="G355" s="58">
        <v>129500.0</v>
      </c>
      <c r="H355" s="58">
        <v>22800.0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7.25" customHeight="1">
      <c r="A356" s="44" t="s">
        <v>27</v>
      </c>
      <c r="B356" s="44" t="s">
        <v>63</v>
      </c>
      <c r="C356" s="44" t="s">
        <v>632</v>
      </c>
      <c r="D356" s="48" t="s">
        <v>633</v>
      </c>
      <c r="E356" s="56" t="s">
        <v>647</v>
      </c>
      <c r="F356" s="58">
        <v>4.0</v>
      </c>
      <c r="G356" s="58">
        <v>50200.0</v>
      </c>
      <c r="H356" s="58">
        <v>9000.0</v>
      </c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7.25" customHeight="1">
      <c r="A357" s="44" t="s">
        <v>27</v>
      </c>
      <c r="B357" s="44" t="s">
        <v>63</v>
      </c>
      <c r="C357" s="44" t="s">
        <v>632</v>
      </c>
      <c r="D357" s="48" t="s">
        <v>633</v>
      </c>
      <c r="E357" s="56" t="s">
        <v>648</v>
      </c>
      <c r="F357" s="58">
        <v>18.0</v>
      </c>
      <c r="G357" s="58">
        <v>270500.0</v>
      </c>
      <c r="H357" s="58">
        <v>48180.0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7.25" customHeight="1">
      <c r="A358" s="44" t="s">
        <v>27</v>
      </c>
      <c r="B358" s="44" t="s">
        <v>63</v>
      </c>
      <c r="C358" s="44" t="s">
        <v>632</v>
      </c>
      <c r="D358" s="48" t="s">
        <v>633</v>
      </c>
      <c r="E358" s="56" t="s">
        <v>649</v>
      </c>
      <c r="F358" s="58">
        <v>64.0</v>
      </c>
      <c r="G358" s="58">
        <v>873300.0</v>
      </c>
      <c r="H358" s="58">
        <v>148480.0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7.25" customHeight="1">
      <c r="A359" s="44" t="s">
        <v>27</v>
      </c>
      <c r="B359" s="44" t="s">
        <v>63</v>
      </c>
      <c r="C359" s="44" t="s">
        <v>632</v>
      </c>
      <c r="D359" s="48" t="s">
        <v>633</v>
      </c>
      <c r="E359" s="56" t="s">
        <v>650</v>
      </c>
      <c r="F359" s="58">
        <v>0.0</v>
      </c>
      <c r="G359" s="58">
        <v>0.0</v>
      </c>
      <c r="H359" s="58">
        <v>0.0</v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7.25" customHeight="1">
      <c r="A360" s="44" t="s">
        <v>27</v>
      </c>
      <c r="B360" s="44" t="s">
        <v>63</v>
      </c>
      <c r="C360" s="44" t="s">
        <v>632</v>
      </c>
      <c r="D360" s="48" t="s">
        <v>633</v>
      </c>
      <c r="E360" s="56" t="s">
        <v>651</v>
      </c>
      <c r="F360" s="58">
        <v>8.0</v>
      </c>
      <c r="G360" s="58">
        <v>128200.0</v>
      </c>
      <c r="H360" s="58">
        <v>21180.0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7.25" customHeight="1">
      <c r="A361" s="44" t="s">
        <v>27</v>
      </c>
      <c r="B361" s="44" t="s">
        <v>63</v>
      </c>
      <c r="C361" s="44" t="s">
        <v>632</v>
      </c>
      <c r="D361" s="48" t="s">
        <v>633</v>
      </c>
      <c r="E361" s="56" t="s">
        <v>652</v>
      </c>
      <c r="F361" s="58">
        <v>2.0</v>
      </c>
      <c r="G361" s="58">
        <v>35900.0</v>
      </c>
      <c r="H361" s="58">
        <v>6140.0</v>
      </c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7.25" customHeight="1">
      <c r="A362" s="44" t="s">
        <v>27</v>
      </c>
      <c r="B362" s="44" t="s">
        <v>63</v>
      </c>
      <c r="C362" s="44" t="s">
        <v>632</v>
      </c>
      <c r="D362" s="48" t="s">
        <v>633</v>
      </c>
      <c r="E362" s="56" t="s">
        <v>653</v>
      </c>
      <c r="F362" s="58">
        <v>0.0</v>
      </c>
      <c r="G362" s="58">
        <v>0.0</v>
      </c>
      <c r="H362" s="58">
        <v>0.0</v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7.25" customHeight="1">
      <c r="A363" s="44" t="s">
        <v>27</v>
      </c>
      <c r="B363" s="44" t="s">
        <v>63</v>
      </c>
      <c r="C363" s="44" t="s">
        <v>632</v>
      </c>
      <c r="D363" s="48" t="s">
        <v>633</v>
      </c>
      <c r="E363" s="56" t="s">
        <v>654</v>
      </c>
      <c r="F363" s="58">
        <v>4.0</v>
      </c>
      <c r="G363" s="58">
        <v>116400.0</v>
      </c>
      <c r="H363" s="58">
        <v>19530.0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7.25" customHeight="1">
      <c r="A364" s="44" t="s">
        <v>27</v>
      </c>
      <c r="B364" s="44" t="s">
        <v>63</v>
      </c>
      <c r="C364" s="44" t="s">
        <v>632</v>
      </c>
      <c r="D364" s="48" t="s">
        <v>633</v>
      </c>
      <c r="E364" s="56" t="s">
        <v>655</v>
      </c>
      <c r="F364" s="58">
        <v>0.0</v>
      </c>
      <c r="G364" s="58">
        <v>0.0</v>
      </c>
      <c r="H364" s="58">
        <v>0.0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7.25" customHeight="1">
      <c r="A365" s="44" t="s">
        <v>27</v>
      </c>
      <c r="B365" s="44" t="s">
        <v>63</v>
      </c>
      <c r="C365" s="44" t="s">
        <v>632</v>
      </c>
      <c r="D365" s="48" t="s">
        <v>633</v>
      </c>
      <c r="E365" s="56" t="s">
        <v>656</v>
      </c>
      <c r="F365" s="58">
        <v>7.0</v>
      </c>
      <c r="G365" s="58">
        <v>121800.0</v>
      </c>
      <c r="H365" s="58">
        <v>19460.0</v>
      </c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7.25" customHeight="1">
      <c r="A366" s="44" t="s">
        <v>27</v>
      </c>
      <c r="B366" s="44" t="s">
        <v>63</v>
      </c>
      <c r="C366" s="44" t="s">
        <v>632</v>
      </c>
      <c r="D366" s="48" t="s">
        <v>633</v>
      </c>
      <c r="E366" s="56" t="s">
        <v>657</v>
      </c>
      <c r="F366" s="58">
        <v>3.0</v>
      </c>
      <c r="G366" s="58">
        <v>61400.0</v>
      </c>
      <c r="H366" s="58">
        <v>10800.0</v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7.25" customHeight="1">
      <c r="A367" s="44" t="s">
        <v>27</v>
      </c>
      <c r="B367" s="44" t="s">
        <v>63</v>
      </c>
      <c r="C367" s="44" t="s">
        <v>632</v>
      </c>
      <c r="D367" s="48" t="s">
        <v>633</v>
      </c>
      <c r="E367" s="56" t="s">
        <v>658</v>
      </c>
      <c r="F367" s="58">
        <v>4.0</v>
      </c>
      <c r="G367" s="58">
        <v>88000.0</v>
      </c>
      <c r="H367" s="58">
        <v>15440.0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7.25" customHeight="1">
      <c r="A368" s="44" t="s">
        <v>27</v>
      </c>
      <c r="B368" s="44" t="s">
        <v>63</v>
      </c>
      <c r="C368" s="44" t="s">
        <v>632</v>
      </c>
      <c r="D368" s="48" t="s">
        <v>633</v>
      </c>
      <c r="E368" s="56" t="s">
        <v>661</v>
      </c>
      <c r="F368" s="58">
        <v>4.0</v>
      </c>
      <c r="G368" s="58">
        <v>78800.0</v>
      </c>
      <c r="H368" s="58">
        <v>13550.0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7.25" customHeight="1">
      <c r="A369" s="44" t="s">
        <v>27</v>
      </c>
      <c r="B369" s="47" t="s">
        <v>63</v>
      </c>
      <c r="C369" s="44" t="s">
        <v>662</v>
      </c>
      <c r="D369" s="48" t="s">
        <v>663</v>
      </c>
      <c r="E369" s="56" t="s">
        <v>665</v>
      </c>
      <c r="F369" s="58">
        <v>0.0</v>
      </c>
      <c r="G369" s="58">
        <v>0.0</v>
      </c>
      <c r="H369" s="58">
        <v>0.0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7.25" customHeight="1">
      <c r="A370" s="44" t="s">
        <v>27</v>
      </c>
      <c r="B370" s="47" t="s">
        <v>63</v>
      </c>
      <c r="C370" s="44" t="s">
        <v>662</v>
      </c>
      <c r="D370" s="48" t="s">
        <v>663</v>
      </c>
      <c r="E370" s="56" t="s">
        <v>666</v>
      </c>
      <c r="F370" s="58">
        <v>0.0</v>
      </c>
      <c r="G370" s="58">
        <v>0.0</v>
      </c>
      <c r="H370" s="58">
        <v>0.0</v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7.25" customHeight="1">
      <c r="A371" s="44" t="s">
        <v>27</v>
      </c>
      <c r="B371" s="47" t="s">
        <v>63</v>
      </c>
      <c r="C371" s="44" t="s">
        <v>662</v>
      </c>
      <c r="D371" s="48" t="s">
        <v>663</v>
      </c>
      <c r="E371" s="56" t="s">
        <v>667</v>
      </c>
      <c r="F371" s="58">
        <v>0.0</v>
      </c>
      <c r="G371" s="58">
        <v>0.0</v>
      </c>
      <c r="H371" s="58">
        <v>0.0</v>
      </c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7.25" customHeight="1">
      <c r="A372" s="44" t="s">
        <v>27</v>
      </c>
      <c r="B372" s="47" t="s">
        <v>63</v>
      </c>
      <c r="C372" s="44" t="s">
        <v>662</v>
      </c>
      <c r="D372" s="48" t="s">
        <v>663</v>
      </c>
      <c r="E372" s="56" t="s">
        <v>668</v>
      </c>
      <c r="F372" s="58">
        <v>0.0</v>
      </c>
      <c r="G372" s="58">
        <v>0.0</v>
      </c>
      <c r="H372" s="58">
        <v>0.0</v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7.25" customHeight="1">
      <c r="A373" s="44" t="s">
        <v>27</v>
      </c>
      <c r="B373" s="47" t="s">
        <v>63</v>
      </c>
      <c r="C373" s="44" t="s">
        <v>662</v>
      </c>
      <c r="D373" s="48" t="s">
        <v>663</v>
      </c>
      <c r="E373" s="56" t="s">
        <v>669</v>
      </c>
      <c r="F373" s="58">
        <v>0.0</v>
      </c>
      <c r="G373" s="58">
        <v>0.0</v>
      </c>
      <c r="H373" s="58">
        <v>0.0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7.25" customHeight="1">
      <c r="A374" s="44" t="s">
        <v>27</v>
      </c>
      <c r="B374" s="47" t="s">
        <v>63</v>
      </c>
      <c r="C374" s="44" t="s">
        <v>662</v>
      </c>
      <c r="D374" s="48" t="s">
        <v>663</v>
      </c>
      <c r="E374" s="56" t="s">
        <v>670</v>
      </c>
      <c r="F374" s="58">
        <v>0.0</v>
      </c>
      <c r="G374" s="58">
        <v>0.0</v>
      </c>
      <c r="H374" s="58">
        <v>0.0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7.25" customHeight="1">
      <c r="A375" s="44" t="s">
        <v>27</v>
      </c>
      <c r="B375" s="47" t="s">
        <v>63</v>
      </c>
      <c r="C375" s="44" t="s">
        <v>662</v>
      </c>
      <c r="D375" s="48" t="s">
        <v>663</v>
      </c>
      <c r="E375" s="56" t="s">
        <v>671</v>
      </c>
      <c r="F375" s="58">
        <v>0.0</v>
      </c>
      <c r="G375" s="58">
        <v>0.0</v>
      </c>
      <c r="H375" s="58">
        <v>0.0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7.25" customHeight="1">
      <c r="A376" s="44" t="s">
        <v>27</v>
      </c>
      <c r="B376" s="47" t="s">
        <v>63</v>
      </c>
      <c r="C376" s="44" t="s">
        <v>662</v>
      </c>
      <c r="D376" s="48" t="s">
        <v>663</v>
      </c>
      <c r="E376" s="56" t="s">
        <v>672</v>
      </c>
      <c r="F376" s="58">
        <v>0.0</v>
      </c>
      <c r="G376" s="58">
        <v>0.0</v>
      </c>
      <c r="H376" s="58">
        <v>0.0</v>
      </c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7.25" customHeight="1">
      <c r="A377" s="44" t="s">
        <v>27</v>
      </c>
      <c r="B377" s="47" t="s">
        <v>63</v>
      </c>
      <c r="C377" s="44" t="s">
        <v>662</v>
      </c>
      <c r="D377" s="48" t="s">
        <v>663</v>
      </c>
      <c r="E377" s="56" t="s">
        <v>673</v>
      </c>
      <c r="F377" s="58">
        <v>0.0</v>
      </c>
      <c r="G377" s="58">
        <v>0.0</v>
      </c>
      <c r="H377" s="58">
        <v>0.0</v>
      </c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7.25" customHeight="1">
      <c r="A378" s="44" t="s">
        <v>27</v>
      </c>
      <c r="B378" s="47" t="s">
        <v>63</v>
      </c>
      <c r="C378" s="44" t="s">
        <v>662</v>
      </c>
      <c r="D378" s="48" t="s">
        <v>663</v>
      </c>
      <c r="E378" s="56" t="s">
        <v>674</v>
      </c>
      <c r="F378" s="58">
        <v>0.0</v>
      </c>
      <c r="G378" s="58">
        <v>0.0</v>
      </c>
      <c r="H378" s="58">
        <v>0.0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7.25" customHeight="1">
      <c r="A379" s="44" t="s">
        <v>27</v>
      </c>
      <c r="B379" s="47" t="s">
        <v>63</v>
      </c>
      <c r="C379" s="44" t="s">
        <v>662</v>
      </c>
      <c r="D379" s="48" t="s">
        <v>663</v>
      </c>
      <c r="E379" s="56" t="s">
        <v>676</v>
      </c>
      <c r="F379" s="58">
        <v>0.0</v>
      </c>
      <c r="G379" s="58">
        <v>0.0</v>
      </c>
      <c r="H379" s="58">
        <v>0.0</v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7.25" customHeight="1">
      <c r="A380" s="44" t="s">
        <v>27</v>
      </c>
      <c r="B380" s="47" t="s">
        <v>63</v>
      </c>
      <c r="C380" s="44" t="s">
        <v>662</v>
      </c>
      <c r="D380" s="48" t="s">
        <v>663</v>
      </c>
      <c r="E380" s="56" t="s">
        <v>680</v>
      </c>
      <c r="F380" s="58">
        <v>0.0</v>
      </c>
      <c r="G380" s="58">
        <v>0.0</v>
      </c>
      <c r="H380" s="58">
        <v>0.0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7.25" customHeight="1">
      <c r="A381" s="44" t="s">
        <v>27</v>
      </c>
      <c r="B381" s="47" t="s">
        <v>63</v>
      </c>
      <c r="C381" s="44" t="s">
        <v>662</v>
      </c>
      <c r="D381" s="48" t="s">
        <v>663</v>
      </c>
      <c r="E381" s="56" t="s">
        <v>681</v>
      </c>
      <c r="F381" s="58">
        <v>0.0</v>
      </c>
      <c r="G381" s="58">
        <v>0.0</v>
      </c>
      <c r="H381" s="58">
        <v>0.0</v>
      </c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7.25" customHeight="1">
      <c r="A382" s="44" t="s">
        <v>27</v>
      </c>
      <c r="B382" s="47" t="s">
        <v>63</v>
      </c>
      <c r="C382" s="44" t="s">
        <v>662</v>
      </c>
      <c r="D382" s="48" t="s">
        <v>663</v>
      </c>
      <c r="E382" s="56" t="s">
        <v>682</v>
      </c>
      <c r="F382" s="58">
        <v>0.0</v>
      </c>
      <c r="G382" s="58">
        <v>0.0</v>
      </c>
      <c r="H382" s="58">
        <v>0.0</v>
      </c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7.25" customHeight="1">
      <c r="A383" s="44" t="s">
        <v>27</v>
      </c>
      <c r="B383" s="44" t="s">
        <v>63</v>
      </c>
      <c r="C383" s="44" t="s">
        <v>662</v>
      </c>
      <c r="D383" s="48" t="s">
        <v>663</v>
      </c>
      <c r="E383" s="56" t="s">
        <v>683</v>
      </c>
      <c r="F383" s="58">
        <v>0.0</v>
      </c>
      <c r="G383" s="58">
        <v>0.0</v>
      </c>
      <c r="H383" s="58">
        <v>0.0</v>
      </c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7.25" customHeight="1">
      <c r="A384" s="44" t="s">
        <v>27</v>
      </c>
      <c r="B384" s="44" t="s">
        <v>63</v>
      </c>
      <c r="C384" s="44" t="s">
        <v>662</v>
      </c>
      <c r="D384" s="48" t="s">
        <v>663</v>
      </c>
      <c r="E384" s="56" t="s">
        <v>684</v>
      </c>
      <c r="F384" s="58">
        <v>0.0</v>
      </c>
      <c r="G384" s="58">
        <v>0.0</v>
      </c>
      <c r="H384" s="58">
        <v>0.0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7.25" customHeight="1">
      <c r="A385" s="44" t="s">
        <v>27</v>
      </c>
      <c r="B385" s="47" t="s">
        <v>63</v>
      </c>
      <c r="C385" s="44" t="s">
        <v>662</v>
      </c>
      <c r="D385" s="48" t="s">
        <v>663</v>
      </c>
      <c r="E385" s="56" t="s">
        <v>685</v>
      </c>
      <c r="F385" s="58">
        <v>0.0</v>
      </c>
      <c r="G385" s="58">
        <v>0.0</v>
      </c>
      <c r="H385" s="58">
        <v>0.0</v>
      </c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7.25" customHeight="1">
      <c r="A386" s="44" t="s">
        <v>27</v>
      </c>
      <c r="B386" s="47" t="s">
        <v>63</v>
      </c>
      <c r="C386" s="44" t="s">
        <v>662</v>
      </c>
      <c r="D386" s="48" t="s">
        <v>663</v>
      </c>
      <c r="E386" s="56" t="s">
        <v>686</v>
      </c>
      <c r="F386" s="58">
        <v>0.0</v>
      </c>
      <c r="G386" s="58">
        <v>0.0</v>
      </c>
      <c r="H386" s="58">
        <v>0.0</v>
      </c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7.25" customHeight="1">
      <c r="A387" s="44" t="s">
        <v>27</v>
      </c>
      <c r="B387" s="47" t="s">
        <v>63</v>
      </c>
      <c r="C387" s="44" t="s">
        <v>662</v>
      </c>
      <c r="D387" s="48" t="s">
        <v>663</v>
      </c>
      <c r="E387" s="56" t="s">
        <v>687</v>
      </c>
      <c r="F387" s="58">
        <v>0.0</v>
      </c>
      <c r="G387" s="58">
        <v>0.0</v>
      </c>
      <c r="H387" s="58">
        <v>0.0</v>
      </c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7.25" customHeight="1">
      <c r="A388" s="44" t="s">
        <v>27</v>
      </c>
      <c r="B388" s="47" t="s">
        <v>63</v>
      </c>
      <c r="C388" s="44" t="s">
        <v>662</v>
      </c>
      <c r="D388" s="48" t="s">
        <v>663</v>
      </c>
      <c r="E388" s="56" t="s">
        <v>688</v>
      </c>
      <c r="F388" s="58">
        <v>0.0</v>
      </c>
      <c r="G388" s="58">
        <v>0.0</v>
      </c>
      <c r="H388" s="58">
        <v>0.0</v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7.25" customHeight="1">
      <c r="A389" s="44" t="s">
        <v>27</v>
      </c>
      <c r="B389" s="44" t="s">
        <v>63</v>
      </c>
      <c r="C389" s="44" t="s">
        <v>662</v>
      </c>
      <c r="D389" s="48" t="s">
        <v>663</v>
      </c>
      <c r="E389" s="56" t="s">
        <v>689</v>
      </c>
      <c r="F389" s="58">
        <v>0.0</v>
      </c>
      <c r="G389" s="58">
        <v>0.0</v>
      </c>
      <c r="H389" s="58">
        <v>0.0</v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7.25" customHeight="1">
      <c r="A390" s="44" t="s">
        <v>27</v>
      </c>
      <c r="B390" s="44" t="s">
        <v>63</v>
      </c>
      <c r="C390" s="44" t="s">
        <v>662</v>
      </c>
      <c r="D390" s="48" t="s">
        <v>663</v>
      </c>
      <c r="E390" s="56" t="s">
        <v>690</v>
      </c>
      <c r="F390" s="58">
        <v>0.0</v>
      </c>
      <c r="G390" s="58">
        <v>0.0</v>
      </c>
      <c r="H390" s="58">
        <v>0.0</v>
      </c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7.25" customHeight="1">
      <c r="A391" s="44" t="s">
        <v>27</v>
      </c>
      <c r="B391" s="44" t="s">
        <v>63</v>
      </c>
      <c r="C391" s="44" t="s">
        <v>662</v>
      </c>
      <c r="D391" s="48" t="s">
        <v>663</v>
      </c>
      <c r="E391" s="56" t="s">
        <v>691</v>
      </c>
      <c r="F391" s="58">
        <v>0.0</v>
      </c>
      <c r="G391" s="58">
        <v>0.0</v>
      </c>
      <c r="H391" s="58">
        <v>0.0</v>
      </c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7.25" customHeight="1">
      <c r="A392" s="44" t="s">
        <v>27</v>
      </c>
      <c r="B392" s="44" t="s">
        <v>63</v>
      </c>
      <c r="C392" s="44" t="s">
        <v>662</v>
      </c>
      <c r="D392" s="48" t="s">
        <v>663</v>
      </c>
      <c r="E392" s="56" t="s">
        <v>694</v>
      </c>
      <c r="F392" s="58">
        <v>0.0</v>
      </c>
      <c r="G392" s="58">
        <v>0.0</v>
      </c>
      <c r="H392" s="58">
        <v>0.0</v>
      </c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7.25" customHeight="1">
      <c r="A393" s="44" t="s">
        <v>27</v>
      </c>
      <c r="B393" s="44" t="s">
        <v>63</v>
      </c>
      <c r="C393" s="44" t="s">
        <v>662</v>
      </c>
      <c r="D393" s="48" t="s">
        <v>663</v>
      </c>
      <c r="E393" s="56" t="s">
        <v>697</v>
      </c>
      <c r="F393" s="58">
        <v>0.0</v>
      </c>
      <c r="G393" s="58">
        <v>0.0</v>
      </c>
      <c r="H393" s="58">
        <v>0.0</v>
      </c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7.25" customHeight="1">
      <c r="A394" s="44" t="s">
        <v>27</v>
      </c>
      <c r="B394" s="44" t="s">
        <v>63</v>
      </c>
      <c r="C394" s="44" t="s">
        <v>662</v>
      </c>
      <c r="D394" s="48" t="s">
        <v>663</v>
      </c>
      <c r="E394" s="56" t="s">
        <v>698</v>
      </c>
      <c r="F394" s="58">
        <v>0.0</v>
      </c>
      <c r="G394" s="58">
        <v>0.0</v>
      </c>
      <c r="H394" s="58">
        <v>0.0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7.25" customHeight="1">
      <c r="A395" s="44" t="s">
        <v>27</v>
      </c>
      <c r="B395" s="47" t="s">
        <v>63</v>
      </c>
      <c r="C395" s="44" t="s">
        <v>662</v>
      </c>
      <c r="D395" s="48" t="s">
        <v>663</v>
      </c>
      <c r="E395" s="56" t="s">
        <v>699</v>
      </c>
      <c r="F395" s="58">
        <v>0.0</v>
      </c>
      <c r="G395" s="58">
        <v>0.0</v>
      </c>
      <c r="H395" s="58">
        <v>0.0</v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7.25" customHeight="1">
      <c r="A396" s="44" t="s">
        <v>27</v>
      </c>
      <c r="B396" s="44" t="s">
        <v>63</v>
      </c>
      <c r="C396" s="44" t="s">
        <v>662</v>
      </c>
      <c r="D396" s="48" t="s">
        <v>663</v>
      </c>
      <c r="E396" s="56" t="s">
        <v>700</v>
      </c>
      <c r="F396" s="58">
        <v>0.0</v>
      </c>
      <c r="G396" s="58">
        <v>0.0</v>
      </c>
      <c r="H396" s="58">
        <v>0.0</v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7.25" customHeight="1">
      <c r="A397" s="44" t="s">
        <v>27</v>
      </c>
      <c r="B397" s="44" t="s">
        <v>63</v>
      </c>
      <c r="C397" s="44" t="s">
        <v>662</v>
      </c>
      <c r="D397" s="48" t="s">
        <v>663</v>
      </c>
      <c r="E397" s="56" t="s">
        <v>701</v>
      </c>
      <c r="F397" s="58">
        <v>0.0</v>
      </c>
      <c r="G397" s="58">
        <v>0.0</v>
      </c>
      <c r="H397" s="58">
        <v>0.0</v>
      </c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7.25" customHeight="1">
      <c r="A398" s="44" t="s">
        <v>27</v>
      </c>
      <c r="B398" s="44" t="s">
        <v>63</v>
      </c>
      <c r="C398" s="44" t="s">
        <v>662</v>
      </c>
      <c r="D398" s="48" t="s">
        <v>663</v>
      </c>
      <c r="E398" s="56" t="s">
        <v>702</v>
      </c>
      <c r="F398" s="58">
        <v>0.0</v>
      </c>
      <c r="G398" s="58">
        <v>0.0</v>
      </c>
      <c r="H398" s="58">
        <v>0.0</v>
      </c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7.25" customHeight="1">
      <c r="A399" s="44" t="s">
        <v>27</v>
      </c>
      <c r="B399" s="47" t="s">
        <v>63</v>
      </c>
      <c r="C399" s="44" t="s">
        <v>662</v>
      </c>
      <c r="D399" s="48" t="s">
        <v>663</v>
      </c>
      <c r="E399" s="56" t="s">
        <v>703</v>
      </c>
      <c r="F399" s="58">
        <v>0.0</v>
      </c>
      <c r="G399" s="58">
        <v>0.0</v>
      </c>
      <c r="H399" s="58">
        <v>0.0</v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7.25" customHeight="1">
      <c r="A400" s="44" t="s">
        <v>27</v>
      </c>
      <c r="B400" s="47" t="s">
        <v>63</v>
      </c>
      <c r="C400" s="44" t="s">
        <v>662</v>
      </c>
      <c r="D400" s="48" t="s">
        <v>663</v>
      </c>
      <c r="E400" s="56" t="s">
        <v>704</v>
      </c>
      <c r="F400" s="58">
        <v>0.0</v>
      </c>
      <c r="G400" s="58">
        <v>0.0</v>
      </c>
      <c r="H400" s="58">
        <v>0.0</v>
      </c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7.25" customHeight="1">
      <c r="A401" s="44" t="s">
        <v>27</v>
      </c>
      <c r="B401" s="44" t="s">
        <v>63</v>
      </c>
      <c r="C401" s="44" t="s">
        <v>662</v>
      </c>
      <c r="D401" s="48" t="s">
        <v>663</v>
      </c>
      <c r="E401" s="56" t="s">
        <v>705</v>
      </c>
      <c r="F401" s="58">
        <v>0.0</v>
      </c>
      <c r="G401" s="58">
        <v>0.0</v>
      </c>
      <c r="H401" s="58">
        <v>0.0</v>
      </c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7.25" customHeight="1">
      <c r="A402" s="44" t="s">
        <v>27</v>
      </c>
      <c r="B402" s="44" t="s">
        <v>63</v>
      </c>
      <c r="C402" s="44" t="s">
        <v>662</v>
      </c>
      <c r="D402" s="48" t="s">
        <v>663</v>
      </c>
      <c r="E402" s="56" t="s">
        <v>708</v>
      </c>
      <c r="F402" s="58">
        <v>0.0</v>
      </c>
      <c r="G402" s="58">
        <v>0.0</v>
      </c>
      <c r="H402" s="58">
        <v>0.0</v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7.25" customHeight="1">
      <c r="A403" s="44" t="s">
        <v>27</v>
      </c>
      <c r="B403" s="44" t="s">
        <v>63</v>
      </c>
      <c r="C403" s="44" t="s">
        <v>662</v>
      </c>
      <c r="D403" s="48" t="s">
        <v>663</v>
      </c>
      <c r="E403" s="56" t="s">
        <v>709</v>
      </c>
      <c r="F403" s="58">
        <v>0.0</v>
      </c>
      <c r="G403" s="58">
        <v>0.0</v>
      </c>
      <c r="H403" s="58">
        <v>0.0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7.25" customHeight="1">
      <c r="A404" s="44" t="s">
        <v>27</v>
      </c>
      <c r="B404" s="44" t="s">
        <v>63</v>
      </c>
      <c r="C404" s="44" t="s">
        <v>662</v>
      </c>
      <c r="D404" s="48" t="s">
        <v>663</v>
      </c>
      <c r="E404" s="56" t="s">
        <v>712</v>
      </c>
      <c r="F404" s="58">
        <v>0.0</v>
      </c>
      <c r="G404" s="58">
        <v>0.0</v>
      </c>
      <c r="H404" s="58">
        <v>0.0</v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7.25" customHeight="1">
      <c r="A405" s="44" t="s">
        <v>27</v>
      </c>
      <c r="B405" s="44" t="s">
        <v>63</v>
      </c>
      <c r="C405" s="44" t="s">
        <v>662</v>
      </c>
      <c r="D405" s="48" t="s">
        <v>663</v>
      </c>
      <c r="E405" s="56" t="s">
        <v>713</v>
      </c>
      <c r="F405" s="58">
        <v>0.0</v>
      </c>
      <c r="G405" s="58">
        <v>0.0</v>
      </c>
      <c r="H405" s="58">
        <v>0.0</v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7.25" customHeight="1">
      <c r="A406" s="44" t="s">
        <v>27</v>
      </c>
      <c r="B406" s="44" t="s">
        <v>63</v>
      </c>
      <c r="C406" s="44" t="s">
        <v>662</v>
      </c>
      <c r="D406" s="48" t="s">
        <v>663</v>
      </c>
      <c r="E406" s="56" t="s">
        <v>714</v>
      </c>
      <c r="F406" s="58">
        <v>0.0</v>
      </c>
      <c r="G406" s="58">
        <v>0.0</v>
      </c>
      <c r="H406" s="58">
        <v>0.0</v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7.25" customHeight="1">
      <c r="A407" s="44" t="s">
        <v>27</v>
      </c>
      <c r="B407" s="44" t="s">
        <v>63</v>
      </c>
      <c r="C407" s="44" t="s">
        <v>662</v>
      </c>
      <c r="D407" s="48" t="s">
        <v>663</v>
      </c>
      <c r="E407" s="56" t="s">
        <v>715</v>
      </c>
      <c r="F407" s="58">
        <v>0.0</v>
      </c>
      <c r="G407" s="58">
        <v>0.0</v>
      </c>
      <c r="H407" s="58">
        <v>0.0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7.25" customHeight="1">
      <c r="A408" s="44" t="s">
        <v>27</v>
      </c>
      <c r="B408" s="44" t="s">
        <v>63</v>
      </c>
      <c r="C408" s="44" t="s">
        <v>662</v>
      </c>
      <c r="D408" s="48" t="s">
        <v>663</v>
      </c>
      <c r="E408" s="56" t="s">
        <v>716</v>
      </c>
      <c r="F408" s="58">
        <v>0.0</v>
      </c>
      <c r="G408" s="58">
        <v>0.0</v>
      </c>
      <c r="H408" s="58">
        <v>0.0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7.25" customHeight="1">
      <c r="A409" s="44" t="s">
        <v>27</v>
      </c>
      <c r="B409" s="44" t="s">
        <v>63</v>
      </c>
      <c r="C409" s="44" t="s">
        <v>662</v>
      </c>
      <c r="D409" s="48" t="s">
        <v>663</v>
      </c>
      <c r="E409" s="56" t="s">
        <v>717</v>
      </c>
      <c r="F409" s="58">
        <v>0.0</v>
      </c>
      <c r="G409" s="58">
        <v>0.0</v>
      </c>
      <c r="H409" s="58">
        <v>0.0</v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7.25" customHeight="1">
      <c r="A410" s="44" t="s">
        <v>27</v>
      </c>
      <c r="B410" s="47" t="s">
        <v>63</v>
      </c>
      <c r="C410" s="44" t="s">
        <v>662</v>
      </c>
      <c r="D410" s="48" t="s">
        <v>663</v>
      </c>
      <c r="E410" s="56" t="s">
        <v>718</v>
      </c>
      <c r="F410" s="58">
        <v>0.0</v>
      </c>
      <c r="G410" s="58">
        <v>0.0</v>
      </c>
      <c r="H410" s="58">
        <v>0.0</v>
      </c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7.25" customHeight="1">
      <c r="A411" s="44" t="s">
        <v>27</v>
      </c>
      <c r="B411" s="44" t="s">
        <v>63</v>
      </c>
      <c r="C411" s="44" t="s">
        <v>662</v>
      </c>
      <c r="D411" s="48" t="s">
        <v>663</v>
      </c>
      <c r="E411" s="56" t="s">
        <v>719</v>
      </c>
      <c r="F411" s="58">
        <v>0.0</v>
      </c>
      <c r="G411" s="58">
        <v>0.0</v>
      </c>
      <c r="H411" s="58">
        <v>0.0</v>
      </c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7.25" customHeight="1">
      <c r="A412" s="44" t="s">
        <v>27</v>
      </c>
      <c r="B412" s="44" t="s">
        <v>63</v>
      </c>
      <c r="C412" s="44" t="s">
        <v>662</v>
      </c>
      <c r="D412" s="48" t="s">
        <v>663</v>
      </c>
      <c r="E412" s="56" t="s">
        <v>720</v>
      </c>
      <c r="F412" s="58">
        <v>0.0</v>
      </c>
      <c r="G412" s="58">
        <v>0.0</v>
      </c>
      <c r="H412" s="58">
        <v>0.0</v>
      </c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7.25" customHeight="1">
      <c r="A413" s="44" t="s">
        <v>27</v>
      </c>
      <c r="B413" s="44" t="s">
        <v>63</v>
      </c>
      <c r="C413" s="44" t="s">
        <v>662</v>
      </c>
      <c r="D413" s="48" t="s">
        <v>663</v>
      </c>
      <c r="E413" s="56" t="s">
        <v>723</v>
      </c>
      <c r="F413" s="58">
        <v>0.0</v>
      </c>
      <c r="G413" s="58">
        <v>0.0</v>
      </c>
      <c r="H413" s="58">
        <v>0.0</v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7.25" customHeight="1">
      <c r="A414" s="44" t="s">
        <v>27</v>
      </c>
      <c r="B414" s="47" t="s">
        <v>63</v>
      </c>
      <c r="C414" s="44" t="s">
        <v>662</v>
      </c>
      <c r="D414" s="48" t="s">
        <v>663</v>
      </c>
      <c r="E414" s="56" t="s">
        <v>724</v>
      </c>
      <c r="F414" s="58">
        <v>0.0</v>
      </c>
      <c r="G414" s="58">
        <v>0.0</v>
      </c>
      <c r="H414" s="58">
        <v>0.0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7.25" customHeight="1">
      <c r="A415" s="44" t="s">
        <v>27</v>
      </c>
      <c r="B415" s="44" t="s">
        <v>63</v>
      </c>
      <c r="C415" s="44" t="s">
        <v>662</v>
      </c>
      <c r="D415" s="48" t="s">
        <v>663</v>
      </c>
      <c r="E415" s="56" t="s">
        <v>725</v>
      </c>
      <c r="F415" s="58">
        <v>0.0</v>
      </c>
      <c r="G415" s="58">
        <v>0.0</v>
      </c>
      <c r="H415" s="58">
        <v>0.0</v>
      </c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7.25" customHeight="1">
      <c r="A416" s="44" t="s">
        <v>27</v>
      </c>
      <c r="B416" s="44" t="s">
        <v>63</v>
      </c>
      <c r="C416" s="44" t="s">
        <v>662</v>
      </c>
      <c r="D416" s="48" t="s">
        <v>663</v>
      </c>
      <c r="E416" s="56" t="s">
        <v>726</v>
      </c>
      <c r="F416" s="58">
        <v>0.0</v>
      </c>
      <c r="G416" s="58">
        <v>0.0</v>
      </c>
      <c r="H416" s="58">
        <v>0.0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7.25" customHeight="1">
      <c r="A417" s="44" t="s">
        <v>27</v>
      </c>
      <c r="B417" s="44" t="s">
        <v>63</v>
      </c>
      <c r="C417" s="44" t="s">
        <v>662</v>
      </c>
      <c r="D417" s="48" t="s">
        <v>663</v>
      </c>
      <c r="E417" s="56" t="s">
        <v>727</v>
      </c>
      <c r="F417" s="58">
        <v>0.0</v>
      </c>
      <c r="G417" s="58">
        <v>0.0</v>
      </c>
      <c r="H417" s="58">
        <v>0.0</v>
      </c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7.25" customHeight="1">
      <c r="A418" s="44" t="s">
        <v>27</v>
      </c>
      <c r="B418" s="44" t="s">
        <v>63</v>
      </c>
      <c r="C418" s="44" t="s">
        <v>662</v>
      </c>
      <c r="D418" s="48" t="s">
        <v>663</v>
      </c>
      <c r="E418" s="56" t="s">
        <v>728</v>
      </c>
      <c r="F418" s="58">
        <v>0.0</v>
      </c>
      <c r="G418" s="58">
        <v>0.0</v>
      </c>
      <c r="H418" s="58">
        <v>0.0</v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7.25" customHeight="1">
      <c r="A419" s="44" t="s">
        <v>27</v>
      </c>
      <c r="B419" s="47" t="s">
        <v>91</v>
      </c>
      <c r="C419" s="44" t="s">
        <v>67</v>
      </c>
      <c r="D419" s="48" t="s">
        <v>66</v>
      </c>
      <c r="E419" s="56" t="s">
        <v>729</v>
      </c>
      <c r="F419" s="58">
        <v>1999.0</v>
      </c>
      <c r="G419" s="58">
        <v>2.32811E7</v>
      </c>
      <c r="H419" s="58">
        <v>4157060.0</v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7.25" customHeight="1">
      <c r="A420" s="44" t="s">
        <v>27</v>
      </c>
      <c r="B420" s="47" t="s">
        <v>91</v>
      </c>
      <c r="C420" s="44" t="s">
        <v>67</v>
      </c>
      <c r="D420" s="48" t="s">
        <v>66</v>
      </c>
      <c r="E420" s="56" t="s">
        <v>730</v>
      </c>
      <c r="F420" s="58">
        <v>0.0</v>
      </c>
      <c r="G420" s="58">
        <v>0.0</v>
      </c>
      <c r="H420" s="58">
        <v>0.0</v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7.25" customHeight="1">
      <c r="A421" s="44" t="s">
        <v>27</v>
      </c>
      <c r="B421" s="47" t="s">
        <v>99</v>
      </c>
      <c r="C421" s="44" t="s">
        <v>564</v>
      </c>
      <c r="D421" s="48" t="s">
        <v>563</v>
      </c>
      <c r="E421" s="56" t="s">
        <v>731</v>
      </c>
      <c r="F421" s="58">
        <v>0.0</v>
      </c>
      <c r="G421" s="58">
        <v>0.0</v>
      </c>
      <c r="H421" s="58">
        <v>0.0</v>
      </c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7.25" customHeight="1">
      <c r="A422" s="44" t="s">
        <v>27</v>
      </c>
      <c r="B422" s="47" t="s">
        <v>91</v>
      </c>
      <c r="C422" s="44" t="s">
        <v>732</v>
      </c>
      <c r="D422" s="48" t="s">
        <v>733</v>
      </c>
      <c r="E422" s="56" t="s">
        <v>734</v>
      </c>
      <c r="F422" s="58">
        <v>0.0</v>
      </c>
      <c r="G422" s="58">
        <v>0.0</v>
      </c>
      <c r="H422" s="58">
        <v>0.0</v>
      </c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7.25" customHeight="1">
      <c r="A423" s="44" t="s">
        <v>27</v>
      </c>
      <c r="B423" s="47" t="s">
        <v>91</v>
      </c>
      <c r="C423" s="44" t="s">
        <v>31</v>
      </c>
      <c r="D423" s="48" t="s">
        <v>30</v>
      </c>
      <c r="E423" s="56" t="s">
        <v>737</v>
      </c>
      <c r="F423" s="58">
        <v>1.0</v>
      </c>
      <c r="G423" s="58">
        <v>57900.0</v>
      </c>
      <c r="H423" s="58">
        <v>10000.0</v>
      </c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7.25" customHeight="1">
      <c r="A424" s="44" t="s">
        <v>27</v>
      </c>
      <c r="B424" s="47" t="s">
        <v>91</v>
      </c>
      <c r="C424" s="44" t="s">
        <v>31</v>
      </c>
      <c r="D424" s="48" t="s">
        <v>30</v>
      </c>
      <c r="E424" s="56" t="s">
        <v>738</v>
      </c>
      <c r="F424" s="58">
        <v>1.0</v>
      </c>
      <c r="G424" s="58">
        <v>43900.0</v>
      </c>
      <c r="H424" s="58">
        <v>8380.0</v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7.25" customHeight="1">
      <c r="A425" s="44" t="s">
        <v>27</v>
      </c>
      <c r="B425" s="47" t="s">
        <v>91</v>
      </c>
      <c r="C425" s="44" t="s">
        <v>31</v>
      </c>
      <c r="D425" s="48" t="s">
        <v>30</v>
      </c>
      <c r="E425" s="56" t="s">
        <v>739</v>
      </c>
      <c r="F425" s="58">
        <v>0.0</v>
      </c>
      <c r="G425" s="58">
        <v>0.0</v>
      </c>
      <c r="H425" s="58">
        <v>0.0</v>
      </c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7.25" customHeight="1">
      <c r="A426" s="44" t="s">
        <v>27</v>
      </c>
      <c r="B426" s="47" t="s">
        <v>91</v>
      </c>
      <c r="C426" s="44" t="s">
        <v>31</v>
      </c>
      <c r="D426" s="48" t="s">
        <v>30</v>
      </c>
      <c r="E426" s="56" t="s">
        <v>740</v>
      </c>
      <c r="F426" s="58">
        <v>0.0</v>
      </c>
      <c r="G426" s="58">
        <v>0.0</v>
      </c>
      <c r="H426" s="58">
        <v>0.0</v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7.25" customHeight="1">
      <c r="A427" s="44" t="s">
        <v>27</v>
      </c>
      <c r="B427" s="47" t="s">
        <v>91</v>
      </c>
      <c r="C427" s="44" t="s">
        <v>31</v>
      </c>
      <c r="D427" s="48" t="s">
        <v>30</v>
      </c>
      <c r="E427" s="56" t="s">
        <v>741</v>
      </c>
      <c r="F427" s="58">
        <v>0.0</v>
      </c>
      <c r="G427" s="58">
        <v>0.0</v>
      </c>
      <c r="H427" s="58">
        <v>0.0</v>
      </c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7.25" customHeight="1">
      <c r="A428" s="44" t="s">
        <v>27</v>
      </c>
      <c r="B428" s="47" t="s">
        <v>91</v>
      </c>
      <c r="C428" s="44" t="s">
        <v>31</v>
      </c>
      <c r="D428" s="48" t="s">
        <v>30</v>
      </c>
      <c r="E428" s="56" t="s">
        <v>742</v>
      </c>
      <c r="F428" s="58">
        <v>1.0</v>
      </c>
      <c r="G428" s="58">
        <v>15000.0</v>
      </c>
      <c r="H428" s="58">
        <v>2790.0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7.25" customHeight="1">
      <c r="A429" s="44" t="s">
        <v>27</v>
      </c>
      <c r="B429" s="47" t="s">
        <v>91</v>
      </c>
      <c r="C429" s="44" t="s">
        <v>31</v>
      </c>
      <c r="D429" s="48" t="s">
        <v>30</v>
      </c>
      <c r="E429" s="56" t="s">
        <v>743</v>
      </c>
      <c r="F429" s="58">
        <v>0.0</v>
      </c>
      <c r="G429" s="58">
        <v>0.0</v>
      </c>
      <c r="H429" s="58">
        <v>0.0</v>
      </c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7.25" customHeight="1">
      <c r="A430" s="44" t="s">
        <v>27</v>
      </c>
      <c r="B430" s="47" t="s">
        <v>91</v>
      </c>
      <c r="C430" s="44" t="s">
        <v>31</v>
      </c>
      <c r="D430" s="48" t="s">
        <v>30</v>
      </c>
      <c r="E430" s="56" t="s">
        <v>746</v>
      </c>
      <c r="F430" s="58">
        <v>5.0</v>
      </c>
      <c r="G430" s="58">
        <v>199500.0</v>
      </c>
      <c r="H430" s="58">
        <v>25160.0</v>
      </c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7.25" customHeight="1">
      <c r="A431" s="44" t="s">
        <v>27</v>
      </c>
      <c r="B431" s="47" t="s">
        <v>91</v>
      </c>
      <c r="C431" s="44" t="s">
        <v>31</v>
      </c>
      <c r="D431" s="48" t="s">
        <v>30</v>
      </c>
      <c r="E431" s="56" t="s">
        <v>747</v>
      </c>
      <c r="F431" s="58">
        <v>0.0</v>
      </c>
      <c r="G431" s="58">
        <v>0.0</v>
      </c>
      <c r="H431" s="58">
        <v>0.0</v>
      </c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7.25" customHeight="1">
      <c r="A432" s="44" t="s">
        <v>27</v>
      </c>
      <c r="B432" s="47" t="s">
        <v>91</v>
      </c>
      <c r="C432" s="44" t="s">
        <v>31</v>
      </c>
      <c r="D432" s="48" t="s">
        <v>30</v>
      </c>
      <c r="E432" s="56" t="s">
        <v>748</v>
      </c>
      <c r="F432" s="58">
        <v>0.0</v>
      </c>
      <c r="G432" s="58">
        <v>0.0</v>
      </c>
      <c r="H432" s="58">
        <v>0.0</v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7.25" customHeight="1">
      <c r="A433" s="44" t="s">
        <v>27</v>
      </c>
      <c r="B433" s="47" t="s">
        <v>91</v>
      </c>
      <c r="C433" s="44" t="s">
        <v>533</v>
      </c>
      <c r="D433" s="48" t="s">
        <v>532</v>
      </c>
      <c r="E433" s="56" t="s">
        <v>749</v>
      </c>
      <c r="F433" s="58">
        <v>0.0</v>
      </c>
      <c r="G433" s="58">
        <v>0.0</v>
      </c>
      <c r="H433" s="58">
        <v>0.0</v>
      </c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7.25" customHeight="1">
      <c r="A434" s="44" t="s">
        <v>27</v>
      </c>
      <c r="B434" s="47" t="s">
        <v>91</v>
      </c>
      <c r="C434" s="44" t="s">
        <v>533</v>
      </c>
      <c r="D434" s="48" t="s">
        <v>532</v>
      </c>
      <c r="E434" s="56" t="s">
        <v>750</v>
      </c>
      <c r="F434" s="58">
        <v>0.0</v>
      </c>
      <c r="G434" s="58">
        <v>0.0</v>
      </c>
      <c r="H434" s="58">
        <v>0.0</v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7.25" customHeight="1">
      <c r="A435" s="44" t="s">
        <v>27</v>
      </c>
      <c r="B435" s="47" t="s">
        <v>91</v>
      </c>
      <c r="C435" s="44" t="s">
        <v>533</v>
      </c>
      <c r="D435" s="48" t="s">
        <v>532</v>
      </c>
      <c r="E435" s="56" t="s">
        <v>751</v>
      </c>
      <c r="F435" s="58">
        <v>0.0</v>
      </c>
      <c r="G435" s="58">
        <v>0.0</v>
      </c>
      <c r="H435" s="58">
        <v>0.0</v>
      </c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7.25" customHeight="1">
      <c r="A436" s="44" t="s">
        <v>27</v>
      </c>
      <c r="B436" s="47" t="s">
        <v>91</v>
      </c>
      <c r="C436" s="44" t="s">
        <v>533</v>
      </c>
      <c r="D436" s="48" t="s">
        <v>532</v>
      </c>
      <c r="E436" s="56" t="s">
        <v>752</v>
      </c>
      <c r="F436" s="58">
        <v>0.0</v>
      </c>
      <c r="G436" s="58">
        <v>0.0</v>
      </c>
      <c r="H436" s="58">
        <v>0.0</v>
      </c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7.25" customHeight="1">
      <c r="A437" s="44" t="s">
        <v>27</v>
      </c>
      <c r="B437" s="47" t="s">
        <v>91</v>
      </c>
      <c r="C437" s="44" t="s">
        <v>533</v>
      </c>
      <c r="D437" s="48" t="s">
        <v>532</v>
      </c>
      <c r="E437" s="56" t="s">
        <v>753</v>
      </c>
      <c r="F437" s="58">
        <v>3.0</v>
      </c>
      <c r="G437" s="58">
        <v>95700.0</v>
      </c>
      <c r="H437" s="58">
        <v>18180.0</v>
      </c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7.25" customHeight="1">
      <c r="A438" s="44" t="s">
        <v>27</v>
      </c>
      <c r="B438" s="47" t="s">
        <v>91</v>
      </c>
      <c r="C438" s="44" t="s">
        <v>533</v>
      </c>
      <c r="D438" s="48" t="s">
        <v>532</v>
      </c>
      <c r="E438" s="56" t="s">
        <v>754</v>
      </c>
      <c r="F438" s="58">
        <v>1.0</v>
      </c>
      <c r="G438" s="58">
        <v>29900.0</v>
      </c>
      <c r="H438" s="58">
        <v>5680.0</v>
      </c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7.25" customHeight="1">
      <c r="A439" s="44" t="s">
        <v>27</v>
      </c>
      <c r="B439" s="47" t="s">
        <v>91</v>
      </c>
      <c r="C439" s="44" t="s">
        <v>533</v>
      </c>
      <c r="D439" s="48" t="s">
        <v>532</v>
      </c>
      <c r="E439" s="56" t="s">
        <v>755</v>
      </c>
      <c r="F439" s="58">
        <v>0.0</v>
      </c>
      <c r="G439" s="58">
        <v>0.0</v>
      </c>
      <c r="H439" s="58">
        <v>0.0</v>
      </c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7.25" customHeight="1">
      <c r="A440" s="44" t="s">
        <v>27</v>
      </c>
      <c r="B440" s="47" t="s">
        <v>91</v>
      </c>
      <c r="C440" s="44" t="s">
        <v>533</v>
      </c>
      <c r="D440" s="48" t="s">
        <v>532</v>
      </c>
      <c r="E440" s="56" t="s">
        <v>756</v>
      </c>
      <c r="F440" s="58">
        <v>0.0</v>
      </c>
      <c r="G440" s="58">
        <v>0.0</v>
      </c>
      <c r="H440" s="58">
        <v>0.0</v>
      </c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7.25" customHeight="1">
      <c r="A441" s="44" t="s">
        <v>27</v>
      </c>
      <c r="B441" s="47" t="s">
        <v>91</v>
      </c>
      <c r="C441" s="44" t="s">
        <v>533</v>
      </c>
      <c r="D441" s="48" t="s">
        <v>532</v>
      </c>
      <c r="E441" s="56" t="s">
        <v>757</v>
      </c>
      <c r="F441" s="58">
        <v>0.0</v>
      </c>
      <c r="G441" s="58">
        <v>0.0</v>
      </c>
      <c r="H441" s="58">
        <v>0.0</v>
      </c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7.25" customHeight="1">
      <c r="A442" s="44" t="s">
        <v>27</v>
      </c>
      <c r="B442" s="47" t="s">
        <v>91</v>
      </c>
      <c r="C442" s="44" t="s">
        <v>533</v>
      </c>
      <c r="D442" s="48" t="s">
        <v>532</v>
      </c>
      <c r="E442" s="56" t="s">
        <v>758</v>
      </c>
      <c r="F442" s="58">
        <v>0.0</v>
      </c>
      <c r="G442" s="58">
        <v>0.0</v>
      </c>
      <c r="H442" s="58">
        <v>0.0</v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7.25" customHeight="1">
      <c r="A443" s="44" t="s">
        <v>27</v>
      </c>
      <c r="B443" s="47" t="s">
        <v>91</v>
      </c>
      <c r="C443" s="44" t="s">
        <v>533</v>
      </c>
      <c r="D443" s="48" t="s">
        <v>532</v>
      </c>
      <c r="E443" s="56" t="s">
        <v>761</v>
      </c>
      <c r="F443" s="58">
        <v>0.0</v>
      </c>
      <c r="G443" s="58">
        <v>0.0</v>
      </c>
      <c r="H443" s="58">
        <v>0.0</v>
      </c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7.25" customHeight="1">
      <c r="A444" s="44" t="s">
        <v>27</v>
      </c>
      <c r="B444" s="47" t="s">
        <v>91</v>
      </c>
      <c r="C444" s="44" t="s">
        <v>533</v>
      </c>
      <c r="D444" s="48" t="s">
        <v>532</v>
      </c>
      <c r="E444" s="56" t="s">
        <v>764</v>
      </c>
      <c r="F444" s="58">
        <v>0.0</v>
      </c>
      <c r="G444" s="58">
        <v>0.0</v>
      </c>
      <c r="H444" s="58">
        <v>0.0</v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7.25" customHeight="1">
      <c r="A445" s="44" t="s">
        <v>27</v>
      </c>
      <c r="B445" s="47" t="s">
        <v>91</v>
      </c>
      <c r="C445" s="44" t="s">
        <v>533</v>
      </c>
      <c r="D445" s="48" t="s">
        <v>532</v>
      </c>
      <c r="E445" s="56" t="s">
        <v>765</v>
      </c>
      <c r="F445" s="58">
        <v>0.0</v>
      </c>
      <c r="G445" s="58">
        <v>0.0</v>
      </c>
      <c r="H445" s="58">
        <v>0.0</v>
      </c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7.25" customHeight="1">
      <c r="A446" s="44" t="s">
        <v>27</v>
      </c>
      <c r="B446" s="47" t="s">
        <v>91</v>
      </c>
      <c r="C446" s="44" t="s">
        <v>533</v>
      </c>
      <c r="D446" s="48" t="s">
        <v>532</v>
      </c>
      <c r="E446" s="56" t="s">
        <v>766</v>
      </c>
      <c r="F446" s="58">
        <v>0.0</v>
      </c>
      <c r="G446" s="58">
        <v>0.0</v>
      </c>
      <c r="H446" s="58">
        <v>0.0</v>
      </c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7.25" customHeight="1">
      <c r="A447" s="44" t="s">
        <v>27</v>
      </c>
      <c r="B447" s="47" t="s">
        <v>91</v>
      </c>
      <c r="C447" s="44" t="s">
        <v>533</v>
      </c>
      <c r="D447" s="48" t="s">
        <v>532</v>
      </c>
      <c r="E447" s="56" t="s">
        <v>767</v>
      </c>
      <c r="F447" s="58">
        <v>0.0</v>
      </c>
      <c r="G447" s="58">
        <v>0.0</v>
      </c>
      <c r="H447" s="58">
        <v>0.0</v>
      </c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7.25" customHeight="1">
      <c r="A448" s="44" t="s">
        <v>27</v>
      </c>
      <c r="B448" s="47" t="s">
        <v>91</v>
      </c>
      <c r="C448" s="44" t="s">
        <v>533</v>
      </c>
      <c r="D448" s="48" t="s">
        <v>532</v>
      </c>
      <c r="E448" s="56" t="s">
        <v>768</v>
      </c>
      <c r="F448" s="58">
        <v>0.0</v>
      </c>
      <c r="G448" s="58">
        <v>0.0</v>
      </c>
      <c r="H448" s="58">
        <v>0.0</v>
      </c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7.25" customHeight="1">
      <c r="A449" s="44" t="s">
        <v>27</v>
      </c>
      <c r="B449" s="47" t="s">
        <v>91</v>
      </c>
      <c r="C449" s="44" t="s">
        <v>533</v>
      </c>
      <c r="D449" s="48" t="s">
        <v>532</v>
      </c>
      <c r="E449" s="56" t="s">
        <v>769</v>
      </c>
      <c r="F449" s="58">
        <v>0.0</v>
      </c>
      <c r="G449" s="58">
        <v>0.0</v>
      </c>
      <c r="H449" s="58">
        <v>0.0</v>
      </c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7.25" customHeight="1">
      <c r="A450" s="44" t="s">
        <v>27</v>
      </c>
      <c r="B450" s="47" t="s">
        <v>91</v>
      </c>
      <c r="C450" s="44" t="s">
        <v>533</v>
      </c>
      <c r="D450" s="48" t="s">
        <v>532</v>
      </c>
      <c r="E450" s="56" t="s">
        <v>770</v>
      </c>
      <c r="F450" s="58">
        <v>0.0</v>
      </c>
      <c r="G450" s="58">
        <v>0.0</v>
      </c>
      <c r="H450" s="58">
        <v>0.0</v>
      </c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7.25" customHeight="1">
      <c r="A451" s="44" t="s">
        <v>27</v>
      </c>
      <c r="B451" s="47" t="s">
        <v>91</v>
      </c>
      <c r="C451" s="44" t="s">
        <v>533</v>
      </c>
      <c r="D451" s="48" t="s">
        <v>532</v>
      </c>
      <c r="E451" s="56" t="s">
        <v>773</v>
      </c>
      <c r="F451" s="58">
        <v>0.0</v>
      </c>
      <c r="G451" s="58">
        <v>0.0</v>
      </c>
      <c r="H451" s="58">
        <v>0.0</v>
      </c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7.25" customHeight="1">
      <c r="A452" s="44" t="s">
        <v>27</v>
      </c>
      <c r="B452" s="47" t="s">
        <v>91</v>
      </c>
      <c r="C452" s="44" t="s">
        <v>533</v>
      </c>
      <c r="D452" s="48" t="s">
        <v>532</v>
      </c>
      <c r="E452" s="56" t="s">
        <v>774</v>
      </c>
      <c r="F452" s="58">
        <v>2.0</v>
      </c>
      <c r="G452" s="58">
        <v>200000.0</v>
      </c>
      <c r="H452" s="58">
        <v>20000.0</v>
      </c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7.25" customHeight="1">
      <c r="A453" s="44" t="s">
        <v>27</v>
      </c>
      <c r="B453" s="47" t="s">
        <v>91</v>
      </c>
      <c r="C453" s="44" t="s">
        <v>533</v>
      </c>
      <c r="D453" s="48" t="s">
        <v>532</v>
      </c>
      <c r="E453" s="56" t="s">
        <v>777</v>
      </c>
      <c r="F453" s="58">
        <v>0.0</v>
      </c>
      <c r="G453" s="58">
        <v>0.0</v>
      </c>
      <c r="H453" s="58">
        <v>0.0</v>
      </c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7.25" customHeight="1">
      <c r="A454" s="44" t="s">
        <v>27</v>
      </c>
      <c r="B454" s="47" t="s">
        <v>91</v>
      </c>
      <c r="C454" s="44" t="s">
        <v>778</v>
      </c>
      <c r="D454" s="48" t="s">
        <v>779</v>
      </c>
      <c r="E454" s="56" t="s">
        <v>780</v>
      </c>
      <c r="F454" s="58">
        <v>0.0</v>
      </c>
      <c r="G454" s="58">
        <v>0.0</v>
      </c>
      <c r="H454" s="58">
        <v>0.0</v>
      </c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7.25" customHeight="1">
      <c r="A455" s="44" t="s">
        <v>27</v>
      </c>
      <c r="B455" s="47" t="s">
        <v>91</v>
      </c>
      <c r="C455" s="44" t="s">
        <v>778</v>
      </c>
      <c r="D455" s="48" t="s">
        <v>779</v>
      </c>
      <c r="E455" s="56" t="s">
        <v>781</v>
      </c>
      <c r="F455" s="58">
        <v>0.0</v>
      </c>
      <c r="G455" s="58">
        <v>0.0</v>
      </c>
      <c r="H455" s="58">
        <v>0.0</v>
      </c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7.25" customHeight="1">
      <c r="A456" s="44" t="s">
        <v>27</v>
      </c>
      <c r="B456" s="47" t="s">
        <v>91</v>
      </c>
      <c r="C456" s="44" t="s">
        <v>778</v>
      </c>
      <c r="D456" s="48" t="s">
        <v>779</v>
      </c>
      <c r="E456" s="56" t="s">
        <v>782</v>
      </c>
      <c r="F456" s="58">
        <v>0.0</v>
      </c>
      <c r="G456" s="58">
        <v>0.0</v>
      </c>
      <c r="H456" s="58">
        <v>0.0</v>
      </c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7.25" customHeight="1">
      <c r="A457" s="44" t="s">
        <v>27</v>
      </c>
      <c r="B457" s="47" t="s">
        <v>91</v>
      </c>
      <c r="C457" s="44" t="s">
        <v>778</v>
      </c>
      <c r="D457" s="48" t="s">
        <v>779</v>
      </c>
      <c r="E457" s="56" t="s">
        <v>783</v>
      </c>
      <c r="F457" s="58">
        <v>0.0</v>
      </c>
      <c r="G457" s="58">
        <v>0.0</v>
      </c>
      <c r="H457" s="58">
        <v>0.0</v>
      </c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7.25" customHeight="1">
      <c r="A458" s="44" t="s">
        <v>27</v>
      </c>
      <c r="B458" s="44" t="s">
        <v>63</v>
      </c>
      <c r="C458" s="44" t="s">
        <v>778</v>
      </c>
      <c r="D458" s="48" t="s">
        <v>779</v>
      </c>
      <c r="E458" s="56" t="s">
        <v>784</v>
      </c>
      <c r="F458" s="58">
        <v>0.0</v>
      </c>
      <c r="G458" s="58">
        <v>0.0</v>
      </c>
      <c r="H458" s="58">
        <v>0.0</v>
      </c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7.25" customHeight="1">
      <c r="A459" s="44" t="s">
        <v>27</v>
      </c>
      <c r="B459" s="44" t="s">
        <v>63</v>
      </c>
      <c r="C459" s="44" t="s">
        <v>778</v>
      </c>
      <c r="D459" s="48" t="s">
        <v>779</v>
      </c>
      <c r="E459" s="56" t="s">
        <v>785</v>
      </c>
      <c r="F459" s="58">
        <v>0.0</v>
      </c>
      <c r="G459" s="58">
        <v>0.0</v>
      </c>
      <c r="H459" s="58">
        <v>0.0</v>
      </c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7.25" customHeight="1">
      <c r="A460" s="44" t="s">
        <v>27</v>
      </c>
      <c r="B460" s="47" t="s">
        <v>91</v>
      </c>
      <c r="C460" s="44" t="s">
        <v>778</v>
      </c>
      <c r="D460" s="48" t="s">
        <v>779</v>
      </c>
      <c r="E460" s="56" t="s">
        <v>786</v>
      </c>
      <c r="F460" s="58">
        <v>0.0</v>
      </c>
      <c r="G460" s="58">
        <v>0.0</v>
      </c>
      <c r="H460" s="58">
        <v>0.0</v>
      </c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7.25" customHeight="1">
      <c r="A461" s="44" t="s">
        <v>27</v>
      </c>
      <c r="B461" s="47" t="s">
        <v>91</v>
      </c>
      <c r="C461" s="44" t="s">
        <v>778</v>
      </c>
      <c r="D461" s="48" t="s">
        <v>779</v>
      </c>
      <c r="E461" s="56" t="s">
        <v>787</v>
      </c>
      <c r="F461" s="58">
        <v>0.0</v>
      </c>
      <c r="G461" s="58">
        <v>0.0</v>
      </c>
      <c r="H461" s="58">
        <v>0.0</v>
      </c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7.25" customHeight="1">
      <c r="A462" s="44" t="s">
        <v>27</v>
      </c>
      <c r="B462" s="47" t="s">
        <v>91</v>
      </c>
      <c r="C462" s="44" t="s">
        <v>790</v>
      </c>
      <c r="D462" s="48" t="s">
        <v>791</v>
      </c>
      <c r="E462" s="56" t="s">
        <v>792</v>
      </c>
      <c r="F462" s="58">
        <v>2255.0</v>
      </c>
      <c r="G462" s="58">
        <v>1.39759E7</v>
      </c>
      <c r="H462" s="58">
        <v>2783730.0</v>
      </c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7.25" customHeight="1">
      <c r="A463" s="44" t="s">
        <v>27</v>
      </c>
      <c r="B463" s="47" t="s">
        <v>91</v>
      </c>
      <c r="C463" s="44" t="s">
        <v>793</v>
      </c>
      <c r="D463" s="48" t="s">
        <v>794</v>
      </c>
      <c r="E463" s="56" t="s">
        <v>795</v>
      </c>
      <c r="F463" s="58">
        <v>19.0</v>
      </c>
      <c r="G463" s="58">
        <v>254600.0</v>
      </c>
      <c r="H463" s="58">
        <v>47820.0</v>
      </c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7.25" customHeight="1">
      <c r="A464" s="44" t="s">
        <v>27</v>
      </c>
      <c r="B464" s="47" t="s">
        <v>91</v>
      </c>
      <c r="C464" s="44" t="s">
        <v>796</v>
      </c>
      <c r="D464" s="48" t="s">
        <v>797</v>
      </c>
      <c r="E464" s="56" t="s">
        <v>798</v>
      </c>
      <c r="F464" s="58">
        <v>7.0</v>
      </c>
      <c r="G464" s="58">
        <v>268100.0</v>
      </c>
      <c r="H464" s="58">
        <v>52990.0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7.25" customHeight="1">
      <c r="A465" s="44" t="s">
        <v>27</v>
      </c>
      <c r="B465" s="47" t="s">
        <v>91</v>
      </c>
      <c r="C465" s="44" t="s">
        <v>796</v>
      </c>
      <c r="D465" s="48" t="s">
        <v>797</v>
      </c>
      <c r="E465" s="56" t="s">
        <v>799</v>
      </c>
      <c r="F465" s="58">
        <v>716.0</v>
      </c>
      <c r="G465" s="58">
        <v>2.581525E7</v>
      </c>
      <c r="H465" s="58">
        <v>5052290.0</v>
      </c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7.25" customHeight="1">
      <c r="A466" s="44" t="s">
        <v>27</v>
      </c>
      <c r="B466" s="47" t="s">
        <v>91</v>
      </c>
      <c r="C466" s="44" t="s">
        <v>796</v>
      </c>
      <c r="D466" s="48" t="s">
        <v>797</v>
      </c>
      <c r="E466" s="56" t="s">
        <v>800</v>
      </c>
      <c r="F466" s="58">
        <v>0.0</v>
      </c>
      <c r="G466" s="58">
        <v>0.0</v>
      </c>
      <c r="H466" s="58">
        <v>0.0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7.25" customHeight="1">
      <c r="A467" s="44" t="s">
        <v>27</v>
      </c>
      <c r="B467" s="47" t="s">
        <v>91</v>
      </c>
      <c r="C467" s="44" t="s">
        <v>796</v>
      </c>
      <c r="D467" s="48" t="s">
        <v>797</v>
      </c>
      <c r="E467" s="56" t="s">
        <v>803</v>
      </c>
      <c r="F467" s="58">
        <v>0.0</v>
      </c>
      <c r="G467" s="58">
        <v>0.0</v>
      </c>
      <c r="H467" s="58">
        <v>0.0</v>
      </c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7.25" customHeight="1">
      <c r="A468" s="44" t="s">
        <v>27</v>
      </c>
      <c r="B468" s="44" t="s">
        <v>63</v>
      </c>
      <c r="C468" s="44" t="s">
        <v>804</v>
      </c>
      <c r="D468" s="48" t="s">
        <v>805</v>
      </c>
      <c r="E468" s="56" t="s">
        <v>806</v>
      </c>
      <c r="F468" s="58">
        <v>8.0</v>
      </c>
      <c r="G468" s="58">
        <v>167000.0</v>
      </c>
      <c r="H468" s="58">
        <v>28580.0</v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7.25" customHeight="1">
      <c r="A469" s="44" t="s">
        <v>27</v>
      </c>
      <c r="B469" s="44" t="s">
        <v>63</v>
      </c>
      <c r="C469" s="44" t="s">
        <v>804</v>
      </c>
      <c r="D469" s="48" t="s">
        <v>805</v>
      </c>
      <c r="E469" s="56" t="s">
        <v>807</v>
      </c>
      <c r="F469" s="58">
        <v>0.0</v>
      </c>
      <c r="G469" s="58">
        <v>0.0</v>
      </c>
      <c r="H469" s="58">
        <v>0.0</v>
      </c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7.25" customHeight="1">
      <c r="A470" s="44" t="s">
        <v>27</v>
      </c>
      <c r="B470" s="44" t="s">
        <v>63</v>
      </c>
      <c r="C470" s="44" t="s">
        <v>804</v>
      </c>
      <c r="D470" s="48" t="s">
        <v>805</v>
      </c>
      <c r="E470" s="56" t="s">
        <v>808</v>
      </c>
      <c r="F470" s="58">
        <v>0.0</v>
      </c>
      <c r="G470" s="58">
        <v>0.0</v>
      </c>
      <c r="H470" s="58">
        <v>0.0</v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7.25" customHeight="1">
      <c r="A471" s="44" t="s">
        <v>27</v>
      </c>
      <c r="B471" s="44" t="s">
        <v>63</v>
      </c>
      <c r="C471" s="44" t="s">
        <v>804</v>
      </c>
      <c r="D471" s="48" t="s">
        <v>805</v>
      </c>
      <c r="E471" s="56" t="s">
        <v>809</v>
      </c>
      <c r="F471" s="58">
        <v>1.0</v>
      </c>
      <c r="G471" s="58">
        <v>15000.0</v>
      </c>
      <c r="H471" s="58">
        <v>2850.0</v>
      </c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7.25" customHeight="1">
      <c r="A472" s="44" t="s">
        <v>27</v>
      </c>
      <c r="B472" s="44" t="s">
        <v>63</v>
      </c>
      <c r="C472" s="44" t="s">
        <v>804</v>
      </c>
      <c r="D472" s="48" t="s">
        <v>805</v>
      </c>
      <c r="E472" s="56" t="s">
        <v>811</v>
      </c>
      <c r="F472" s="58">
        <v>0.0</v>
      </c>
      <c r="G472" s="58">
        <v>0.0</v>
      </c>
      <c r="H472" s="58">
        <v>0.0</v>
      </c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7.25" customHeight="1">
      <c r="A473" s="44" t="s">
        <v>27</v>
      </c>
      <c r="B473" s="47" t="s">
        <v>99</v>
      </c>
      <c r="C473" s="44" t="s">
        <v>813</v>
      </c>
      <c r="D473" s="48" t="s">
        <v>814</v>
      </c>
      <c r="E473" s="56" t="s">
        <v>815</v>
      </c>
      <c r="F473" s="58">
        <v>125.0</v>
      </c>
      <c r="G473" s="58">
        <v>2653350.0</v>
      </c>
      <c r="H473" s="58">
        <v>379050.0</v>
      </c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7.25" customHeight="1">
      <c r="A474" s="44" t="s">
        <v>27</v>
      </c>
      <c r="B474" s="47" t="s">
        <v>99</v>
      </c>
      <c r="C474" s="44" t="s">
        <v>813</v>
      </c>
      <c r="D474" s="48" t="s">
        <v>814</v>
      </c>
      <c r="E474" s="56" t="s">
        <v>816</v>
      </c>
      <c r="F474" s="58">
        <v>1.0</v>
      </c>
      <c r="G474" s="58">
        <v>36270.0</v>
      </c>
      <c r="H474" s="58">
        <v>6850.0</v>
      </c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7.25" customHeight="1">
      <c r="A475" s="44" t="s">
        <v>27</v>
      </c>
      <c r="B475" s="47" t="s">
        <v>99</v>
      </c>
      <c r="C475" s="44" t="s">
        <v>813</v>
      </c>
      <c r="D475" s="48" t="s">
        <v>814</v>
      </c>
      <c r="E475" s="56" t="s">
        <v>817</v>
      </c>
      <c r="F475" s="58">
        <v>0.0</v>
      </c>
      <c r="G475" s="58">
        <v>0.0</v>
      </c>
      <c r="H475" s="58">
        <v>0.0</v>
      </c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7.25" customHeight="1">
      <c r="A476" s="44" t="s">
        <v>27</v>
      </c>
      <c r="B476" s="47" t="s">
        <v>99</v>
      </c>
      <c r="C476" s="44" t="s">
        <v>813</v>
      </c>
      <c r="D476" s="48" t="s">
        <v>814</v>
      </c>
      <c r="E476" s="56" t="s">
        <v>818</v>
      </c>
      <c r="F476" s="58">
        <v>0.0</v>
      </c>
      <c r="G476" s="58">
        <v>0.0</v>
      </c>
      <c r="H476" s="58">
        <v>0.0</v>
      </c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7.25" customHeight="1">
      <c r="A477" s="44" t="s">
        <v>27</v>
      </c>
      <c r="B477" s="47" t="s">
        <v>99</v>
      </c>
      <c r="C477" s="44" t="s">
        <v>813</v>
      </c>
      <c r="D477" s="48" t="s">
        <v>814</v>
      </c>
      <c r="E477" s="56" t="s">
        <v>819</v>
      </c>
      <c r="F477" s="58">
        <v>0.0</v>
      </c>
      <c r="G477" s="58">
        <v>0.0</v>
      </c>
      <c r="H477" s="58">
        <v>0.0</v>
      </c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7.25" customHeight="1">
      <c r="A478" s="44" t="s">
        <v>27</v>
      </c>
      <c r="B478" s="47" t="s">
        <v>99</v>
      </c>
      <c r="C478" s="44" t="s">
        <v>813</v>
      </c>
      <c r="D478" s="48" t="s">
        <v>814</v>
      </c>
      <c r="E478" s="56" t="s">
        <v>815</v>
      </c>
      <c r="F478" s="58">
        <v>0.0</v>
      </c>
      <c r="G478" s="58">
        <v>0.0</v>
      </c>
      <c r="H478" s="58">
        <v>0.0</v>
      </c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7.25" customHeight="1">
      <c r="A479" s="44" t="s">
        <v>27</v>
      </c>
      <c r="B479" s="47" t="s">
        <v>99</v>
      </c>
      <c r="C479" s="44" t="s">
        <v>813</v>
      </c>
      <c r="D479" s="48" t="s">
        <v>814</v>
      </c>
      <c r="E479" s="56" t="s">
        <v>820</v>
      </c>
      <c r="F479" s="58">
        <v>1217.0</v>
      </c>
      <c r="G479" s="58">
        <v>3.928344E7</v>
      </c>
      <c r="H479" s="58">
        <v>4663540.0</v>
      </c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7.25" customHeight="1">
      <c r="A480" s="44" t="s">
        <v>27</v>
      </c>
      <c r="B480" s="47" t="s">
        <v>63</v>
      </c>
      <c r="C480" s="44" t="s">
        <v>823</v>
      </c>
      <c r="D480" s="48" t="s">
        <v>824</v>
      </c>
      <c r="E480" s="56" t="s">
        <v>825</v>
      </c>
      <c r="F480" s="58">
        <v>4.0</v>
      </c>
      <c r="G480" s="58">
        <v>60000.0</v>
      </c>
      <c r="H480" s="58">
        <v>11310.0</v>
      </c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7.25" customHeight="1">
      <c r="A481" s="44" t="s">
        <v>27</v>
      </c>
      <c r="B481" s="44" t="s">
        <v>63</v>
      </c>
      <c r="C481" s="44" t="s">
        <v>823</v>
      </c>
      <c r="D481" s="48" t="s">
        <v>824</v>
      </c>
      <c r="E481" s="56" t="s">
        <v>826</v>
      </c>
      <c r="F481" s="58">
        <v>1.0</v>
      </c>
      <c r="G481" s="58">
        <v>19000.0</v>
      </c>
      <c r="H481" s="58">
        <v>3530.0</v>
      </c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7.25" customHeight="1">
      <c r="A482" s="44" t="s">
        <v>27</v>
      </c>
      <c r="B482" s="47" t="s">
        <v>63</v>
      </c>
      <c r="C482" s="44" t="s">
        <v>823</v>
      </c>
      <c r="D482" s="48" t="s">
        <v>824</v>
      </c>
      <c r="E482" s="56" t="s">
        <v>829</v>
      </c>
      <c r="F482" s="58">
        <v>0.0</v>
      </c>
      <c r="G482" s="58">
        <v>0.0</v>
      </c>
      <c r="H482" s="58">
        <v>0.0</v>
      </c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7.25" customHeight="1">
      <c r="A483" s="44" t="s">
        <v>27</v>
      </c>
      <c r="B483" s="44" t="s">
        <v>63</v>
      </c>
      <c r="C483" s="44" t="s">
        <v>823</v>
      </c>
      <c r="D483" s="48" t="s">
        <v>824</v>
      </c>
      <c r="E483" s="56" t="s">
        <v>830</v>
      </c>
      <c r="F483" s="58">
        <v>0.0</v>
      </c>
      <c r="G483" s="58">
        <v>0.0</v>
      </c>
      <c r="H483" s="58">
        <v>0.0</v>
      </c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7.25" customHeight="1">
      <c r="A484" s="44" t="s">
        <v>27</v>
      </c>
      <c r="B484" s="44" t="s">
        <v>63</v>
      </c>
      <c r="C484" s="44" t="s">
        <v>831</v>
      </c>
      <c r="D484" s="48" t="s">
        <v>832</v>
      </c>
      <c r="E484" s="56" t="s">
        <v>833</v>
      </c>
      <c r="F484" s="58">
        <v>26.0</v>
      </c>
      <c r="G484" s="58">
        <v>436400.0</v>
      </c>
      <c r="H484" s="58">
        <v>84590.0</v>
      </c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7.25" customHeight="1">
      <c r="A485" s="44" t="s">
        <v>27</v>
      </c>
      <c r="B485" s="47" t="s">
        <v>63</v>
      </c>
      <c r="C485" s="44" t="s">
        <v>831</v>
      </c>
      <c r="D485" s="48" t="s">
        <v>832</v>
      </c>
      <c r="E485" s="56" t="s">
        <v>834</v>
      </c>
      <c r="F485" s="58">
        <v>47.0</v>
      </c>
      <c r="G485" s="58">
        <v>391700.0</v>
      </c>
      <c r="H485" s="58">
        <v>75490.0</v>
      </c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7.25" customHeight="1">
      <c r="A486" s="44" t="s">
        <v>27</v>
      </c>
      <c r="B486" s="44" t="s">
        <v>63</v>
      </c>
      <c r="C486" s="44" t="s">
        <v>831</v>
      </c>
      <c r="D486" s="48" t="s">
        <v>832</v>
      </c>
      <c r="E486" s="56" t="s">
        <v>835</v>
      </c>
      <c r="F486" s="58">
        <v>0.0</v>
      </c>
      <c r="G486" s="58">
        <v>0.0</v>
      </c>
      <c r="H486" s="58">
        <v>0.0</v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7.25" customHeight="1">
      <c r="A487" s="44" t="s">
        <v>27</v>
      </c>
      <c r="B487" s="47" t="s">
        <v>91</v>
      </c>
      <c r="C487" s="44" t="s">
        <v>836</v>
      </c>
      <c r="D487" s="48" t="s">
        <v>837</v>
      </c>
      <c r="E487" s="56" t="s">
        <v>838</v>
      </c>
      <c r="F487" s="58">
        <v>0.0</v>
      </c>
      <c r="G487" s="58">
        <v>0.0</v>
      </c>
      <c r="H487" s="58">
        <v>0.0</v>
      </c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7.25" customHeight="1">
      <c r="A488" s="44" t="s">
        <v>27</v>
      </c>
      <c r="B488" s="44" t="s">
        <v>63</v>
      </c>
      <c r="C488" s="44" t="s">
        <v>836</v>
      </c>
      <c r="D488" s="48" t="s">
        <v>837</v>
      </c>
      <c r="E488" s="56" t="s">
        <v>839</v>
      </c>
      <c r="F488" s="58">
        <v>0.0</v>
      </c>
      <c r="G488" s="58">
        <v>0.0</v>
      </c>
      <c r="H488" s="58">
        <v>0.0</v>
      </c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7.25" customHeight="1">
      <c r="A489" s="44" t="s">
        <v>27</v>
      </c>
      <c r="B489" s="47" t="s">
        <v>91</v>
      </c>
      <c r="C489" s="44" t="s">
        <v>840</v>
      </c>
      <c r="D489" s="48" t="s">
        <v>841</v>
      </c>
      <c r="E489" s="56" t="s">
        <v>842</v>
      </c>
      <c r="F489" s="58">
        <v>4.0</v>
      </c>
      <c r="G489" s="58">
        <v>42000.0</v>
      </c>
      <c r="H489" s="58">
        <v>7980.0</v>
      </c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7.25" customHeight="1">
      <c r="A490" s="44" t="s">
        <v>27</v>
      </c>
      <c r="B490" s="47" t="s">
        <v>91</v>
      </c>
      <c r="C490" s="44" t="s">
        <v>840</v>
      </c>
      <c r="D490" s="48" t="s">
        <v>841</v>
      </c>
      <c r="E490" s="56" t="s">
        <v>843</v>
      </c>
      <c r="F490" s="58">
        <v>0.0</v>
      </c>
      <c r="G490" s="58">
        <v>0.0</v>
      </c>
      <c r="H490" s="58">
        <v>0.0</v>
      </c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7.25" customHeight="1">
      <c r="A491" s="44" t="s">
        <v>27</v>
      </c>
      <c r="B491" s="47" t="s">
        <v>99</v>
      </c>
      <c r="C491" s="44" t="s">
        <v>844</v>
      </c>
      <c r="D491" s="48" t="s">
        <v>845</v>
      </c>
      <c r="E491" s="56" t="s">
        <v>846</v>
      </c>
      <c r="F491" s="58">
        <v>1.0</v>
      </c>
      <c r="G491" s="58">
        <v>7900.0</v>
      </c>
      <c r="H491" s="58">
        <v>1470.0</v>
      </c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7.25" customHeight="1">
      <c r="A492" s="44" t="s">
        <v>27</v>
      </c>
      <c r="B492" s="47" t="s">
        <v>99</v>
      </c>
      <c r="C492" s="44" t="s">
        <v>844</v>
      </c>
      <c r="D492" s="48" t="s">
        <v>845</v>
      </c>
      <c r="E492" s="56" t="s">
        <v>847</v>
      </c>
      <c r="F492" s="58">
        <v>7.0</v>
      </c>
      <c r="G492" s="58">
        <v>54500.0</v>
      </c>
      <c r="H492" s="58">
        <v>9440.0</v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7.25" customHeight="1">
      <c r="A493" s="44" t="s">
        <v>27</v>
      </c>
      <c r="B493" s="47" t="s">
        <v>99</v>
      </c>
      <c r="C493" s="44" t="s">
        <v>844</v>
      </c>
      <c r="D493" s="48" t="s">
        <v>845</v>
      </c>
      <c r="E493" s="56" t="s">
        <v>852</v>
      </c>
      <c r="F493" s="58">
        <v>0.0</v>
      </c>
      <c r="G493" s="58">
        <v>0.0</v>
      </c>
      <c r="H493" s="58">
        <v>0.0</v>
      </c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7.25" customHeight="1">
      <c r="A494" s="44" t="s">
        <v>27</v>
      </c>
      <c r="B494" s="47" t="s">
        <v>99</v>
      </c>
      <c r="C494" s="44" t="s">
        <v>844</v>
      </c>
      <c r="D494" s="48" t="s">
        <v>845</v>
      </c>
      <c r="E494" s="56" t="s">
        <v>853</v>
      </c>
      <c r="F494" s="58">
        <v>2.0</v>
      </c>
      <c r="G494" s="58">
        <v>29400.0</v>
      </c>
      <c r="H494" s="58">
        <v>5400.0</v>
      </c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7.25" customHeight="1">
      <c r="A495" s="44" t="s">
        <v>27</v>
      </c>
      <c r="B495" s="47" t="s">
        <v>99</v>
      </c>
      <c r="C495" s="44" t="s">
        <v>844</v>
      </c>
      <c r="D495" s="48" t="s">
        <v>845</v>
      </c>
      <c r="E495" s="56" t="s">
        <v>854</v>
      </c>
      <c r="F495" s="58">
        <v>3.0</v>
      </c>
      <c r="G495" s="58">
        <v>41700.0</v>
      </c>
      <c r="H495" s="58">
        <v>7450.0</v>
      </c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7.25" customHeight="1">
      <c r="A496" s="44" t="s">
        <v>27</v>
      </c>
      <c r="B496" s="47" t="s">
        <v>99</v>
      </c>
      <c r="C496" s="44" t="s">
        <v>844</v>
      </c>
      <c r="D496" s="48" t="s">
        <v>845</v>
      </c>
      <c r="E496" s="56" t="s">
        <v>855</v>
      </c>
      <c r="F496" s="58">
        <v>1.0</v>
      </c>
      <c r="G496" s="58">
        <v>22500.0</v>
      </c>
      <c r="H496" s="58">
        <v>4270.0</v>
      </c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7.25" customHeight="1">
      <c r="A497" s="44" t="s">
        <v>27</v>
      </c>
      <c r="B497" s="47" t="s">
        <v>99</v>
      </c>
      <c r="C497" s="44" t="s">
        <v>844</v>
      </c>
      <c r="D497" s="48" t="s">
        <v>845</v>
      </c>
      <c r="E497" s="56" t="s">
        <v>856</v>
      </c>
      <c r="F497" s="58">
        <v>1.0</v>
      </c>
      <c r="G497" s="58">
        <v>25800.0</v>
      </c>
      <c r="H497" s="58">
        <v>4760.0</v>
      </c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7.25" customHeight="1">
      <c r="A498" s="44" t="s">
        <v>27</v>
      </c>
      <c r="B498" s="47" t="s">
        <v>99</v>
      </c>
      <c r="C498" s="44" t="s">
        <v>844</v>
      </c>
      <c r="D498" s="48" t="s">
        <v>845</v>
      </c>
      <c r="E498" s="56" t="s">
        <v>857</v>
      </c>
      <c r="F498" s="58">
        <v>0.0</v>
      </c>
      <c r="G498" s="58">
        <v>0.0</v>
      </c>
      <c r="H498" s="58">
        <v>0.0</v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7.25" customHeight="1">
      <c r="A499" s="44" t="s">
        <v>27</v>
      </c>
      <c r="B499" s="47" t="s">
        <v>99</v>
      </c>
      <c r="C499" s="44" t="s">
        <v>844</v>
      </c>
      <c r="D499" s="48" t="s">
        <v>845</v>
      </c>
      <c r="E499" s="56" t="s">
        <v>858</v>
      </c>
      <c r="F499" s="58">
        <v>0.0</v>
      </c>
      <c r="G499" s="58">
        <v>0.0</v>
      </c>
      <c r="H499" s="58">
        <v>0.0</v>
      </c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7.25" customHeight="1">
      <c r="A500" s="44" t="s">
        <v>27</v>
      </c>
      <c r="B500" s="47" t="s">
        <v>99</v>
      </c>
      <c r="C500" s="44" t="s">
        <v>844</v>
      </c>
      <c r="D500" s="48" t="s">
        <v>845</v>
      </c>
      <c r="E500" s="56" t="s">
        <v>859</v>
      </c>
      <c r="F500" s="58">
        <v>0.0</v>
      </c>
      <c r="G500" s="58">
        <v>0.0</v>
      </c>
      <c r="H500" s="58">
        <v>0.0</v>
      </c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7.25" customHeight="1">
      <c r="A501" s="44" t="s">
        <v>27</v>
      </c>
      <c r="B501" s="47" t="s">
        <v>99</v>
      </c>
      <c r="C501" s="44" t="s">
        <v>844</v>
      </c>
      <c r="D501" s="48" t="s">
        <v>845</v>
      </c>
      <c r="E501" s="56" t="s">
        <v>860</v>
      </c>
      <c r="F501" s="58">
        <v>0.0</v>
      </c>
      <c r="G501" s="58">
        <v>0.0</v>
      </c>
      <c r="H501" s="58">
        <v>0.0</v>
      </c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7.25" customHeight="1">
      <c r="A502" s="44" t="s">
        <v>27</v>
      </c>
      <c r="B502" s="47" t="s">
        <v>99</v>
      </c>
      <c r="C502" s="44" t="s">
        <v>844</v>
      </c>
      <c r="D502" s="48" t="s">
        <v>845</v>
      </c>
      <c r="E502" s="56" t="s">
        <v>861</v>
      </c>
      <c r="F502" s="58">
        <v>0.0</v>
      </c>
      <c r="G502" s="58">
        <v>0.0</v>
      </c>
      <c r="H502" s="58">
        <v>0.0</v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7.25" customHeight="1">
      <c r="A503" s="44" t="s">
        <v>27</v>
      </c>
      <c r="B503" s="44" t="s">
        <v>63</v>
      </c>
      <c r="C503" s="44" t="s">
        <v>862</v>
      </c>
      <c r="D503" s="48" t="s">
        <v>863</v>
      </c>
      <c r="E503" s="56" t="s">
        <v>864</v>
      </c>
      <c r="F503" s="58">
        <v>0.0</v>
      </c>
      <c r="G503" s="58">
        <v>0.0</v>
      </c>
      <c r="H503" s="58">
        <v>0.0</v>
      </c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7.25" customHeight="1">
      <c r="A504" s="44" t="s">
        <v>27</v>
      </c>
      <c r="B504" s="44" t="s">
        <v>63</v>
      </c>
      <c r="C504" s="44" t="s">
        <v>862</v>
      </c>
      <c r="D504" s="48" t="s">
        <v>863</v>
      </c>
      <c r="E504" s="56" t="s">
        <v>866</v>
      </c>
      <c r="F504" s="58">
        <v>0.0</v>
      </c>
      <c r="G504" s="58">
        <v>0.0</v>
      </c>
      <c r="H504" s="58">
        <v>0.0</v>
      </c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7.25" customHeight="1">
      <c r="A505" s="44" t="s">
        <v>27</v>
      </c>
      <c r="B505" s="44" t="s">
        <v>63</v>
      </c>
      <c r="C505" s="44" t="s">
        <v>862</v>
      </c>
      <c r="D505" s="48" t="s">
        <v>863</v>
      </c>
      <c r="E505" s="56" t="s">
        <v>868</v>
      </c>
      <c r="F505" s="58">
        <v>0.0</v>
      </c>
      <c r="G505" s="58">
        <v>0.0</v>
      </c>
      <c r="H505" s="58">
        <v>0.0</v>
      </c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7.25" customHeight="1">
      <c r="A506" s="44" t="s">
        <v>27</v>
      </c>
      <c r="B506" s="44" t="s">
        <v>63</v>
      </c>
      <c r="C506" s="44" t="s">
        <v>862</v>
      </c>
      <c r="D506" s="48" t="s">
        <v>863</v>
      </c>
      <c r="E506" s="56" t="s">
        <v>869</v>
      </c>
      <c r="F506" s="58">
        <v>0.0</v>
      </c>
      <c r="G506" s="58">
        <v>0.0</v>
      </c>
      <c r="H506" s="58">
        <v>0.0</v>
      </c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7.25" customHeight="1">
      <c r="A507" s="44" t="s">
        <v>27</v>
      </c>
      <c r="B507" s="44" t="s">
        <v>63</v>
      </c>
      <c r="C507" s="44" t="s">
        <v>862</v>
      </c>
      <c r="D507" s="48" t="s">
        <v>863</v>
      </c>
      <c r="E507" s="56" t="s">
        <v>869</v>
      </c>
      <c r="F507" s="58">
        <v>0.0</v>
      </c>
      <c r="G507" s="58">
        <v>0.0</v>
      </c>
      <c r="H507" s="58">
        <v>0.0</v>
      </c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7.25" customHeight="1">
      <c r="A508" s="44" t="s">
        <v>27</v>
      </c>
      <c r="B508" s="44" t="s">
        <v>63</v>
      </c>
      <c r="C508" s="44" t="s">
        <v>862</v>
      </c>
      <c r="D508" s="48" t="s">
        <v>863</v>
      </c>
      <c r="E508" s="56" t="s">
        <v>872</v>
      </c>
      <c r="F508" s="58">
        <v>0.0</v>
      </c>
      <c r="G508" s="58">
        <v>0.0</v>
      </c>
      <c r="H508" s="58">
        <v>0.0</v>
      </c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7.25" customHeight="1">
      <c r="A509" s="44" t="s">
        <v>27</v>
      </c>
      <c r="B509" s="44" t="s">
        <v>63</v>
      </c>
      <c r="C509" s="44" t="s">
        <v>862</v>
      </c>
      <c r="D509" s="48" t="s">
        <v>863</v>
      </c>
      <c r="E509" s="56" t="s">
        <v>873</v>
      </c>
      <c r="F509" s="58">
        <v>0.0</v>
      </c>
      <c r="G509" s="58">
        <v>0.0</v>
      </c>
      <c r="H509" s="58">
        <v>0.0</v>
      </c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7.25" customHeight="1">
      <c r="A510" s="44" t="s">
        <v>27</v>
      </c>
      <c r="B510" s="44" t="s">
        <v>63</v>
      </c>
      <c r="C510" s="44" t="s">
        <v>874</v>
      </c>
      <c r="D510" s="48" t="s">
        <v>875</v>
      </c>
      <c r="E510" s="56" t="s">
        <v>876</v>
      </c>
      <c r="F510" s="58">
        <v>1.0</v>
      </c>
      <c r="G510" s="58">
        <v>30000.0</v>
      </c>
      <c r="H510" s="58">
        <v>5700.0</v>
      </c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7.25" customHeight="1">
      <c r="A511" s="44" t="s">
        <v>27</v>
      </c>
      <c r="B511" s="44" t="s">
        <v>63</v>
      </c>
      <c r="C511" s="44" t="s">
        <v>874</v>
      </c>
      <c r="D511" s="48" t="s">
        <v>875</v>
      </c>
      <c r="E511" s="56" t="s">
        <v>877</v>
      </c>
      <c r="F511" s="58">
        <v>1.0</v>
      </c>
      <c r="G511" s="58">
        <v>30000.0</v>
      </c>
      <c r="H511" s="58">
        <v>5700.0</v>
      </c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7.25" customHeight="1">
      <c r="A512" s="44" t="s">
        <v>27</v>
      </c>
      <c r="B512" s="47" t="s">
        <v>63</v>
      </c>
      <c r="C512" s="44" t="s">
        <v>874</v>
      </c>
      <c r="D512" s="48" t="s">
        <v>875</v>
      </c>
      <c r="E512" s="56" t="s">
        <v>878</v>
      </c>
      <c r="F512" s="58">
        <v>0.0</v>
      </c>
      <c r="G512" s="58">
        <v>0.0</v>
      </c>
      <c r="H512" s="58">
        <v>0.0</v>
      </c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7.25" customHeight="1">
      <c r="A513" s="44" t="s">
        <v>27</v>
      </c>
      <c r="B513" s="47" t="s">
        <v>63</v>
      </c>
      <c r="C513" s="44" t="s">
        <v>874</v>
      </c>
      <c r="D513" s="48" t="s">
        <v>875</v>
      </c>
      <c r="E513" s="56" t="s">
        <v>879</v>
      </c>
      <c r="F513" s="58">
        <v>0.0</v>
      </c>
      <c r="G513" s="58">
        <v>0.0</v>
      </c>
      <c r="H513" s="58">
        <v>0.0</v>
      </c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7.25" customHeight="1">
      <c r="A514" s="44" t="s">
        <v>27</v>
      </c>
      <c r="B514" s="44" t="s">
        <v>63</v>
      </c>
      <c r="C514" s="44" t="s">
        <v>874</v>
      </c>
      <c r="D514" s="48" t="s">
        <v>875</v>
      </c>
      <c r="E514" s="56" t="s">
        <v>880</v>
      </c>
      <c r="F514" s="58">
        <v>0.0</v>
      </c>
      <c r="G514" s="58">
        <v>0.0</v>
      </c>
      <c r="H514" s="58">
        <v>0.0</v>
      </c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7.25" customHeight="1">
      <c r="A515" s="44" t="s">
        <v>27</v>
      </c>
      <c r="B515" s="44" t="s">
        <v>63</v>
      </c>
      <c r="C515" s="44" t="s">
        <v>874</v>
      </c>
      <c r="D515" s="48" t="s">
        <v>875</v>
      </c>
      <c r="E515" s="56" t="s">
        <v>883</v>
      </c>
      <c r="F515" s="58">
        <v>0.0</v>
      </c>
      <c r="G515" s="58">
        <v>0.0</v>
      </c>
      <c r="H515" s="58">
        <v>0.0</v>
      </c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7.25" customHeight="1">
      <c r="A516" s="44" t="s">
        <v>27</v>
      </c>
      <c r="B516" s="47" t="s">
        <v>63</v>
      </c>
      <c r="C516" s="44" t="s">
        <v>874</v>
      </c>
      <c r="D516" s="48" t="s">
        <v>875</v>
      </c>
      <c r="E516" s="56" t="s">
        <v>884</v>
      </c>
      <c r="F516" s="58">
        <v>2.0</v>
      </c>
      <c r="G516" s="58">
        <v>20000.0</v>
      </c>
      <c r="H516" s="58">
        <v>3600.0</v>
      </c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7.25" customHeight="1">
      <c r="A517" s="44" t="s">
        <v>27</v>
      </c>
      <c r="B517" s="47" t="s">
        <v>63</v>
      </c>
      <c r="C517" s="44" t="s">
        <v>874</v>
      </c>
      <c r="D517" s="48" t="s">
        <v>875</v>
      </c>
      <c r="E517" s="56" t="s">
        <v>885</v>
      </c>
      <c r="F517" s="58">
        <v>1.0</v>
      </c>
      <c r="G517" s="58">
        <v>15000.0</v>
      </c>
      <c r="H517" s="58">
        <v>2400.0</v>
      </c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7.25" customHeight="1">
      <c r="A518" s="44" t="s">
        <v>27</v>
      </c>
      <c r="B518" s="44" t="s">
        <v>63</v>
      </c>
      <c r="C518" s="44" t="s">
        <v>874</v>
      </c>
      <c r="D518" s="48" t="s">
        <v>875</v>
      </c>
      <c r="E518" s="56" t="s">
        <v>886</v>
      </c>
      <c r="F518" s="58">
        <v>2.0</v>
      </c>
      <c r="G518" s="58">
        <v>60000.0</v>
      </c>
      <c r="H518" s="58">
        <v>10000.0</v>
      </c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7.25" customHeight="1">
      <c r="A519" s="44" t="s">
        <v>27</v>
      </c>
      <c r="B519" s="44" t="s">
        <v>63</v>
      </c>
      <c r="C519" s="44" t="s">
        <v>874</v>
      </c>
      <c r="D519" s="48" t="s">
        <v>875</v>
      </c>
      <c r="E519" s="56" t="s">
        <v>887</v>
      </c>
      <c r="F519" s="58">
        <v>2.0</v>
      </c>
      <c r="G519" s="58">
        <v>140000.0</v>
      </c>
      <c r="H519" s="58">
        <v>20000.0</v>
      </c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7.25" customHeight="1">
      <c r="A520" s="44" t="s">
        <v>27</v>
      </c>
      <c r="B520" s="47" t="s">
        <v>63</v>
      </c>
      <c r="C520" s="44" t="s">
        <v>888</v>
      </c>
      <c r="D520" s="48" t="s">
        <v>889</v>
      </c>
      <c r="E520" s="56" t="s">
        <v>890</v>
      </c>
      <c r="F520" s="58">
        <v>0.0</v>
      </c>
      <c r="G520" s="58">
        <v>0.0</v>
      </c>
      <c r="H520" s="58">
        <v>0.0</v>
      </c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7.25" customHeight="1">
      <c r="A521" s="44" t="s">
        <v>27</v>
      </c>
      <c r="B521" s="47" t="s">
        <v>63</v>
      </c>
      <c r="C521" s="44" t="s">
        <v>888</v>
      </c>
      <c r="D521" s="48" t="s">
        <v>889</v>
      </c>
      <c r="E521" s="56" t="s">
        <v>893</v>
      </c>
      <c r="F521" s="58">
        <v>0.0</v>
      </c>
      <c r="G521" s="58">
        <v>0.0</v>
      </c>
      <c r="H521" s="58">
        <v>0.0</v>
      </c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7.25" customHeight="1">
      <c r="A522" s="44" t="s">
        <v>27</v>
      </c>
      <c r="B522" s="47" t="s">
        <v>63</v>
      </c>
      <c r="C522" s="44" t="s">
        <v>888</v>
      </c>
      <c r="D522" s="48" t="s">
        <v>889</v>
      </c>
      <c r="E522" s="56" t="s">
        <v>894</v>
      </c>
      <c r="F522" s="58">
        <v>0.0</v>
      </c>
      <c r="G522" s="58">
        <v>0.0</v>
      </c>
      <c r="H522" s="58">
        <v>0.0</v>
      </c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7.25" customHeight="1">
      <c r="A523" s="44" t="s">
        <v>27</v>
      </c>
      <c r="B523" s="47" t="s">
        <v>63</v>
      </c>
      <c r="C523" s="44" t="s">
        <v>888</v>
      </c>
      <c r="D523" s="48" t="s">
        <v>889</v>
      </c>
      <c r="E523" s="56" t="s">
        <v>895</v>
      </c>
      <c r="F523" s="58">
        <v>0.0</v>
      </c>
      <c r="G523" s="58">
        <v>0.0</v>
      </c>
      <c r="H523" s="58">
        <v>0.0</v>
      </c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7.25" customHeight="1">
      <c r="A524" s="44" t="s">
        <v>27</v>
      </c>
      <c r="B524" s="47" t="s">
        <v>63</v>
      </c>
      <c r="C524" s="44" t="s">
        <v>888</v>
      </c>
      <c r="D524" s="48" t="s">
        <v>889</v>
      </c>
      <c r="E524" s="56" t="s">
        <v>896</v>
      </c>
      <c r="F524" s="58">
        <v>0.0</v>
      </c>
      <c r="G524" s="58">
        <v>0.0</v>
      </c>
      <c r="H524" s="58">
        <v>0.0</v>
      </c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7.25" customHeight="1">
      <c r="A525" s="44" t="s">
        <v>27</v>
      </c>
      <c r="B525" s="47" t="s">
        <v>63</v>
      </c>
      <c r="C525" s="44" t="s">
        <v>888</v>
      </c>
      <c r="D525" s="48" t="s">
        <v>889</v>
      </c>
      <c r="E525" s="56" t="s">
        <v>897</v>
      </c>
      <c r="F525" s="58">
        <v>0.0</v>
      </c>
      <c r="G525" s="58">
        <v>0.0</v>
      </c>
      <c r="H525" s="58">
        <v>0.0</v>
      </c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7.25" customHeight="1">
      <c r="A526" s="44" t="s">
        <v>27</v>
      </c>
      <c r="B526" s="47" t="s">
        <v>63</v>
      </c>
      <c r="C526" s="44" t="s">
        <v>888</v>
      </c>
      <c r="D526" s="48" t="s">
        <v>889</v>
      </c>
      <c r="E526" s="56" t="s">
        <v>900</v>
      </c>
      <c r="F526" s="58">
        <v>0.0</v>
      </c>
      <c r="G526" s="58">
        <v>0.0</v>
      </c>
      <c r="H526" s="58">
        <v>0.0</v>
      </c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7.25" customHeight="1">
      <c r="A527" s="44" t="s">
        <v>27</v>
      </c>
      <c r="B527" s="47" t="s">
        <v>63</v>
      </c>
      <c r="C527" s="44" t="s">
        <v>888</v>
      </c>
      <c r="D527" s="48" t="s">
        <v>889</v>
      </c>
      <c r="E527" s="56" t="s">
        <v>901</v>
      </c>
      <c r="F527" s="58">
        <v>0.0</v>
      </c>
      <c r="G527" s="58">
        <v>0.0</v>
      </c>
      <c r="H527" s="58">
        <v>0.0</v>
      </c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7.25" customHeight="1">
      <c r="A528" s="44" t="s">
        <v>27</v>
      </c>
      <c r="B528" s="47" t="s">
        <v>63</v>
      </c>
      <c r="C528" s="44" t="s">
        <v>888</v>
      </c>
      <c r="D528" s="48" t="s">
        <v>889</v>
      </c>
      <c r="E528" s="56" t="s">
        <v>902</v>
      </c>
      <c r="F528" s="58">
        <v>0.0</v>
      </c>
      <c r="G528" s="58">
        <v>0.0</v>
      </c>
      <c r="H528" s="58">
        <v>0.0</v>
      </c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7.25" customHeight="1">
      <c r="A529" s="44" t="s">
        <v>27</v>
      </c>
      <c r="B529" s="47" t="s">
        <v>63</v>
      </c>
      <c r="C529" s="44" t="s">
        <v>888</v>
      </c>
      <c r="D529" s="48" t="s">
        <v>889</v>
      </c>
      <c r="E529" s="56" t="s">
        <v>903</v>
      </c>
      <c r="F529" s="58">
        <v>0.0</v>
      </c>
      <c r="G529" s="58">
        <v>0.0</v>
      </c>
      <c r="H529" s="58">
        <v>0.0</v>
      </c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7.25" customHeight="1">
      <c r="A530" s="44" t="s">
        <v>27</v>
      </c>
      <c r="B530" s="47" t="s">
        <v>63</v>
      </c>
      <c r="C530" s="44" t="s">
        <v>888</v>
      </c>
      <c r="D530" s="48" t="s">
        <v>889</v>
      </c>
      <c r="E530" s="56" t="s">
        <v>904</v>
      </c>
      <c r="F530" s="58">
        <v>0.0</v>
      </c>
      <c r="G530" s="58">
        <v>0.0</v>
      </c>
      <c r="H530" s="58">
        <v>0.0</v>
      </c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7.25" customHeight="1">
      <c r="A531" s="44" t="s">
        <v>27</v>
      </c>
      <c r="B531" s="47" t="s">
        <v>63</v>
      </c>
      <c r="C531" s="44" t="s">
        <v>888</v>
      </c>
      <c r="D531" s="48" t="s">
        <v>889</v>
      </c>
      <c r="E531" s="56" t="s">
        <v>905</v>
      </c>
      <c r="F531" s="58">
        <v>0.0</v>
      </c>
      <c r="G531" s="58">
        <v>0.0</v>
      </c>
      <c r="H531" s="58">
        <v>0.0</v>
      </c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7.25" customHeight="1">
      <c r="A532" s="44" t="s">
        <v>27</v>
      </c>
      <c r="B532" s="47" t="s">
        <v>63</v>
      </c>
      <c r="C532" s="44" t="s">
        <v>888</v>
      </c>
      <c r="D532" s="48" t="s">
        <v>889</v>
      </c>
      <c r="E532" s="56" t="s">
        <v>906</v>
      </c>
      <c r="F532" s="58">
        <v>0.0</v>
      </c>
      <c r="G532" s="58">
        <v>0.0</v>
      </c>
      <c r="H532" s="58">
        <v>0.0</v>
      </c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7.25" customHeight="1">
      <c r="A533" s="44" t="s">
        <v>27</v>
      </c>
      <c r="B533" s="47" t="s">
        <v>63</v>
      </c>
      <c r="C533" s="44" t="s">
        <v>888</v>
      </c>
      <c r="D533" s="48" t="s">
        <v>889</v>
      </c>
      <c r="E533" s="56" t="s">
        <v>907</v>
      </c>
      <c r="F533" s="58">
        <v>0.0</v>
      </c>
      <c r="G533" s="58">
        <v>0.0</v>
      </c>
      <c r="H533" s="58">
        <v>0.0</v>
      </c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7.25" customHeight="1">
      <c r="A534" s="44" t="s">
        <v>27</v>
      </c>
      <c r="B534" s="47" t="s">
        <v>63</v>
      </c>
      <c r="C534" s="44" t="s">
        <v>888</v>
      </c>
      <c r="D534" s="48" t="s">
        <v>889</v>
      </c>
      <c r="E534" s="56" t="s">
        <v>910</v>
      </c>
      <c r="F534" s="58">
        <v>0.0</v>
      </c>
      <c r="G534" s="58">
        <v>0.0</v>
      </c>
      <c r="H534" s="58">
        <v>0.0</v>
      </c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7.25" customHeight="1">
      <c r="A535" s="44" t="s">
        <v>27</v>
      </c>
      <c r="B535" s="47" t="s">
        <v>63</v>
      </c>
      <c r="C535" s="44" t="s">
        <v>888</v>
      </c>
      <c r="D535" s="48" t="s">
        <v>889</v>
      </c>
      <c r="E535" s="56" t="s">
        <v>911</v>
      </c>
      <c r="F535" s="58">
        <v>0.0</v>
      </c>
      <c r="G535" s="58">
        <v>0.0</v>
      </c>
      <c r="H535" s="58">
        <v>0.0</v>
      </c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7.25" customHeight="1">
      <c r="A536" s="44" t="s">
        <v>27</v>
      </c>
      <c r="B536" s="47" t="s">
        <v>63</v>
      </c>
      <c r="C536" s="44" t="s">
        <v>888</v>
      </c>
      <c r="D536" s="48" t="s">
        <v>889</v>
      </c>
      <c r="E536" s="56" t="s">
        <v>912</v>
      </c>
      <c r="F536" s="58">
        <v>0.0</v>
      </c>
      <c r="G536" s="58">
        <v>0.0</v>
      </c>
      <c r="H536" s="58">
        <v>0.0</v>
      </c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7.25" customHeight="1">
      <c r="A537" s="44" t="s">
        <v>27</v>
      </c>
      <c r="B537" s="47" t="s">
        <v>63</v>
      </c>
      <c r="C537" s="44" t="s">
        <v>888</v>
      </c>
      <c r="D537" s="48" t="s">
        <v>889</v>
      </c>
      <c r="E537" s="56" t="s">
        <v>913</v>
      </c>
      <c r="F537" s="58">
        <v>0.0</v>
      </c>
      <c r="G537" s="58">
        <v>0.0</v>
      </c>
      <c r="H537" s="58">
        <v>0.0</v>
      </c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7.25" customHeight="1">
      <c r="A538" s="44" t="s">
        <v>27</v>
      </c>
      <c r="B538" s="47" t="s">
        <v>63</v>
      </c>
      <c r="C538" s="44" t="s">
        <v>888</v>
      </c>
      <c r="D538" s="48" t="s">
        <v>889</v>
      </c>
      <c r="E538" s="56" t="s">
        <v>914</v>
      </c>
      <c r="F538" s="58">
        <v>0.0</v>
      </c>
      <c r="G538" s="58">
        <v>0.0</v>
      </c>
      <c r="H538" s="58">
        <v>0.0</v>
      </c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7.25" customHeight="1">
      <c r="A539" s="44" t="s">
        <v>27</v>
      </c>
      <c r="B539" s="47" t="s">
        <v>63</v>
      </c>
      <c r="C539" s="44" t="s">
        <v>888</v>
      </c>
      <c r="D539" s="48" t="s">
        <v>889</v>
      </c>
      <c r="E539" s="56" t="s">
        <v>915</v>
      </c>
      <c r="F539" s="58">
        <v>0.0</v>
      </c>
      <c r="G539" s="58">
        <v>0.0</v>
      </c>
      <c r="H539" s="58">
        <v>0.0</v>
      </c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7.25" customHeight="1">
      <c r="A540" s="44" t="s">
        <v>27</v>
      </c>
      <c r="B540" s="47" t="s">
        <v>63</v>
      </c>
      <c r="C540" s="44" t="s">
        <v>888</v>
      </c>
      <c r="D540" s="48" t="s">
        <v>889</v>
      </c>
      <c r="E540" s="56" t="s">
        <v>916</v>
      </c>
      <c r="F540" s="58">
        <v>0.0</v>
      </c>
      <c r="G540" s="58">
        <v>0.0</v>
      </c>
      <c r="H540" s="58">
        <v>0.0</v>
      </c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7.25" customHeight="1">
      <c r="A541" s="44" t="s">
        <v>27</v>
      </c>
      <c r="B541" s="47" t="s">
        <v>63</v>
      </c>
      <c r="C541" s="44" t="s">
        <v>888</v>
      </c>
      <c r="D541" s="48" t="s">
        <v>889</v>
      </c>
      <c r="E541" s="56" t="s">
        <v>917</v>
      </c>
      <c r="F541" s="58">
        <v>0.0</v>
      </c>
      <c r="G541" s="58">
        <v>0.0</v>
      </c>
      <c r="H541" s="58">
        <v>0.0</v>
      </c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7.25" customHeight="1">
      <c r="A542" s="44" t="s">
        <v>27</v>
      </c>
      <c r="B542" s="47" t="s">
        <v>63</v>
      </c>
      <c r="C542" s="44" t="s">
        <v>888</v>
      </c>
      <c r="D542" s="48" t="s">
        <v>889</v>
      </c>
      <c r="E542" s="56" t="s">
        <v>918</v>
      </c>
      <c r="F542" s="58">
        <v>0.0</v>
      </c>
      <c r="G542" s="58">
        <v>0.0</v>
      </c>
      <c r="H542" s="58">
        <v>0.0</v>
      </c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7.25" customHeight="1">
      <c r="A543" s="44" t="s">
        <v>27</v>
      </c>
      <c r="B543" s="47" t="s">
        <v>63</v>
      </c>
      <c r="C543" s="44" t="s">
        <v>888</v>
      </c>
      <c r="D543" s="48" t="s">
        <v>889</v>
      </c>
      <c r="E543" s="56" t="s">
        <v>919</v>
      </c>
      <c r="F543" s="58">
        <v>0.0</v>
      </c>
      <c r="G543" s="58">
        <v>0.0</v>
      </c>
      <c r="H543" s="58">
        <v>0.0</v>
      </c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7.25" customHeight="1">
      <c r="A544" s="44" t="s">
        <v>27</v>
      </c>
      <c r="B544" s="47" t="s">
        <v>63</v>
      </c>
      <c r="C544" s="44" t="s">
        <v>888</v>
      </c>
      <c r="D544" s="48" t="s">
        <v>889</v>
      </c>
      <c r="E544" s="56" t="s">
        <v>920</v>
      </c>
      <c r="F544" s="58">
        <v>0.0</v>
      </c>
      <c r="G544" s="58">
        <v>0.0</v>
      </c>
      <c r="H544" s="58">
        <v>0.0</v>
      </c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7.25" customHeight="1">
      <c r="A545" s="44" t="s">
        <v>27</v>
      </c>
      <c r="B545" s="47" t="s">
        <v>63</v>
      </c>
      <c r="C545" s="44" t="s">
        <v>888</v>
      </c>
      <c r="D545" s="48" t="s">
        <v>889</v>
      </c>
      <c r="E545" s="56" t="s">
        <v>921</v>
      </c>
      <c r="F545" s="58">
        <v>0.0</v>
      </c>
      <c r="G545" s="58">
        <v>0.0</v>
      </c>
      <c r="H545" s="58">
        <v>0.0</v>
      </c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7.25" customHeight="1">
      <c r="A546" s="44" t="s">
        <v>27</v>
      </c>
      <c r="B546" s="47" t="s">
        <v>63</v>
      </c>
      <c r="C546" s="44" t="s">
        <v>888</v>
      </c>
      <c r="D546" s="48" t="s">
        <v>889</v>
      </c>
      <c r="E546" s="56" t="s">
        <v>922</v>
      </c>
      <c r="F546" s="58">
        <v>1.0</v>
      </c>
      <c r="G546" s="58">
        <v>38800.0</v>
      </c>
      <c r="H546" s="58">
        <v>7210.0</v>
      </c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7.25" customHeight="1">
      <c r="A547" s="44" t="s">
        <v>27</v>
      </c>
      <c r="B547" s="47" t="s">
        <v>63</v>
      </c>
      <c r="C547" s="44" t="s">
        <v>888</v>
      </c>
      <c r="D547" s="48" t="s">
        <v>889</v>
      </c>
      <c r="E547" s="56" t="s">
        <v>923</v>
      </c>
      <c r="F547" s="58">
        <v>0.0</v>
      </c>
      <c r="G547" s="58">
        <v>0.0</v>
      </c>
      <c r="H547" s="58">
        <v>0.0</v>
      </c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7.25" customHeight="1">
      <c r="A548" s="44" t="s">
        <v>27</v>
      </c>
      <c r="B548" s="47" t="s">
        <v>63</v>
      </c>
      <c r="C548" s="44" t="s">
        <v>888</v>
      </c>
      <c r="D548" s="48" t="s">
        <v>889</v>
      </c>
      <c r="E548" s="56" t="s">
        <v>924</v>
      </c>
      <c r="F548" s="58">
        <v>0.0</v>
      </c>
      <c r="G548" s="58">
        <v>0.0</v>
      </c>
      <c r="H548" s="58">
        <v>0.0</v>
      </c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7.25" customHeight="1">
      <c r="A549" s="44" t="s">
        <v>27</v>
      </c>
      <c r="B549" s="47" t="s">
        <v>63</v>
      </c>
      <c r="C549" s="44" t="s">
        <v>888</v>
      </c>
      <c r="D549" s="48" t="s">
        <v>889</v>
      </c>
      <c r="E549" s="56" t="s">
        <v>925</v>
      </c>
      <c r="F549" s="58">
        <v>1.0</v>
      </c>
      <c r="G549" s="58">
        <v>28500.0</v>
      </c>
      <c r="H549" s="58">
        <v>5350.0</v>
      </c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7.25" customHeight="1">
      <c r="A550" s="44" t="s">
        <v>27</v>
      </c>
      <c r="B550" s="47" t="s">
        <v>63</v>
      </c>
      <c r="C550" s="44" t="s">
        <v>888</v>
      </c>
      <c r="D550" s="48" t="s">
        <v>889</v>
      </c>
      <c r="E550" s="56" t="s">
        <v>926</v>
      </c>
      <c r="F550" s="58">
        <v>0.0</v>
      </c>
      <c r="G550" s="58">
        <v>0.0</v>
      </c>
      <c r="H550" s="58">
        <v>0.0</v>
      </c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7.25" customHeight="1">
      <c r="A551" s="44" t="s">
        <v>27</v>
      </c>
      <c r="B551" s="47" t="s">
        <v>63</v>
      </c>
      <c r="C551" s="44" t="s">
        <v>888</v>
      </c>
      <c r="D551" s="48" t="s">
        <v>889</v>
      </c>
      <c r="E551" s="56" t="s">
        <v>927</v>
      </c>
      <c r="F551" s="58">
        <v>0.0</v>
      </c>
      <c r="G551" s="58">
        <v>0.0</v>
      </c>
      <c r="H551" s="58">
        <v>0.0</v>
      </c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7.25" customHeight="1">
      <c r="A552" s="44" t="s">
        <v>27</v>
      </c>
      <c r="B552" s="47" t="s">
        <v>63</v>
      </c>
      <c r="C552" s="44" t="s">
        <v>888</v>
      </c>
      <c r="D552" s="48" t="s">
        <v>889</v>
      </c>
      <c r="E552" s="56" t="s">
        <v>928</v>
      </c>
      <c r="F552" s="58">
        <v>0.0</v>
      </c>
      <c r="G552" s="58">
        <v>0.0</v>
      </c>
      <c r="H552" s="58">
        <v>0.0</v>
      </c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7.25" customHeight="1">
      <c r="A553" s="44" t="s">
        <v>27</v>
      </c>
      <c r="B553" s="47" t="s">
        <v>63</v>
      </c>
      <c r="C553" s="44" t="s">
        <v>888</v>
      </c>
      <c r="D553" s="48" t="s">
        <v>889</v>
      </c>
      <c r="E553" s="56" t="s">
        <v>929</v>
      </c>
      <c r="F553" s="58">
        <v>0.0</v>
      </c>
      <c r="G553" s="58">
        <v>0.0</v>
      </c>
      <c r="H553" s="58">
        <v>0.0</v>
      </c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7.25" customHeight="1">
      <c r="A554" s="44" t="s">
        <v>27</v>
      </c>
      <c r="B554" s="47" t="s">
        <v>63</v>
      </c>
      <c r="C554" s="44" t="s">
        <v>888</v>
      </c>
      <c r="D554" s="48" t="s">
        <v>889</v>
      </c>
      <c r="E554" s="56" t="s">
        <v>930</v>
      </c>
      <c r="F554" s="58">
        <v>0.0</v>
      </c>
      <c r="G554" s="58">
        <v>0.0</v>
      </c>
      <c r="H554" s="58">
        <v>0.0</v>
      </c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7.25" customHeight="1">
      <c r="A555" s="44" t="s">
        <v>27</v>
      </c>
      <c r="B555" s="47" t="s">
        <v>63</v>
      </c>
      <c r="C555" s="44" t="s">
        <v>888</v>
      </c>
      <c r="D555" s="48" t="s">
        <v>889</v>
      </c>
      <c r="E555" s="56" t="s">
        <v>931</v>
      </c>
      <c r="F555" s="58">
        <v>0.0</v>
      </c>
      <c r="G555" s="58">
        <v>0.0</v>
      </c>
      <c r="H555" s="58">
        <v>0.0</v>
      </c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7.25" customHeight="1">
      <c r="A556" s="44" t="s">
        <v>27</v>
      </c>
      <c r="B556" s="47" t="s">
        <v>63</v>
      </c>
      <c r="C556" s="44" t="s">
        <v>888</v>
      </c>
      <c r="D556" s="48" t="s">
        <v>889</v>
      </c>
      <c r="E556" s="56" t="s">
        <v>932</v>
      </c>
      <c r="F556" s="58">
        <v>0.0</v>
      </c>
      <c r="G556" s="58">
        <v>0.0</v>
      </c>
      <c r="H556" s="58">
        <v>0.0</v>
      </c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7.25" customHeight="1">
      <c r="A557" s="44" t="s">
        <v>27</v>
      </c>
      <c r="B557" s="47" t="s">
        <v>63</v>
      </c>
      <c r="C557" s="44" t="s">
        <v>888</v>
      </c>
      <c r="D557" s="48" t="s">
        <v>889</v>
      </c>
      <c r="E557" s="56" t="s">
        <v>933</v>
      </c>
      <c r="F557" s="58">
        <v>0.0</v>
      </c>
      <c r="G557" s="58">
        <v>0.0</v>
      </c>
      <c r="H557" s="58">
        <v>0.0</v>
      </c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7.25" customHeight="1">
      <c r="A558" s="44" t="s">
        <v>27</v>
      </c>
      <c r="B558" s="47" t="s">
        <v>63</v>
      </c>
      <c r="C558" s="44" t="s">
        <v>888</v>
      </c>
      <c r="D558" s="48" t="s">
        <v>889</v>
      </c>
      <c r="E558" s="56" t="s">
        <v>934</v>
      </c>
      <c r="F558" s="58">
        <v>0.0</v>
      </c>
      <c r="G558" s="58">
        <v>0.0</v>
      </c>
      <c r="H558" s="58">
        <v>0.0</v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7.25" customHeight="1">
      <c r="A559" s="44" t="s">
        <v>27</v>
      </c>
      <c r="B559" s="47" t="s">
        <v>63</v>
      </c>
      <c r="C559" s="44" t="s">
        <v>888</v>
      </c>
      <c r="D559" s="48" t="s">
        <v>889</v>
      </c>
      <c r="E559" s="56" t="s">
        <v>935</v>
      </c>
      <c r="F559" s="58">
        <v>0.0</v>
      </c>
      <c r="G559" s="58">
        <v>0.0</v>
      </c>
      <c r="H559" s="58">
        <v>0.0</v>
      </c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7.25" customHeight="1">
      <c r="A560" s="44" t="s">
        <v>27</v>
      </c>
      <c r="B560" s="47" t="s">
        <v>63</v>
      </c>
      <c r="C560" s="44" t="s">
        <v>888</v>
      </c>
      <c r="D560" s="48" t="s">
        <v>889</v>
      </c>
      <c r="E560" s="56" t="s">
        <v>936</v>
      </c>
      <c r="F560" s="58">
        <v>0.0</v>
      </c>
      <c r="G560" s="58">
        <v>0.0</v>
      </c>
      <c r="H560" s="58">
        <v>0.0</v>
      </c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7.25" customHeight="1">
      <c r="A561" s="44" t="s">
        <v>27</v>
      </c>
      <c r="B561" s="47" t="s">
        <v>63</v>
      </c>
      <c r="C561" s="44" t="s">
        <v>888</v>
      </c>
      <c r="D561" s="48" t="s">
        <v>889</v>
      </c>
      <c r="E561" s="56" t="s">
        <v>937</v>
      </c>
      <c r="F561" s="58">
        <v>0.0</v>
      </c>
      <c r="G561" s="58">
        <v>0.0</v>
      </c>
      <c r="H561" s="58">
        <v>0.0</v>
      </c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7.25" customHeight="1">
      <c r="A562" s="44" t="s">
        <v>27</v>
      </c>
      <c r="B562" s="47" t="s">
        <v>63</v>
      </c>
      <c r="C562" s="44" t="s">
        <v>888</v>
      </c>
      <c r="D562" s="48" t="s">
        <v>889</v>
      </c>
      <c r="E562" s="56" t="s">
        <v>938</v>
      </c>
      <c r="F562" s="58">
        <v>1.0</v>
      </c>
      <c r="G562" s="58">
        <v>14700.0</v>
      </c>
      <c r="H562" s="58">
        <v>2770.0</v>
      </c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7.25" customHeight="1">
      <c r="A563" s="44" t="s">
        <v>27</v>
      </c>
      <c r="B563" s="47" t="s">
        <v>63</v>
      </c>
      <c r="C563" s="44" t="s">
        <v>888</v>
      </c>
      <c r="D563" s="48" t="s">
        <v>889</v>
      </c>
      <c r="E563" s="56" t="s">
        <v>939</v>
      </c>
      <c r="F563" s="58">
        <v>0.0</v>
      </c>
      <c r="G563" s="58">
        <v>0.0</v>
      </c>
      <c r="H563" s="58">
        <v>0.0</v>
      </c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7.25" customHeight="1">
      <c r="A564" s="44" t="s">
        <v>27</v>
      </c>
      <c r="B564" s="47" t="s">
        <v>63</v>
      </c>
      <c r="C564" s="44" t="s">
        <v>888</v>
      </c>
      <c r="D564" s="48" t="s">
        <v>889</v>
      </c>
      <c r="E564" s="56" t="s">
        <v>940</v>
      </c>
      <c r="F564" s="58">
        <v>0.0</v>
      </c>
      <c r="G564" s="58">
        <v>0.0</v>
      </c>
      <c r="H564" s="58">
        <v>0.0</v>
      </c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7.25" customHeight="1">
      <c r="A565" s="44" t="s">
        <v>27</v>
      </c>
      <c r="B565" s="47" t="s">
        <v>63</v>
      </c>
      <c r="C565" s="44" t="s">
        <v>888</v>
      </c>
      <c r="D565" s="48" t="s">
        <v>889</v>
      </c>
      <c r="E565" s="56" t="s">
        <v>941</v>
      </c>
      <c r="F565" s="58">
        <v>0.0</v>
      </c>
      <c r="G565" s="58">
        <v>0.0</v>
      </c>
      <c r="H565" s="58">
        <v>0.0</v>
      </c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7.25" customHeight="1">
      <c r="A566" s="44" t="s">
        <v>27</v>
      </c>
      <c r="B566" s="47" t="s">
        <v>63</v>
      </c>
      <c r="C566" s="44" t="s">
        <v>888</v>
      </c>
      <c r="D566" s="48" t="s">
        <v>889</v>
      </c>
      <c r="E566" s="56" t="s">
        <v>942</v>
      </c>
      <c r="F566" s="58">
        <v>0.0</v>
      </c>
      <c r="G566" s="58">
        <v>0.0</v>
      </c>
      <c r="H566" s="58">
        <v>0.0</v>
      </c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7.25" customHeight="1">
      <c r="A567" s="44" t="s">
        <v>27</v>
      </c>
      <c r="B567" s="47" t="s">
        <v>63</v>
      </c>
      <c r="C567" s="44" t="s">
        <v>888</v>
      </c>
      <c r="D567" s="48" t="s">
        <v>889</v>
      </c>
      <c r="E567" s="56" t="s">
        <v>943</v>
      </c>
      <c r="F567" s="58">
        <v>0.0</v>
      </c>
      <c r="G567" s="58">
        <v>0.0</v>
      </c>
      <c r="H567" s="58">
        <v>0.0</v>
      </c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7.25" customHeight="1">
      <c r="A568" s="44" t="s">
        <v>27</v>
      </c>
      <c r="B568" s="47" t="s">
        <v>63</v>
      </c>
      <c r="C568" s="44" t="s">
        <v>888</v>
      </c>
      <c r="D568" s="48" t="s">
        <v>889</v>
      </c>
      <c r="E568" s="56" t="s">
        <v>944</v>
      </c>
      <c r="F568" s="58">
        <v>0.0</v>
      </c>
      <c r="G568" s="58">
        <v>0.0</v>
      </c>
      <c r="H568" s="58">
        <v>0.0</v>
      </c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7.25" customHeight="1">
      <c r="A569" s="44" t="s">
        <v>27</v>
      </c>
      <c r="B569" s="47" t="s">
        <v>63</v>
      </c>
      <c r="C569" s="44" t="s">
        <v>888</v>
      </c>
      <c r="D569" s="48" t="s">
        <v>889</v>
      </c>
      <c r="E569" s="56" t="s">
        <v>945</v>
      </c>
      <c r="F569" s="58">
        <v>0.0</v>
      </c>
      <c r="G569" s="58">
        <v>0.0</v>
      </c>
      <c r="H569" s="58">
        <v>0.0</v>
      </c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7.25" customHeight="1">
      <c r="A570" s="44" t="s">
        <v>27</v>
      </c>
      <c r="B570" s="47" t="s">
        <v>63</v>
      </c>
      <c r="C570" s="44" t="s">
        <v>888</v>
      </c>
      <c r="D570" s="48" t="s">
        <v>889</v>
      </c>
      <c r="E570" s="56" t="s">
        <v>946</v>
      </c>
      <c r="F570" s="58">
        <v>0.0</v>
      </c>
      <c r="G570" s="58">
        <v>0.0</v>
      </c>
      <c r="H570" s="58">
        <v>0.0</v>
      </c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7.25" customHeight="1">
      <c r="A571" s="44" t="s">
        <v>27</v>
      </c>
      <c r="B571" s="47" t="s">
        <v>63</v>
      </c>
      <c r="C571" s="44" t="s">
        <v>888</v>
      </c>
      <c r="D571" s="48" t="s">
        <v>889</v>
      </c>
      <c r="E571" s="56" t="s">
        <v>947</v>
      </c>
      <c r="F571" s="58">
        <v>0.0</v>
      </c>
      <c r="G571" s="58">
        <v>0.0</v>
      </c>
      <c r="H571" s="58">
        <v>0.0</v>
      </c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7.25" customHeight="1">
      <c r="A572" s="44" t="s">
        <v>27</v>
      </c>
      <c r="B572" s="47" t="s">
        <v>63</v>
      </c>
      <c r="C572" s="44" t="s">
        <v>888</v>
      </c>
      <c r="D572" s="48" t="s">
        <v>889</v>
      </c>
      <c r="E572" s="56" t="s">
        <v>948</v>
      </c>
      <c r="F572" s="58">
        <v>0.0</v>
      </c>
      <c r="G572" s="58">
        <v>0.0</v>
      </c>
      <c r="H572" s="58">
        <v>0.0</v>
      </c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7.25" customHeight="1">
      <c r="A573" s="44" t="s">
        <v>27</v>
      </c>
      <c r="B573" s="47" t="s">
        <v>63</v>
      </c>
      <c r="C573" s="44" t="s">
        <v>888</v>
      </c>
      <c r="D573" s="48" t="s">
        <v>889</v>
      </c>
      <c r="E573" s="56" t="s">
        <v>950</v>
      </c>
      <c r="F573" s="58">
        <v>0.0</v>
      </c>
      <c r="G573" s="58">
        <v>0.0</v>
      </c>
      <c r="H573" s="58">
        <v>0.0</v>
      </c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7.25" customHeight="1">
      <c r="A574" s="44" t="s">
        <v>27</v>
      </c>
      <c r="B574" s="47" t="s">
        <v>63</v>
      </c>
      <c r="C574" s="44" t="s">
        <v>888</v>
      </c>
      <c r="D574" s="48" t="s">
        <v>889</v>
      </c>
      <c r="E574" s="56" t="s">
        <v>952</v>
      </c>
      <c r="F574" s="58">
        <v>0.0</v>
      </c>
      <c r="G574" s="58">
        <v>0.0</v>
      </c>
      <c r="H574" s="58">
        <v>0.0</v>
      </c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7.25" customHeight="1">
      <c r="A575" s="44" t="s">
        <v>27</v>
      </c>
      <c r="B575" s="47" t="s">
        <v>63</v>
      </c>
      <c r="C575" s="44" t="s">
        <v>888</v>
      </c>
      <c r="D575" s="48" t="s">
        <v>889</v>
      </c>
      <c r="E575" s="56" t="s">
        <v>953</v>
      </c>
      <c r="F575" s="58">
        <v>0.0</v>
      </c>
      <c r="G575" s="58">
        <v>0.0</v>
      </c>
      <c r="H575" s="58">
        <v>0.0</v>
      </c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7.25" customHeight="1">
      <c r="A576" s="44" t="s">
        <v>27</v>
      </c>
      <c r="B576" s="47" t="s">
        <v>63</v>
      </c>
      <c r="C576" s="44" t="s">
        <v>888</v>
      </c>
      <c r="D576" s="48" t="s">
        <v>889</v>
      </c>
      <c r="E576" s="56" t="s">
        <v>954</v>
      </c>
      <c r="F576" s="58">
        <v>0.0</v>
      </c>
      <c r="G576" s="58">
        <v>0.0</v>
      </c>
      <c r="H576" s="58">
        <v>0.0</v>
      </c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7.25" customHeight="1">
      <c r="A577" s="44" t="s">
        <v>27</v>
      </c>
      <c r="B577" s="47" t="s">
        <v>63</v>
      </c>
      <c r="C577" s="44" t="s">
        <v>888</v>
      </c>
      <c r="D577" s="48" t="s">
        <v>889</v>
      </c>
      <c r="E577" s="56" t="s">
        <v>955</v>
      </c>
      <c r="F577" s="58">
        <v>0.0</v>
      </c>
      <c r="G577" s="58">
        <v>0.0</v>
      </c>
      <c r="H577" s="58">
        <v>0.0</v>
      </c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7.25" customHeight="1">
      <c r="A578" s="44" t="s">
        <v>27</v>
      </c>
      <c r="B578" s="47" t="s">
        <v>63</v>
      </c>
      <c r="C578" s="44" t="s">
        <v>888</v>
      </c>
      <c r="D578" s="48" t="s">
        <v>889</v>
      </c>
      <c r="E578" s="56" t="s">
        <v>956</v>
      </c>
      <c r="F578" s="58">
        <v>0.0</v>
      </c>
      <c r="G578" s="58">
        <v>0.0</v>
      </c>
      <c r="H578" s="58">
        <v>0.0</v>
      </c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7.25" customHeight="1">
      <c r="A579" s="44" t="s">
        <v>27</v>
      </c>
      <c r="B579" s="47" t="s">
        <v>63</v>
      </c>
      <c r="C579" s="44" t="s">
        <v>888</v>
      </c>
      <c r="D579" s="48" t="s">
        <v>889</v>
      </c>
      <c r="E579" s="56" t="s">
        <v>957</v>
      </c>
      <c r="F579" s="58">
        <v>0.0</v>
      </c>
      <c r="G579" s="58">
        <v>0.0</v>
      </c>
      <c r="H579" s="58">
        <v>0.0</v>
      </c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7.25" customHeight="1">
      <c r="A580" s="44" t="s">
        <v>27</v>
      </c>
      <c r="B580" s="47" t="s">
        <v>63</v>
      </c>
      <c r="C580" s="44" t="s">
        <v>888</v>
      </c>
      <c r="D580" s="48" t="s">
        <v>889</v>
      </c>
      <c r="E580" s="56" t="s">
        <v>958</v>
      </c>
      <c r="F580" s="58">
        <v>0.0</v>
      </c>
      <c r="G580" s="58">
        <v>0.0</v>
      </c>
      <c r="H580" s="58">
        <v>0.0</v>
      </c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7.25" customHeight="1">
      <c r="A581" s="44" t="s">
        <v>27</v>
      </c>
      <c r="B581" s="47" t="s">
        <v>63</v>
      </c>
      <c r="C581" s="44" t="s">
        <v>888</v>
      </c>
      <c r="D581" s="48" t="s">
        <v>889</v>
      </c>
      <c r="E581" s="56" t="s">
        <v>959</v>
      </c>
      <c r="F581" s="58">
        <v>0.0</v>
      </c>
      <c r="G581" s="58">
        <v>0.0</v>
      </c>
      <c r="H581" s="58">
        <v>0.0</v>
      </c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7.25" customHeight="1">
      <c r="A582" s="44" t="s">
        <v>27</v>
      </c>
      <c r="B582" s="47" t="s">
        <v>63</v>
      </c>
      <c r="C582" s="44" t="s">
        <v>888</v>
      </c>
      <c r="D582" s="48" t="s">
        <v>889</v>
      </c>
      <c r="E582" s="56" t="s">
        <v>960</v>
      </c>
      <c r="F582" s="58">
        <v>0.0</v>
      </c>
      <c r="G582" s="58">
        <v>0.0</v>
      </c>
      <c r="H582" s="58">
        <v>0.0</v>
      </c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7.25" customHeight="1">
      <c r="A583" s="44" t="s">
        <v>27</v>
      </c>
      <c r="B583" s="47" t="s">
        <v>63</v>
      </c>
      <c r="C583" s="44" t="s">
        <v>888</v>
      </c>
      <c r="D583" s="48" t="s">
        <v>889</v>
      </c>
      <c r="E583" s="56" t="s">
        <v>961</v>
      </c>
      <c r="F583" s="58">
        <v>0.0</v>
      </c>
      <c r="G583" s="58">
        <v>0.0</v>
      </c>
      <c r="H583" s="58">
        <v>0.0</v>
      </c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7.25" customHeight="1">
      <c r="A584" s="44" t="s">
        <v>27</v>
      </c>
      <c r="B584" s="47" t="s">
        <v>63</v>
      </c>
      <c r="C584" s="44" t="s">
        <v>888</v>
      </c>
      <c r="D584" s="48" t="s">
        <v>889</v>
      </c>
      <c r="E584" s="56" t="s">
        <v>962</v>
      </c>
      <c r="F584" s="58">
        <v>0.0</v>
      </c>
      <c r="G584" s="58">
        <v>0.0</v>
      </c>
      <c r="H584" s="58">
        <v>0.0</v>
      </c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7.25" customHeight="1">
      <c r="A585" s="44" t="s">
        <v>27</v>
      </c>
      <c r="B585" s="47" t="s">
        <v>63</v>
      </c>
      <c r="C585" s="44" t="s">
        <v>888</v>
      </c>
      <c r="D585" s="48" t="s">
        <v>889</v>
      </c>
      <c r="E585" s="56" t="s">
        <v>963</v>
      </c>
      <c r="F585" s="58">
        <v>0.0</v>
      </c>
      <c r="G585" s="58">
        <v>0.0</v>
      </c>
      <c r="H585" s="58">
        <v>0.0</v>
      </c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7.25" customHeight="1">
      <c r="A586" s="44" t="s">
        <v>27</v>
      </c>
      <c r="B586" s="44" t="s">
        <v>63</v>
      </c>
      <c r="C586" s="44" t="s">
        <v>831</v>
      </c>
      <c r="D586" s="44" t="s">
        <v>832</v>
      </c>
      <c r="E586" s="59" t="s">
        <v>965</v>
      </c>
      <c r="F586" s="58">
        <v>4.0</v>
      </c>
      <c r="G586" s="58">
        <v>49500.0</v>
      </c>
      <c r="H586" s="58">
        <v>9700.0</v>
      </c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7.25" customHeight="1">
      <c r="A587" s="44" t="s">
        <v>27</v>
      </c>
      <c r="B587" s="44" t="s">
        <v>63</v>
      </c>
      <c r="C587" s="44" t="s">
        <v>831</v>
      </c>
      <c r="D587" s="44" t="s">
        <v>832</v>
      </c>
      <c r="E587" s="59" t="s">
        <v>967</v>
      </c>
      <c r="F587" s="58">
        <v>8.0</v>
      </c>
      <c r="G587" s="58">
        <v>135200.0</v>
      </c>
      <c r="H587" s="58">
        <v>26330.0</v>
      </c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7.25" customHeight="1">
      <c r="A588" s="44" t="s">
        <v>27</v>
      </c>
      <c r="B588" s="44" t="s">
        <v>63</v>
      </c>
      <c r="C588" s="44" t="s">
        <v>831</v>
      </c>
      <c r="D588" s="44" t="s">
        <v>832</v>
      </c>
      <c r="E588" s="59" t="s">
        <v>968</v>
      </c>
      <c r="F588" s="58">
        <v>1.0</v>
      </c>
      <c r="G588" s="58">
        <v>26900.0</v>
      </c>
      <c r="H588" s="58">
        <v>5110.0</v>
      </c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7.25" customHeight="1">
      <c r="A589" s="44" t="s">
        <v>27</v>
      </c>
      <c r="B589" s="44" t="s">
        <v>63</v>
      </c>
      <c r="C589" s="44" t="s">
        <v>831</v>
      </c>
      <c r="D589" s="44" t="s">
        <v>832</v>
      </c>
      <c r="E589" s="59" t="s">
        <v>969</v>
      </c>
      <c r="F589" s="58">
        <v>0.0</v>
      </c>
      <c r="G589" s="58">
        <v>0.0</v>
      </c>
      <c r="H589" s="58">
        <v>0.0</v>
      </c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7.25" customHeight="1">
      <c r="A590" s="44" t="s">
        <v>27</v>
      </c>
      <c r="B590" s="44" t="s">
        <v>63</v>
      </c>
      <c r="C590" s="44" t="s">
        <v>831</v>
      </c>
      <c r="D590" s="44" t="s">
        <v>832</v>
      </c>
      <c r="E590" s="59" t="s">
        <v>970</v>
      </c>
      <c r="F590" s="58">
        <v>3.0</v>
      </c>
      <c r="G590" s="58">
        <v>149700.0</v>
      </c>
      <c r="H590" s="58">
        <v>28440.0</v>
      </c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7.25" customHeight="1">
      <c r="A591" s="44" t="s">
        <v>27</v>
      </c>
      <c r="B591" s="44" t="s">
        <v>63</v>
      </c>
      <c r="C591" s="44" t="s">
        <v>831</v>
      </c>
      <c r="D591" s="44" t="s">
        <v>832</v>
      </c>
      <c r="E591" s="59" t="s">
        <v>973</v>
      </c>
      <c r="F591" s="58">
        <v>17.0</v>
      </c>
      <c r="G591" s="58">
        <v>399300.0</v>
      </c>
      <c r="H591" s="58">
        <v>74710.0</v>
      </c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7.25" customHeight="1">
      <c r="A592" s="44" t="s">
        <v>27</v>
      </c>
      <c r="B592" s="44" t="s">
        <v>63</v>
      </c>
      <c r="C592" s="44" t="s">
        <v>831</v>
      </c>
      <c r="D592" s="44" t="s">
        <v>832</v>
      </c>
      <c r="E592" s="59" t="s">
        <v>974</v>
      </c>
      <c r="F592" s="58">
        <v>34.0</v>
      </c>
      <c r="G592" s="58">
        <v>1427400.0</v>
      </c>
      <c r="H592" s="58">
        <v>247110.0</v>
      </c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7.25" customHeight="1">
      <c r="A593" s="44" t="s">
        <v>27</v>
      </c>
      <c r="B593" s="47" t="s">
        <v>91</v>
      </c>
      <c r="C593" s="44" t="s">
        <v>462</v>
      </c>
      <c r="D593" s="44" t="s">
        <v>461</v>
      </c>
      <c r="E593" s="59" t="s">
        <v>975</v>
      </c>
      <c r="F593" s="58">
        <v>1.0</v>
      </c>
      <c r="G593" s="58">
        <v>8300.0</v>
      </c>
      <c r="H593" s="58">
        <v>1540.0</v>
      </c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7.25" customHeight="1">
      <c r="A594" s="44" t="s">
        <v>27</v>
      </c>
      <c r="B594" s="47" t="s">
        <v>99</v>
      </c>
      <c r="C594" s="44" t="s">
        <v>976</v>
      </c>
      <c r="D594" s="44" t="s">
        <v>977</v>
      </c>
      <c r="E594" s="59" t="s">
        <v>978</v>
      </c>
      <c r="F594" s="58">
        <v>1310.0</v>
      </c>
      <c r="G594" s="58">
        <v>3.5409E7</v>
      </c>
      <c r="H594" s="58">
        <v>4691220.0</v>
      </c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7.25" customHeight="1">
      <c r="A595" s="44" t="s">
        <v>27</v>
      </c>
      <c r="B595" s="47" t="s">
        <v>99</v>
      </c>
      <c r="C595" s="44" t="s">
        <v>976</v>
      </c>
      <c r="D595" s="44" t="s">
        <v>977</v>
      </c>
      <c r="E595" s="59" t="s">
        <v>979</v>
      </c>
      <c r="F595" s="58">
        <v>22.0</v>
      </c>
      <c r="G595" s="58">
        <v>493000.0</v>
      </c>
      <c r="H595" s="58">
        <v>65540.0</v>
      </c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7.25" customHeight="1">
      <c r="A596" s="44" t="s">
        <v>27</v>
      </c>
      <c r="B596" s="47" t="s">
        <v>99</v>
      </c>
      <c r="C596" s="44" t="s">
        <v>976</v>
      </c>
      <c r="D596" s="44" t="s">
        <v>977</v>
      </c>
      <c r="E596" s="59" t="s">
        <v>980</v>
      </c>
      <c r="F596" s="58">
        <v>6.0</v>
      </c>
      <c r="G596" s="58">
        <v>223320.0</v>
      </c>
      <c r="H596" s="58">
        <v>29700.0</v>
      </c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7.25" customHeight="1">
      <c r="A597" s="44" t="s">
        <v>27</v>
      </c>
      <c r="B597" s="47" t="s">
        <v>99</v>
      </c>
      <c r="C597" s="44" t="s">
        <v>976</v>
      </c>
      <c r="D597" s="44" t="s">
        <v>977</v>
      </c>
      <c r="E597" s="59" t="s">
        <v>981</v>
      </c>
      <c r="F597" s="58">
        <v>0.0</v>
      </c>
      <c r="G597" s="58">
        <v>0.0</v>
      </c>
      <c r="H597" s="58">
        <v>0.0</v>
      </c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7.25" customHeight="1">
      <c r="A598" s="44" t="s">
        <v>27</v>
      </c>
      <c r="B598" s="47" t="s">
        <v>99</v>
      </c>
      <c r="C598" s="44" t="s">
        <v>976</v>
      </c>
      <c r="D598" s="44" t="s">
        <v>977</v>
      </c>
      <c r="E598" s="59" t="s">
        <v>982</v>
      </c>
      <c r="F598" s="58">
        <v>0.0</v>
      </c>
      <c r="G598" s="58">
        <v>0.0</v>
      </c>
      <c r="H598" s="58">
        <v>0.0</v>
      </c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7.25" customHeight="1">
      <c r="A599" s="44" t="s">
        <v>27</v>
      </c>
      <c r="B599" s="47" t="s">
        <v>99</v>
      </c>
      <c r="C599" s="44" t="s">
        <v>976</v>
      </c>
      <c r="D599" s="44" t="s">
        <v>977</v>
      </c>
      <c r="E599" s="59" t="s">
        <v>983</v>
      </c>
      <c r="F599" s="58">
        <v>2.0</v>
      </c>
      <c r="G599" s="58">
        <v>0.0</v>
      </c>
      <c r="H599" s="58">
        <v>0.0</v>
      </c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7.25" customHeight="1">
      <c r="A600" s="44" t="s">
        <v>27</v>
      </c>
      <c r="B600" s="47" t="s">
        <v>99</v>
      </c>
      <c r="C600" s="44" t="s">
        <v>976</v>
      </c>
      <c r="D600" s="44" t="s">
        <v>977</v>
      </c>
      <c r="E600" s="59" t="s">
        <v>984</v>
      </c>
      <c r="F600" s="58">
        <v>0.0</v>
      </c>
      <c r="G600" s="58">
        <v>0.0</v>
      </c>
      <c r="H600" s="58">
        <v>0.0</v>
      </c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7.25" customHeight="1">
      <c r="A601" s="44" t="s">
        <v>27</v>
      </c>
      <c r="B601" s="47" t="s">
        <v>99</v>
      </c>
      <c r="C601" s="44" t="s">
        <v>976</v>
      </c>
      <c r="D601" s="44" t="s">
        <v>977</v>
      </c>
      <c r="E601" s="59" t="s">
        <v>985</v>
      </c>
      <c r="F601" s="58">
        <v>11.0</v>
      </c>
      <c r="G601" s="58">
        <v>132600.0</v>
      </c>
      <c r="H601" s="58">
        <v>18360.0</v>
      </c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7.25" customHeight="1">
      <c r="A602" s="44" t="s">
        <v>27</v>
      </c>
      <c r="B602" s="47" t="s">
        <v>99</v>
      </c>
      <c r="C602" s="44" t="s">
        <v>564</v>
      </c>
      <c r="D602" s="44" t="s">
        <v>563</v>
      </c>
      <c r="E602" s="59" t="s">
        <v>986</v>
      </c>
      <c r="F602" s="58">
        <v>73.0</v>
      </c>
      <c r="G602" s="58">
        <v>2552440.0</v>
      </c>
      <c r="H602" s="58">
        <v>410540.0</v>
      </c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7.25" customHeight="1">
      <c r="A603" s="44" t="s">
        <v>27</v>
      </c>
      <c r="B603" s="47" t="s">
        <v>63</v>
      </c>
      <c r="C603" s="44" t="s">
        <v>849</v>
      </c>
      <c r="D603" s="44" t="s">
        <v>848</v>
      </c>
      <c r="E603" s="59" t="s">
        <v>989</v>
      </c>
      <c r="F603" s="58">
        <v>936.0</v>
      </c>
      <c r="G603" s="58">
        <v>4.7358E7</v>
      </c>
      <c r="H603" s="58">
        <v>5003480.0</v>
      </c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7.25" customHeight="1">
      <c r="A604" s="44" t="s">
        <v>27</v>
      </c>
      <c r="B604" s="47" t="s">
        <v>91</v>
      </c>
      <c r="C604" s="44" t="s">
        <v>763</v>
      </c>
      <c r="D604" s="44" t="s">
        <v>762</v>
      </c>
      <c r="E604" s="59" t="s">
        <v>990</v>
      </c>
      <c r="F604" s="58">
        <v>10.0</v>
      </c>
      <c r="G604" s="58">
        <v>477000.0</v>
      </c>
      <c r="H604" s="58">
        <v>90820.0</v>
      </c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7.25" customHeight="1">
      <c r="A605" s="44" t="s">
        <v>27</v>
      </c>
      <c r="B605" s="47" t="s">
        <v>91</v>
      </c>
      <c r="C605" s="44" t="s">
        <v>763</v>
      </c>
      <c r="D605" s="44" t="s">
        <v>762</v>
      </c>
      <c r="E605" s="59" t="s">
        <v>991</v>
      </c>
      <c r="F605" s="58">
        <v>0.0</v>
      </c>
      <c r="G605" s="58">
        <v>0.0</v>
      </c>
      <c r="H605" s="58">
        <v>0.0</v>
      </c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7.25" customHeight="1">
      <c r="A606" s="44" t="s">
        <v>27</v>
      </c>
      <c r="B606" s="44" t="s">
        <v>63</v>
      </c>
      <c r="C606" s="44" t="s">
        <v>992</v>
      </c>
      <c r="D606" s="44" t="s">
        <v>993</v>
      </c>
      <c r="E606" s="59" t="s">
        <v>994</v>
      </c>
      <c r="F606" s="58">
        <v>614.0</v>
      </c>
      <c r="G606" s="58">
        <v>1.7801E7</v>
      </c>
      <c r="H606" s="58">
        <v>3266640.0</v>
      </c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7.25" customHeight="1">
      <c r="A607" s="44" t="s">
        <v>27</v>
      </c>
      <c r="B607" s="44" t="s">
        <v>63</v>
      </c>
      <c r="C607" s="44" t="s">
        <v>992</v>
      </c>
      <c r="D607" s="44" t="s">
        <v>993</v>
      </c>
      <c r="E607" s="59" t="s">
        <v>995</v>
      </c>
      <c r="F607" s="58">
        <v>13.0</v>
      </c>
      <c r="G607" s="58">
        <v>140400.0</v>
      </c>
      <c r="H607" s="58">
        <v>25000.0</v>
      </c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7.25" customHeight="1">
      <c r="A608" s="44" t="s">
        <v>27</v>
      </c>
      <c r="B608" s="44" t="s">
        <v>63</v>
      </c>
      <c r="C608" s="44" t="s">
        <v>992</v>
      </c>
      <c r="D608" s="44" t="s">
        <v>993</v>
      </c>
      <c r="E608" s="59" t="s">
        <v>996</v>
      </c>
      <c r="F608" s="58">
        <v>52.0</v>
      </c>
      <c r="G608" s="58">
        <v>950100.0</v>
      </c>
      <c r="H608" s="58">
        <v>183070.0</v>
      </c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7.25" customHeight="1">
      <c r="A609" s="44" t="s">
        <v>27</v>
      </c>
      <c r="B609" s="47" t="s">
        <v>91</v>
      </c>
      <c r="C609" s="44" t="s">
        <v>992</v>
      </c>
      <c r="D609" s="44" t="s">
        <v>993</v>
      </c>
      <c r="E609" s="59" t="s">
        <v>997</v>
      </c>
      <c r="F609" s="58">
        <v>28.0</v>
      </c>
      <c r="G609" s="58">
        <v>573400.0</v>
      </c>
      <c r="H609" s="58">
        <v>106000.0</v>
      </c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7.25" customHeight="1">
      <c r="A610" s="44" t="s">
        <v>27</v>
      </c>
      <c r="B610" s="47" t="s">
        <v>63</v>
      </c>
      <c r="C610" s="44" t="s">
        <v>992</v>
      </c>
      <c r="D610" s="44" t="s">
        <v>993</v>
      </c>
      <c r="E610" s="59" t="s">
        <v>998</v>
      </c>
      <c r="F610" s="58">
        <v>15.0</v>
      </c>
      <c r="G610" s="58">
        <v>204800.0</v>
      </c>
      <c r="H610" s="58">
        <v>40120.0</v>
      </c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7.25" customHeight="1">
      <c r="A611" s="44" t="s">
        <v>27</v>
      </c>
      <c r="B611" s="44" t="s">
        <v>63</v>
      </c>
      <c r="C611" s="44" t="s">
        <v>992</v>
      </c>
      <c r="D611" s="44" t="s">
        <v>993</v>
      </c>
      <c r="E611" s="59" t="s">
        <v>999</v>
      </c>
      <c r="F611" s="58">
        <v>2.0</v>
      </c>
      <c r="G611" s="58">
        <v>15800.0</v>
      </c>
      <c r="H611" s="58">
        <v>3100.0</v>
      </c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7.25" customHeight="1">
      <c r="A612" s="44" t="s">
        <v>27</v>
      </c>
      <c r="B612" s="44" t="s">
        <v>63</v>
      </c>
      <c r="C612" s="44" t="s">
        <v>992</v>
      </c>
      <c r="D612" s="44" t="s">
        <v>993</v>
      </c>
      <c r="E612" s="59" t="s">
        <v>1000</v>
      </c>
      <c r="F612" s="58">
        <v>4.0</v>
      </c>
      <c r="G612" s="58">
        <v>98500.0</v>
      </c>
      <c r="H612" s="58">
        <v>18860.0</v>
      </c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7.25" customHeight="1">
      <c r="A613" s="44" t="s">
        <v>27</v>
      </c>
      <c r="B613" s="47" t="s">
        <v>63</v>
      </c>
      <c r="C613" s="44" t="s">
        <v>992</v>
      </c>
      <c r="D613" s="44" t="s">
        <v>993</v>
      </c>
      <c r="E613" s="59" t="s">
        <v>1001</v>
      </c>
      <c r="F613" s="58">
        <v>0.0</v>
      </c>
      <c r="G613" s="58">
        <v>0.0</v>
      </c>
      <c r="H613" s="58">
        <v>0.0</v>
      </c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7.25" customHeight="1">
      <c r="A614" s="44" t="s">
        <v>27</v>
      </c>
      <c r="B614" s="44" t="s">
        <v>63</v>
      </c>
      <c r="C614" s="44" t="s">
        <v>992</v>
      </c>
      <c r="D614" s="44" t="s">
        <v>993</v>
      </c>
      <c r="E614" s="59" t="s">
        <v>1004</v>
      </c>
      <c r="F614" s="58">
        <v>12.0</v>
      </c>
      <c r="G614" s="58">
        <v>226500.0</v>
      </c>
      <c r="H614" s="58">
        <v>41640.0</v>
      </c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7.25" customHeight="1">
      <c r="A615" s="60" t="s">
        <v>27</v>
      </c>
      <c r="B615" s="60" t="s">
        <v>63</v>
      </c>
      <c r="C615" s="60" t="s">
        <v>992</v>
      </c>
      <c r="D615" s="60" t="s">
        <v>993</v>
      </c>
      <c r="E615" s="59" t="s">
        <v>1005</v>
      </c>
      <c r="F615" s="58">
        <v>0.0</v>
      </c>
      <c r="G615" s="58">
        <v>0.0</v>
      </c>
      <c r="H615" s="58">
        <v>0.0</v>
      </c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7.25" customHeight="1">
      <c r="A616" s="44" t="s">
        <v>27</v>
      </c>
      <c r="B616" s="47" t="s">
        <v>63</v>
      </c>
      <c r="C616" s="44" t="s">
        <v>1006</v>
      </c>
      <c r="D616" s="44" t="s">
        <v>1007</v>
      </c>
      <c r="E616" s="59" t="s">
        <v>1008</v>
      </c>
      <c r="F616" s="58">
        <v>67.0</v>
      </c>
      <c r="G616" s="58">
        <v>1940600.0</v>
      </c>
      <c r="H616" s="58">
        <v>266060.0</v>
      </c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7.25" customHeight="1">
      <c r="A617" s="44" t="s">
        <v>27</v>
      </c>
      <c r="B617" s="47" t="s">
        <v>99</v>
      </c>
      <c r="C617" s="44" t="s">
        <v>564</v>
      </c>
      <c r="D617" s="44" t="s">
        <v>563</v>
      </c>
      <c r="E617" s="59" t="s">
        <v>1009</v>
      </c>
      <c r="F617" s="58">
        <v>1.0</v>
      </c>
      <c r="G617" s="58">
        <v>29900.0</v>
      </c>
      <c r="H617" s="58">
        <v>5740.0</v>
      </c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7.25" customHeight="1">
      <c r="A618" s="44" t="s">
        <v>27</v>
      </c>
      <c r="B618" s="47" t="s">
        <v>99</v>
      </c>
      <c r="C618" s="44" t="s">
        <v>564</v>
      </c>
      <c r="D618" s="44" t="s">
        <v>563</v>
      </c>
      <c r="E618" s="59" t="s">
        <v>1010</v>
      </c>
      <c r="F618" s="58">
        <v>2.0</v>
      </c>
      <c r="G618" s="58">
        <v>71800.0</v>
      </c>
      <c r="H618" s="58">
        <v>13340.0</v>
      </c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7.25" customHeight="1">
      <c r="A619" s="44" t="s">
        <v>27</v>
      </c>
      <c r="B619" s="47" t="s">
        <v>91</v>
      </c>
      <c r="C619" s="44" t="s">
        <v>60</v>
      </c>
      <c r="D619" s="44" t="s">
        <v>56</v>
      </c>
      <c r="E619" s="59" t="s">
        <v>1011</v>
      </c>
      <c r="F619" s="58">
        <v>0.0</v>
      </c>
      <c r="G619" s="58">
        <v>0.0</v>
      </c>
      <c r="H619" s="58">
        <v>0.0</v>
      </c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7.25" customHeight="1">
      <c r="A620" s="44" t="s">
        <v>27</v>
      </c>
      <c r="B620" s="47" t="s">
        <v>63</v>
      </c>
      <c r="C620" s="44" t="s">
        <v>1006</v>
      </c>
      <c r="D620" s="44" t="s">
        <v>1007</v>
      </c>
      <c r="E620" s="59" t="s">
        <v>1012</v>
      </c>
      <c r="F620" s="58">
        <v>24.0</v>
      </c>
      <c r="G620" s="58">
        <v>753800.0</v>
      </c>
      <c r="H620" s="58">
        <v>104990.0</v>
      </c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7.25" customHeight="1">
      <c r="A621" s="44" t="s">
        <v>27</v>
      </c>
      <c r="B621" s="47" t="s">
        <v>63</v>
      </c>
      <c r="C621" s="44" t="s">
        <v>1006</v>
      </c>
      <c r="D621" s="44" t="s">
        <v>1007</v>
      </c>
      <c r="E621" s="59" t="s">
        <v>1013</v>
      </c>
      <c r="F621" s="58">
        <v>0.0</v>
      </c>
      <c r="G621" s="58">
        <v>0.0</v>
      </c>
      <c r="H621" s="58">
        <v>0.0</v>
      </c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7.25" customHeight="1">
      <c r="A622" s="44" t="s">
        <v>27</v>
      </c>
      <c r="B622" s="47" t="s">
        <v>63</v>
      </c>
      <c r="C622" s="44" t="s">
        <v>662</v>
      </c>
      <c r="D622" s="44" t="s">
        <v>663</v>
      </c>
      <c r="E622" s="59" t="s">
        <v>1016</v>
      </c>
      <c r="F622" s="58">
        <v>1.0</v>
      </c>
      <c r="G622" s="58">
        <v>38330.0</v>
      </c>
      <c r="H622" s="58">
        <v>4370.0</v>
      </c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7.25" customHeight="1">
      <c r="A623" s="44" t="s">
        <v>27</v>
      </c>
      <c r="B623" s="47" t="s">
        <v>63</v>
      </c>
      <c r="C623" s="44" t="s">
        <v>662</v>
      </c>
      <c r="D623" s="44" t="s">
        <v>663</v>
      </c>
      <c r="E623" s="59" t="s">
        <v>1017</v>
      </c>
      <c r="F623" s="58">
        <v>0.0</v>
      </c>
      <c r="G623" s="58">
        <v>0.0</v>
      </c>
      <c r="H623" s="58">
        <v>0.0</v>
      </c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7.25" customHeight="1">
      <c r="A624" s="44" t="s">
        <v>27</v>
      </c>
      <c r="B624" s="47" t="s">
        <v>63</v>
      </c>
      <c r="C624" s="44" t="s">
        <v>662</v>
      </c>
      <c r="D624" s="44" t="s">
        <v>663</v>
      </c>
      <c r="E624" s="59" t="s">
        <v>1018</v>
      </c>
      <c r="F624" s="58">
        <v>1.0</v>
      </c>
      <c r="G624" s="58">
        <v>52500.0</v>
      </c>
      <c r="H624" s="58">
        <v>5450.0</v>
      </c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7.25" customHeight="1">
      <c r="A625" s="44" t="s">
        <v>27</v>
      </c>
      <c r="B625" s="47" t="s">
        <v>63</v>
      </c>
      <c r="C625" s="44" t="s">
        <v>662</v>
      </c>
      <c r="D625" s="44" t="s">
        <v>663</v>
      </c>
      <c r="E625" s="59" t="s">
        <v>1019</v>
      </c>
      <c r="F625" s="58">
        <v>6.0</v>
      </c>
      <c r="G625" s="58">
        <v>250980.0</v>
      </c>
      <c r="H625" s="58">
        <v>28590.0</v>
      </c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7.25" customHeight="1">
      <c r="A626" s="44" t="s">
        <v>27</v>
      </c>
      <c r="B626" s="47" t="s">
        <v>63</v>
      </c>
      <c r="C626" s="44" t="s">
        <v>662</v>
      </c>
      <c r="D626" s="44" t="s">
        <v>663</v>
      </c>
      <c r="E626" s="59" t="s">
        <v>1020</v>
      </c>
      <c r="F626" s="58">
        <v>3.0</v>
      </c>
      <c r="G626" s="58">
        <v>104400.0</v>
      </c>
      <c r="H626" s="58">
        <v>11890.0</v>
      </c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7.25" customHeight="1">
      <c r="A627" s="44" t="s">
        <v>27</v>
      </c>
      <c r="B627" s="47" t="s">
        <v>63</v>
      </c>
      <c r="C627" s="44" t="s">
        <v>662</v>
      </c>
      <c r="D627" s="44" t="s">
        <v>663</v>
      </c>
      <c r="E627" s="59" t="s">
        <v>1021</v>
      </c>
      <c r="F627" s="58">
        <v>20.0</v>
      </c>
      <c r="G627" s="58">
        <v>764100.0</v>
      </c>
      <c r="H627" s="58">
        <v>84320.0</v>
      </c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7.25" customHeight="1">
      <c r="A628" s="44" t="s">
        <v>27</v>
      </c>
      <c r="B628" s="47" t="s">
        <v>63</v>
      </c>
      <c r="C628" s="44" t="s">
        <v>662</v>
      </c>
      <c r="D628" s="44" t="s">
        <v>663</v>
      </c>
      <c r="E628" s="59" t="s">
        <v>1022</v>
      </c>
      <c r="F628" s="58">
        <v>0.0</v>
      </c>
      <c r="G628" s="58">
        <v>0.0</v>
      </c>
      <c r="H628" s="58">
        <v>0.0</v>
      </c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7.25" customHeight="1">
      <c r="A629" s="44" t="s">
        <v>27</v>
      </c>
      <c r="B629" s="47" t="s">
        <v>63</v>
      </c>
      <c r="C629" s="44" t="s">
        <v>662</v>
      </c>
      <c r="D629" s="44" t="s">
        <v>663</v>
      </c>
      <c r="E629" s="59" t="s">
        <v>1023</v>
      </c>
      <c r="F629" s="58">
        <v>5.0</v>
      </c>
      <c r="G629" s="58">
        <v>197910.0</v>
      </c>
      <c r="H629" s="58">
        <v>19900.0</v>
      </c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7.25" customHeight="1">
      <c r="A630" s="44" t="s">
        <v>27</v>
      </c>
      <c r="B630" s="47" t="s">
        <v>63</v>
      </c>
      <c r="C630" s="44" t="s">
        <v>662</v>
      </c>
      <c r="D630" s="44" t="s">
        <v>663</v>
      </c>
      <c r="E630" s="59" t="s">
        <v>1024</v>
      </c>
      <c r="F630" s="58">
        <v>1.0</v>
      </c>
      <c r="G630" s="58">
        <v>41530.0</v>
      </c>
      <c r="H630" s="58">
        <v>4730.0</v>
      </c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7.25" customHeight="1">
      <c r="A631" s="44" t="s">
        <v>27</v>
      </c>
      <c r="B631" s="47" t="s">
        <v>63</v>
      </c>
      <c r="C631" s="44" t="s">
        <v>823</v>
      </c>
      <c r="D631" s="44" t="s">
        <v>824</v>
      </c>
      <c r="E631" s="59" t="s">
        <v>1025</v>
      </c>
      <c r="F631" s="58">
        <v>18.0</v>
      </c>
      <c r="G631" s="58">
        <v>536520.0</v>
      </c>
      <c r="H631" s="58">
        <v>61940.0</v>
      </c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7.25" customHeight="1">
      <c r="A632" s="44" t="s">
        <v>27</v>
      </c>
      <c r="B632" s="47" t="s">
        <v>63</v>
      </c>
      <c r="C632" s="44" t="s">
        <v>823</v>
      </c>
      <c r="D632" s="44" t="s">
        <v>824</v>
      </c>
      <c r="E632" s="59" t="s">
        <v>1026</v>
      </c>
      <c r="F632" s="58">
        <v>18.0</v>
      </c>
      <c r="G632" s="58">
        <v>689760.0</v>
      </c>
      <c r="H632" s="58">
        <v>81350.0</v>
      </c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7.25" customHeight="1">
      <c r="A633" s="44" t="s">
        <v>27</v>
      </c>
      <c r="B633" s="47" t="s">
        <v>63</v>
      </c>
      <c r="C633" s="44" t="s">
        <v>823</v>
      </c>
      <c r="D633" s="44" t="s">
        <v>824</v>
      </c>
      <c r="E633" s="59" t="s">
        <v>1027</v>
      </c>
      <c r="F633" s="58">
        <v>3.0</v>
      </c>
      <c r="G633" s="58">
        <v>76640.0</v>
      </c>
      <c r="H633" s="58">
        <v>8860.0</v>
      </c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7.25" customHeight="1">
      <c r="A634" s="44" t="s">
        <v>27</v>
      </c>
      <c r="B634" s="47" t="s">
        <v>63</v>
      </c>
      <c r="C634" s="44" t="s">
        <v>823</v>
      </c>
      <c r="D634" s="44" t="s">
        <v>824</v>
      </c>
      <c r="E634" s="59" t="s">
        <v>1028</v>
      </c>
      <c r="F634" s="58">
        <v>3.0</v>
      </c>
      <c r="G634" s="58">
        <v>83000.0</v>
      </c>
      <c r="H634" s="58">
        <v>9650.0</v>
      </c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7.25" customHeight="1">
      <c r="A635" s="44" t="s">
        <v>27</v>
      </c>
      <c r="B635" s="47" t="s">
        <v>99</v>
      </c>
      <c r="C635" s="44" t="s">
        <v>564</v>
      </c>
      <c r="D635" s="44" t="s">
        <v>563</v>
      </c>
      <c r="E635" s="59" t="s">
        <v>1029</v>
      </c>
      <c r="F635" s="58">
        <v>4.0</v>
      </c>
      <c r="G635" s="58">
        <v>308550.0</v>
      </c>
      <c r="H635" s="58">
        <v>36820.0</v>
      </c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7.25" customHeight="1">
      <c r="A636" s="44" t="s">
        <v>27</v>
      </c>
      <c r="B636" s="47" t="s">
        <v>99</v>
      </c>
      <c r="C636" s="44" t="s">
        <v>564</v>
      </c>
      <c r="D636" s="44" t="s">
        <v>563</v>
      </c>
      <c r="E636" s="59" t="s">
        <v>1030</v>
      </c>
      <c r="F636" s="58">
        <v>0.0</v>
      </c>
      <c r="G636" s="58">
        <v>0.0</v>
      </c>
      <c r="H636" s="58">
        <v>0.0</v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7.25" customHeight="1">
      <c r="A637" s="44" t="s">
        <v>27</v>
      </c>
      <c r="B637" s="47" t="s">
        <v>91</v>
      </c>
      <c r="C637" s="44" t="s">
        <v>60</v>
      </c>
      <c r="D637" s="44" t="s">
        <v>56</v>
      </c>
      <c r="E637" s="59" t="s">
        <v>1031</v>
      </c>
      <c r="F637" s="58">
        <v>0.0</v>
      </c>
      <c r="G637" s="58">
        <v>0.0</v>
      </c>
      <c r="H637" s="58">
        <v>0.0</v>
      </c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7.25" customHeight="1">
      <c r="A638" s="44" t="s">
        <v>27</v>
      </c>
      <c r="B638" s="47" t="s">
        <v>91</v>
      </c>
      <c r="C638" s="44" t="s">
        <v>462</v>
      </c>
      <c r="D638" s="44" t="s">
        <v>461</v>
      </c>
      <c r="E638" s="59" t="s">
        <v>1032</v>
      </c>
      <c r="F638" s="58">
        <v>196.0</v>
      </c>
      <c r="G638" s="58">
        <v>1.072605E7</v>
      </c>
      <c r="H638" s="58">
        <v>1098300.0</v>
      </c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7.25" customHeight="1">
      <c r="A639" s="44" t="s">
        <v>27</v>
      </c>
      <c r="B639" s="47" t="s">
        <v>63</v>
      </c>
      <c r="C639" s="44" t="s">
        <v>462</v>
      </c>
      <c r="D639" s="44" t="s">
        <v>461</v>
      </c>
      <c r="E639" s="59" t="s">
        <v>1033</v>
      </c>
      <c r="F639" s="58">
        <v>28.0</v>
      </c>
      <c r="G639" s="58">
        <v>988480.0</v>
      </c>
      <c r="H639" s="58">
        <v>99440.0</v>
      </c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7.25" customHeight="1">
      <c r="A640" s="44" t="s">
        <v>27</v>
      </c>
      <c r="B640" s="47" t="s">
        <v>91</v>
      </c>
      <c r="C640" s="44" t="s">
        <v>462</v>
      </c>
      <c r="D640" s="44" t="s">
        <v>461</v>
      </c>
      <c r="E640" s="59" t="s">
        <v>1034</v>
      </c>
      <c r="F640" s="58">
        <v>29.0</v>
      </c>
      <c r="G640" s="58">
        <v>1051220.0</v>
      </c>
      <c r="H640" s="58">
        <v>118530.0</v>
      </c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7.25" customHeight="1">
      <c r="A641" s="44" t="s">
        <v>27</v>
      </c>
      <c r="B641" s="47" t="s">
        <v>91</v>
      </c>
      <c r="C641" s="44" t="s">
        <v>462</v>
      </c>
      <c r="D641" s="44" t="s">
        <v>461</v>
      </c>
      <c r="E641" s="59" t="s">
        <v>1035</v>
      </c>
      <c r="F641" s="58">
        <v>11.0</v>
      </c>
      <c r="G641" s="58">
        <v>137980.0</v>
      </c>
      <c r="H641" s="58">
        <v>15160.0</v>
      </c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7.25" customHeight="1">
      <c r="A642" s="44" t="s">
        <v>27</v>
      </c>
      <c r="B642" s="47" t="s">
        <v>91</v>
      </c>
      <c r="C642" s="44" t="s">
        <v>1036</v>
      </c>
      <c r="D642" s="44" t="s">
        <v>1037</v>
      </c>
      <c r="E642" s="59" t="s">
        <v>1038</v>
      </c>
      <c r="F642" s="58">
        <v>0.0</v>
      </c>
      <c r="G642" s="58">
        <v>0.0</v>
      </c>
      <c r="H642" s="58">
        <v>0.0</v>
      </c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7.25" customHeight="1">
      <c r="A643" s="44" t="s">
        <v>27</v>
      </c>
      <c r="B643" s="47" t="s">
        <v>91</v>
      </c>
      <c r="C643" s="44" t="s">
        <v>1036</v>
      </c>
      <c r="D643" s="44" t="s">
        <v>1037</v>
      </c>
      <c r="E643" s="59" t="s">
        <v>1039</v>
      </c>
      <c r="F643" s="58">
        <v>3.0</v>
      </c>
      <c r="G643" s="58">
        <v>114000.0</v>
      </c>
      <c r="H643" s="58">
        <v>21660.0</v>
      </c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7.25" customHeight="1">
      <c r="A644" s="44" t="s">
        <v>27</v>
      </c>
      <c r="B644" s="47" t="s">
        <v>91</v>
      </c>
      <c r="C644" s="44" t="s">
        <v>1036</v>
      </c>
      <c r="D644" s="44" t="s">
        <v>1037</v>
      </c>
      <c r="E644" s="59" t="s">
        <v>1040</v>
      </c>
      <c r="F644" s="58">
        <v>0.0</v>
      </c>
      <c r="G644" s="58">
        <v>0.0</v>
      </c>
      <c r="H644" s="58">
        <v>0.0</v>
      </c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7.25" customHeight="1">
      <c r="A645" s="44" t="s">
        <v>27</v>
      </c>
      <c r="B645" s="47" t="s">
        <v>91</v>
      </c>
      <c r="C645" s="44" t="s">
        <v>1036</v>
      </c>
      <c r="D645" s="44" t="s">
        <v>1037</v>
      </c>
      <c r="E645" s="59" t="s">
        <v>1041</v>
      </c>
      <c r="F645" s="58">
        <v>0.0</v>
      </c>
      <c r="G645" s="58">
        <v>0.0</v>
      </c>
      <c r="H645" s="58">
        <v>0.0</v>
      </c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7.25" customHeight="1">
      <c r="A646" s="44" t="s">
        <v>27</v>
      </c>
      <c r="B646" s="47" t="s">
        <v>91</v>
      </c>
      <c r="C646" s="44" t="s">
        <v>1036</v>
      </c>
      <c r="D646" s="44" t="s">
        <v>1037</v>
      </c>
      <c r="E646" s="59" t="s">
        <v>1042</v>
      </c>
      <c r="F646" s="58">
        <v>0.0</v>
      </c>
      <c r="G646" s="58">
        <v>0.0</v>
      </c>
      <c r="H646" s="58">
        <v>0.0</v>
      </c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7.25" customHeight="1">
      <c r="A647" s="44" t="s">
        <v>27</v>
      </c>
      <c r="B647" s="47" t="s">
        <v>91</v>
      </c>
      <c r="C647" s="44" t="s">
        <v>1036</v>
      </c>
      <c r="D647" s="44" t="s">
        <v>1037</v>
      </c>
      <c r="E647" s="59" t="s">
        <v>1043</v>
      </c>
      <c r="F647" s="58">
        <v>0.0</v>
      </c>
      <c r="G647" s="58">
        <v>0.0</v>
      </c>
      <c r="H647" s="58">
        <v>0.0</v>
      </c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7.25" customHeight="1">
      <c r="A648" s="44" t="s">
        <v>27</v>
      </c>
      <c r="B648" s="47" t="s">
        <v>91</v>
      </c>
      <c r="C648" s="44" t="s">
        <v>1036</v>
      </c>
      <c r="D648" s="44" t="s">
        <v>1037</v>
      </c>
      <c r="E648" s="59" t="s">
        <v>1044</v>
      </c>
      <c r="F648" s="58">
        <v>0.0</v>
      </c>
      <c r="G648" s="58">
        <v>0.0</v>
      </c>
      <c r="H648" s="58">
        <v>0.0</v>
      </c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7.25" customHeight="1">
      <c r="A649" s="44" t="s">
        <v>27</v>
      </c>
      <c r="B649" s="47" t="s">
        <v>91</v>
      </c>
      <c r="C649" s="44" t="s">
        <v>1036</v>
      </c>
      <c r="D649" s="44" t="s">
        <v>1037</v>
      </c>
      <c r="E649" s="59" t="s">
        <v>1045</v>
      </c>
      <c r="F649" s="58">
        <v>0.0</v>
      </c>
      <c r="G649" s="58">
        <v>0.0</v>
      </c>
      <c r="H649" s="58">
        <v>0.0</v>
      </c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7.25" customHeight="1">
      <c r="A650" s="44" t="s">
        <v>27</v>
      </c>
      <c r="B650" s="47" t="s">
        <v>91</v>
      </c>
      <c r="C650" s="44" t="s">
        <v>1036</v>
      </c>
      <c r="D650" s="44" t="s">
        <v>1037</v>
      </c>
      <c r="E650" s="59" t="s">
        <v>1046</v>
      </c>
      <c r="F650" s="58">
        <v>1.0</v>
      </c>
      <c r="G650" s="58">
        <v>58000.0</v>
      </c>
      <c r="H650" s="58">
        <v>10000.0</v>
      </c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7.25" customHeight="1">
      <c r="A651" s="44" t="s">
        <v>27</v>
      </c>
      <c r="B651" s="47" t="s">
        <v>91</v>
      </c>
      <c r="C651" s="44" t="s">
        <v>1036</v>
      </c>
      <c r="D651" s="44" t="s">
        <v>1037</v>
      </c>
      <c r="E651" s="59" t="s">
        <v>1047</v>
      </c>
      <c r="F651" s="58">
        <v>0.0</v>
      </c>
      <c r="G651" s="58">
        <v>0.0</v>
      </c>
      <c r="H651" s="58">
        <v>0.0</v>
      </c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7.25" customHeight="1">
      <c r="A652" s="45" t="s">
        <v>27</v>
      </c>
      <c r="B652" s="51" t="s">
        <v>91</v>
      </c>
      <c r="C652" s="45" t="s">
        <v>1036</v>
      </c>
      <c r="D652" s="45" t="s">
        <v>1037</v>
      </c>
      <c r="E652" s="61" t="s">
        <v>1048</v>
      </c>
      <c r="F652" s="62">
        <v>0.0</v>
      </c>
      <c r="G652" s="62">
        <v>0.0</v>
      </c>
      <c r="H652" s="62">
        <v>0.0</v>
      </c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7.25" customHeight="1">
      <c r="A653" s="44" t="s">
        <v>21</v>
      </c>
      <c r="B653" s="47" t="s">
        <v>91</v>
      </c>
      <c r="C653" s="47" t="s">
        <v>1051</v>
      </c>
      <c r="D653" s="48" t="s">
        <v>1052</v>
      </c>
      <c r="E653" s="44" t="s">
        <v>1053</v>
      </c>
      <c r="F653" s="58">
        <v>14292.0</v>
      </c>
      <c r="G653" s="58">
        <v>1.8838688E8</v>
      </c>
      <c r="H653" s="58">
        <v>1271104.0</v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7.25" customHeight="1">
      <c r="A654" s="44" t="s">
        <v>21</v>
      </c>
      <c r="B654" s="47" t="s">
        <v>91</v>
      </c>
      <c r="C654" s="47" t="s">
        <v>1051</v>
      </c>
      <c r="D654" s="48" t="s">
        <v>1052</v>
      </c>
      <c r="E654" s="44" t="s">
        <v>1054</v>
      </c>
      <c r="F654" s="58">
        <v>1310.0</v>
      </c>
      <c r="G654" s="58">
        <v>2.47032E7</v>
      </c>
      <c r="H654" s="58">
        <v>149151.0</v>
      </c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7.25" customHeight="1">
      <c r="A655" s="44" t="s">
        <v>21</v>
      </c>
      <c r="B655" s="47" t="s">
        <v>91</v>
      </c>
      <c r="C655" s="47" t="s">
        <v>1051</v>
      </c>
      <c r="D655" s="48" t="s">
        <v>1052</v>
      </c>
      <c r="E655" s="44" t="s">
        <v>1055</v>
      </c>
      <c r="F655" s="58">
        <v>3582.0</v>
      </c>
      <c r="G655" s="58">
        <v>6.016167E7</v>
      </c>
      <c r="H655" s="58">
        <v>605736.0</v>
      </c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7.25" customHeight="1">
      <c r="A656" s="44" t="s">
        <v>21</v>
      </c>
      <c r="B656" s="47" t="s">
        <v>63</v>
      </c>
      <c r="C656" s="47" t="s">
        <v>1056</v>
      </c>
      <c r="D656" s="48" t="s">
        <v>1057</v>
      </c>
      <c r="E656" s="44" t="s">
        <v>1058</v>
      </c>
      <c r="F656" s="58">
        <v>59.0</v>
      </c>
      <c r="G656" s="58">
        <v>737500.0</v>
      </c>
      <c r="H656" s="58">
        <v>79676.0</v>
      </c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7.25" customHeight="1">
      <c r="A657" s="44" t="s">
        <v>21</v>
      </c>
      <c r="B657" s="44" t="s">
        <v>63</v>
      </c>
      <c r="C657" s="44" t="s">
        <v>1056</v>
      </c>
      <c r="D657" s="48" t="s">
        <v>1057</v>
      </c>
      <c r="E657" s="44" t="s">
        <v>1059</v>
      </c>
      <c r="F657" s="58">
        <v>24.0</v>
      </c>
      <c r="G657" s="58">
        <v>340800.0</v>
      </c>
      <c r="H657" s="58">
        <v>49744.0</v>
      </c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7.25" customHeight="1">
      <c r="A658" s="44" t="s">
        <v>21</v>
      </c>
      <c r="B658" s="47" t="s">
        <v>63</v>
      </c>
      <c r="C658" s="47" t="s">
        <v>1060</v>
      </c>
      <c r="D658" s="48" t="s">
        <v>1061</v>
      </c>
      <c r="E658" s="44" t="s">
        <v>1062</v>
      </c>
      <c r="F658" s="58">
        <v>11026.0</v>
      </c>
      <c r="G658" s="58">
        <v>6.490184E7</v>
      </c>
      <c r="H658" s="58">
        <v>711655.0</v>
      </c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7.25" customHeight="1">
      <c r="A659" s="44" t="s">
        <v>21</v>
      </c>
      <c r="B659" s="47" t="s">
        <v>63</v>
      </c>
      <c r="C659" s="47" t="s">
        <v>1060</v>
      </c>
      <c r="D659" s="48" t="s">
        <v>1061</v>
      </c>
      <c r="E659" s="44" t="s">
        <v>1063</v>
      </c>
      <c r="F659" s="58">
        <v>11302.0</v>
      </c>
      <c r="G659" s="58">
        <v>5.22991E7</v>
      </c>
      <c r="H659" s="58">
        <v>708110.0</v>
      </c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7.25" customHeight="1">
      <c r="A660" s="44" t="s">
        <v>21</v>
      </c>
      <c r="B660" s="47" t="s">
        <v>63</v>
      </c>
      <c r="C660" s="47" t="s">
        <v>1060</v>
      </c>
      <c r="D660" s="48" t="s">
        <v>1061</v>
      </c>
      <c r="E660" s="44" t="s">
        <v>1064</v>
      </c>
      <c r="F660" s="58">
        <v>10571.0</v>
      </c>
      <c r="G660" s="58">
        <v>4.24172E7</v>
      </c>
      <c r="H660" s="58">
        <v>560200.0</v>
      </c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7.25" customHeight="1">
      <c r="A661" s="44" t="s">
        <v>21</v>
      </c>
      <c r="B661" s="47" t="s">
        <v>63</v>
      </c>
      <c r="C661" s="47" t="s">
        <v>1060</v>
      </c>
      <c r="D661" s="48" t="s">
        <v>1061</v>
      </c>
      <c r="E661" s="44" t="s">
        <v>1065</v>
      </c>
      <c r="F661" s="58">
        <v>2689.0</v>
      </c>
      <c r="G661" s="58">
        <v>5907000.0</v>
      </c>
      <c r="H661" s="58">
        <v>64236.0</v>
      </c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7.25" customHeight="1">
      <c r="A662" s="44" t="s">
        <v>21</v>
      </c>
      <c r="B662" s="47" t="s">
        <v>63</v>
      </c>
      <c r="C662" s="47" t="s">
        <v>1060</v>
      </c>
      <c r="D662" s="48" t="s">
        <v>1061</v>
      </c>
      <c r="E662" s="44" t="s">
        <v>1066</v>
      </c>
      <c r="F662" s="58">
        <v>621.0</v>
      </c>
      <c r="G662" s="58">
        <v>2916700.0</v>
      </c>
      <c r="H662" s="58">
        <v>29760.0</v>
      </c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7.25" customHeight="1">
      <c r="A663" s="44" t="s">
        <v>21</v>
      </c>
      <c r="B663" s="47" t="s">
        <v>63</v>
      </c>
      <c r="C663" s="47" t="s">
        <v>1060</v>
      </c>
      <c r="D663" s="48" t="s">
        <v>1061</v>
      </c>
      <c r="E663" s="44" t="s">
        <v>1067</v>
      </c>
      <c r="F663" s="58">
        <v>562.0</v>
      </c>
      <c r="G663" s="58">
        <v>2607800.0</v>
      </c>
      <c r="H663" s="58">
        <v>21440.0</v>
      </c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7.25" customHeight="1">
      <c r="A664" s="44" t="s">
        <v>21</v>
      </c>
      <c r="B664" s="47" t="s">
        <v>99</v>
      </c>
      <c r="C664" s="47" t="s">
        <v>1068</v>
      </c>
      <c r="D664" s="48" t="s">
        <v>1069</v>
      </c>
      <c r="E664" s="44" t="s">
        <v>1070</v>
      </c>
      <c r="F664" s="58">
        <v>4759.0</v>
      </c>
      <c r="G664" s="58">
        <v>4.64269E7</v>
      </c>
      <c r="H664" s="58">
        <v>749940.0</v>
      </c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7.25" customHeight="1">
      <c r="A665" s="44" t="s">
        <v>21</v>
      </c>
      <c r="B665" s="47" t="s">
        <v>99</v>
      </c>
      <c r="C665" s="47" t="s">
        <v>1068</v>
      </c>
      <c r="D665" s="48" t="s">
        <v>1069</v>
      </c>
      <c r="E665" s="44" t="s">
        <v>1071</v>
      </c>
      <c r="F665" s="58">
        <v>2552.0</v>
      </c>
      <c r="G665" s="58">
        <v>3.0197E7</v>
      </c>
      <c r="H665" s="58">
        <v>490780.0</v>
      </c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7.25" customHeight="1">
      <c r="A666" s="44" t="s">
        <v>21</v>
      </c>
      <c r="B666" s="47" t="s">
        <v>99</v>
      </c>
      <c r="C666" s="47" t="s">
        <v>1068</v>
      </c>
      <c r="D666" s="48" t="s">
        <v>1069</v>
      </c>
      <c r="E666" s="44" t="s">
        <v>1072</v>
      </c>
      <c r="F666" s="58">
        <v>2247.0</v>
      </c>
      <c r="G666" s="58">
        <v>2.17444E7</v>
      </c>
      <c r="H666" s="58">
        <v>555270.0</v>
      </c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7.25" customHeight="1">
      <c r="A667" s="44" t="s">
        <v>21</v>
      </c>
      <c r="B667" s="47" t="s">
        <v>99</v>
      </c>
      <c r="C667" s="47" t="s">
        <v>1068</v>
      </c>
      <c r="D667" s="48" t="s">
        <v>1069</v>
      </c>
      <c r="E667" s="44" t="s">
        <v>1073</v>
      </c>
      <c r="F667" s="58">
        <v>883.0</v>
      </c>
      <c r="G667" s="58">
        <v>1.54226E7</v>
      </c>
      <c r="H667" s="58">
        <v>271750.0</v>
      </c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7.25" customHeight="1">
      <c r="A668" s="44" t="s">
        <v>21</v>
      </c>
      <c r="B668" s="47" t="s">
        <v>91</v>
      </c>
      <c r="C668" s="47" t="s">
        <v>1074</v>
      </c>
      <c r="D668" s="48" t="s">
        <v>1075</v>
      </c>
      <c r="E668" s="44" t="s">
        <v>1076</v>
      </c>
      <c r="F668" s="58">
        <v>3118.0</v>
      </c>
      <c r="G668" s="58">
        <v>1.69397E7</v>
      </c>
      <c r="H668" s="58">
        <v>1323514.0</v>
      </c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7.25" customHeight="1">
      <c r="A669" s="44" t="s">
        <v>21</v>
      </c>
      <c r="B669" s="47" t="s">
        <v>63</v>
      </c>
      <c r="C669" s="47" t="s">
        <v>1077</v>
      </c>
      <c r="D669" s="48" t="s">
        <v>1078</v>
      </c>
      <c r="E669" s="44" t="s">
        <v>1079</v>
      </c>
      <c r="F669" s="58">
        <v>18.0</v>
      </c>
      <c r="G669" s="58">
        <v>702000.0</v>
      </c>
      <c r="H669" s="58">
        <v>90870.0</v>
      </c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7.25" customHeight="1">
      <c r="A670" s="44" t="s">
        <v>21</v>
      </c>
      <c r="B670" s="47" t="s">
        <v>63</v>
      </c>
      <c r="C670" s="47" t="s">
        <v>1077</v>
      </c>
      <c r="D670" s="48" t="s">
        <v>1078</v>
      </c>
      <c r="E670" s="44" t="s">
        <v>1080</v>
      </c>
      <c r="F670" s="58">
        <v>38.0</v>
      </c>
      <c r="G670" s="58">
        <v>722000.0</v>
      </c>
      <c r="H670" s="58">
        <v>86352.0</v>
      </c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7.25" customHeight="1">
      <c r="A671" s="44" t="s">
        <v>21</v>
      </c>
      <c r="B671" s="47" t="s">
        <v>63</v>
      </c>
      <c r="C671" s="47" t="s">
        <v>1077</v>
      </c>
      <c r="D671" s="48" t="s">
        <v>1078</v>
      </c>
      <c r="E671" s="44" t="s">
        <v>1081</v>
      </c>
      <c r="F671" s="58">
        <v>21.0</v>
      </c>
      <c r="G671" s="58">
        <v>231000.0</v>
      </c>
      <c r="H671" s="58">
        <v>33200.0</v>
      </c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7.25" customHeight="1">
      <c r="A672" s="44" t="s">
        <v>21</v>
      </c>
      <c r="B672" s="47" t="s">
        <v>63</v>
      </c>
      <c r="C672" s="47" t="s">
        <v>1077</v>
      </c>
      <c r="D672" s="48" t="s">
        <v>1078</v>
      </c>
      <c r="E672" s="44" t="s">
        <v>1084</v>
      </c>
      <c r="F672" s="58">
        <v>12.0</v>
      </c>
      <c r="G672" s="58">
        <v>54000.0</v>
      </c>
      <c r="H672" s="58">
        <v>10800.0</v>
      </c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7.25" customHeight="1">
      <c r="A673" s="44" t="s">
        <v>21</v>
      </c>
      <c r="B673" s="47" t="s">
        <v>63</v>
      </c>
      <c r="C673" s="47" t="s">
        <v>1077</v>
      </c>
      <c r="D673" s="48" t="s">
        <v>1078</v>
      </c>
      <c r="E673" s="44" t="s">
        <v>1085</v>
      </c>
      <c r="F673" s="58">
        <v>4.0</v>
      </c>
      <c r="G673" s="58">
        <v>50000.0</v>
      </c>
      <c r="H673" s="58">
        <v>10000.0</v>
      </c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7.25" customHeight="1">
      <c r="A674" s="44" t="s">
        <v>21</v>
      </c>
      <c r="B674" s="47" t="s">
        <v>63</v>
      </c>
      <c r="C674" s="47" t="s">
        <v>1077</v>
      </c>
      <c r="D674" s="48" t="s">
        <v>1078</v>
      </c>
      <c r="E674" s="44" t="s">
        <v>1086</v>
      </c>
      <c r="F674" s="58">
        <v>4.0</v>
      </c>
      <c r="G674" s="58">
        <v>31600.0</v>
      </c>
      <c r="H674" s="58">
        <v>3160.0</v>
      </c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7.25" customHeight="1">
      <c r="A675" s="44" t="s">
        <v>21</v>
      </c>
      <c r="B675" s="47" t="s">
        <v>63</v>
      </c>
      <c r="C675" s="47" t="s">
        <v>1077</v>
      </c>
      <c r="D675" s="48" t="s">
        <v>1078</v>
      </c>
      <c r="E675" s="44" t="s">
        <v>1087</v>
      </c>
      <c r="F675" s="58">
        <v>17.0</v>
      </c>
      <c r="G675" s="58">
        <v>93500.0</v>
      </c>
      <c r="H675" s="58">
        <v>15400.0</v>
      </c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7.25" customHeight="1">
      <c r="A676" s="44" t="s">
        <v>21</v>
      </c>
      <c r="B676" s="47" t="s">
        <v>63</v>
      </c>
      <c r="C676" s="47" t="s">
        <v>1077</v>
      </c>
      <c r="D676" s="48" t="s">
        <v>1078</v>
      </c>
      <c r="E676" s="44" t="s">
        <v>1088</v>
      </c>
      <c r="F676" s="58">
        <v>24.0</v>
      </c>
      <c r="G676" s="58">
        <v>276000.0</v>
      </c>
      <c r="H676" s="58">
        <v>43700.0</v>
      </c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7.25" customHeight="1">
      <c r="A677" s="44" t="s">
        <v>21</v>
      </c>
      <c r="B677" s="47" t="s">
        <v>63</v>
      </c>
      <c r="C677" s="47" t="s">
        <v>1077</v>
      </c>
      <c r="D677" s="48" t="s">
        <v>1078</v>
      </c>
      <c r="E677" s="44" t="s">
        <v>1089</v>
      </c>
      <c r="F677" s="58">
        <v>13.0</v>
      </c>
      <c r="G677" s="58">
        <v>260000.0</v>
      </c>
      <c r="H677" s="58">
        <v>46289.0</v>
      </c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7.25" customHeight="1">
      <c r="A678" s="44" t="s">
        <v>21</v>
      </c>
      <c r="B678" s="47" t="s">
        <v>63</v>
      </c>
      <c r="C678" s="47" t="s">
        <v>1077</v>
      </c>
      <c r="D678" s="48" t="s">
        <v>1078</v>
      </c>
      <c r="E678" s="44" t="s">
        <v>1090</v>
      </c>
      <c r="F678" s="58">
        <v>11.0</v>
      </c>
      <c r="G678" s="58">
        <v>165000.0</v>
      </c>
      <c r="H678" s="58">
        <v>17778.0</v>
      </c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7.25" customHeight="1">
      <c r="A679" s="44" t="s">
        <v>21</v>
      </c>
      <c r="B679" s="47" t="s">
        <v>91</v>
      </c>
      <c r="C679" s="47" t="s">
        <v>1091</v>
      </c>
      <c r="D679" s="48" t="s">
        <v>1092</v>
      </c>
      <c r="E679" s="44" t="s">
        <v>1093</v>
      </c>
      <c r="F679" s="58">
        <v>11.0</v>
      </c>
      <c r="G679" s="58">
        <v>174900.0</v>
      </c>
      <c r="H679" s="58">
        <v>19080.0</v>
      </c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7.25" customHeight="1">
      <c r="A680" s="44" t="s">
        <v>21</v>
      </c>
      <c r="B680" s="47" t="s">
        <v>91</v>
      </c>
      <c r="C680" s="47" t="s">
        <v>1091</v>
      </c>
      <c r="D680" s="48" t="s">
        <v>1092</v>
      </c>
      <c r="E680" s="44" t="s">
        <v>1094</v>
      </c>
      <c r="F680" s="58">
        <v>3.0</v>
      </c>
      <c r="G680" s="58">
        <v>53700.0</v>
      </c>
      <c r="H680" s="58">
        <v>10740.0</v>
      </c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7.25" customHeight="1">
      <c r="A681" s="44" t="s">
        <v>21</v>
      </c>
      <c r="B681" s="44" t="s">
        <v>99</v>
      </c>
      <c r="C681" s="47" t="s">
        <v>1091</v>
      </c>
      <c r="D681" s="48" t="s">
        <v>1092</v>
      </c>
      <c r="E681" s="44" t="s">
        <v>1095</v>
      </c>
      <c r="F681" s="58">
        <v>16.0</v>
      </c>
      <c r="G681" s="58">
        <v>508800.0</v>
      </c>
      <c r="H681" s="58">
        <v>92680.0</v>
      </c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7.25" customHeight="1">
      <c r="A682" s="44" t="s">
        <v>21</v>
      </c>
      <c r="B682" s="44" t="s">
        <v>99</v>
      </c>
      <c r="C682" s="47" t="s">
        <v>1091</v>
      </c>
      <c r="D682" s="48" t="s">
        <v>1092</v>
      </c>
      <c r="E682" s="44" t="s">
        <v>1096</v>
      </c>
      <c r="F682" s="58">
        <v>2.0</v>
      </c>
      <c r="G682" s="58">
        <v>59600.0</v>
      </c>
      <c r="H682" s="58">
        <v>11920.0</v>
      </c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7.25" customHeight="1">
      <c r="A683" s="44" t="s">
        <v>21</v>
      </c>
      <c r="B683" s="44" t="s">
        <v>99</v>
      </c>
      <c r="C683" s="47" t="s">
        <v>1091</v>
      </c>
      <c r="D683" s="48" t="s">
        <v>1092</v>
      </c>
      <c r="E683" s="44" t="s">
        <v>1099</v>
      </c>
      <c r="F683" s="58">
        <v>4.0</v>
      </c>
      <c r="G683" s="58">
        <v>115200.0</v>
      </c>
      <c r="H683" s="58">
        <v>22653.0</v>
      </c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7.25" customHeight="1">
      <c r="A684" s="44" t="s">
        <v>21</v>
      </c>
      <c r="B684" s="44" t="s">
        <v>99</v>
      </c>
      <c r="C684" s="47" t="s">
        <v>1091</v>
      </c>
      <c r="D684" s="48" t="s">
        <v>1092</v>
      </c>
      <c r="E684" s="44" t="s">
        <v>1100</v>
      </c>
      <c r="F684" s="58">
        <v>1.0</v>
      </c>
      <c r="G684" s="58">
        <v>24800.0</v>
      </c>
      <c r="H684" s="58">
        <v>4627.0</v>
      </c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7.25" customHeight="1">
      <c r="A685" s="44" t="s">
        <v>21</v>
      </c>
      <c r="B685" s="44" t="s">
        <v>91</v>
      </c>
      <c r="C685" s="44" t="s">
        <v>1101</v>
      </c>
      <c r="D685" s="48" t="s">
        <v>1102</v>
      </c>
      <c r="E685" s="44" t="s">
        <v>1103</v>
      </c>
      <c r="F685" s="58">
        <v>4312.0</v>
      </c>
      <c r="G685" s="58">
        <v>6766100.0</v>
      </c>
      <c r="H685" s="58">
        <v>87840.0</v>
      </c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7.25" customHeight="1">
      <c r="A686" s="44" t="s">
        <v>21</v>
      </c>
      <c r="B686" s="44" t="s">
        <v>91</v>
      </c>
      <c r="C686" s="44" t="s">
        <v>1101</v>
      </c>
      <c r="D686" s="48" t="s">
        <v>1102</v>
      </c>
      <c r="E686" s="44" t="s">
        <v>1104</v>
      </c>
      <c r="F686" s="58">
        <v>10180.0</v>
      </c>
      <c r="G686" s="58">
        <v>4.046852E7</v>
      </c>
      <c r="H686" s="58">
        <v>536740.0</v>
      </c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7.25" customHeight="1">
      <c r="A687" s="44" t="s">
        <v>21</v>
      </c>
      <c r="B687" s="44" t="s">
        <v>91</v>
      </c>
      <c r="C687" s="44" t="s">
        <v>1101</v>
      </c>
      <c r="D687" s="48" t="s">
        <v>1102</v>
      </c>
      <c r="E687" s="44" t="s">
        <v>1105</v>
      </c>
      <c r="F687" s="58">
        <v>9147.0</v>
      </c>
      <c r="G687" s="58">
        <v>1.313099E7</v>
      </c>
      <c r="H687" s="58">
        <v>191208.0</v>
      </c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7.25" customHeight="1">
      <c r="A688" s="44" t="s">
        <v>21</v>
      </c>
      <c r="B688" s="44" t="s">
        <v>91</v>
      </c>
      <c r="C688" s="44" t="s">
        <v>1101</v>
      </c>
      <c r="D688" s="48" t="s">
        <v>1102</v>
      </c>
      <c r="E688" s="44" t="s">
        <v>1106</v>
      </c>
      <c r="F688" s="58">
        <v>4793.0</v>
      </c>
      <c r="G688" s="58">
        <v>2.34759E7</v>
      </c>
      <c r="H688" s="58">
        <v>737000.0</v>
      </c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7.25" customHeight="1">
      <c r="A689" s="44" t="s">
        <v>21</v>
      </c>
      <c r="B689" s="44" t="s">
        <v>91</v>
      </c>
      <c r="C689" s="44" t="s">
        <v>1101</v>
      </c>
      <c r="D689" s="48" t="s">
        <v>1102</v>
      </c>
      <c r="E689" s="44" t="s">
        <v>1107</v>
      </c>
      <c r="F689" s="58">
        <v>0.0</v>
      </c>
      <c r="G689" s="58">
        <v>0.0</v>
      </c>
      <c r="H689" s="58">
        <v>0.0</v>
      </c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7.25" customHeight="1">
      <c r="A690" s="44" t="s">
        <v>21</v>
      </c>
      <c r="B690" s="44" t="s">
        <v>91</v>
      </c>
      <c r="C690" s="44" t="s">
        <v>1101</v>
      </c>
      <c r="D690" s="48" t="s">
        <v>1102</v>
      </c>
      <c r="E690" s="44" t="s">
        <v>1108</v>
      </c>
      <c r="F690" s="58">
        <v>0.0</v>
      </c>
      <c r="G690" s="58">
        <v>0.0</v>
      </c>
      <c r="H690" s="58">
        <v>0.0</v>
      </c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7.25" customHeight="1">
      <c r="A691" s="44" t="s">
        <v>21</v>
      </c>
      <c r="B691" s="44" t="s">
        <v>91</v>
      </c>
      <c r="C691" s="44" t="s">
        <v>1101</v>
      </c>
      <c r="D691" s="48" t="s">
        <v>1102</v>
      </c>
      <c r="E691" s="44" t="s">
        <v>1109</v>
      </c>
      <c r="F691" s="58">
        <v>4315.0</v>
      </c>
      <c r="G691" s="58">
        <v>1.053685E7</v>
      </c>
      <c r="H691" s="58">
        <v>182976.0</v>
      </c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7.25" customHeight="1">
      <c r="A692" s="44" t="s">
        <v>21</v>
      </c>
      <c r="B692" s="44" t="s">
        <v>91</v>
      </c>
      <c r="C692" s="44" t="s">
        <v>1101</v>
      </c>
      <c r="D692" s="48" t="s">
        <v>1102</v>
      </c>
      <c r="E692" s="44" t="s">
        <v>1110</v>
      </c>
      <c r="F692" s="58">
        <v>646.0</v>
      </c>
      <c r="G692" s="58">
        <v>3030160.0</v>
      </c>
      <c r="H692" s="58">
        <v>126064.0</v>
      </c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7.25" customHeight="1">
      <c r="A693" s="44" t="s">
        <v>21</v>
      </c>
      <c r="B693" s="44" t="s">
        <v>91</v>
      </c>
      <c r="C693" s="44" t="s">
        <v>1101</v>
      </c>
      <c r="D693" s="48" t="s">
        <v>1102</v>
      </c>
      <c r="E693" s="44" t="s">
        <v>1111</v>
      </c>
      <c r="F693" s="58">
        <v>2705.0</v>
      </c>
      <c r="G693" s="58">
        <v>1.091337E7</v>
      </c>
      <c r="H693" s="58">
        <v>184506.0</v>
      </c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7.25" customHeight="1">
      <c r="A694" s="44" t="s">
        <v>21</v>
      </c>
      <c r="B694" s="44" t="s">
        <v>91</v>
      </c>
      <c r="C694" s="44" t="s">
        <v>1101</v>
      </c>
      <c r="D694" s="48" t="s">
        <v>1102</v>
      </c>
      <c r="E694" s="44" t="s">
        <v>1112</v>
      </c>
      <c r="F694" s="58">
        <v>0.0</v>
      </c>
      <c r="G694" s="58">
        <v>0.0</v>
      </c>
      <c r="H694" s="58">
        <v>0.0</v>
      </c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7.25" customHeight="1">
      <c r="A695" s="44" t="s">
        <v>21</v>
      </c>
      <c r="B695" s="44" t="s">
        <v>91</v>
      </c>
      <c r="C695" s="44" t="s">
        <v>1101</v>
      </c>
      <c r="D695" s="48" t="s">
        <v>1102</v>
      </c>
      <c r="E695" s="44" t="s">
        <v>1113</v>
      </c>
      <c r="F695" s="58">
        <v>0.0</v>
      </c>
      <c r="G695" s="58">
        <v>0.0</v>
      </c>
      <c r="H695" s="58">
        <v>0.0</v>
      </c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7.25" customHeight="1">
      <c r="A696" s="44" t="s">
        <v>21</v>
      </c>
      <c r="B696" s="44" t="s">
        <v>91</v>
      </c>
      <c r="C696" s="44" t="s">
        <v>1101</v>
      </c>
      <c r="D696" s="48" t="s">
        <v>1102</v>
      </c>
      <c r="E696" s="44" t="s">
        <v>1115</v>
      </c>
      <c r="F696" s="58">
        <v>1451.0</v>
      </c>
      <c r="G696" s="58">
        <v>3545680.0</v>
      </c>
      <c r="H696" s="58">
        <v>0.0</v>
      </c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7.25" customHeight="1">
      <c r="A697" s="44" t="s">
        <v>21</v>
      </c>
      <c r="B697" s="44" t="s">
        <v>91</v>
      </c>
      <c r="C697" s="44" t="s">
        <v>1101</v>
      </c>
      <c r="D697" s="48" t="s">
        <v>1102</v>
      </c>
      <c r="E697" s="44" t="s">
        <v>1116</v>
      </c>
      <c r="F697" s="58">
        <v>1511.0</v>
      </c>
      <c r="G697" s="58">
        <v>2955250.0</v>
      </c>
      <c r="H697" s="58">
        <v>0.0</v>
      </c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7.25" customHeight="1">
      <c r="A698" s="44" t="s">
        <v>21</v>
      </c>
      <c r="B698" s="44" t="s">
        <v>91</v>
      </c>
      <c r="C698" s="44" t="s">
        <v>1101</v>
      </c>
      <c r="D698" s="48" t="s">
        <v>1102</v>
      </c>
      <c r="E698" s="44" t="s">
        <v>1117</v>
      </c>
      <c r="F698" s="58">
        <v>17672.0</v>
      </c>
      <c r="G698" s="58">
        <v>5.143609E7</v>
      </c>
      <c r="H698" s="58">
        <v>0.0</v>
      </c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7.25" customHeight="1">
      <c r="A699" s="44" t="s">
        <v>21</v>
      </c>
      <c r="B699" s="44" t="s">
        <v>91</v>
      </c>
      <c r="C699" s="44" t="s">
        <v>1101</v>
      </c>
      <c r="D699" s="48" t="s">
        <v>1102</v>
      </c>
      <c r="E699" s="44" t="s">
        <v>1118</v>
      </c>
      <c r="F699" s="58">
        <v>0.0</v>
      </c>
      <c r="G699" s="58">
        <v>0.0</v>
      </c>
      <c r="H699" s="58">
        <v>0.0</v>
      </c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7.25" customHeight="1">
      <c r="A700" s="44" t="s">
        <v>21</v>
      </c>
      <c r="B700" s="44" t="s">
        <v>91</v>
      </c>
      <c r="C700" s="44" t="s">
        <v>1101</v>
      </c>
      <c r="D700" s="48" t="s">
        <v>1102</v>
      </c>
      <c r="E700" s="44" t="s">
        <v>1119</v>
      </c>
      <c r="F700" s="58">
        <v>5871.0</v>
      </c>
      <c r="G700" s="58">
        <v>9506060.0</v>
      </c>
      <c r="H700" s="58">
        <v>0.0</v>
      </c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7.25" customHeight="1">
      <c r="A701" s="44" t="s">
        <v>21</v>
      </c>
      <c r="B701" s="44" t="s">
        <v>91</v>
      </c>
      <c r="C701" s="44" t="s">
        <v>1101</v>
      </c>
      <c r="D701" s="48" t="s">
        <v>1102</v>
      </c>
      <c r="E701" s="44" t="s">
        <v>1120</v>
      </c>
      <c r="F701" s="58">
        <v>0.0</v>
      </c>
      <c r="G701" s="58">
        <v>0.0</v>
      </c>
      <c r="H701" s="58">
        <v>0.0</v>
      </c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7.25" customHeight="1">
      <c r="A702" s="44" t="s">
        <v>21</v>
      </c>
      <c r="B702" s="44" t="s">
        <v>91</v>
      </c>
      <c r="C702" s="44" t="s">
        <v>1121</v>
      </c>
      <c r="D702" s="48" t="s">
        <v>1122</v>
      </c>
      <c r="E702" s="44" t="s">
        <v>1123</v>
      </c>
      <c r="F702" s="58">
        <v>24776.0</v>
      </c>
      <c r="G702" s="58">
        <v>4.562863E7</v>
      </c>
      <c r="H702" s="58">
        <v>137841.0</v>
      </c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7.25" customHeight="1">
      <c r="A703" s="44" t="s">
        <v>21</v>
      </c>
      <c r="B703" s="44" t="s">
        <v>91</v>
      </c>
      <c r="C703" s="44" t="s">
        <v>1121</v>
      </c>
      <c r="D703" s="48" t="s">
        <v>1122</v>
      </c>
      <c r="E703" s="44" t="s">
        <v>1124</v>
      </c>
      <c r="F703" s="58">
        <v>5997.0</v>
      </c>
      <c r="G703" s="58">
        <v>2.135048E7</v>
      </c>
      <c r="H703" s="58">
        <v>91872.0</v>
      </c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7.25" customHeight="1">
      <c r="A704" s="44" t="s">
        <v>21</v>
      </c>
      <c r="B704" s="44" t="s">
        <v>91</v>
      </c>
      <c r="C704" s="44" t="s">
        <v>1121</v>
      </c>
      <c r="D704" s="48" t="s">
        <v>1122</v>
      </c>
      <c r="E704" s="44" t="s">
        <v>1125</v>
      </c>
      <c r="F704" s="58">
        <v>6297.0</v>
      </c>
      <c r="G704" s="58">
        <v>1.0219E7</v>
      </c>
      <c r="H704" s="58">
        <v>52800.0</v>
      </c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7.25" customHeight="1">
      <c r="A705" s="44" t="s">
        <v>21</v>
      </c>
      <c r="B705" s="44" t="s">
        <v>91</v>
      </c>
      <c r="C705" s="44" t="s">
        <v>1121</v>
      </c>
      <c r="D705" s="48" t="s">
        <v>1122</v>
      </c>
      <c r="E705" s="44" t="s">
        <v>1126</v>
      </c>
      <c r="F705" s="58">
        <v>5973.0</v>
      </c>
      <c r="G705" s="58">
        <v>9648310.0</v>
      </c>
      <c r="H705" s="58">
        <v>41526.0</v>
      </c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7.25" customHeight="1">
      <c r="A706" s="44" t="s">
        <v>21</v>
      </c>
      <c r="B706" s="44" t="s">
        <v>91</v>
      </c>
      <c r="C706" s="44" t="s">
        <v>1121</v>
      </c>
      <c r="D706" s="48" t="s">
        <v>1122</v>
      </c>
      <c r="E706" s="44" t="s">
        <v>1127</v>
      </c>
      <c r="F706" s="58">
        <v>5007.0</v>
      </c>
      <c r="G706" s="58">
        <v>1.068183E7</v>
      </c>
      <c r="H706" s="58">
        <v>57678.0</v>
      </c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7.25" customHeight="1">
      <c r="A707" s="44" t="s">
        <v>21</v>
      </c>
      <c r="B707" s="44" t="s">
        <v>91</v>
      </c>
      <c r="C707" s="44" t="s">
        <v>1121</v>
      </c>
      <c r="D707" s="48" t="s">
        <v>1122</v>
      </c>
      <c r="E707" s="44" t="s">
        <v>1128</v>
      </c>
      <c r="F707" s="58">
        <v>4682.0</v>
      </c>
      <c r="G707" s="58">
        <v>1.203308E7</v>
      </c>
      <c r="H707" s="58">
        <v>90354.0</v>
      </c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7.25" customHeight="1">
      <c r="A708" s="44" t="s">
        <v>21</v>
      </c>
      <c r="B708" s="44" t="s">
        <v>91</v>
      </c>
      <c r="C708" s="44" t="s">
        <v>1121</v>
      </c>
      <c r="D708" s="48" t="s">
        <v>1122</v>
      </c>
      <c r="E708" s="44" t="s">
        <v>1129</v>
      </c>
      <c r="F708" s="58">
        <v>8858.0</v>
      </c>
      <c r="G708" s="58">
        <v>2.777323E7</v>
      </c>
      <c r="H708" s="58">
        <v>72632.0</v>
      </c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7.25" customHeight="1">
      <c r="A709" s="44" t="s">
        <v>21</v>
      </c>
      <c r="B709" s="44" t="s">
        <v>91</v>
      </c>
      <c r="C709" s="44" t="s">
        <v>1121</v>
      </c>
      <c r="D709" s="48" t="s">
        <v>1122</v>
      </c>
      <c r="E709" s="44" t="s">
        <v>1130</v>
      </c>
      <c r="F709" s="58">
        <v>2092.0</v>
      </c>
      <c r="G709" s="58">
        <v>5255870.0</v>
      </c>
      <c r="H709" s="58">
        <v>12450.0</v>
      </c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7.25" customHeight="1">
      <c r="A710" s="44" t="s">
        <v>21</v>
      </c>
      <c r="B710" s="44" t="s">
        <v>91</v>
      </c>
      <c r="C710" s="44" t="s">
        <v>1121</v>
      </c>
      <c r="D710" s="48" t="s">
        <v>1122</v>
      </c>
      <c r="E710" s="44" t="s">
        <v>1131</v>
      </c>
      <c r="F710" s="58">
        <v>3129.0</v>
      </c>
      <c r="G710" s="58">
        <v>7931780.0</v>
      </c>
      <c r="H710" s="58">
        <v>27120.0</v>
      </c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7.25" customHeight="1">
      <c r="A711" s="44" t="s">
        <v>21</v>
      </c>
      <c r="B711" s="44" t="s">
        <v>91</v>
      </c>
      <c r="C711" s="44" t="s">
        <v>1121</v>
      </c>
      <c r="D711" s="48" t="s">
        <v>1122</v>
      </c>
      <c r="E711" s="44" t="s">
        <v>1132</v>
      </c>
      <c r="F711" s="58">
        <v>1983.0</v>
      </c>
      <c r="G711" s="58">
        <v>4898450.0</v>
      </c>
      <c r="H711" s="58">
        <v>9570.0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7.25" customHeight="1">
      <c r="A712" s="44" t="s">
        <v>21</v>
      </c>
      <c r="B712" s="44" t="s">
        <v>91</v>
      </c>
      <c r="C712" s="44" t="s">
        <v>1121</v>
      </c>
      <c r="D712" s="48" t="s">
        <v>1122</v>
      </c>
      <c r="E712" s="44" t="s">
        <v>1133</v>
      </c>
      <c r="F712" s="58">
        <v>2861.0</v>
      </c>
      <c r="G712" s="58">
        <v>7263320.0</v>
      </c>
      <c r="H712" s="58">
        <v>25204.0</v>
      </c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7.25" customHeight="1">
      <c r="A713" s="44" t="s">
        <v>21</v>
      </c>
      <c r="B713" s="44" t="s">
        <v>91</v>
      </c>
      <c r="C713" s="44" t="s">
        <v>1121</v>
      </c>
      <c r="D713" s="48" t="s">
        <v>1122</v>
      </c>
      <c r="E713" s="44" t="s">
        <v>1134</v>
      </c>
      <c r="F713" s="58">
        <v>5972.0</v>
      </c>
      <c r="G713" s="58">
        <v>1.516078E7</v>
      </c>
      <c r="H713" s="58">
        <v>44702.0</v>
      </c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7.25" customHeight="1">
      <c r="A714" s="44" t="s">
        <v>21</v>
      </c>
      <c r="B714" s="44" t="s">
        <v>91</v>
      </c>
      <c r="C714" s="44" t="s">
        <v>1121</v>
      </c>
      <c r="D714" s="48" t="s">
        <v>1122</v>
      </c>
      <c r="E714" s="44" t="s">
        <v>1135</v>
      </c>
      <c r="F714" s="58">
        <v>11465.0</v>
      </c>
      <c r="G714" s="58">
        <v>3.666264E7</v>
      </c>
      <c r="H714" s="58">
        <v>101626.0</v>
      </c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7.25" customHeight="1">
      <c r="A715" s="44" t="s">
        <v>21</v>
      </c>
      <c r="B715" s="44" t="s">
        <v>91</v>
      </c>
      <c r="C715" s="44" t="s">
        <v>1121</v>
      </c>
      <c r="D715" s="48" t="s">
        <v>1122</v>
      </c>
      <c r="E715" s="44" t="s">
        <v>1136</v>
      </c>
      <c r="F715" s="58">
        <v>18769.0</v>
      </c>
      <c r="G715" s="58">
        <v>2.448839E7</v>
      </c>
      <c r="H715" s="58">
        <v>96180.0</v>
      </c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7.25" customHeight="1">
      <c r="A716" s="44" t="s">
        <v>21</v>
      </c>
      <c r="B716" s="44" t="s">
        <v>63</v>
      </c>
      <c r="C716" s="44" t="s">
        <v>1137</v>
      </c>
      <c r="D716" s="48" t="s">
        <v>1138</v>
      </c>
      <c r="E716" s="44" t="s">
        <v>1139</v>
      </c>
      <c r="F716" s="58">
        <v>227.0</v>
      </c>
      <c r="G716" s="58">
        <v>3495800.0</v>
      </c>
      <c r="H716" s="58">
        <v>375760.0</v>
      </c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7.25" customHeight="1">
      <c r="A717" s="44" t="s">
        <v>21</v>
      </c>
      <c r="B717" s="44" t="s">
        <v>63</v>
      </c>
      <c r="C717" s="44" t="s">
        <v>1137</v>
      </c>
      <c r="D717" s="48" t="s">
        <v>1138</v>
      </c>
      <c r="E717" s="44" t="s">
        <v>1140</v>
      </c>
      <c r="F717" s="58">
        <v>5.0</v>
      </c>
      <c r="G717" s="58">
        <v>100820.0</v>
      </c>
      <c r="H717" s="58">
        <v>17176.0</v>
      </c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7.25" customHeight="1">
      <c r="A718" s="44" t="s">
        <v>21</v>
      </c>
      <c r="B718" s="44" t="s">
        <v>63</v>
      </c>
      <c r="C718" s="44" t="s">
        <v>1137</v>
      </c>
      <c r="D718" s="48" t="s">
        <v>1138</v>
      </c>
      <c r="E718" s="44" t="s">
        <v>1143</v>
      </c>
      <c r="F718" s="58">
        <v>0.0</v>
      </c>
      <c r="G718" s="58">
        <v>0.0</v>
      </c>
      <c r="H718" s="58">
        <v>0.0</v>
      </c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7.25" customHeight="1">
      <c r="A719" s="44" t="s">
        <v>21</v>
      </c>
      <c r="B719" s="44" t="s">
        <v>63</v>
      </c>
      <c r="C719" s="44" t="s">
        <v>1137</v>
      </c>
      <c r="D719" s="48" t="s">
        <v>1138</v>
      </c>
      <c r="E719" s="44" t="s">
        <v>1144</v>
      </c>
      <c r="F719" s="58">
        <v>4.0</v>
      </c>
      <c r="G719" s="58">
        <v>92000.0</v>
      </c>
      <c r="H719" s="58">
        <v>18400.0</v>
      </c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7.25" customHeight="1">
      <c r="A720" s="44" t="s">
        <v>21</v>
      </c>
      <c r="B720" s="44" t="s">
        <v>63</v>
      </c>
      <c r="C720" s="44" t="s">
        <v>1137</v>
      </c>
      <c r="D720" s="48" t="s">
        <v>1138</v>
      </c>
      <c r="E720" s="44" t="s">
        <v>1145</v>
      </c>
      <c r="F720" s="58">
        <v>1.0</v>
      </c>
      <c r="G720" s="58">
        <v>22000.0</v>
      </c>
      <c r="H720" s="58">
        <v>4400.0</v>
      </c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7.25" customHeight="1">
      <c r="A721" s="44" t="s">
        <v>21</v>
      </c>
      <c r="B721" s="44" t="s">
        <v>63</v>
      </c>
      <c r="C721" s="44" t="s">
        <v>1146</v>
      </c>
      <c r="D721" s="48" t="s">
        <v>1147</v>
      </c>
      <c r="E721" s="44" t="s">
        <v>1148</v>
      </c>
      <c r="F721" s="58">
        <v>1.0</v>
      </c>
      <c r="G721" s="58">
        <v>12900.0</v>
      </c>
      <c r="H721" s="58">
        <v>2580.0</v>
      </c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7.25" customHeight="1">
      <c r="A722" s="44" t="s">
        <v>21</v>
      </c>
      <c r="B722" s="44" t="s">
        <v>63</v>
      </c>
      <c r="C722" s="44" t="s">
        <v>1146</v>
      </c>
      <c r="D722" s="48" t="s">
        <v>1147</v>
      </c>
      <c r="E722" s="44" t="s">
        <v>1149</v>
      </c>
      <c r="F722" s="58">
        <v>4.0</v>
      </c>
      <c r="G722" s="58">
        <v>51600.0</v>
      </c>
      <c r="H722" s="58">
        <v>2580.0</v>
      </c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7.25" customHeight="1">
      <c r="A723" s="44" t="s">
        <v>21</v>
      </c>
      <c r="B723" s="44" t="s">
        <v>63</v>
      </c>
      <c r="C723" s="44" t="s">
        <v>1146</v>
      </c>
      <c r="D723" s="48" t="s">
        <v>1147</v>
      </c>
      <c r="E723" s="44" t="s">
        <v>1150</v>
      </c>
      <c r="F723" s="58">
        <v>397.0</v>
      </c>
      <c r="G723" s="58">
        <v>5283400.0</v>
      </c>
      <c r="H723" s="58">
        <v>574854.0</v>
      </c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7.25" customHeight="1">
      <c r="A724" s="44" t="s">
        <v>21</v>
      </c>
      <c r="B724" s="44" t="s">
        <v>63</v>
      </c>
      <c r="C724" s="44" t="s">
        <v>1146</v>
      </c>
      <c r="D724" s="48" t="s">
        <v>1147</v>
      </c>
      <c r="E724" s="44" t="s">
        <v>1151</v>
      </c>
      <c r="F724" s="58">
        <v>6.0</v>
      </c>
      <c r="G724" s="58">
        <v>39800.0</v>
      </c>
      <c r="H724" s="58">
        <v>0.0</v>
      </c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7.25" customHeight="1">
      <c r="A725" s="44" t="s">
        <v>21</v>
      </c>
      <c r="B725" s="44" t="s">
        <v>63</v>
      </c>
      <c r="C725" s="44" t="s">
        <v>1146</v>
      </c>
      <c r="D725" s="48" t="s">
        <v>1147</v>
      </c>
      <c r="E725" s="44" t="s">
        <v>1152</v>
      </c>
      <c r="F725" s="58">
        <v>4.0</v>
      </c>
      <c r="G725" s="58">
        <v>26000.0</v>
      </c>
      <c r="H725" s="58">
        <v>5044.0</v>
      </c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7.25" customHeight="1">
      <c r="A726" s="44" t="s">
        <v>21</v>
      </c>
      <c r="B726" s="44" t="s">
        <v>63</v>
      </c>
      <c r="C726" s="44" t="s">
        <v>1146</v>
      </c>
      <c r="D726" s="48" t="s">
        <v>1147</v>
      </c>
      <c r="E726" s="44" t="s">
        <v>1153</v>
      </c>
      <c r="F726" s="58">
        <v>10.0</v>
      </c>
      <c r="G726" s="58">
        <v>67000.0</v>
      </c>
      <c r="H726" s="58">
        <v>12916.0</v>
      </c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7.25" customHeight="1">
      <c r="A727" s="44" t="s">
        <v>21</v>
      </c>
      <c r="B727" s="44" t="s">
        <v>63</v>
      </c>
      <c r="C727" s="44" t="s">
        <v>1146</v>
      </c>
      <c r="D727" s="48" t="s">
        <v>1147</v>
      </c>
      <c r="E727" s="44" t="s">
        <v>1154</v>
      </c>
      <c r="F727" s="58">
        <v>0.0</v>
      </c>
      <c r="G727" s="58">
        <v>0.0</v>
      </c>
      <c r="H727" s="58">
        <v>0.0</v>
      </c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7.25" customHeight="1">
      <c r="A728" s="44" t="s">
        <v>21</v>
      </c>
      <c r="B728" s="44" t="s">
        <v>63</v>
      </c>
      <c r="C728" s="44" t="s">
        <v>1146</v>
      </c>
      <c r="D728" s="48" t="s">
        <v>1147</v>
      </c>
      <c r="E728" s="44" t="s">
        <v>1156</v>
      </c>
      <c r="F728" s="58">
        <v>509.0</v>
      </c>
      <c r="G728" s="58">
        <v>6787100.0</v>
      </c>
      <c r="H728" s="58">
        <v>675506.0</v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7.25" customHeight="1">
      <c r="A729" s="44" t="s">
        <v>21</v>
      </c>
      <c r="B729" s="44" t="s">
        <v>63</v>
      </c>
      <c r="C729" s="44" t="s">
        <v>1146</v>
      </c>
      <c r="D729" s="48" t="s">
        <v>1147</v>
      </c>
      <c r="E729" s="44" t="s">
        <v>1157</v>
      </c>
      <c r="F729" s="58">
        <v>0.0</v>
      </c>
      <c r="G729" s="58">
        <v>0.0</v>
      </c>
      <c r="H729" s="58">
        <v>0.0</v>
      </c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7.25" customHeight="1">
      <c r="A730" s="44" t="s">
        <v>21</v>
      </c>
      <c r="B730" s="44" t="s">
        <v>63</v>
      </c>
      <c r="C730" s="44" t="s">
        <v>1146</v>
      </c>
      <c r="D730" s="48" t="s">
        <v>1147</v>
      </c>
      <c r="E730" s="44" t="s">
        <v>1158</v>
      </c>
      <c r="F730" s="58">
        <v>1.0</v>
      </c>
      <c r="G730" s="58">
        <v>7400.0</v>
      </c>
      <c r="H730" s="58">
        <v>0.0</v>
      </c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7.25" customHeight="1">
      <c r="A731" s="44" t="s">
        <v>21</v>
      </c>
      <c r="B731" s="44" t="s">
        <v>63</v>
      </c>
      <c r="C731" s="44" t="s">
        <v>1159</v>
      </c>
      <c r="D731" s="48" t="s">
        <v>1160</v>
      </c>
      <c r="E731" s="44" t="s">
        <v>1161</v>
      </c>
      <c r="F731" s="58">
        <v>3016.0</v>
      </c>
      <c r="G731" s="58">
        <v>8892400.0</v>
      </c>
      <c r="H731" s="58">
        <v>501767.0</v>
      </c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7.25" customHeight="1">
      <c r="A732" s="44" t="s">
        <v>21</v>
      </c>
      <c r="B732" s="44" t="s">
        <v>63</v>
      </c>
      <c r="C732" s="44" t="s">
        <v>1159</v>
      </c>
      <c r="D732" s="48" t="s">
        <v>1160</v>
      </c>
      <c r="E732" s="44" t="s">
        <v>1162</v>
      </c>
      <c r="F732" s="58">
        <v>4706.0</v>
      </c>
      <c r="G732" s="58">
        <v>3.44474E7</v>
      </c>
      <c r="H732" s="58">
        <v>2186911.0</v>
      </c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7.25" customHeight="1">
      <c r="A733" s="44" t="s">
        <v>21</v>
      </c>
      <c r="B733" s="44" t="s">
        <v>63</v>
      </c>
      <c r="C733" s="44" t="s">
        <v>1159</v>
      </c>
      <c r="D733" s="48" t="s">
        <v>1160</v>
      </c>
      <c r="E733" s="44" t="s">
        <v>1163</v>
      </c>
      <c r="F733" s="58">
        <v>2455.0</v>
      </c>
      <c r="G733" s="58">
        <v>8551100.0</v>
      </c>
      <c r="H733" s="58">
        <v>395531.0</v>
      </c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7.25" customHeight="1">
      <c r="A734" s="44" t="s">
        <v>21</v>
      </c>
      <c r="B734" s="44" t="s">
        <v>91</v>
      </c>
      <c r="C734" s="44" t="s">
        <v>1164</v>
      </c>
      <c r="D734" s="48" t="s">
        <v>1165</v>
      </c>
      <c r="E734" s="44" t="s">
        <v>1166</v>
      </c>
      <c r="F734" s="58">
        <v>0.0</v>
      </c>
      <c r="G734" s="58">
        <v>0.0</v>
      </c>
      <c r="H734" s="58">
        <v>0.0</v>
      </c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7.25" customHeight="1">
      <c r="A735" s="44" t="s">
        <v>21</v>
      </c>
      <c r="B735" s="44" t="s">
        <v>91</v>
      </c>
      <c r="C735" s="44" t="s">
        <v>1164</v>
      </c>
      <c r="D735" s="48" t="s">
        <v>1165</v>
      </c>
      <c r="E735" s="44" t="s">
        <v>1167</v>
      </c>
      <c r="F735" s="58">
        <v>0.0</v>
      </c>
      <c r="G735" s="58">
        <v>0.0</v>
      </c>
      <c r="H735" s="58">
        <v>0.0</v>
      </c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7.25" customHeight="1">
      <c r="A736" s="44" t="s">
        <v>21</v>
      </c>
      <c r="B736" s="44" t="s">
        <v>91</v>
      </c>
      <c r="C736" s="44" t="s">
        <v>1164</v>
      </c>
      <c r="D736" s="48" t="s">
        <v>1165</v>
      </c>
      <c r="E736" s="44" t="s">
        <v>1168</v>
      </c>
      <c r="F736" s="58">
        <v>0.0</v>
      </c>
      <c r="G736" s="58">
        <v>0.0</v>
      </c>
      <c r="H736" s="58">
        <v>0.0</v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7.25" customHeight="1">
      <c r="A737" s="44" t="s">
        <v>21</v>
      </c>
      <c r="B737" s="44" t="s">
        <v>91</v>
      </c>
      <c r="C737" s="44" t="s">
        <v>1164</v>
      </c>
      <c r="D737" s="48" t="s">
        <v>1165</v>
      </c>
      <c r="E737" s="44" t="s">
        <v>1169</v>
      </c>
      <c r="F737" s="58">
        <v>1.0</v>
      </c>
      <c r="G737" s="58">
        <v>27000.0</v>
      </c>
      <c r="H737" s="58">
        <v>5400.0</v>
      </c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7.25" customHeight="1">
      <c r="A738" s="44" t="s">
        <v>21</v>
      </c>
      <c r="B738" s="44" t="s">
        <v>91</v>
      </c>
      <c r="C738" s="44" t="s">
        <v>1164</v>
      </c>
      <c r="D738" s="48" t="s">
        <v>1165</v>
      </c>
      <c r="E738" s="44" t="s">
        <v>1170</v>
      </c>
      <c r="F738" s="58">
        <v>0.0</v>
      </c>
      <c r="G738" s="58">
        <v>0.0</v>
      </c>
      <c r="H738" s="58">
        <v>0.0</v>
      </c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7.25" customHeight="1">
      <c r="A739" s="44" t="s">
        <v>21</v>
      </c>
      <c r="B739" s="44" t="s">
        <v>91</v>
      </c>
      <c r="C739" s="44" t="s">
        <v>1164</v>
      </c>
      <c r="D739" s="48" t="s">
        <v>1165</v>
      </c>
      <c r="E739" s="44" t="s">
        <v>1171</v>
      </c>
      <c r="F739" s="58">
        <v>0.0</v>
      </c>
      <c r="G739" s="58">
        <v>0.0</v>
      </c>
      <c r="H739" s="58">
        <v>0.0</v>
      </c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7.25" customHeight="1">
      <c r="A740" s="44" t="s">
        <v>28</v>
      </c>
      <c r="B740" s="47" t="s">
        <v>91</v>
      </c>
      <c r="C740" s="47" t="s">
        <v>677</v>
      </c>
      <c r="D740" s="48" t="s">
        <v>675</v>
      </c>
      <c r="E740" s="44" t="s">
        <v>1174</v>
      </c>
      <c r="F740" s="58">
        <v>583.0</v>
      </c>
      <c r="G740" s="58">
        <v>2.98325E7</v>
      </c>
      <c r="H740" s="58">
        <v>4757703.0</v>
      </c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7.25" customHeight="1">
      <c r="A741" s="44" t="s">
        <v>28</v>
      </c>
      <c r="B741" s="47" t="s">
        <v>91</v>
      </c>
      <c r="C741" s="47" t="s">
        <v>1175</v>
      </c>
      <c r="D741" s="48" t="s">
        <v>1176</v>
      </c>
      <c r="E741" s="44" t="s">
        <v>1177</v>
      </c>
      <c r="F741" s="58">
        <v>531.0</v>
      </c>
      <c r="G741" s="58">
        <v>2.27031E7</v>
      </c>
      <c r="H741" s="58">
        <v>4073774.0</v>
      </c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7.25" customHeight="1">
      <c r="A742" s="44" t="s">
        <v>28</v>
      </c>
      <c r="B742" s="47" t="s">
        <v>91</v>
      </c>
      <c r="C742" s="47" t="s">
        <v>696</v>
      </c>
      <c r="D742" s="48" t="s">
        <v>695</v>
      </c>
      <c r="E742" s="44" t="s">
        <v>1178</v>
      </c>
      <c r="F742" s="58">
        <v>434.0</v>
      </c>
      <c r="G742" s="58">
        <v>9625100.0</v>
      </c>
      <c r="H742" s="58">
        <v>1129304.0</v>
      </c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7.25" customHeight="1">
      <c r="A743" s="44" t="s">
        <v>28</v>
      </c>
      <c r="B743" s="47" t="s">
        <v>91</v>
      </c>
      <c r="C743" s="47" t="s">
        <v>1179</v>
      </c>
      <c r="D743" s="48" t="s">
        <v>1180</v>
      </c>
      <c r="E743" s="44" t="s">
        <v>1181</v>
      </c>
      <c r="F743" s="58">
        <v>429.0</v>
      </c>
      <c r="G743" s="58">
        <v>1.323E7</v>
      </c>
      <c r="H743" s="58">
        <v>2123130.0</v>
      </c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7.25" customHeight="1">
      <c r="A744" s="44" t="s">
        <v>28</v>
      </c>
      <c r="B744" s="47" t="s">
        <v>91</v>
      </c>
      <c r="C744" s="47" t="s">
        <v>1182</v>
      </c>
      <c r="D744" s="48" t="s">
        <v>1183</v>
      </c>
      <c r="E744" s="44" t="s">
        <v>1184</v>
      </c>
      <c r="F744" s="58">
        <v>202.0</v>
      </c>
      <c r="G744" s="58">
        <v>2546000.0</v>
      </c>
      <c r="H744" s="58">
        <v>288388.0</v>
      </c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7.25" customHeight="1">
      <c r="A745" s="44" t="s">
        <v>28</v>
      </c>
      <c r="B745" s="47" t="s">
        <v>91</v>
      </c>
      <c r="C745" s="47" t="s">
        <v>1179</v>
      </c>
      <c r="D745" s="48" t="s">
        <v>1180</v>
      </c>
      <c r="E745" s="44" t="s">
        <v>1185</v>
      </c>
      <c r="F745" s="58">
        <v>136.0</v>
      </c>
      <c r="G745" s="58">
        <v>2932300.0</v>
      </c>
      <c r="H745" s="58">
        <v>375618.0</v>
      </c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7.25" customHeight="1">
      <c r="A746" s="44" t="s">
        <v>28</v>
      </c>
      <c r="B746" s="47" t="s">
        <v>91</v>
      </c>
      <c r="C746" s="47" t="s">
        <v>1179</v>
      </c>
      <c r="D746" s="48" t="s">
        <v>1180</v>
      </c>
      <c r="E746" s="44" t="s">
        <v>1186</v>
      </c>
      <c r="F746" s="58">
        <v>48.0</v>
      </c>
      <c r="G746" s="58">
        <v>1696200.0</v>
      </c>
      <c r="H746" s="58">
        <v>254958.0</v>
      </c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7.25" customHeight="1">
      <c r="A747" s="44" t="s">
        <v>28</v>
      </c>
      <c r="B747" s="47" t="s">
        <v>91</v>
      </c>
      <c r="C747" s="47" t="s">
        <v>677</v>
      </c>
      <c r="D747" s="48" t="s">
        <v>675</v>
      </c>
      <c r="E747" s="44" t="s">
        <v>1187</v>
      </c>
      <c r="F747" s="58">
        <v>16.0</v>
      </c>
      <c r="G747" s="58">
        <v>816000.0</v>
      </c>
      <c r="H747" s="58">
        <v>125530.0</v>
      </c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7.25" customHeight="1">
      <c r="A748" s="44" t="s">
        <v>28</v>
      </c>
      <c r="B748" s="47" t="s">
        <v>91</v>
      </c>
      <c r="C748" s="47" t="s">
        <v>677</v>
      </c>
      <c r="D748" s="48" t="s">
        <v>675</v>
      </c>
      <c r="E748" s="44" t="s">
        <v>1188</v>
      </c>
      <c r="F748" s="58">
        <v>31.0</v>
      </c>
      <c r="G748" s="58">
        <v>823000.0</v>
      </c>
      <c r="H748" s="58">
        <v>114600.0</v>
      </c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7.25" customHeight="1">
      <c r="A749" s="44" t="s">
        <v>28</v>
      </c>
      <c r="B749" s="47" t="s">
        <v>63</v>
      </c>
      <c r="C749" s="47" t="s">
        <v>1189</v>
      </c>
      <c r="D749" s="48" t="s">
        <v>1190</v>
      </c>
      <c r="E749" s="44" t="s">
        <v>1191</v>
      </c>
      <c r="F749" s="58">
        <v>28.0</v>
      </c>
      <c r="G749" s="58">
        <v>1083000.0</v>
      </c>
      <c r="H749" s="58">
        <v>168164.0</v>
      </c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7.25" customHeight="1">
      <c r="A750" s="44" t="s">
        <v>28</v>
      </c>
      <c r="B750" s="47" t="s">
        <v>63</v>
      </c>
      <c r="C750" s="47" t="s">
        <v>1189</v>
      </c>
      <c r="D750" s="48" t="s">
        <v>1190</v>
      </c>
      <c r="E750" s="44" t="s">
        <v>1192</v>
      </c>
      <c r="F750" s="58">
        <v>28.0</v>
      </c>
      <c r="G750" s="58">
        <v>918100.0</v>
      </c>
      <c r="H750" s="58">
        <v>153220.0</v>
      </c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7.25" customHeight="1">
      <c r="A751" s="44" t="s">
        <v>28</v>
      </c>
      <c r="B751" s="47" t="s">
        <v>63</v>
      </c>
      <c r="C751" s="47" t="s">
        <v>1189</v>
      </c>
      <c r="D751" s="48" t="s">
        <v>1190</v>
      </c>
      <c r="E751" s="44" t="s">
        <v>1195</v>
      </c>
      <c r="F751" s="58">
        <v>8.0</v>
      </c>
      <c r="G751" s="58">
        <v>559200.0</v>
      </c>
      <c r="H751" s="58">
        <v>69718.0</v>
      </c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7.25" customHeight="1">
      <c r="A752" s="44" t="s">
        <v>28</v>
      </c>
      <c r="B752" s="47" t="s">
        <v>63</v>
      </c>
      <c r="C752" s="47" t="s">
        <v>1196</v>
      </c>
      <c r="D752" s="48" t="s">
        <v>1197</v>
      </c>
      <c r="E752" s="44" t="s">
        <v>1198</v>
      </c>
      <c r="F752" s="58">
        <v>101.0</v>
      </c>
      <c r="G752" s="58">
        <v>1482000.0</v>
      </c>
      <c r="H752" s="58">
        <v>216643.0</v>
      </c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7.25" customHeight="1">
      <c r="A753" s="44" t="s">
        <v>28</v>
      </c>
      <c r="B753" s="47" t="s">
        <v>63</v>
      </c>
      <c r="C753" s="47" t="s">
        <v>1199</v>
      </c>
      <c r="D753" s="48" t="s">
        <v>1200</v>
      </c>
      <c r="E753" s="44" t="s">
        <v>1201</v>
      </c>
      <c r="F753" s="58">
        <v>9.0</v>
      </c>
      <c r="G753" s="58">
        <v>342100.0</v>
      </c>
      <c r="H753" s="58">
        <v>41960.0</v>
      </c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7.25" customHeight="1">
      <c r="A754" s="44" t="s">
        <v>28</v>
      </c>
      <c r="B754" s="47" t="s">
        <v>63</v>
      </c>
      <c r="C754" s="47" t="s">
        <v>1189</v>
      </c>
      <c r="D754" s="48" t="s">
        <v>1190</v>
      </c>
      <c r="E754" s="44" t="s">
        <v>1202</v>
      </c>
      <c r="F754" s="58">
        <v>32.0</v>
      </c>
      <c r="G754" s="58">
        <v>1016800.0</v>
      </c>
      <c r="H754" s="58">
        <v>130107.0</v>
      </c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7.25" customHeight="1">
      <c r="A755" s="44" t="s">
        <v>28</v>
      </c>
      <c r="B755" s="47" t="s">
        <v>91</v>
      </c>
      <c r="C755" s="47" t="s">
        <v>1203</v>
      </c>
      <c r="D755" s="48" t="s">
        <v>1204</v>
      </c>
      <c r="E755" s="44" t="s">
        <v>1205</v>
      </c>
      <c r="F755" s="58">
        <v>34.0</v>
      </c>
      <c r="G755" s="58">
        <v>533000.0</v>
      </c>
      <c r="H755" s="58">
        <v>82120.0</v>
      </c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7.25" customHeight="1">
      <c r="A756" s="44" t="s">
        <v>28</v>
      </c>
      <c r="B756" s="47" t="s">
        <v>91</v>
      </c>
      <c r="C756" s="47" t="s">
        <v>677</v>
      </c>
      <c r="D756" s="48" t="s">
        <v>675</v>
      </c>
      <c r="E756" s="44" t="s">
        <v>1206</v>
      </c>
      <c r="F756" s="58">
        <v>8.0</v>
      </c>
      <c r="G756" s="58">
        <v>509400.0</v>
      </c>
      <c r="H756" s="58">
        <v>69895.0</v>
      </c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7.25" customHeight="1">
      <c r="A757" s="44" t="s">
        <v>28</v>
      </c>
      <c r="B757" s="47" t="s">
        <v>63</v>
      </c>
      <c r="C757" s="47" t="s">
        <v>1189</v>
      </c>
      <c r="D757" s="48" t="s">
        <v>1190</v>
      </c>
      <c r="E757" s="44" t="s">
        <v>1207</v>
      </c>
      <c r="F757" s="58">
        <v>8.0</v>
      </c>
      <c r="G757" s="58">
        <v>260400.0</v>
      </c>
      <c r="H757" s="58">
        <v>37701.0</v>
      </c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7.25" customHeight="1">
      <c r="A758" s="44" t="s">
        <v>28</v>
      </c>
      <c r="B758" s="47" t="s">
        <v>63</v>
      </c>
      <c r="C758" s="47" t="s">
        <v>1015</v>
      </c>
      <c r="D758" s="48" t="s">
        <v>1014</v>
      </c>
      <c r="E758" s="44" t="s">
        <v>1208</v>
      </c>
      <c r="F758" s="58">
        <v>15.0</v>
      </c>
      <c r="G758" s="58">
        <v>264000.0</v>
      </c>
      <c r="H758" s="58">
        <v>27600.0</v>
      </c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7.25" customHeight="1">
      <c r="A759" s="44" t="s">
        <v>28</v>
      </c>
      <c r="B759" s="47" t="s">
        <v>91</v>
      </c>
      <c r="C759" s="47" t="s">
        <v>1209</v>
      </c>
      <c r="D759" s="48" t="s">
        <v>1210</v>
      </c>
      <c r="E759" s="44" t="s">
        <v>1211</v>
      </c>
      <c r="F759" s="58">
        <v>29.0</v>
      </c>
      <c r="G759" s="58">
        <v>374100.0</v>
      </c>
      <c r="H759" s="58">
        <v>47920.0</v>
      </c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7.25" customHeight="1">
      <c r="A760" s="44" t="s">
        <v>28</v>
      </c>
      <c r="B760" s="47" t="s">
        <v>63</v>
      </c>
      <c r="C760" s="47" t="s">
        <v>1189</v>
      </c>
      <c r="D760" s="48" t="s">
        <v>1190</v>
      </c>
      <c r="E760" s="44" t="s">
        <v>1212</v>
      </c>
      <c r="F760" s="58">
        <v>7.0</v>
      </c>
      <c r="G760" s="58">
        <v>178500.0</v>
      </c>
      <c r="H760" s="58">
        <v>25500.0</v>
      </c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7.25" customHeight="1">
      <c r="A761" s="44" t="s">
        <v>28</v>
      </c>
      <c r="B761" s="47" t="s">
        <v>91</v>
      </c>
      <c r="C761" s="47" t="s">
        <v>1213</v>
      </c>
      <c r="D761" s="48" t="s">
        <v>1214</v>
      </c>
      <c r="E761" s="44" t="s">
        <v>1215</v>
      </c>
      <c r="F761" s="58">
        <v>22.0</v>
      </c>
      <c r="G761" s="58">
        <v>1087000.0</v>
      </c>
      <c r="H761" s="58">
        <v>129320.0</v>
      </c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7.25" customHeight="1">
      <c r="A762" s="44" t="s">
        <v>28</v>
      </c>
      <c r="B762" s="47" t="s">
        <v>63</v>
      </c>
      <c r="C762" s="47" t="s">
        <v>1196</v>
      </c>
      <c r="D762" s="48" t="s">
        <v>1197</v>
      </c>
      <c r="E762" s="44" t="s">
        <v>1218</v>
      </c>
      <c r="F762" s="58">
        <v>11.0</v>
      </c>
      <c r="G762" s="58">
        <v>156000.0</v>
      </c>
      <c r="H762" s="58">
        <v>23400.0</v>
      </c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7.25" customHeight="1">
      <c r="A763" s="44" t="s">
        <v>28</v>
      </c>
      <c r="B763" s="47" t="s">
        <v>91</v>
      </c>
      <c r="C763" s="47" t="s">
        <v>1219</v>
      </c>
      <c r="D763" s="48" t="s">
        <v>1220</v>
      </c>
      <c r="E763" s="44" t="s">
        <v>1221</v>
      </c>
      <c r="F763" s="58">
        <v>17.0</v>
      </c>
      <c r="G763" s="58">
        <v>418000.0</v>
      </c>
      <c r="H763" s="58">
        <v>58680.0</v>
      </c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7.25" customHeight="1">
      <c r="A764" s="44" t="s">
        <v>28</v>
      </c>
      <c r="B764" s="47" t="s">
        <v>91</v>
      </c>
      <c r="C764" s="47" t="s">
        <v>1222</v>
      </c>
      <c r="D764" s="48" t="s">
        <v>1223</v>
      </c>
      <c r="E764" s="44" t="s">
        <v>1224</v>
      </c>
      <c r="F764" s="58">
        <v>37.0</v>
      </c>
      <c r="G764" s="58">
        <v>551300.0</v>
      </c>
      <c r="H764" s="58">
        <v>80180.0</v>
      </c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7.25" customHeight="1">
      <c r="A765" s="44" t="s">
        <v>28</v>
      </c>
      <c r="B765" s="47" t="s">
        <v>91</v>
      </c>
      <c r="C765" s="47" t="s">
        <v>1203</v>
      </c>
      <c r="D765" s="48" t="s">
        <v>1204</v>
      </c>
      <c r="E765" s="44" t="s">
        <v>1225</v>
      </c>
      <c r="F765" s="58">
        <v>4.0</v>
      </c>
      <c r="G765" s="58">
        <v>205000.0</v>
      </c>
      <c r="H765" s="58">
        <v>25000.0</v>
      </c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7.25" customHeight="1">
      <c r="A766" s="44" t="s">
        <v>28</v>
      </c>
      <c r="B766" s="47" t="s">
        <v>63</v>
      </c>
      <c r="C766" s="47" t="s">
        <v>1227</v>
      </c>
      <c r="D766" s="48" t="s">
        <v>1228</v>
      </c>
      <c r="E766" s="44" t="s">
        <v>1229</v>
      </c>
      <c r="F766" s="58">
        <v>8.0</v>
      </c>
      <c r="G766" s="58">
        <v>198200.0</v>
      </c>
      <c r="H766" s="58">
        <v>36019.0</v>
      </c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7.25" customHeight="1">
      <c r="A767" s="44" t="s">
        <v>28</v>
      </c>
      <c r="B767" s="47" t="s">
        <v>63</v>
      </c>
      <c r="C767" s="47" t="s">
        <v>1196</v>
      </c>
      <c r="D767" s="48" t="s">
        <v>1197</v>
      </c>
      <c r="E767" s="44" t="s">
        <v>1230</v>
      </c>
      <c r="F767" s="58">
        <v>11.0</v>
      </c>
      <c r="G767" s="58">
        <v>169000.0</v>
      </c>
      <c r="H767" s="58">
        <v>31200.0</v>
      </c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7.25" customHeight="1">
      <c r="A768" s="44" t="s">
        <v>28</v>
      </c>
      <c r="B768" s="47" t="s">
        <v>63</v>
      </c>
      <c r="C768" s="47" t="s">
        <v>1227</v>
      </c>
      <c r="D768" s="48" t="s">
        <v>1228</v>
      </c>
      <c r="E768" s="44" t="s">
        <v>1232</v>
      </c>
      <c r="F768" s="58">
        <v>9.0</v>
      </c>
      <c r="G768" s="58">
        <v>248100.0</v>
      </c>
      <c r="H768" s="58">
        <v>33080.0</v>
      </c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7.25" customHeight="1">
      <c r="A769" s="44" t="s">
        <v>28</v>
      </c>
      <c r="B769" s="47" t="s">
        <v>91</v>
      </c>
      <c r="C769" s="47" t="s">
        <v>1209</v>
      </c>
      <c r="D769" s="48" t="s">
        <v>1210</v>
      </c>
      <c r="E769" s="44" t="s">
        <v>1233</v>
      </c>
      <c r="F769" s="58">
        <v>22.0</v>
      </c>
      <c r="G769" s="58">
        <v>412900.0</v>
      </c>
      <c r="H769" s="58">
        <v>50572.0</v>
      </c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7.25" customHeight="1">
      <c r="A770" s="44" t="s">
        <v>28</v>
      </c>
      <c r="B770" s="47" t="s">
        <v>63</v>
      </c>
      <c r="C770" s="47" t="s">
        <v>1189</v>
      </c>
      <c r="D770" s="48" t="s">
        <v>1190</v>
      </c>
      <c r="E770" s="44" t="s">
        <v>1234</v>
      </c>
      <c r="F770" s="58">
        <v>1.0</v>
      </c>
      <c r="G770" s="58">
        <v>58900.0</v>
      </c>
      <c r="H770" s="58">
        <v>10000.0</v>
      </c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7.25" customHeight="1">
      <c r="A771" s="44" t="s">
        <v>28</v>
      </c>
      <c r="B771" s="47" t="s">
        <v>91</v>
      </c>
      <c r="C771" s="47" t="s">
        <v>677</v>
      </c>
      <c r="D771" s="48" t="s">
        <v>675</v>
      </c>
      <c r="E771" s="44" t="s">
        <v>1235</v>
      </c>
      <c r="F771" s="58">
        <v>3.0</v>
      </c>
      <c r="G771" s="58">
        <v>169800.0</v>
      </c>
      <c r="H771" s="58">
        <v>30000.0</v>
      </c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7.25" customHeight="1">
      <c r="A772" s="44" t="s">
        <v>28</v>
      </c>
      <c r="B772" s="47" t="s">
        <v>63</v>
      </c>
      <c r="C772" s="47" t="s">
        <v>1189</v>
      </c>
      <c r="D772" s="48" t="s">
        <v>1190</v>
      </c>
      <c r="E772" s="44" t="s">
        <v>1238</v>
      </c>
      <c r="F772" s="58">
        <v>1.0</v>
      </c>
      <c r="G772" s="58">
        <v>47900.0</v>
      </c>
      <c r="H772" s="58">
        <v>9580.0</v>
      </c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7.25" customHeight="1">
      <c r="A773" s="44" t="s">
        <v>28</v>
      </c>
      <c r="B773" s="47" t="s">
        <v>63</v>
      </c>
      <c r="C773" s="47" t="s">
        <v>1189</v>
      </c>
      <c r="D773" s="48" t="s">
        <v>1190</v>
      </c>
      <c r="E773" s="44" t="s">
        <v>1239</v>
      </c>
      <c r="F773" s="58">
        <v>4.0</v>
      </c>
      <c r="G773" s="58">
        <v>103400.0</v>
      </c>
      <c r="H773" s="58">
        <v>15773.0</v>
      </c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7.25" customHeight="1">
      <c r="A774" s="44" t="s">
        <v>28</v>
      </c>
      <c r="B774" s="47" t="s">
        <v>63</v>
      </c>
      <c r="C774" s="47" t="s">
        <v>1189</v>
      </c>
      <c r="D774" s="48" t="s">
        <v>1190</v>
      </c>
      <c r="E774" s="44" t="s">
        <v>1240</v>
      </c>
      <c r="F774" s="58">
        <v>2.0</v>
      </c>
      <c r="G774" s="58">
        <v>85800.0</v>
      </c>
      <c r="H774" s="58">
        <v>17160.0</v>
      </c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7.25" customHeight="1">
      <c r="A775" s="44" t="s">
        <v>28</v>
      </c>
      <c r="B775" s="47" t="s">
        <v>63</v>
      </c>
      <c r="C775" s="47" t="s">
        <v>1189</v>
      </c>
      <c r="D775" s="48" t="s">
        <v>1190</v>
      </c>
      <c r="E775" s="44" t="s">
        <v>1241</v>
      </c>
      <c r="F775" s="58">
        <v>1.0</v>
      </c>
      <c r="G775" s="58">
        <v>40900.0</v>
      </c>
      <c r="H775" s="58">
        <v>8180.0</v>
      </c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7.25" customHeight="1">
      <c r="A776" s="44" t="s">
        <v>28</v>
      </c>
      <c r="B776" s="47" t="s">
        <v>63</v>
      </c>
      <c r="C776" s="47" t="s">
        <v>1242</v>
      </c>
      <c r="D776" s="48" t="s">
        <v>1243</v>
      </c>
      <c r="E776" s="44" t="s">
        <v>1244</v>
      </c>
      <c r="F776" s="58">
        <v>20.0</v>
      </c>
      <c r="G776" s="58">
        <v>165300.0</v>
      </c>
      <c r="H776" s="58">
        <v>20408.0</v>
      </c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7.25" customHeight="1">
      <c r="A777" s="44" t="s">
        <v>28</v>
      </c>
      <c r="B777" s="47" t="s">
        <v>63</v>
      </c>
      <c r="C777" s="47" t="s">
        <v>1227</v>
      </c>
      <c r="D777" s="48" t="s">
        <v>1228</v>
      </c>
      <c r="E777" s="44" t="s">
        <v>1245</v>
      </c>
      <c r="F777" s="58">
        <v>10.0</v>
      </c>
      <c r="G777" s="58">
        <v>166600.0</v>
      </c>
      <c r="H777" s="58">
        <v>13720.0</v>
      </c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7.25" customHeight="1">
      <c r="A778" s="44" t="s">
        <v>28</v>
      </c>
      <c r="B778" s="47" t="s">
        <v>63</v>
      </c>
      <c r="C778" s="47" t="s">
        <v>1196</v>
      </c>
      <c r="D778" s="48" t="s">
        <v>1197</v>
      </c>
      <c r="E778" s="44" t="s">
        <v>1246</v>
      </c>
      <c r="F778" s="58">
        <v>15.0</v>
      </c>
      <c r="G778" s="58">
        <v>247000.0</v>
      </c>
      <c r="H778" s="58">
        <v>36400.0</v>
      </c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7.25" customHeight="1">
      <c r="A779" s="44" t="s">
        <v>28</v>
      </c>
      <c r="B779" s="47" t="s">
        <v>63</v>
      </c>
      <c r="C779" s="47" t="s">
        <v>1227</v>
      </c>
      <c r="D779" s="48" t="s">
        <v>1228</v>
      </c>
      <c r="E779" s="44" t="s">
        <v>1247</v>
      </c>
      <c r="F779" s="58">
        <v>21.0</v>
      </c>
      <c r="G779" s="58">
        <v>591500.0</v>
      </c>
      <c r="H779" s="58">
        <v>78324.0</v>
      </c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7.25" customHeight="1">
      <c r="A780" s="44" t="s">
        <v>28</v>
      </c>
      <c r="B780" s="47" t="s">
        <v>63</v>
      </c>
      <c r="C780" s="47" t="s">
        <v>1248</v>
      </c>
      <c r="D780" s="48" t="s">
        <v>1249</v>
      </c>
      <c r="E780" s="44" t="s">
        <v>1250</v>
      </c>
      <c r="F780" s="58">
        <v>4.0</v>
      </c>
      <c r="G780" s="58">
        <v>106400.0</v>
      </c>
      <c r="H780" s="58">
        <v>10280.0</v>
      </c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7.25" customHeight="1">
      <c r="A781" s="44" t="s">
        <v>28</v>
      </c>
      <c r="B781" s="47" t="s">
        <v>63</v>
      </c>
      <c r="C781" s="47" t="s">
        <v>1227</v>
      </c>
      <c r="D781" s="48" t="s">
        <v>1228</v>
      </c>
      <c r="E781" s="44" t="s">
        <v>1251</v>
      </c>
      <c r="F781" s="58">
        <v>4.0</v>
      </c>
      <c r="G781" s="58">
        <v>80000.0</v>
      </c>
      <c r="H781" s="58">
        <v>13440.0</v>
      </c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7.25" customHeight="1">
      <c r="A782" s="44" t="s">
        <v>28</v>
      </c>
      <c r="B782" s="47" t="s">
        <v>91</v>
      </c>
      <c r="C782" s="47" t="s">
        <v>1209</v>
      </c>
      <c r="D782" s="48" t="s">
        <v>1210</v>
      </c>
      <c r="E782" s="44" t="s">
        <v>1252</v>
      </c>
      <c r="F782" s="58">
        <v>5.0</v>
      </c>
      <c r="G782" s="58">
        <v>93500.0</v>
      </c>
      <c r="H782" s="58">
        <v>15947.0</v>
      </c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7.25" customHeight="1">
      <c r="A783" s="44" t="s">
        <v>28</v>
      </c>
      <c r="B783" s="47" t="s">
        <v>63</v>
      </c>
      <c r="C783" s="47" t="s">
        <v>1227</v>
      </c>
      <c r="D783" s="48" t="s">
        <v>1228</v>
      </c>
      <c r="E783" s="44" t="s">
        <v>1255</v>
      </c>
      <c r="F783" s="58">
        <v>5.0</v>
      </c>
      <c r="G783" s="58">
        <v>80000.0</v>
      </c>
      <c r="H783" s="58">
        <v>11996.0</v>
      </c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7.25" customHeight="1">
      <c r="A784" s="44" t="s">
        <v>28</v>
      </c>
      <c r="B784" s="47" t="s">
        <v>63</v>
      </c>
      <c r="C784" s="47" t="s">
        <v>1248</v>
      </c>
      <c r="D784" s="48" t="s">
        <v>1249</v>
      </c>
      <c r="E784" s="44" t="s">
        <v>1256</v>
      </c>
      <c r="F784" s="58">
        <v>1.0</v>
      </c>
      <c r="G784" s="58">
        <v>19900.0</v>
      </c>
      <c r="H784" s="58">
        <v>3980.0</v>
      </c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7.25" customHeight="1">
      <c r="A785" s="44" t="s">
        <v>28</v>
      </c>
      <c r="B785" s="47" t="s">
        <v>63</v>
      </c>
      <c r="C785" s="47" t="s">
        <v>1227</v>
      </c>
      <c r="D785" s="48" t="s">
        <v>1228</v>
      </c>
      <c r="E785" s="44" t="s">
        <v>1257</v>
      </c>
      <c r="F785" s="58">
        <v>5.0</v>
      </c>
      <c r="G785" s="58">
        <v>89500.0</v>
      </c>
      <c r="H785" s="58">
        <v>14320.0</v>
      </c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7.25" customHeight="1">
      <c r="A786" s="44" t="s">
        <v>28</v>
      </c>
      <c r="B786" s="47" t="s">
        <v>63</v>
      </c>
      <c r="C786" s="47" t="s">
        <v>1248</v>
      </c>
      <c r="D786" s="48" t="s">
        <v>1249</v>
      </c>
      <c r="E786" s="44" t="s">
        <v>1258</v>
      </c>
      <c r="F786" s="58">
        <v>13.0</v>
      </c>
      <c r="G786" s="58">
        <v>262500.0</v>
      </c>
      <c r="H786" s="58">
        <v>38540.0</v>
      </c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7.25" customHeight="1">
      <c r="A787" s="44" t="s">
        <v>28</v>
      </c>
      <c r="B787" s="47" t="s">
        <v>63</v>
      </c>
      <c r="C787" s="47" t="s">
        <v>1227</v>
      </c>
      <c r="D787" s="48" t="s">
        <v>1228</v>
      </c>
      <c r="E787" s="44" t="s">
        <v>1259</v>
      </c>
      <c r="F787" s="58">
        <v>1.0</v>
      </c>
      <c r="G787" s="58">
        <v>15900.0</v>
      </c>
      <c r="H787" s="58">
        <v>3180.0</v>
      </c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7.25" customHeight="1">
      <c r="A788" s="44" t="s">
        <v>28</v>
      </c>
      <c r="B788" s="47" t="s">
        <v>63</v>
      </c>
      <c r="C788" s="47" t="s">
        <v>1227</v>
      </c>
      <c r="D788" s="48" t="s">
        <v>1228</v>
      </c>
      <c r="E788" s="44" t="s">
        <v>1260</v>
      </c>
      <c r="F788" s="58">
        <v>1.0</v>
      </c>
      <c r="G788" s="58">
        <v>15700.0</v>
      </c>
      <c r="H788" s="58">
        <v>3140.0</v>
      </c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7.25" customHeight="1">
      <c r="A789" s="44" t="s">
        <v>28</v>
      </c>
      <c r="B789" s="47" t="s">
        <v>63</v>
      </c>
      <c r="C789" s="47" t="s">
        <v>1248</v>
      </c>
      <c r="D789" s="48" t="s">
        <v>1249</v>
      </c>
      <c r="E789" s="44" t="s">
        <v>1261</v>
      </c>
      <c r="F789" s="58">
        <v>2.0</v>
      </c>
      <c r="G789" s="58">
        <v>31000.0</v>
      </c>
      <c r="H789" s="58">
        <v>3100.0</v>
      </c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7.25" customHeight="1">
      <c r="A790" s="44" t="s">
        <v>28</v>
      </c>
      <c r="B790" s="47" t="s">
        <v>63</v>
      </c>
      <c r="C790" s="47" t="s">
        <v>1227</v>
      </c>
      <c r="D790" s="48" t="s">
        <v>1228</v>
      </c>
      <c r="E790" s="44" t="s">
        <v>1262</v>
      </c>
      <c r="F790" s="58">
        <v>2.0</v>
      </c>
      <c r="G790" s="58">
        <v>31000.0</v>
      </c>
      <c r="H790" s="58">
        <v>3100.0</v>
      </c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7.25" customHeight="1">
      <c r="A791" s="44" t="s">
        <v>28</v>
      </c>
      <c r="B791" s="47" t="s">
        <v>63</v>
      </c>
      <c r="C791" s="47" t="s">
        <v>1196</v>
      </c>
      <c r="D791" s="48" t="s">
        <v>1197</v>
      </c>
      <c r="E791" s="44" t="s">
        <v>1263</v>
      </c>
      <c r="F791" s="58">
        <v>10.0</v>
      </c>
      <c r="G791" s="58">
        <v>143000.0</v>
      </c>
      <c r="H791" s="58">
        <v>20800.0</v>
      </c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7.25" customHeight="1">
      <c r="A792" s="44" t="s">
        <v>28</v>
      </c>
      <c r="B792" s="47" t="s">
        <v>63</v>
      </c>
      <c r="C792" s="47" t="s">
        <v>1227</v>
      </c>
      <c r="D792" s="48" t="s">
        <v>1228</v>
      </c>
      <c r="E792" s="44" t="s">
        <v>1264</v>
      </c>
      <c r="F792" s="58">
        <v>8.0</v>
      </c>
      <c r="G792" s="58">
        <v>115000.0</v>
      </c>
      <c r="H792" s="58">
        <v>15609.0</v>
      </c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7.25" customHeight="1">
      <c r="A793" s="44" t="s">
        <v>28</v>
      </c>
      <c r="B793" s="47" t="s">
        <v>91</v>
      </c>
      <c r="C793" s="47" t="s">
        <v>1209</v>
      </c>
      <c r="D793" s="48" t="s">
        <v>1210</v>
      </c>
      <c r="E793" s="44" t="s">
        <v>1265</v>
      </c>
      <c r="F793" s="58">
        <v>4.0</v>
      </c>
      <c r="G793" s="58">
        <v>54600.0</v>
      </c>
      <c r="H793" s="58">
        <v>6160.0</v>
      </c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7.25" customHeight="1">
      <c r="A794" s="44" t="s">
        <v>28</v>
      </c>
      <c r="B794" s="47" t="s">
        <v>91</v>
      </c>
      <c r="C794" s="47" t="s">
        <v>1209</v>
      </c>
      <c r="D794" s="48" t="s">
        <v>1210</v>
      </c>
      <c r="E794" s="44" t="s">
        <v>1266</v>
      </c>
      <c r="F794" s="58">
        <v>4.0</v>
      </c>
      <c r="G794" s="58">
        <v>50500.0</v>
      </c>
      <c r="H794" s="58">
        <v>5360.0</v>
      </c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7.25" customHeight="1">
      <c r="A795" s="44" t="s">
        <v>28</v>
      </c>
      <c r="B795" s="47" t="s">
        <v>63</v>
      </c>
      <c r="C795" s="47" t="s">
        <v>1196</v>
      </c>
      <c r="D795" s="48" t="s">
        <v>1197</v>
      </c>
      <c r="E795" s="44" t="s">
        <v>1269</v>
      </c>
      <c r="F795" s="58">
        <v>1.0</v>
      </c>
      <c r="G795" s="58">
        <v>37000.0</v>
      </c>
      <c r="H795" s="58">
        <v>7400.0</v>
      </c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7.25" customHeight="1">
      <c r="A796" s="44" t="s">
        <v>28</v>
      </c>
      <c r="B796" s="47" t="s">
        <v>63</v>
      </c>
      <c r="C796" s="47" t="s">
        <v>1196</v>
      </c>
      <c r="D796" s="48" t="s">
        <v>1197</v>
      </c>
      <c r="E796" s="44" t="s">
        <v>1270</v>
      </c>
      <c r="F796" s="58">
        <v>1.0</v>
      </c>
      <c r="G796" s="58">
        <v>13000.0</v>
      </c>
      <c r="H796" s="58">
        <v>0.0</v>
      </c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7.25" customHeight="1">
      <c r="A797" s="44" t="s">
        <v>28</v>
      </c>
      <c r="B797" s="47" t="s">
        <v>63</v>
      </c>
      <c r="C797" s="47" t="s">
        <v>1015</v>
      </c>
      <c r="D797" s="48" t="s">
        <v>1014</v>
      </c>
      <c r="E797" s="44" t="s">
        <v>1271</v>
      </c>
      <c r="F797" s="58">
        <v>60.0</v>
      </c>
      <c r="G797" s="58">
        <v>979000.0</v>
      </c>
      <c r="H797" s="58">
        <v>143000.0</v>
      </c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7.25" customHeight="1">
      <c r="A798" s="44" t="s">
        <v>28</v>
      </c>
      <c r="B798" s="47" t="s">
        <v>91</v>
      </c>
      <c r="C798" s="47" t="s">
        <v>1209</v>
      </c>
      <c r="D798" s="48" t="s">
        <v>1210</v>
      </c>
      <c r="E798" s="44" t="s">
        <v>1272</v>
      </c>
      <c r="F798" s="58">
        <v>3.0</v>
      </c>
      <c r="G798" s="58">
        <v>44000.0</v>
      </c>
      <c r="H798" s="58">
        <v>5240.0</v>
      </c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7.25" customHeight="1">
      <c r="A799" s="44" t="s">
        <v>28</v>
      </c>
      <c r="B799" s="47" t="s">
        <v>63</v>
      </c>
      <c r="C799" s="47" t="s">
        <v>1189</v>
      </c>
      <c r="D799" s="48" t="s">
        <v>1190</v>
      </c>
      <c r="E799" s="44" t="s">
        <v>1273</v>
      </c>
      <c r="F799" s="58">
        <v>7.0</v>
      </c>
      <c r="G799" s="58">
        <v>269500.0</v>
      </c>
      <c r="H799" s="58">
        <v>50600.0</v>
      </c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7.25" customHeight="1">
      <c r="A800" s="44" t="s">
        <v>28</v>
      </c>
      <c r="B800" s="47" t="s">
        <v>63</v>
      </c>
      <c r="C800" s="47" t="s">
        <v>1189</v>
      </c>
      <c r="D800" s="48" t="s">
        <v>1190</v>
      </c>
      <c r="E800" s="44" t="s">
        <v>1274</v>
      </c>
      <c r="F800" s="58">
        <v>1.0</v>
      </c>
      <c r="G800" s="58">
        <v>41900.0</v>
      </c>
      <c r="H800" s="58">
        <v>8380.0</v>
      </c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7.25" customHeight="1">
      <c r="A801" s="44" t="s">
        <v>28</v>
      </c>
      <c r="B801" s="47" t="s">
        <v>63</v>
      </c>
      <c r="C801" s="47" t="s">
        <v>1189</v>
      </c>
      <c r="D801" s="48" t="s">
        <v>1190</v>
      </c>
      <c r="E801" s="44" t="s">
        <v>1275</v>
      </c>
      <c r="F801" s="58">
        <v>2.0</v>
      </c>
      <c r="G801" s="58">
        <v>119800.0</v>
      </c>
      <c r="H801" s="58">
        <v>20000.0</v>
      </c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7.25" customHeight="1">
      <c r="A802" s="44" t="s">
        <v>28</v>
      </c>
      <c r="B802" s="47" t="s">
        <v>63</v>
      </c>
      <c r="C802" s="47" t="s">
        <v>1189</v>
      </c>
      <c r="D802" s="48" t="s">
        <v>1190</v>
      </c>
      <c r="E802" s="44" t="s">
        <v>1276</v>
      </c>
      <c r="F802" s="58">
        <v>1.0</v>
      </c>
      <c r="G802" s="58">
        <v>37900.0</v>
      </c>
      <c r="H802" s="58">
        <v>7580.0</v>
      </c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7.25" customHeight="1">
      <c r="A803" s="44" t="s">
        <v>28</v>
      </c>
      <c r="B803" s="47" t="s">
        <v>63</v>
      </c>
      <c r="C803" s="47" t="s">
        <v>1248</v>
      </c>
      <c r="D803" s="48" t="s">
        <v>1249</v>
      </c>
      <c r="E803" s="44" t="s">
        <v>1277</v>
      </c>
      <c r="F803" s="58">
        <v>1.0</v>
      </c>
      <c r="G803" s="58">
        <v>28500.0</v>
      </c>
      <c r="H803" s="58">
        <v>5337.0</v>
      </c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7.25" customHeight="1">
      <c r="A804" s="44" t="s">
        <v>28</v>
      </c>
      <c r="B804" s="47" t="s">
        <v>63</v>
      </c>
      <c r="C804" s="47" t="s">
        <v>1248</v>
      </c>
      <c r="D804" s="48" t="s">
        <v>1249</v>
      </c>
      <c r="E804" s="44" t="s">
        <v>1278</v>
      </c>
      <c r="F804" s="58">
        <v>1.0</v>
      </c>
      <c r="G804" s="58">
        <v>23900.0</v>
      </c>
      <c r="H804" s="58">
        <v>4780.0</v>
      </c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7.25" customHeight="1">
      <c r="A805" s="44" t="s">
        <v>28</v>
      </c>
      <c r="B805" s="47" t="s">
        <v>91</v>
      </c>
      <c r="C805" s="47" t="s">
        <v>1203</v>
      </c>
      <c r="D805" s="48" t="s">
        <v>1204</v>
      </c>
      <c r="E805" s="44" t="s">
        <v>1279</v>
      </c>
      <c r="F805" s="58">
        <v>2.0</v>
      </c>
      <c r="G805" s="58">
        <v>43000.0</v>
      </c>
      <c r="H805" s="58">
        <v>8600.0</v>
      </c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7.25" customHeight="1">
      <c r="A806" s="44" t="s">
        <v>28</v>
      </c>
      <c r="B806" s="47" t="s">
        <v>91</v>
      </c>
      <c r="C806" s="47" t="s">
        <v>1280</v>
      </c>
      <c r="D806" s="48" t="s">
        <v>1281</v>
      </c>
      <c r="E806" s="44" t="s">
        <v>1282</v>
      </c>
      <c r="F806" s="58">
        <v>4.0</v>
      </c>
      <c r="G806" s="58">
        <v>100600.0</v>
      </c>
      <c r="H806" s="58">
        <v>13140.0</v>
      </c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7.25" customHeight="1">
      <c r="A807" s="44" t="s">
        <v>28</v>
      </c>
      <c r="B807" s="47" t="s">
        <v>63</v>
      </c>
      <c r="C807" s="47" t="s">
        <v>1227</v>
      </c>
      <c r="D807" s="48" t="s">
        <v>1228</v>
      </c>
      <c r="E807" s="44" t="s">
        <v>1283</v>
      </c>
      <c r="F807" s="58">
        <v>3.0</v>
      </c>
      <c r="G807" s="58">
        <v>53700.0</v>
      </c>
      <c r="H807" s="58">
        <v>10740.0</v>
      </c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7.25" customHeight="1">
      <c r="A808" s="44" t="s">
        <v>28</v>
      </c>
      <c r="B808" s="47" t="s">
        <v>63</v>
      </c>
      <c r="C808" s="47" t="s">
        <v>1227</v>
      </c>
      <c r="D808" s="48" t="s">
        <v>1228</v>
      </c>
      <c r="E808" s="44" t="s">
        <v>1284</v>
      </c>
      <c r="F808" s="58">
        <v>3.0</v>
      </c>
      <c r="G808" s="58">
        <v>36000.0</v>
      </c>
      <c r="H808" s="58">
        <v>4800.0</v>
      </c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7.25" customHeight="1">
      <c r="A809" s="44" t="s">
        <v>28</v>
      </c>
      <c r="B809" s="47" t="s">
        <v>63</v>
      </c>
      <c r="C809" s="47" t="s">
        <v>1227</v>
      </c>
      <c r="D809" s="48" t="s">
        <v>1228</v>
      </c>
      <c r="E809" s="44" t="s">
        <v>1287</v>
      </c>
      <c r="F809" s="58">
        <v>1.0</v>
      </c>
      <c r="G809" s="58">
        <v>20900.0</v>
      </c>
      <c r="H809" s="58">
        <v>2302.0</v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7.25" customHeight="1">
      <c r="A810" s="44" t="s">
        <v>28</v>
      </c>
      <c r="B810" s="47" t="s">
        <v>91</v>
      </c>
      <c r="C810" s="47" t="s">
        <v>1288</v>
      </c>
      <c r="D810" s="48" t="s">
        <v>1289</v>
      </c>
      <c r="E810" s="44" t="s">
        <v>1290</v>
      </c>
      <c r="F810" s="58">
        <v>4.0</v>
      </c>
      <c r="G810" s="58">
        <v>123400.0</v>
      </c>
      <c r="H810" s="58">
        <v>19700.0</v>
      </c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7.25" customHeight="1">
      <c r="A811" s="24" t="s">
        <v>29</v>
      </c>
      <c r="B811" s="65" t="s">
        <v>63</v>
      </c>
      <c r="C811" s="65" t="s">
        <v>1291</v>
      </c>
      <c r="D811" s="66" t="s">
        <v>1292</v>
      </c>
      <c r="E811" s="67" t="s">
        <v>1293</v>
      </c>
      <c r="F811" s="58">
        <v>876.0</v>
      </c>
      <c r="G811" s="58">
        <v>1.0595647E7</v>
      </c>
      <c r="H811" s="58">
        <v>279860.0</v>
      </c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7.25" customHeight="1">
      <c r="A812" s="24" t="s">
        <v>29</v>
      </c>
      <c r="B812" s="65" t="s">
        <v>63</v>
      </c>
      <c r="C812" s="65" t="s">
        <v>1291</v>
      </c>
      <c r="D812" s="66" t="s">
        <v>1292</v>
      </c>
      <c r="E812" s="67" t="s">
        <v>1294</v>
      </c>
      <c r="F812" s="58">
        <v>13120.0</v>
      </c>
      <c r="G812" s="58">
        <v>2.00848013E8</v>
      </c>
      <c r="H812" s="58">
        <v>2555860.0</v>
      </c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7.25" customHeight="1">
      <c r="A813" s="24" t="s">
        <v>29</v>
      </c>
      <c r="B813" s="65" t="s">
        <v>63</v>
      </c>
      <c r="C813" s="65" t="s">
        <v>1291</v>
      </c>
      <c r="D813" s="66" t="s">
        <v>1292</v>
      </c>
      <c r="E813" s="67" t="s">
        <v>1297</v>
      </c>
      <c r="F813" s="58">
        <v>130.0</v>
      </c>
      <c r="G813" s="58">
        <v>2599022.0</v>
      </c>
      <c r="H813" s="58">
        <v>68700.0</v>
      </c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7.25" customHeight="1">
      <c r="A814" s="24" t="s">
        <v>29</v>
      </c>
      <c r="B814" s="65" t="s">
        <v>63</v>
      </c>
      <c r="C814" s="65" t="s">
        <v>1291</v>
      </c>
      <c r="D814" s="66" t="s">
        <v>1292</v>
      </c>
      <c r="E814" s="67" t="s">
        <v>1298</v>
      </c>
      <c r="F814" s="58">
        <v>6779.0</v>
      </c>
      <c r="G814" s="58">
        <v>9.6267471E7</v>
      </c>
      <c r="H814" s="58">
        <v>1809940.0</v>
      </c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7.25" customHeight="1">
      <c r="A815" s="24" t="s">
        <v>29</v>
      </c>
      <c r="B815" s="65" t="s">
        <v>63</v>
      </c>
      <c r="C815" s="65" t="s">
        <v>1291</v>
      </c>
      <c r="D815" s="66" t="s">
        <v>1292</v>
      </c>
      <c r="E815" s="67" t="s">
        <v>1299</v>
      </c>
      <c r="F815" s="58">
        <v>254.0</v>
      </c>
      <c r="G815" s="58">
        <v>5550270.0</v>
      </c>
      <c r="H815" s="58">
        <v>148520.0</v>
      </c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7.25" customHeight="1">
      <c r="A816" s="24" t="s">
        <v>29</v>
      </c>
      <c r="B816" s="65" t="s">
        <v>63</v>
      </c>
      <c r="C816" s="65" t="s">
        <v>1291</v>
      </c>
      <c r="D816" s="66" t="s">
        <v>1292</v>
      </c>
      <c r="E816" s="67" t="s">
        <v>1300</v>
      </c>
      <c r="F816" s="58">
        <v>75.0</v>
      </c>
      <c r="G816" s="58">
        <v>977563.0</v>
      </c>
      <c r="H816" s="58">
        <v>55600.0</v>
      </c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7.25" customHeight="1">
      <c r="A817" s="24" t="s">
        <v>29</v>
      </c>
      <c r="B817" s="65" t="s">
        <v>63</v>
      </c>
      <c r="C817" s="65" t="s">
        <v>1291</v>
      </c>
      <c r="D817" s="66" t="s">
        <v>1292</v>
      </c>
      <c r="E817" s="67" t="s">
        <v>1301</v>
      </c>
      <c r="F817" s="58">
        <v>71.0</v>
      </c>
      <c r="G817" s="58">
        <v>983066.0</v>
      </c>
      <c r="H817" s="58">
        <v>18880.0</v>
      </c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7.25" customHeight="1">
      <c r="A818" s="24" t="s">
        <v>29</v>
      </c>
      <c r="B818" s="65" t="s">
        <v>63</v>
      </c>
      <c r="C818" s="65" t="s">
        <v>1291</v>
      </c>
      <c r="D818" s="66" t="s">
        <v>1292</v>
      </c>
      <c r="E818" s="67" t="s">
        <v>1302</v>
      </c>
      <c r="F818" s="58">
        <v>468.0</v>
      </c>
      <c r="G818" s="58">
        <v>6629375.0</v>
      </c>
      <c r="H818" s="58">
        <v>95360.0</v>
      </c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7.25" customHeight="1">
      <c r="A819" s="24" t="s">
        <v>29</v>
      </c>
      <c r="B819" s="65" t="s">
        <v>63</v>
      </c>
      <c r="C819" s="65" t="s">
        <v>1291</v>
      </c>
      <c r="D819" s="66" t="s">
        <v>1292</v>
      </c>
      <c r="E819" s="67" t="s">
        <v>1303</v>
      </c>
      <c r="F819" s="58">
        <v>498.0</v>
      </c>
      <c r="G819" s="58">
        <v>7706549.0</v>
      </c>
      <c r="H819" s="58">
        <v>253180.0</v>
      </c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7.25" customHeight="1">
      <c r="A820" s="24" t="s">
        <v>29</v>
      </c>
      <c r="B820" s="65" t="s">
        <v>63</v>
      </c>
      <c r="C820" s="65" t="s">
        <v>1291</v>
      </c>
      <c r="D820" s="66" t="s">
        <v>1292</v>
      </c>
      <c r="E820" s="67" t="s">
        <v>1304</v>
      </c>
      <c r="F820" s="58">
        <v>615.0</v>
      </c>
      <c r="G820" s="58">
        <v>9913757.0</v>
      </c>
      <c r="H820" s="58">
        <v>276140.0</v>
      </c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7.25" customHeight="1">
      <c r="A821" s="24" t="s">
        <v>29</v>
      </c>
      <c r="B821" s="65" t="s">
        <v>63</v>
      </c>
      <c r="C821" s="65" t="s">
        <v>1291</v>
      </c>
      <c r="D821" s="66" t="s">
        <v>1292</v>
      </c>
      <c r="E821" s="67" t="s">
        <v>1305</v>
      </c>
      <c r="F821" s="58">
        <v>271.0</v>
      </c>
      <c r="G821" s="58">
        <v>6055504.0</v>
      </c>
      <c r="H821" s="58">
        <v>285660.0</v>
      </c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7.25" customHeight="1">
      <c r="A822" s="24" t="s">
        <v>29</v>
      </c>
      <c r="B822" s="65" t="s">
        <v>63</v>
      </c>
      <c r="C822" s="65" t="s">
        <v>1306</v>
      </c>
      <c r="D822" s="66" t="s">
        <v>1307</v>
      </c>
      <c r="E822" s="67" t="s">
        <v>1308</v>
      </c>
      <c r="F822" s="58">
        <v>12.0</v>
      </c>
      <c r="G822" s="58">
        <v>152081.0</v>
      </c>
      <c r="H822" s="58">
        <v>5560.0</v>
      </c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7.25" customHeight="1">
      <c r="A823" s="24" t="s">
        <v>29</v>
      </c>
      <c r="B823" s="65" t="s">
        <v>63</v>
      </c>
      <c r="C823" s="65" t="s">
        <v>1306</v>
      </c>
      <c r="D823" s="66" t="s">
        <v>1307</v>
      </c>
      <c r="E823" s="67" t="s">
        <v>1309</v>
      </c>
      <c r="F823" s="58">
        <v>73.0</v>
      </c>
      <c r="G823" s="58">
        <v>1000230.0</v>
      </c>
      <c r="H823" s="58">
        <v>86060.0</v>
      </c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7.25" customHeight="1">
      <c r="A824" s="24" t="s">
        <v>29</v>
      </c>
      <c r="B824" s="65" t="s">
        <v>63</v>
      </c>
      <c r="C824" s="65" t="s">
        <v>1306</v>
      </c>
      <c r="D824" s="66" t="s">
        <v>1307</v>
      </c>
      <c r="E824" s="67" t="s">
        <v>1310</v>
      </c>
      <c r="F824" s="58">
        <v>451.0</v>
      </c>
      <c r="G824" s="58">
        <v>9169867.0</v>
      </c>
      <c r="H824" s="58">
        <v>782540.0</v>
      </c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7.25" customHeight="1">
      <c r="A825" s="24" t="s">
        <v>29</v>
      </c>
      <c r="B825" s="65" t="s">
        <v>63</v>
      </c>
      <c r="C825" s="65" t="s">
        <v>1306</v>
      </c>
      <c r="D825" s="66" t="s">
        <v>1307</v>
      </c>
      <c r="E825" s="67" t="s">
        <v>1311</v>
      </c>
      <c r="F825" s="58">
        <v>96.0</v>
      </c>
      <c r="G825" s="58">
        <v>889455.0</v>
      </c>
      <c r="H825" s="58">
        <v>43560.0</v>
      </c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7.25" customHeight="1">
      <c r="A826" s="24" t="s">
        <v>29</v>
      </c>
      <c r="B826" s="65" t="s">
        <v>63</v>
      </c>
      <c r="C826" s="65" t="s">
        <v>1306</v>
      </c>
      <c r="D826" s="66" t="s">
        <v>1307</v>
      </c>
      <c r="E826" s="67" t="s">
        <v>1312</v>
      </c>
      <c r="F826" s="58">
        <v>1103.0</v>
      </c>
      <c r="G826" s="58">
        <v>1.5775915E7</v>
      </c>
      <c r="H826" s="58">
        <v>1055900.0</v>
      </c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7.25" customHeight="1">
      <c r="A827" s="24" t="s">
        <v>29</v>
      </c>
      <c r="B827" s="65" t="s">
        <v>63</v>
      </c>
      <c r="C827" s="65" t="s">
        <v>1306</v>
      </c>
      <c r="D827" s="66" t="s">
        <v>1307</v>
      </c>
      <c r="E827" s="67" t="s">
        <v>1313</v>
      </c>
      <c r="F827" s="58">
        <v>879.0</v>
      </c>
      <c r="G827" s="58">
        <v>1.9371393E7</v>
      </c>
      <c r="H827" s="58">
        <v>1071320.0</v>
      </c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7.25" customHeight="1">
      <c r="A828" s="24" t="s">
        <v>29</v>
      </c>
      <c r="B828" s="65" t="s">
        <v>63</v>
      </c>
      <c r="C828" s="65" t="s">
        <v>1306</v>
      </c>
      <c r="D828" s="66" t="s">
        <v>1307</v>
      </c>
      <c r="E828" s="67" t="s">
        <v>1314</v>
      </c>
      <c r="F828" s="58">
        <v>219.0</v>
      </c>
      <c r="G828" s="58">
        <v>3560540.0</v>
      </c>
      <c r="H828" s="58">
        <v>314440.0</v>
      </c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7.25" customHeight="1">
      <c r="A829" s="24" t="s">
        <v>29</v>
      </c>
      <c r="B829" s="65" t="s">
        <v>63</v>
      </c>
      <c r="C829" s="65" t="s">
        <v>1306</v>
      </c>
      <c r="D829" s="66" t="s">
        <v>1307</v>
      </c>
      <c r="E829" s="67" t="s">
        <v>1315</v>
      </c>
      <c r="F829" s="58">
        <v>117.0</v>
      </c>
      <c r="G829" s="58">
        <v>1813195.0</v>
      </c>
      <c r="H829" s="58">
        <v>142800.0</v>
      </c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7.25" customHeight="1">
      <c r="A830" s="24" t="s">
        <v>29</v>
      </c>
      <c r="B830" s="65" t="s">
        <v>63</v>
      </c>
      <c r="C830" s="65" t="s">
        <v>1306</v>
      </c>
      <c r="D830" s="66" t="s">
        <v>1307</v>
      </c>
      <c r="E830" s="67" t="s">
        <v>1316</v>
      </c>
      <c r="F830" s="58">
        <v>9.0</v>
      </c>
      <c r="G830" s="58">
        <v>153760.0</v>
      </c>
      <c r="H830" s="58">
        <v>12340.0</v>
      </c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7.25" customHeight="1">
      <c r="A831" s="24" t="s">
        <v>29</v>
      </c>
      <c r="B831" s="65" t="s">
        <v>63</v>
      </c>
      <c r="C831" s="65" t="s">
        <v>1306</v>
      </c>
      <c r="D831" s="66" t="s">
        <v>1307</v>
      </c>
      <c r="E831" s="67" t="s">
        <v>1317</v>
      </c>
      <c r="F831" s="58">
        <v>222.0</v>
      </c>
      <c r="G831" s="58">
        <v>3456996.0</v>
      </c>
      <c r="H831" s="58">
        <v>197200.0</v>
      </c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7.25" customHeight="1">
      <c r="A832" s="24" t="s">
        <v>29</v>
      </c>
      <c r="B832" s="65" t="s">
        <v>91</v>
      </c>
      <c r="C832" s="65" t="s">
        <v>1318</v>
      </c>
      <c r="D832" s="66" t="s">
        <v>1319</v>
      </c>
      <c r="E832" s="67" t="s">
        <v>1320</v>
      </c>
      <c r="F832" s="58">
        <v>728.0</v>
      </c>
      <c r="G832" s="58">
        <v>1.046317E7</v>
      </c>
      <c r="H832" s="58">
        <v>990900.0</v>
      </c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7.25" customHeight="1">
      <c r="A833" s="24" t="s">
        <v>29</v>
      </c>
      <c r="B833" s="65" t="s">
        <v>91</v>
      </c>
      <c r="C833" s="65" t="s">
        <v>1318</v>
      </c>
      <c r="D833" s="66" t="s">
        <v>1319</v>
      </c>
      <c r="E833" s="67" t="s">
        <v>1321</v>
      </c>
      <c r="F833" s="58">
        <v>162.0</v>
      </c>
      <c r="G833" s="58">
        <v>3324876.0</v>
      </c>
      <c r="H833" s="58">
        <v>427040.0</v>
      </c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7.25" customHeight="1">
      <c r="A834" s="24" t="s">
        <v>29</v>
      </c>
      <c r="B834" s="65" t="s">
        <v>91</v>
      </c>
      <c r="C834" s="65" t="s">
        <v>1318</v>
      </c>
      <c r="D834" s="66" t="s">
        <v>1319</v>
      </c>
      <c r="E834" s="67" t="s">
        <v>1322</v>
      </c>
      <c r="F834" s="58">
        <v>1938.0</v>
      </c>
      <c r="G834" s="58">
        <v>3.3113426E7</v>
      </c>
      <c r="H834" s="58">
        <v>2800440.0</v>
      </c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7.25" customHeight="1">
      <c r="A835" s="24" t="s">
        <v>29</v>
      </c>
      <c r="B835" s="65" t="s">
        <v>91</v>
      </c>
      <c r="C835" s="65" t="s">
        <v>1318</v>
      </c>
      <c r="D835" s="66" t="s">
        <v>1319</v>
      </c>
      <c r="E835" s="67" t="s">
        <v>1323</v>
      </c>
      <c r="F835" s="58">
        <v>275.0</v>
      </c>
      <c r="G835" s="58">
        <v>3906553.0</v>
      </c>
      <c r="H835" s="58">
        <v>351360.0</v>
      </c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7.25" customHeight="1">
      <c r="A836" s="24" t="s">
        <v>29</v>
      </c>
      <c r="B836" s="65" t="s">
        <v>91</v>
      </c>
      <c r="C836" s="65" t="s">
        <v>1318</v>
      </c>
      <c r="D836" s="66" t="s">
        <v>1319</v>
      </c>
      <c r="E836" s="67" t="s">
        <v>1324</v>
      </c>
      <c r="F836" s="58">
        <v>191.0</v>
      </c>
      <c r="G836" s="58">
        <v>3076104.0</v>
      </c>
      <c r="H836" s="58">
        <v>361820.0</v>
      </c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7.25" customHeight="1">
      <c r="A837" s="24" t="s">
        <v>29</v>
      </c>
      <c r="B837" s="65" t="s">
        <v>91</v>
      </c>
      <c r="C837" s="65" t="s">
        <v>776</v>
      </c>
      <c r="D837" s="66" t="s">
        <v>775</v>
      </c>
      <c r="E837" s="67" t="s">
        <v>1325</v>
      </c>
      <c r="F837" s="58">
        <v>177.0</v>
      </c>
      <c r="G837" s="58">
        <v>1748834.0</v>
      </c>
      <c r="H837" s="58">
        <v>75100.0</v>
      </c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7.25" customHeight="1">
      <c r="A838" s="24" t="s">
        <v>29</v>
      </c>
      <c r="B838" s="24" t="s">
        <v>91</v>
      </c>
      <c r="C838" s="24" t="s">
        <v>1327</v>
      </c>
      <c r="D838" s="66" t="s">
        <v>1328</v>
      </c>
      <c r="E838" s="67" t="s">
        <v>1330</v>
      </c>
      <c r="F838" s="58">
        <v>7.0</v>
      </c>
      <c r="G838" s="58">
        <v>276800.0</v>
      </c>
      <c r="H838" s="58">
        <v>31200.0</v>
      </c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7.25" customHeight="1">
      <c r="A839" s="24" t="s">
        <v>29</v>
      </c>
      <c r="B839" s="24" t="s">
        <v>91</v>
      </c>
      <c r="C839" s="24" t="s">
        <v>167</v>
      </c>
      <c r="D839" s="66" t="s">
        <v>166</v>
      </c>
      <c r="E839" s="67" t="s">
        <v>1331</v>
      </c>
      <c r="F839" s="58">
        <v>856.0</v>
      </c>
      <c r="G839" s="58">
        <v>1.0693525E7</v>
      </c>
      <c r="H839" s="58">
        <v>974340.0</v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7.25" customHeight="1">
      <c r="A840" s="24" t="s">
        <v>29</v>
      </c>
      <c r="B840" s="24" t="s">
        <v>91</v>
      </c>
      <c r="C840" s="44" t="s">
        <v>1332</v>
      </c>
      <c r="D840" s="48" t="s">
        <v>1333</v>
      </c>
      <c r="E840" s="59" t="s">
        <v>1334</v>
      </c>
      <c r="F840" s="58">
        <v>11.0</v>
      </c>
      <c r="G840" s="58">
        <v>268713.0</v>
      </c>
      <c r="H840" s="58">
        <v>28340.0</v>
      </c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7.25" customHeight="1">
      <c r="A841" s="24" t="s">
        <v>25</v>
      </c>
      <c r="B841" s="68" t="s">
        <v>99</v>
      </c>
      <c r="C841" s="24" t="s">
        <v>349</v>
      </c>
      <c r="D841" s="24" t="s">
        <v>348</v>
      </c>
      <c r="E841" s="28" t="s">
        <v>1335</v>
      </c>
      <c r="F841" s="28">
        <v>3.0</v>
      </c>
      <c r="G841" s="69">
        <v>53400.0</v>
      </c>
      <c r="H841" s="69">
        <v>7120.0</v>
      </c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7.25" customHeight="1">
      <c r="A842" s="24" t="s">
        <v>25</v>
      </c>
      <c r="B842" s="68" t="s">
        <v>99</v>
      </c>
      <c r="C842" s="24" t="s">
        <v>349</v>
      </c>
      <c r="D842" s="24" t="s">
        <v>348</v>
      </c>
      <c r="E842" s="28" t="s">
        <v>1336</v>
      </c>
      <c r="F842" s="28">
        <v>6.0</v>
      </c>
      <c r="G842" s="69">
        <v>282900.0</v>
      </c>
      <c r="H842" s="69">
        <v>15520.0</v>
      </c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7.25" customHeight="1">
      <c r="A843" s="24" t="s">
        <v>25</v>
      </c>
      <c r="B843" s="68" t="s">
        <v>99</v>
      </c>
      <c r="C843" s="24" t="s">
        <v>349</v>
      </c>
      <c r="D843" s="24" t="s">
        <v>348</v>
      </c>
      <c r="E843" s="28" t="s">
        <v>1337</v>
      </c>
      <c r="F843" s="28">
        <v>1.0</v>
      </c>
      <c r="G843" s="69">
        <v>6900.0</v>
      </c>
      <c r="H843" s="69">
        <v>0.0</v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7.25" customHeight="1">
      <c r="A844" s="24" t="s">
        <v>25</v>
      </c>
      <c r="B844" s="68" t="s">
        <v>99</v>
      </c>
      <c r="C844" s="24" t="s">
        <v>349</v>
      </c>
      <c r="D844" s="24" t="s">
        <v>348</v>
      </c>
      <c r="E844" s="28" t="s">
        <v>1340</v>
      </c>
      <c r="F844" s="28">
        <v>2.0</v>
      </c>
      <c r="G844" s="69">
        <v>23700.0</v>
      </c>
      <c r="H844" s="69">
        <v>3160.0</v>
      </c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7.25" customHeight="1">
      <c r="A845" s="24" t="s">
        <v>25</v>
      </c>
      <c r="B845" s="68" t="s">
        <v>99</v>
      </c>
      <c r="C845" s="24" t="s">
        <v>349</v>
      </c>
      <c r="D845" s="24" t="s">
        <v>348</v>
      </c>
      <c r="E845" s="28" t="s">
        <v>1341</v>
      </c>
      <c r="F845" s="28">
        <v>3.0</v>
      </c>
      <c r="G845" s="69">
        <v>76300.0</v>
      </c>
      <c r="H845" s="69">
        <v>8720.0</v>
      </c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7.25" customHeight="1">
      <c r="A846" s="24" t="s">
        <v>25</v>
      </c>
      <c r="B846" s="68" t="s">
        <v>63</v>
      </c>
      <c r="C846" s="24" t="s">
        <v>1342</v>
      </c>
      <c r="D846" s="24" t="s">
        <v>1343</v>
      </c>
      <c r="E846" s="28" t="s">
        <v>1344</v>
      </c>
      <c r="F846" s="28">
        <v>4.0</v>
      </c>
      <c r="G846" s="69">
        <v>60000.0</v>
      </c>
      <c r="H846" s="69">
        <v>2000.0</v>
      </c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7.25" customHeight="1">
      <c r="A847" s="24" t="s">
        <v>25</v>
      </c>
      <c r="B847" s="68" t="s">
        <v>63</v>
      </c>
      <c r="C847" s="24" t="s">
        <v>1342</v>
      </c>
      <c r="D847" s="24" t="s">
        <v>1343</v>
      </c>
      <c r="E847" s="28" t="s">
        <v>1345</v>
      </c>
      <c r="F847" s="28">
        <v>0.0</v>
      </c>
      <c r="G847" s="69">
        <v>0.0</v>
      </c>
      <c r="H847" s="69">
        <v>0.0</v>
      </c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7.25" customHeight="1">
      <c r="A848" s="24" t="s">
        <v>25</v>
      </c>
      <c r="B848" s="68" t="s">
        <v>63</v>
      </c>
      <c r="C848" s="24" t="s">
        <v>1342</v>
      </c>
      <c r="D848" s="24" t="s">
        <v>1343</v>
      </c>
      <c r="E848" s="28" t="s">
        <v>1346</v>
      </c>
      <c r="F848" s="28">
        <v>1.0</v>
      </c>
      <c r="G848" s="69">
        <v>4500.0</v>
      </c>
      <c r="H848" s="69">
        <v>0.0</v>
      </c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7.25" customHeight="1">
      <c r="A849" s="24" t="s">
        <v>25</v>
      </c>
      <c r="B849" s="68" t="s">
        <v>63</v>
      </c>
      <c r="C849" s="24" t="s">
        <v>1342</v>
      </c>
      <c r="D849" s="24" t="s">
        <v>1343</v>
      </c>
      <c r="E849" s="28" t="s">
        <v>1347</v>
      </c>
      <c r="F849" s="28">
        <v>0.0</v>
      </c>
      <c r="G849" s="69">
        <v>0.0</v>
      </c>
      <c r="H849" s="69">
        <v>0.0</v>
      </c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7.25" customHeight="1">
      <c r="A850" s="24" t="s">
        <v>25</v>
      </c>
      <c r="B850" s="68" t="s">
        <v>63</v>
      </c>
      <c r="C850" s="24" t="s">
        <v>1342</v>
      </c>
      <c r="D850" s="24" t="s">
        <v>1343</v>
      </c>
      <c r="E850" s="28" t="s">
        <v>1348</v>
      </c>
      <c r="F850" s="28">
        <v>0.0</v>
      </c>
      <c r="G850" s="69">
        <v>0.0</v>
      </c>
      <c r="H850" s="69">
        <v>0.0</v>
      </c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7.25" customHeight="1">
      <c r="A851" s="24" t="s">
        <v>25</v>
      </c>
      <c r="B851" s="68" t="s">
        <v>63</v>
      </c>
      <c r="C851" s="24" t="s">
        <v>1342</v>
      </c>
      <c r="D851" s="24" t="s">
        <v>1343</v>
      </c>
      <c r="E851" s="28" t="s">
        <v>1349</v>
      </c>
      <c r="F851" s="28">
        <v>3.0</v>
      </c>
      <c r="G851" s="69">
        <v>48000.0</v>
      </c>
      <c r="H851" s="69">
        <v>0.0</v>
      </c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7.25" customHeight="1">
      <c r="A852" s="24" t="s">
        <v>25</v>
      </c>
      <c r="B852" s="68" t="s">
        <v>63</v>
      </c>
      <c r="C852" s="24" t="s">
        <v>1342</v>
      </c>
      <c r="D852" s="24" t="s">
        <v>1343</v>
      </c>
      <c r="E852" s="28" t="s">
        <v>1350</v>
      </c>
      <c r="F852" s="28">
        <v>0.0</v>
      </c>
      <c r="G852" s="69">
        <v>0.0</v>
      </c>
      <c r="H852" s="69">
        <v>0.0</v>
      </c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7.25" customHeight="1">
      <c r="A853" s="24" t="s">
        <v>25</v>
      </c>
      <c r="B853" s="68" t="s">
        <v>63</v>
      </c>
      <c r="C853" s="24" t="s">
        <v>1342</v>
      </c>
      <c r="D853" s="24" t="s">
        <v>1343</v>
      </c>
      <c r="E853" s="28" t="s">
        <v>1351</v>
      </c>
      <c r="F853" s="28">
        <v>0.0</v>
      </c>
      <c r="G853" s="69">
        <v>0.0</v>
      </c>
      <c r="H853" s="69">
        <v>0.0</v>
      </c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7.25" customHeight="1">
      <c r="A854" s="24" t="s">
        <v>25</v>
      </c>
      <c r="B854" s="68" t="s">
        <v>63</v>
      </c>
      <c r="C854" s="24" t="s">
        <v>1342</v>
      </c>
      <c r="D854" s="24" t="s">
        <v>1343</v>
      </c>
      <c r="E854" s="28" t="s">
        <v>1353</v>
      </c>
      <c r="F854" s="28">
        <v>0.0</v>
      </c>
      <c r="G854" s="69">
        <v>0.0</v>
      </c>
      <c r="H854" s="69">
        <v>0.0</v>
      </c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7.25" customHeight="1">
      <c r="A855" s="24" t="s">
        <v>25</v>
      </c>
      <c r="B855" s="68" t="s">
        <v>63</v>
      </c>
      <c r="C855" s="24" t="s">
        <v>1342</v>
      </c>
      <c r="D855" s="24" t="s">
        <v>1343</v>
      </c>
      <c r="E855" s="28" t="s">
        <v>1355</v>
      </c>
      <c r="F855" s="28">
        <v>2.0</v>
      </c>
      <c r="G855" s="69">
        <v>32000.0</v>
      </c>
      <c r="H855" s="69">
        <v>0.0</v>
      </c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7.25" customHeight="1">
      <c r="A856" s="24" t="s">
        <v>25</v>
      </c>
      <c r="B856" s="68" t="s">
        <v>91</v>
      </c>
      <c r="C856" s="24" t="s">
        <v>1342</v>
      </c>
      <c r="D856" s="24" t="s">
        <v>1343</v>
      </c>
      <c r="E856" s="28" t="s">
        <v>1356</v>
      </c>
      <c r="F856" s="28">
        <v>0.0</v>
      </c>
      <c r="G856" s="69">
        <v>0.0</v>
      </c>
      <c r="H856" s="69">
        <v>0.0</v>
      </c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7.25" customHeight="1">
      <c r="A857" s="24" t="s">
        <v>25</v>
      </c>
      <c r="B857" s="68" t="s">
        <v>63</v>
      </c>
      <c r="C857" s="24" t="s">
        <v>262</v>
      </c>
      <c r="D857" s="24" t="s">
        <v>261</v>
      </c>
      <c r="E857" s="28" t="s">
        <v>1357</v>
      </c>
      <c r="F857" s="28">
        <v>1.0</v>
      </c>
      <c r="G857" s="69">
        <v>16000.0</v>
      </c>
      <c r="H857" s="69">
        <v>0.0</v>
      </c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7.25" customHeight="1">
      <c r="A858" s="24" t="s">
        <v>25</v>
      </c>
      <c r="B858" s="68" t="s">
        <v>63</v>
      </c>
      <c r="C858" s="24" t="s">
        <v>262</v>
      </c>
      <c r="D858" s="24" t="s">
        <v>261</v>
      </c>
      <c r="E858" s="28" t="s">
        <v>1358</v>
      </c>
      <c r="F858" s="28">
        <v>0.0</v>
      </c>
      <c r="G858" s="69">
        <v>0.0</v>
      </c>
      <c r="H858" s="69">
        <v>0.0</v>
      </c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7.25" customHeight="1">
      <c r="A859" s="24" t="s">
        <v>25</v>
      </c>
      <c r="B859" s="68" t="s">
        <v>63</v>
      </c>
      <c r="C859" s="24" t="s">
        <v>262</v>
      </c>
      <c r="D859" s="24" t="s">
        <v>261</v>
      </c>
      <c r="E859" s="28" t="s">
        <v>1359</v>
      </c>
      <c r="F859" s="28">
        <v>5.0</v>
      </c>
      <c r="G859" s="69">
        <v>175000.0</v>
      </c>
      <c r="H859" s="69">
        <v>15000.0</v>
      </c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7.25" customHeight="1">
      <c r="A860" s="24" t="s">
        <v>25</v>
      </c>
      <c r="B860" s="68" t="s">
        <v>63</v>
      </c>
      <c r="C860" s="24" t="s">
        <v>262</v>
      </c>
      <c r="D860" s="24" t="s">
        <v>261</v>
      </c>
      <c r="E860" s="28" t="s">
        <v>1360</v>
      </c>
      <c r="F860" s="28">
        <v>1.0</v>
      </c>
      <c r="G860" s="69">
        <v>65000.0</v>
      </c>
      <c r="H860" s="69">
        <v>10000.0</v>
      </c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7.25" customHeight="1">
      <c r="A861" s="24" t="s">
        <v>25</v>
      </c>
      <c r="B861" s="68" t="s">
        <v>63</v>
      </c>
      <c r="C861" s="24" t="s">
        <v>262</v>
      </c>
      <c r="D861" s="24" t="s">
        <v>261</v>
      </c>
      <c r="E861" s="28" t="s">
        <v>1361</v>
      </c>
      <c r="F861" s="28">
        <v>0.0</v>
      </c>
      <c r="G861" s="69">
        <v>0.0</v>
      </c>
      <c r="H861" s="69">
        <v>0.0</v>
      </c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7.25" customHeight="1">
      <c r="A862" s="24" t="s">
        <v>25</v>
      </c>
      <c r="B862" s="68" t="s">
        <v>63</v>
      </c>
      <c r="C862" s="24" t="s">
        <v>262</v>
      </c>
      <c r="D862" s="24" t="s">
        <v>261</v>
      </c>
      <c r="E862" s="28" t="s">
        <v>1362</v>
      </c>
      <c r="F862" s="28">
        <v>1.0</v>
      </c>
      <c r="G862" s="69">
        <v>20000.0</v>
      </c>
      <c r="H862" s="69">
        <v>4000.0</v>
      </c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7.25" customHeight="1">
      <c r="A863" s="24" t="s">
        <v>25</v>
      </c>
      <c r="B863" s="68" t="s">
        <v>63</v>
      </c>
      <c r="C863" s="24" t="s">
        <v>262</v>
      </c>
      <c r="D863" s="24" t="s">
        <v>261</v>
      </c>
      <c r="E863" s="28" t="s">
        <v>1363</v>
      </c>
      <c r="F863" s="28">
        <v>6.0</v>
      </c>
      <c r="G863" s="69">
        <v>210000.0</v>
      </c>
      <c r="H863" s="69">
        <v>34860.0</v>
      </c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7.25" customHeight="1">
      <c r="A864" s="24" t="s">
        <v>25</v>
      </c>
      <c r="B864" s="68" t="s">
        <v>63</v>
      </c>
      <c r="C864" s="24" t="s">
        <v>262</v>
      </c>
      <c r="D864" s="24" t="s">
        <v>261</v>
      </c>
      <c r="E864" s="28" t="s">
        <v>1364</v>
      </c>
      <c r="F864" s="28">
        <v>2.0</v>
      </c>
      <c r="G864" s="69">
        <v>105000.0</v>
      </c>
      <c r="H864" s="69">
        <v>0.0</v>
      </c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7.25" customHeight="1">
      <c r="A865" s="24" t="s">
        <v>25</v>
      </c>
      <c r="B865" s="68" t="s">
        <v>63</v>
      </c>
      <c r="C865" s="24" t="s">
        <v>262</v>
      </c>
      <c r="D865" s="24" t="s">
        <v>261</v>
      </c>
      <c r="E865" s="28" t="s">
        <v>1365</v>
      </c>
      <c r="F865" s="28">
        <v>0.0</v>
      </c>
      <c r="G865" s="69">
        <v>0.0</v>
      </c>
      <c r="H865" s="69">
        <v>0.0</v>
      </c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7.25" customHeight="1">
      <c r="A866" s="24" t="s">
        <v>25</v>
      </c>
      <c r="B866" s="68" t="s">
        <v>63</v>
      </c>
      <c r="C866" s="24" t="s">
        <v>262</v>
      </c>
      <c r="D866" s="24" t="s">
        <v>261</v>
      </c>
      <c r="E866" s="28" t="s">
        <v>1366</v>
      </c>
      <c r="F866" s="28">
        <v>0.0</v>
      </c>
      <c r="G866" s="69">
        <v>0.0</v>
      </c>
      <c r="H866" s="69">
        <v>0.0</v>
      </c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7.25" customHeight="1">
      <c r="A867" s="24" t="s">
        <v>25</v>
      </c>
      <c r="B867" s="68" t="s">
        <v>63</v>
      </c>
      <c r="C867" s="24" t="s">
        <v>1367</v>
      </c>
      <c r="D867" s="24" t="s">
        <v>1368</v>
      </c>
      <c r="E867" s="28" t="s">
        <v>1369</v>
      </c>
      <c r="F867" s="28">
        <v>89.0</v>
      </c>
      <c r="G867" s="69">
        <v>2607500.0</v>
      </c>
      <c r="H867" s="69">
        <v>238400.0</v>
      </c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7.25" customHeight="1">
      <c r="A868" s="24" t="s">
        <v>25</v>
      </c>
      <c r="B868" s="68" t="s">
        <v>91</v>
      </c>
      <c r="C868" s="24" t="s">
        <v>1367</v>
      </c>
      <c r="D868" s="24" t="s">
        <v>1368</v>
      </c>
      <c r="E868" s="28" t="s">
        <v>1370</v>
      </c>
      <c r="F868" s="28">
        <v>2.0</v>
      </c>
      <c r="G868" s="69">
        <v>97800.0</v>
      </c>
      <c r="H868" s="69">
        <v>0.0</v>
      </c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7.25" customHeight="1">
      <c r="A869" s="24" t="s">
        <v>25</v>
      </c>
      <c r="B869" s="68" t="s">
        <v>99</v>
      </c>
      <c r="C869" s="24" t="s">
        <v>972</v>
      </c>
      <c r="D869" s="24" t="s">
        <v>971</v>
      </c>
      <c r="E869" s="28" t="s">
        <v>1371</v>
      </c>
      <c r="F869" s="28">
        <v>74.0</v>
      </c>
      <c r="G869" s="69">
        <v>2562900.0</v>
      </c>
      <c r="H869" s="69">
        <v>237520.0</v>
      </c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7.25" customHeight="1">
      <c r="A870" s="24" t="s">
        <v>25</v>
      </c>
      <c r="B870" s="68" t="s">
        <v>91</v>
      </c>
      <c r="C870" s="24" t="s">
        <v>395</v>
      </c>
      <c r="D870" s="24" t="s">
        <v>394</v>
      </c>
      <c r="E870" s="28" t="s">
        <v>1372</v>
      </c>
      <c r="F870" s="28">
        <v>13.0</v>
      </c>
      <c r="G870" s="69">
        <v>237900.0</v>
      </c>
      <c r="H870" s="69">
        <v>23620.0</v>
      </c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7.25" customHeight="1">
      <c r="A871" s="24" t="s">
        <v>25</v>
      </c>
      <c r="B871" s="68" t="s">
        <v>91</v>
      </c>
      <c r="C871" s="24" t="s">
        <v>395</v>
      </c>
      <c r="D871" s="24" t="s">
        <v>394</v>
      </c>
      <c r="E871" s="28" t="s">
        <v>1373</v>
      </c>
      <c r="F871" s="28">
        <v>67.0</v>
      </c>
      <c r="G871" s="69">
        <v>2666600.0</v>
      </c>
      <c r="H871" s="69">
        <v>309240.0</v>
      </c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7.25" customHeight="1">
      <c r="A872" s="24" t="s">
        <v>25</v>
      </c>
      <c r="B872" s="68" t="s">
        <v>91</v>
      </c>
      <c r="C872" s="24" t="s">
        <v>395</v>
      </c>
      <c r="D872" s="24" t="s">
        <v>394</v>
      </c>
      <c r="E872" s="28" t="s">
        <v>1374</v>
      </c>
      <c r="F872" s="28">
        <v>4.0</v>
      </c>
      <c r="G872" s="69">
        <v>318400.0</v>
      </c>
      <c r="H872" s="69">
        <v>20000.0</v>
      </c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7.25" customHeight="1">
      <c r="A873" s="24" t="s">
        <v>25</v>
      </c>
      <c r="B873" s="68" t="s">
        <v>91</v>
      </c>
      <c r="C873" s="24" t="s">
        <v>395</v>
      </c>
      <c r="D873" s="24" t="s">
        <v>394</v>
      </c>
      <c r="E873" s="28" t="s">
        <v>1375</v>
      </c>
      <c r="F873" s="28">
        <v>5.0</v>
      </c>
      <c r="G873" s="69">
        <v>149400.0</v>
      </c>
      <c r="H873" s="69">
        <v>24900.0</v>
      </c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7.25" customHeight="1">
      <c r="A874" s="24" t="s">
        <v>25</v>
      </c>
      <c r="B874" s="68" t="s">
        <v>91</v>
      </c>
      <c r="C874" s="24" t="s">
        <v>395</v>
      </c>
      <c r="D874" s="24" t="s">
        <v>394</v>
      </c>
      <c r="E874" s="28" t="s">
        <v>1376</v>
      </c>
      <c r="F874" s="28">
        <v>2.0</v>
      </c>
      <c r="G874" s="69">
        <v>35800.0</v>
      </c>
      <c r="H874" s="69">
        <v>7160.0</v>
      </c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7.25" customHeight="1">
      <c r="A875" s="24" t="s">
        <v>25</v>
      </c>
      <c r="B875" s="68" t="s">
        <v>91</v>
      </c>
      <c r="C875" s="24" t="s">
        <v>395</v>
      </c>
      <c r="D875" s="24" t="s">
        <v>394</v>
      </c>
      <c r="E875" s="28" t="s">
        <v>1377</v>
      </c>
      <c r="F875" s="28">
        <v>10.0</v>
      </c>
      <c r="G875" s="69">
        <v>287000.0</v>
      </c>
      <c r="H875" s="69">
        <v>18740.0</v>
      </c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7.25" customHeight="1">
      <c r="A876" s="24" t="s">
        <v>25</v>
      </c>
      <c r="B876" s="68" t="s">
        <v>91</v>
      </c>
      <c r="C876" s="24" t="s">
        <v>395</v>
      </c>
      <c r="D876" s="24" t="s">
        <v>394</v>
      </c>
      <c r="E876" s="28" t="s">
        <v>1378</v>
      </c>
      <c r="F876" s="28">
        <v>6.0</v>
      </c>
      <c r="G876" s="69">
        <v>109800.0</v>
      </c>
      <c r="H876" s="69">
        <v>3660.0</v>
      </c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7.25" customHeight="1">
      <c r="A877" s="24" t="s">
        <v>25</v>
      </c>
      <c r="B877" s="68" t="s">
        <v>91</v>
      </c>
      <c r="C877" s="24" t="s">
        <v>395</v>
      </c>
      <c r="D877" s="24" t="s">
        <v>394</v>
      </c>
      <c r="E877" s="28" t="s">
        <v>1380</v>
      </c>
      <c r="F877" s="28">
        <v>33.0</v>
      </c>
      <c r="G877" s="69">
        <v>1163900.0</v>
      </c>
      <c r="H877" s="69">
        <v>92990.0</v>
      </c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7.25" customHeight="1">
      <c r="A878" s="24" t="s">
        <v>25</v>
      </c>
      <c r="B878" s="68" t="s">
        <v>91</v>
      </c>
      <c r="C878" s="24" t="s">
        <v>395</v>
      </c>
      <c r="D878" s="24" t="s">
        <v>394</v>
      </c>
      <c r="E878" s="28" t="s">
        <v>1382</v>
      </c>
      <c r="F878" s="28">
        <v>3.0</v>
      </c>
      <c r="G878" s="69">
        <v>53700.0</v>
      </c>
      <c r="H878" s="69">
        <v>0.0</v>
      </c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7.25" customHeight="1">
      <c r="A879" s="24" t="s">
        <v>25</v>
      </c>
      <c r="B879" s="68" t="s">
        <v>91</v>
      </c>
      <c r="C879" s="24" t="s">
        <v>395</v>
      </c>
      <c r="D879" s="24" t="s">
        <v>394</v>
      </c>
      <c r="E879" s="28" t="s">
        <v>1383</v>
      </c>
      <c r="F879" s="28">
        <v>9.0</v>
      </c>
      <c r="G879" s="69">
        <v>228100.0</v>
      </c>
      <c r="H879" s="69">
        <v>16540.0</v>
      </c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7.25" customHeight="1">
      <c r="A880" s="24" t="s">
        <v>25</v>
      </c>
      <c r="B880" s="68" t="s">
        <v>91</v>
      </c>
      <c r="C880" s="24" t="s">
        <v>395</v>
      </c>
      <c r="D880" s="24" t="s">
        <v>394</v>
      </c>
      <c r="E880" s="28" t="s">
        <v>1384</v>
      </c>
      <c r="F880" s="28">
        <v>4.0</v>
      </c>
      <c r="G880" s="69">
        <v>141800.0</v>
      </c>
      <c r="H880" s="69">
        <v>5900.0</v>
      </c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7.25" customHeight="1">
      <c r="A881" s="24" t="s">
        <v>25</v>
      </c>
      <c r="B881" s="68" t="s">
        <v>91</v>
      </c>
      <c r="C881" s="24" t="s">
        <v>395</v>
      </c>
      <c r="D881" s="24" t="s">
        <v>394</v>
      </c>
      <c r="E881" s="28" t="s">
        <v>1385</v>
      </c>
      <c r="F881" s="28">
        <v>6.0</v>
      </c>
      <c r="G881" s="69">
        <v>145400.0</v>
      </c>
      <c r="H881" s="69">
        <v>8360.0</v>
      </c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7.25" customHeight="1">
      <c r="A882" s="24" t="s">
        <v>25</v>
      </c>
      <c r="B882" s="68" t="s">
        <v>91</v>
      </c>
      <c r="C882" s="24" t="s">
        <v>395</v>
      </c>
      <c r="D882" s="24" t="s">
        <v>394</v>
      </c>
      <c r="E882" s="28" t="s">
        <v>1386</v>
      </c>
      <c r="F882" s="28">
        <v>5.0</v>
      </c>
      <c r="G882" s="69">
        <v>98500.0</v>
      </c>
      <c r="H882" s="69">
        <v>0.0</v>
      </c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7.25" customHeight="1">
      <c r="A883" s="24" t="s">
        <v>25</v>
      </c>
      <c r="B883" s="68" t="s">
        <v>91</v>
      </c>
      <c r="C883" s="24" t="s">
        <v>395</v>
      </c>
      <c r="D883" s="24" t="s">
        <v>394</v>
      </c>
      <c r="E883" s="28" t="s">
        <v>1387</v>
      </c>
      <c r="F883" s="28">
        <v>0.0</v>
      </c>
      <c r="G883" s="69">
        <v>0.0</v>
      </c>
      <c r="H883" s="69">
        <v>0.0</v>
      </c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7.25" customHeight="1">
      <c r="A884" s="24" t="s">
        <v>25</v>
      </c>
      <c r="B884" s="68" t="s">
        <v>91</v>
      </c>
      <c r="C884" s="24" t="s">
        <v>395</v>
      </c>
      <c r="D884" s="24" t="s">
        <v>394</v>
      </c>
      <c r="E884" s="28" t="s">
        <v>1388</v>
      </c>
      <c r="F884" s="28">
        <v>0.0</v>
      </c>
      <c r="G884" s="69">
        <v>0.0</v>
      </c>
      <c r="H884" s="69">
        <v>0.0</v>
      </c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7.25" customHeight="1">
      <c r="A885" s="24" t="s">
        <v>25</v>
      </c>
      <c r="B885" s="68" t="s">
        <v>91</v>
      </c>
      <c r="C885" s="24" t="s">
        <v>395</v>
      </c>
      <c r="D885" s="24" t="s">
        <v>394</v>
      </c>
      <c r="E885" s="28" t="s">
        <v>1389</v>
      </c>
      <c r="F885" s="28">
        <v>0.0</v>
      </c>
      <c r="G885" s="69">
        <v>0.0</v>
      </c>
      <c r="H885" s="69">
        <v>0.0</v>
      </c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7.25" customHeight="1">
      <c r="A886" s="24" t="s">
        <v>25</v>
      </c>
      <c r="B886" s="68" t="s">
        <v>99</v>
      </c>
      <c r="C886" s="24" t="s">
        <v>1142</v>
      </c>
      <c r="D886" s="24" t="s">
        <v>1141</v>
      </c>
      <c r="E886" s="28" t="s">
        <v>1390</v>
      </c>
      <c r="F886" s="28">
        <v>9.0</v>
      </c>
      <c r="G886" s="69">
        <v>230000.0</v>
      </c>
      <c r="H886" s="69">
        <v>32450.0</v>
      </c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7.25" customHeight="1">
      <c r="A887" s="24" t="s">
        <v>25</v>
      </c>
      <c r="B887" s="68" t="s">
        <v>99</v>
      </c>
      <c r="C887" s="24" t="s">
        <v>1142</v>
      </c>
      <c r="D887" s="24" t="s">
        <v>1141</v>
      </c>
      <c r="E887" s="28" t="s">
        <v>1391</v>
      </c>
      <c r="F887" s="28">
        <v>39.0</v>
      </c>
      <c r="G887" s="69">
        <v>1184500.0</v>
      </c>
      <c r="H887" s="69">
        <v>84250.0</v>
      </c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7.25" customHeight="1">
      <c r="A888" s="24" t="s">
        <v>25</v>
      </c>
      <c r="B888" s="68" t="s">
        <v>99</v>
      </c>
      <c r="C888" s="24" t="s">
        <v>1142</v>
      </c>
      <c r="D888" s="24" t="s">
        <v>1141</v>
      </c>
      <c r="E888" s="28" t="s">
        <v>1392</v>
      </c>
      <c r="F888" s="28">
        <v>17.0</v>
      </c>
      <c r="G888" s="69">
        <v>421900.0</v>
      </c>
      <c r="H888" s="69">
        <v>21580.0</v>
      </c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7.25" customHeight="1">
      <c r="A889" s="24" t="s">
        <v>25</v>
      </c>
      <c r="B889" s="68" t="s">
        <v>99</v>
      </c>
      <c r="C889" s="24" t="s">
        <v>1142</v>
      </c>
      <c r="D889" s="24" t="s">
        <v>1141</v>
      </c>
      <c r="E889" s="28" t="s">
        <v>1395</v>
      </c>
      <c r="F889" s="28">
        <v>252.0</v>
      </c>
      <c r="G889" s="69">
        <v>9662520.0</v>
      </c>
      <c r="H889" s="69">
        <v>1294790.0</v>
      </c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7.25" customHeight="1">
      <c r="A890" s="24" t="s">
        <v>25</v>
      </c>
      <c r="B890" s="68" t="s">
        <v>99</v>
      </c>
      <c r="C890" s="24" t="s">
        <v>1142</v>
      </c>
      <c r="D890" s="24" t="s">
        <v>1141</v>
      </c>
      <c r="E890" s="28" t="s">
        <v>1396</v>
      </c>
      <c r="F890" s="28">
        <v>0.0</v>
      </c>
      <c r="G890" s="69">
        <v>0.0</v>
      </c>
      <c r="H890" s="69">
        <v>0.0</v>
      </c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7.25" customHeight="1">
      <c r="A891" s="24" t="s">
        <v>25</v>
      </c>
      <c r="B891" s="68" t="s">
        <v>99</v>
      </c>
      <c r="C891" s="24" t="s">
        <v>1142</v>
      </c>
      <c r="D891" s="24" t="s">
        <v>1141</v>
      </c>
      <c r="E891" s="28" t="s">
        <v>1397</v>
      </c>
      <c r="F891" s="28">
        <v>0.0</v>
      </c>
      <c r="G891" s="69">
        <v>0.0</v>
      </c>
      <c r="H891" s="69">
        <v>0.0</v>
      </c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7.25" customHeight="1">
      <c r="A892" s="24" t="s">
        <v>25</v>
      </c>
      <c r="B892" s="68" t="s">
        <v>99</v>
      </c>
      <c r="C892" s="24" t="s">
        <v>1142</v>
      </c>
      <c r="D892" s="24" t="s">
        <v>1141</v>
      </c>
      <c r="E892" s="28" t="s">
        <v>1398</v>
      </c>
      <c r="F892" s="28">
        <v>2.0</v>
      </c>
      <c r="G892" s="69">
        <v>72100.0</v>
      </c>
      <c r="H892" s="69">
        <v>14420.0</v>
      </c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7.25" customHeight="1">
      <c r="A893" s="24" t="s">
        <v>25</v>
      </c>
      <c r="B893" s="68" t="s">
        <v>99</v>
      </c>
      <c r="C893" s="24" t="s">
        <v>1142</v>
      </c>
      <c r="D893" s="24" t="s">
        <v>1141</v>
      </c>
      <c r="E893" s="28" t="s">
        <v>1400</v>
      </c>
      <c r="F893" s="28">
        <v>6.0</v>
      </c>
      <c r="G893" s="69">
        <v>161500.0</v>
      </c>
      <c r="H893" s="69">
        <v>14680.0</v>
      </c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7.25" customHeight="1">
      <c r="A894" s="24" t="s">
        <v>25</v>
      </c>
      <c r="B894" s="68" t="s">
        <v>99</v>
      </c>
      <c r="C894" s="24" t="s">
        <v>1142</v>
      </c>
      <c r="D894" s="24" t="s">
        <v>1141</v>
      </c>
      <c r="E894" s="28" t="s">
        <v>1401</v>
      </c>
      <c r="F894" s="28">
        <v>3.0</v>
      </c>
      <c r="G894" s="69">
        <v>121000.0</v>
      </c>
      <c r="H894" s="69">
        <v>6280.0</v>
      </c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7.25" customHeight="1">
      <c r="A895" s="24" t="s">
        <v>25</v>
      </c>
      <c r="B895" s="68" t="s">
        <v>99</v>
      </c>
      <c r="C895" s="24" t="s">
        <v>1142</v>
      </c>
      <c r="D895" s="24" t="s">
        <v>1141</v>
      </c>
      <c r="E895" s="28" t="s">
        <v>1402</v>
      </c>
      <c r="F895" s="28">
        <v>9.0</v>
      </c>
      <c r="G895" s="69">
        <v>289700.0</v>
      </c>
      <c r="H895" s="69">
        <v>26580.0</v>
      </c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7.25" customHeight="1">
      <c r="A896" s="24" t="s">
        <v>25</v>
      </c>
      <c r="B896" s="68" t="s">
        <v>99</v>
      </c>
      <c r="C896" s="24" t="s">
        <v>1142</v>
      </c>
      <c r="D896" s="24" t="s">
        <v>1141</v>
      </c>
      <c r="E896" s="28" t="s">
        <v>1403</v>
      </c>
      <c r="F896" s="28">
        <v>77.0</v>
      </c>
      <c r="G896" s="69">
        <v>2642900.0</v>
      </c>
      <c r="H896" s="69">
        <v>291600.0</v>
      </c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7.25" customHeight="1">
      <c r="A897" s="24" t="s">
        <v>25</v>
      </c>
      <c r="B897" s="68" t="s">
        <v>63</v>
      </c>
      <c r="C897" s="24" t="s">
        <v>101</v>
      </c>
      <c r="D897" s="24" t="s">
        <v>100</v>
      </c>
      <c r="E897" s="28" t="s">
        <v>1404</v>
      </c>
      <c r="F897" s="28">
        <v>666.0</v>
      </c>
      <c r="G897" s="69">
        <v>3.02325E7</v>
      </c>
      <c r="H897" s="69">
        <v>2495420.0</v>
      </c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7.25" customHeight="1">
      <c r="A898" s="24" t="s">
        <v>25</v>
      </c>
      <c r="B898" s="68" t="s">
        <v>63</v>
      </c>
      <c r="C898" s="24" t="s">
        <v>101</v>
      </c>
      <c r="D898" s="24" t="s">
        <v>100</v>
      </c>
      <c r="E898" s="28" t="s">
        <v>1405</v>
      </c>
      <c r="F898" s="28">
        <v>18.0</v>
      </c>
      <c r="G898" s="69">
        <v>493500.0</v>
      </c>
      <c r="H898" s="69">
        <v>58000.0</v>
      </c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7.25" customHeight="1">
      <c r="A899" s="24" t="s">
        <v>25</v>
      </c>
      <c r="B899" s="68" t="s">
        <v>63</v>
      </c>
      <c r="C899" s="24" t="s">
        <v>101</v>
      </c>
      <c r="D899" s="24" t="s">
        <v>100</v>
      </c>
      <c r="E899" s="28" t="s">
        <v>1405</v>
      </c>
      <c r="F899" s="28">
        <v>1.0</v>
      </c>
      <c r="G899" s="69">
        <v>29500.0</v>
      </c>
      <c r="H899" s="69">
        <v>0.0</v>
      </c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7.25" customHeight="1">
      <c r="A900" s="24" t="s">
        <v>25</v>
      </c>
      <c r="B900" s="68" t="s">
        <v>63</v>
      </c>
      <c r="C900" s="24" t="s">
        <v>101</v>
      </c>
      <c r="D900" s="24" t="s">
        <v>100</v>
      </c>
      <c r="E900" s="28" t="s">
        <v>1406</v>
      </c>
      <c r="F900" s="28">
        <v>9.0</v>
      </c>
      <c r="G900" s="69">
        <v>481500.0</v>
      </c>
      <c r="H900" s="69">
        <v>26800.0</v>
      </c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7.25" customHeight="1">
      <c r="A901" s="24" t="s">
        <v>25</v>
      </c>
      <c r="B901" s="68" t="s">
        <v>63</v>
      </c>
      <c r="C901" s="24" t="s">
        <v>101</v>
      </c>
      <c r="D901" s="24" t="s">
        <v>100</v>
      </c>
      <c r="E901" s="28" t="s">
        <v>1409</v>
      </c>
      <c r="F901" s="28">
        <v>3.0</v>
      </c>
      <c r="G901" s="69">
        <v>594000.0</v>
      </c>
      <c r="H901" s="69">
        <v>10000.0</v>
      </c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7.25" customHeight="1">
      <c r="A902" s="24" t="s">
        <v>25</v>
      </c>
      <c r="B902" s="68" t="s">
        <v>63</v>
      </c>
      <c r="C902" s="24" t="s">
        <v>101</v>
      </c>
      <c r="D902" s="24" t="s">
        <v>100</v>
      </c>
      <c r="E902" s="28" t="s">
        <v>1410</v>
      </c>
      <c r="F902" s="28">
        <v>5.0</v>
      </c>
      <c r="G902" s="69">
        <v>119500.0</v>
      </c>
      <c r="H902" s="69">
        <v>14400.0</v>
      </c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7.25" customHeight="1">
      <c r="A903" s="24" t="s">
        <v>25</v>
      </c>
      <c r="B903" s="68" t="s">
        <v>91</v>
      </c>
      <c r="C903" s="24" t="s">
        <v>1003</v>
      </c>
      <c r="D903" s="24" t="s">
        <v>1002</v>
      </c>
      <c r="E903" s="28" t="s">
        <v>1411</v>
      </c>
      <c r="F903" s="28">
        <v>2254.0</v>
      </c>
      <c r="G903" s="69">
        <v>6.321102E7</v>
      </c>
      <c r="H903" s="69">
        <v>4312140.0</v>
      </c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7.25" customHeight="1">
      <c r="A904" s="24" t="s">
        <v>25</v>
      </c>
      <c r="B904" s="68" t="s">
        <v>99</v>
      </c>
      <c r="C904" s="24" t="s">
        <v>1412</v>
      </c>
      <c r="D904" s="24" t="s">
        <v>382</v>
      </c>
      <c r="E904" s="28" t="s">
        <v>1413</v>
      </c>
      <c r="F904" s="28">
        <v>1583.0</v>
      </c>
      <c r="G904" s="69">
        <v>4.63852E7</v>
      </c>
      <c r="H904" s="69">
        <v>3529130.0</v>
      </c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7.25" customHeight="1">
      <c r="A905" s="24" t="s">
        <v>25</v>
      </c>
      <c r="B905" s="68" t="s">
        <v>99</v>
      </c>
      <c r="C905" s="24" t="s">
        <v>1412</v>
      </c>
      <c r="D905" s="24" t="s">
        <v>382</v>
      </c>
      <c r="E905" s="28" t="s">
        <v>1414</v>
      </c>
      <c r="F905" s="28">
        <v>1557.0</v>
      </c>
      <c r="G905" s="69">
        <v>4.73916E7</v>
      </c>
      <c r="H905" s="69">
        <v>530500.0</v>
      </c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7.25" customHeight="1">
      <c r="A906" s="24" t="s">
        <v>25</v>
      </c>
      <c r="B906" s="68" t="s">
        <v>99</v>
      </c>
      <c r="C906" s="24" t="s">
        <v>1412</v>
      </c>
      <c r="D906" s="24" t="s">
        <v>382</v>
      </c>
      <c r="E906" s="28" t="s">
        <v>1415</v>
      </c>
      <c r="F906" s="28">
        <v>132.0</v>
      </c>
      <c r="G906" s="69">
        <v>2655500.0</v>
      </c>
      <c r="H906" s="69">
        <v>135110.0</v>
      </c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7.25" customHeight="1">
      <c r="A907" s="24" t="s">
        <v>25</v>
      </c>
      <c r="B907" s="65" t="s">
        <v>99</v>
      </c>
      <c r="C907" s="65" t="s">
        <v>1412</v>
      </c>
      <c r="D907" s="66" t="s">
        <v>382</v>
      </c>
      <c r="E907" s="24" t="s">
        <v>1416</v>
      </c>
      <c r="F907" s="75">
        <v>240.0</v>
      </c>
      <c r="G907" s="69">
        <v>3343300.0</v>
      </c>
      <c r="H907" s="69">
        <v>129640.0</v>
      </c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7.25" customHeight="1">
      <c r="A908" s="24" t="s">
        <v>25</v>
      </c>
      <c r="B908" s="65" t="s">
        <v>99</v>
      </c>
      <c r="C908" s="65" t="s">
        <v>1412</v>
      </c>
      <c r="D908" s="66" t="s">
        <v>382</v>
      </c>
      <c r="E908" s="24" t="s">
        <v>1419</v>
      </c>
      <c r="F908" s="75">
        <v>993.0</v>
      </c>
      <c r="G908" s="69">
        <v>2.88769E7</v>
      </c>
      <c r="H908" s="69">
        <v>226110.0</v>
      </c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7.25" customHeight="1">
      <c r="A909" s="24" t="s">
        <v>25</v>
      </c>
      <c r="B909" s="65" t="s">
        <v>99</v>
      </c>
      <c r="C909" s="65" t="s">
        <v>1412</v>
      </c>
      <c r="D909" s="66" t="s">
        <v>382</v>
      </c>
      <c r="E909" s="24" t="s">
        <v>1420</v>
      </c>
      <c r="F909" s="75">
        <v>22.0</v>
      </c>
      <c r="G909" s="69">
        <v>404000.0</v>
      </c>
      <c r="H909" s="69">
        <v>26680.0</v>
      </c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7.25" customHeight="1">
      <c r="A910" s="24" t="s">
        <v>25</v>
      </c>
      <c r="B910" s="65" t="s">
        <v>99</v>
      </c>
      <c r="C910" s="65" t="s">
        <v>349</v>
      </c>
      <c r="D910" s="66" t="s">
        <v>348</v>
      </c>
      <c r="E910" s="24" t="s">
        <v>1421</v>
      </c>
      <c r="F910" s="75">
        <v>1.0</v>
      </c>
      <c r="G910" s="69">
        <v>7900.0</v>
      </c>
      <c r="H910" s="69">
        <v>0.0</v>
      </c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7.25" customHeight="1">
      <c r="A911" s="24" t="s">
        <v>25</v>
      </c>
      <c r="B911" s="65" t="s">
        <v>63</v>
      </c>
      <c r="C911" s="65" t="s">
        <v>1422</v>
      </c>
      <c r="D911" s="66" t="s">
        <v>1423</v>
      </c>
      <c r="E911" s="24" t="s">
        <v>1424</v>
      </c>
      <c r="F911" s="75">
        <v>36.0</v>
      </c>
      <c r="G911" s="69">
        <v>1247400.0</v>
      </c>
      <c r="H911" s="69">
        <v>102820.0</v>
      </c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7.25" customHeight="1">
      <c r="A912" s="24" t="s">
        <v>25</v>
      </c>
      <c r="B912" s="65" t="s">
        <v>63</v>
      </c>
      <c r="C912" s="65" t="s">
        <v>1422</v>
      </c>
      <c r="D912" s="66" t="s">
        <v>1423</v>
      </c>
      <c r="E912" s="24" t="s">
        <v>1425</v>
      </c>
      <c r="F912" s="75">
        <v>0.0</v>
      </c>
      <c r="G912" s="69">
        <v>0.0</v>
      </c>
      <c r="H912" s="69">
        <v>0.0</v>
      </c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7.25" customHeight="1">
      <c r="A913" s="24" t="s">
        <v>25</v>
      </c>
      <c r="B913" s="65" t="s">
        <v>63</v>
      </c>
      <c r="C913" s="65" t="s">
        <v>1422</v>
      </c>
      <c r="D913" s="66" t="s">
        <v>1423</v>
      </c>
      <c r="E913" s="24" t="s">
        <v>1426</v>
      </c>
      <c r="F913" s="75">
        <v>18.0</v>
      </c>
      <c r="G913" s="69">
        <v>310900.0</v>
      </c>
      <c r="H913" s="69">
        <v>54280.0</v>
      </c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7.25" customHeight="1">
      <c r="A914" s="24" t="s">
        <v>25</v>
      </c>
      <c r="B914" s="65" t="s">
        <v>63</v>
      </c>
      <c r="C914" s="65" t="s">
        <v>1422</v>
      </c>
      <c r="D914" s="66" t="s">
        <v>1423</v>
      </c>
      <c r="E914" s="24" t="s">
        <v>1427</v>
      </c>
      <c r="F914" s="75">
        <v>70.0</v>
      </c>
      <c r="G914" s="69">
        <v>1104100.0</v>
      </c>
      <c r="H914" s="69">
        <v>156830.0</v>
      </c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7.25" customHeight="1">
      <c r="A915" s="24" t="s">
        <v>25</v>
      </c>
      <c r="B915" s="65" t="s">
        <v>63</v>
      </c>
      <c r="C915" s="65" t="s">
        <v>1422</v>
      </c>
      <c r="D915" s="66" t="s">
        <v>1423</v>
      </c>
      <c r="E915" s="24" t="s">
        <v>1428</v>
      </c>
      <c r="F915" s="75">
        <v>12.0</v>
      </c>
      <c r="G915" s="69">
        <v>153000.0</v>
      </c>
      <c r="H915" s="69">
        <v>10800.0</v>
      </c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7.25" customHeight="1">
      <c r="A916" s="44" t="s">
        <v>25</v>
      </c>
      <c r="B916" s="65" t="s">
        <v>63</v>
      </c>
      <c r="C916" s="47" t="s">
        <v>1422</v>
      </c>
      <c r="D916" s="48" t="s">
        <v>1423</v>
      </c>
      <c r="E916" s="44" t="s">
        <v>1429</v>
      </c>
      <c r="F916" s="58">
        <v>14.0</v>
      </c>
      <c r="G916" s="69">
        <v>177300.0</v>
      </c>
      <c r="H916" s="69">
        <v>13620.0</v>
      </c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7.25" customHeight="1">
      <c r="A917" s="44" t="s">
        <v>25</v>
      </c>
      <c r="B917" s="47" t="s">
        <v>63</v>
      </c>
      <c r="C917" s="47" t="s">
        <v>1422</v>
      </c>
      <c r="D917" s="48" t="s">
        <v>1423</v>
      </c>
      <c r="E917" s="44" t="s">
        <v>1430</v>
      </c>
      <c r="F917" s="58">
        <v>46.0</v>
      </c>
      <c r="G917" s="69">
        <v>514800.0</v>
      </c>
      <c r="H917" s="69">
        <v>62980.0</v>
      </c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7.25" customHeight="1">
      <c r="A918" s="44" t="s">
        <v>25</v>
      </c>
      <c r="B918" s="47" t="s">
        <v>63</v>
      </c>
      <c r="C918" s="47" t="s">
        <v>1422</v>
      </c>
      <c r="D918" s="48" t="s">
        <v>1423</v>
      </c>
      <c r="E918" s="44" t="s">
        <v>1431</v>
      </c>
      <c r="F918" s="58">
        <v>3.0</v>
      </c>
      <c r="G918" s="69">
        <v>44400.0</v>
      </c>
      <c r="H918" s="69">
        <v>8880.0</v>
      </c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7.25" customHeight="1">
      <c r="A919" s="44" t="s">
        <v>25</v>
      </c>
      <c r="B919" s="47" t="s">
        <v>63</v>
      </c>
      <c r="C919" s="47" t="s">
        <v>1422</v>
      </c>
      <c r="D919" s="48" t="s">
        <v>1423</v>
      </c>
      <c r="E919" s="44" t="s">
        <v>1432</v>
      </c>
      <c r="F919" s="58">
        <v>32.0</v>
      </c>
      <c r="G919" s="69">
        <v>785600.0</v>
      </c>
      <c r="H919" s="69">
        <v>109200.0</v>
      </c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7.25" customHeight="1">
      <c r="A920" s="44" t="s">
        <v>25</v>
      </c>
      <c r="B920" s="47" t="s">
        <v>63</v>
      </c>
      <c r="C920" s="47" t="s">
        <v>1422</v>
      </c>
      <c r="D920" s="48" t="s">
        <v>1423</v>
      </c>
      <c r="E920" s="44" t="s">
        <v>1433</v>
      </c>
      <c r="F920" s="58">
        <v>27.0</v>
      </c>
      <c r="G920" s="69">
        <v>373820.0</v>
      </c>
      <c r="H920" s="69">
        <v>37500.0</v>
      </c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7.25" customHeight="1">
      <c r="A921" s="44" t="s">
        <v>25</v>
      </c>
      <c r="B921" s="47" t="s">
        <v>63</v>
      </c>
      <c r="C921" s="47" t="s">
        <v>1422</v>
      </c>
      <c r="D921" s="48" t="s">
        <v>1423</v>
      </c>
      <c r="E921" s="44" t="s">
        <v>1434</v>
      </c>
      <c r="F921" s="58">
        <v>11.0</v>
      </c>
      <c r="G921" s="69">
        <v>204700.0</v>
      </c>
      <c r="H921" s="69">
        <v>20410.0</v>
      </c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7.25" customHeight="1">
      <c r="A922" s="44" t="s">
        <v>25</v>
      </c>
      <c r="B922" s="47" t="s">
        <v>63</v>
      </c>
      <c r="C922" s="47" t="s">
        <v>1422</v>
      </c>
      <c r="D922" s="48" t="s">
        <v>1423</v>
      </c>
      <c r="E922" s="44" t="s">
        <v>1435</v>
      </c>
      <c r="F922" s="58">
        <v>4.0</v>
      </c>
      <c r="G922" s="69">
        <v>75600.0</v>
      </c>
      <c r="H922" s="69">
        <v>7560.0</v>
      </c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7.25" customHeight="1">
      <c r="A923" s="44" t="s">
        <v>25</v>
      </c>
      <c r="B923" s="47" t="s">
        <v>91</v>
      </c>
      <c r="C923" s="47" t="s">
        <v>1436</v>
      </c>
      <c r="D923" s="48" t="s">
        <v>1437</v>
      </c>
      <c r="E923" s="44" t="s">
        <v>1438</v>
      </c>
      <c r="F923" s="58">
        <v>2.0</v>
      </c>
      <c r="G923" s="69">
        <v>96200.0</v>
      </c>
      <c r="H923" s="69">
        <v>0.0</v>
      </c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7.25" customHeight="1">
      <c r="A924" s="44" t="s">
        <v>25</v>
      </c>
      <c r="B924" s="47" t="s">
        <v>63</v>
      </c>
      <c r="C924" s="47" t="s">
        <v>1436</v>
      </c>
      <c r="D924" s="48" t="s">
        <v>1437</v>
      </c>
      <c r="E924" s="44" t="s">
        <v>1439</v>
      </c>
      <c r="F924" s="58">
        <v>124.0</v>
      </c>
      <c r="G924" s="69">
        <v>3454000.0</v>
      </c>
      <c r="H924" s="69">
        <v>285800.0</v>
      </c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7.25" customHeight="1">
      <c r="A925" s="44" t="s">
        <v>25</v>
      </c>
      <c r="B925" s="47" t="s">
        <v>63</v>
      </c>
      <c r="C925" s="47" t="s">
        <v>1436</v>
      </c>
      <c r="D925" s="48" t="s">
        <v>1437</v>
      </c>
      <c r="E925" s="44" t="s">
        <v>1440</v>
      </c>
      <c r="F925" s="58">
        <v>29.0</v>
      </c>
      <c r="G925" s="69">
        <v>928200.0</v>
      </c>
      <c r="H925" s="69">
        <v>70600.0</v>
      </c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7.25" customHeight="1">
      <c r="A926" s="44" t="s">
        <v>25</v>
      </c>
      <c r="B926" s="47" t="s">
        <v>63</v>
      </c>
      <c r="C926" s="47" t="s">
        <v>1436</v>
      </c>
      <c r="D926" s="48" t="s">
        <v>1437</v>
      </c>
      <c r="E926" s="44" t="s">
        <v>1441</v>
      </c>
      <c r="F926" s="58">
        <v>0.0</v>
      </c>
      <c r="G926" s="69">
        <v>0.0</v>
      </c>
      <c r="H926" s="69">
        <v>0.0</v>
      </c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7.25" customHeight="1">
      <c r="A927" s="44" t="s">
        <v>25</v>
      </c>
      <c r="B927" s="47" t="s">
        <v>63</v>
      </c>
      <c r="C927" s="47" t="s">
        <v>1436</v>
      </c>
      <c r="D927" s="48" t="s">
        <v>1437</v>
      </c>
      <c r="E927" s="44" t="s">
        <v>1442</v>
      </c>
      <c r="F927" s="58">
        <v>2.0</v>
      </c>
      <c r="G927" s="69">
        <v>62400.0</v>
      </c>
      <c r="H927" s="69">
        <v>0.0</v>
      </c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7.25" customHeight="1">
      <c r="A928" s="44" t="s">
        <v>25</v>
      </c>
      <c r="B928" s="47" t="s">
        <v>63</v>
      </c>
      <c r="C928" s="47" t="s">
        <v>1436</v>
      </c>
      <c r="D928" s="48" t="s">
        <v>1437</v>
      </c>
      <c r="E928" s="44" t="s">
        <v>1443</v>
      </c>
      <c r="F928" s="58">
        <v>0.0</v>
      </c>
      <c r="G928" s="69">
        <v>0.0</v>
      </c>
      <c r="H928" s="69">
        <v>0.0</v>
      </c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7.25" customHeight="1">
      <c r="A929" s="44" t="s">
        <v>25</v>
      </c>
      <c r="B929" s="47" t="s">
        <v>91</v>
      </c>
      <c r="C929" s="47" t="s">
        <v>1436</v>
      </c>
      <c r="D929" s="48" t="s">
        <v>1437</v>
      </c>
      <c r="E929" s="44" t="s">
        <v>1444</v>
      </c>
      <c r="F929" s="58">
        <v>0.0</v>
      </c>
      <c r="G929" s="69">
        <v>0.0</v>
      </c>
      <c r="H929" s="69">
        <v>0.0</v>
      </c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7.25" customHeight="1">
      <c r="A930" s="44" t="s">
        <v>25</v>
      </c>
      <c r="B930" s="47" t="s">
        <v>91</v>
      </c>
      <c r="C930" s="47" t="s">
        <v>1436</v>
      </c>
      <c r="D930" s="48" t="s">
        <v>1437</v>
      </c>
      <c r="E930" s="44" t="s">
        <v>1445</v>
      </c>
      <c r="F930" s="58">
        <v>0.0</v>
      </c>
      <c r="G930" s="69">
        <v>0.0</v>
      </c>
      <c r="H930" s="69">
        <v>0.0</v>
      </c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7.25" customHeight="1">
      <c r="A931" s="44" t="s">
        <v>25</v>
      </c>
      <c r="B931" s="47" t="s">
        <v>91</v>
      </c>
      <c r="C931" s="47" t="s">
        <v>1436</v>
      </c>
      <c r="D931" s="48" t="s">
        <v>1437</v>
      </c>
      <c r="E931" s="44" t="s">
        <v>1446</v>
      </c>
      <c r="F931" s="58">
        <v>0.0</v>
      </c>
      <c r="G931" s="69">
        <v>0.0</v>
      </c>
      <c r="H931" s="69">
        <v>0.0</v>
      </c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7.25" customHeight="1">
      <c r="A932" s="44" t="s">
        <v>25</v>
      </c>
      <c r="B932" s="47" t="s">
        <v>91</v>
      </c>
      <c r="C932" s="47" t="s">
        <v>1436</v>
      </c>
      <c r="D932" s="48" t="s">
        <v>1437</v>
      </c>
      <c r="E932" s="44" t="s">
        <v>1447</v>
      </c>
      <c r="F932" s="58">
        <v>0.0</v>
      </c>
      <c r="G932" s="69">
        <v>0.0</v>
      </c>
      <c r="H932" s="69">
        <v>0.0</v>
      </c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7.25" customHeight="1">
      <c r="A933" s="44" t="s">
        <v>25</v>
      </c>
      <c r="B933" s="47" t="s">
        <v>91</v>
      </c>
      <c r="C933" s="47" t="s">
        <v>1448</v>
      </c>
      <c r="D933" s="48" t="s">
        <v>36</v>
      </c>
      <c r="E933" s="44" t="s">
        <v>1449</v>
      </c>
      <c r="F933" s="58">
        <v>113.0</v>
      </c>
      <c r="G933" s="69">
        <v>3133500.0</v>
      </c>
      <c r="H933" s="69">
        <v>260400.0</v>
      </c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7.25" customHeight="1">
      <c r="A934" s="24" t="s">
        <v>25</v>
      </c>
      <c r="B934" s="24" t="s">
        <v>91</v>
      </c>
      <c r="C934" s="24" t="s">
        <v>244</v>
      </c>
      <c r="D934" s="48" t="s">
        <v>243</v>
      </c>
      <c r="E934" s="28" t="s">
        <v>1450</v>
      </c>
      <c r="F934" s="28">
        <v>14126.0</v>
      </c>
      <c r="G934" s="69">
        <v>1.325594E8</v>
      </c>
      <c r="H934" s="69">
        <v>2712610.0</v>
      </c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7.25" customHeight="1">
      <c r="A935" s="24" t="s">
        <v>25</v>
      </c>
      <c r="B935" s="24" t="s">
        <v>91</v>
      </c>
      <c r="C935" s="24" t="s">
        <v>244</v>
      </c>
      <c r="D935" s="48" t="s">
        <v>243</v>
      </c>
      <c r="E935" s="28" t="s">
        <v>1453</v>
      </c>
      <c r="F935" s="28">
        <v>3939.0</v>
      </c>
      <c r="G935" s="69">
        <v>1.38691E8</v>
      </c>
      <c r="H935" s="69">
        <v>1760920.0</v>
      </c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7.25" customHeight="1">
      <c r="A936" s="24" t="s">
        <v>25</v>
      </c>
      <c r="B936" s="24" t="s">
        <v>91</v>
      </c>
      <c r="C936" s="24" t="s">
        <v>1354</v>
      </c>
      <c r="D936" s="48" t="s">
        <v>1352</v>
      </c>
      <c r="E936" s="28" t="s">
        <v>1454</v>
      </c>
      <c r="F936" s="28">
        <v>195.0</v>
      </c>
      <c r="G936" s="69">
        <v>2202000.0</v>
      </c>
      <c r="H936" s="69">
        <v>72390.0</v>
      </c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7.25" customHeight="1">
      <c r="A937" s="24" t="s">
        <v>25</v>
      </c>
      <c r="B937" s="24" t="s">
        <v>91</v>
      </c>
      <c r="C937" s="24" t="s">
        <v>1354</v>
      </c>
      <c r="D937" s="48" t="s">
        <v>1352</v>
      </c>
      <c r="E937" s="28" t="s">
        <v>1455</v>
      </c>
      <c r="F937" s="28">
        <v>582.0</v>
      </c>
      <c r="G937" s="69">
        <v>1.21653E7</v>
      </c>
      <c r="H937" s="69">
        <v>322200.0</v>
      </c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7.25" customHeight="1">
      <c r="A938" s="24" t="s">
        <v>25</v>
      </c>
      <c r="B938" s="24" t="s">
        <v>63</v>
      </c>
      <c r="C938" s="24" t="s">
        <v>1456</v>
      </c>
      <c r="D938" s="48" t="s">
        <v>1457</v>
      </c>
      <c r="E938" s="28" t="s">
        <v>1458</v>
      </c>
      <c r="F938" s="28">
        <v>67.0</v>
      </c>
      <c r="G938" s="69">
        <v>1124600.0</v>
      </c>
      <c r="H938" s="69">
        <v>70540.0</v>
      </c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7.25" customHeight="1">
      <c r="A939" s="24" t="s">
        <v>25</v>
      </c>
      <c r="B939" s="24" t="s">
        <v>63</v>
      </c>
      <c r="C939" s="24" t="s">
        <v>1459</v>
      </c>
      <c r="D939" s="48" t="s">
        <v>1460</v>
      </c>
      <c r="E939" s="28" t="s">
        <v>1461</v>
      </c>
      <c r="F939" s="28">
        <v>64.0</v>
      </c>
      <c r="G939" s="69">
        <v>1376000.0</v>
      </c>
      <c r="H939" s="69">
        <v>72800.0</v>
      </c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7.25" customHeight="1">
      <c r="A940" s="24" t="s">
        <v>25</v>
      </c>
      <c r="B940" s="24" t="s">
        <v>63</v>
      </c>
      <c r="C940" s="24" t="s">
        <v>1462</v>
      </c>
      <c r="D940" s="48" t="s">
        <v>547</v>
      </c>
      <c r="E940" s="28" t="s">
        <v>1463</v>
      </c>
      <c r="F940" s="28">
        <v>6113.0</v>
      </c>
      <c r="G940" s="69">
        <v>1.3047152E8</v>
      </c>
      <c r="H940" s="69">
        <v>3445770.0</v>
      </c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7.25" customHeight="1">
      <c r="A941" s="24" t="s">
        <v>25</v>
      </c>
      <c r="B941" s="24" t="s">
        <v>63</v>
      </c>
      <c r="C941" s="24" t="s">
        <v>1462</v>
      </c>
      <c r="D941" s="48" t="s">
        <v>547</v>
      </c>
      <c r="E941" s="28" t="s">
        <v>1465</v>
      </c>
      <c r="F941" s="28">
        <v>512.0</v>
      </c>
      <c r="G941" s="69">
        <v>5664420.0</v>
      </c>
      <c r="H941" s="69">
        <v>115990.0</v>
      </c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7.25" customHeight="1">
      <c r="A942" s="24" t="s">
        <v>25</v>
      </c>
      <c r="B942" s="24" t="s">
        <v>63</v>
      </c>
      <c r="C942" s="24" t="s">
        <v>1462</v>
      </c>
      <c r="D942" s="48" t="s">
        <v>547</v>
      </c>
      <c r="E942" s="28" t="s">
        <v>1466</v>
      </c>
      <c r="F942" s="28">
        <v>1279.0</v>
      </c>
      <c r="G942" s="69">
        <v>1.611585E7</v>
      </c>
      <c r="H942" s="69">
        <v>393820.0</v>
      </c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7.25" customHeight="1">
      <c r="A943" s="24" t="s">
        <v>25</v>
      </c>
      <c r="B943" s="24" t="s">
        <v>63</v>
      </c>
      <c r="C943" s="24" t="s">
        <v>1462</v>
      </c>
      <c r="D943" s="48" t="s">
        <v>547</v>
      </c>
      <c r="E943" s="28" t="s">
        <v>1468</v>
      </c>
      <c r="F943" s="28">
        <v>269.0</v>
      </c>
      <c r="G943" s="69">
        <v>2993180.0</v>
      </c>
      <c r="H943" s="69">
        <v>60800.0</v>
      </c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7.25" customHeight="1">
      <c r="A944" s="24" t="s">
        <v>25</v>
      </c>
      <c r="B944" s="24" t="s">
        <v>63</v>
      </c>
      <c r="C944" s="24" t="s">
        <v>1462</v>
      </c>
      <c r="D944" s="48" t="s">
        <v>547</v>
      </c>
      <c r="E944" s="28" t="s">
        <v>1469</v>
      </c>
      <c r="F944" s="28">
        <v>50.0</v>
      </c>
      <c r="G944" s="69">
        <v>768070.0</v>
      </c>
      <c r="H944" s="69">
        <v>12540.0</v>
      </c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7.25" customHeight="1">
      <c r="A945" s="24" t="s">
        <v>25</v>
      </c>
      <c r="B945" s="24" t="s">
        <v>63</v>
      </c>
      <c r="C945" s="24" t="s">
        <v>1462</v>
      </c>
      <c r="D945" s="48" t="s">
        <v>547</v>
      </c>
      <c r="E945" s="28" t="s">
        <v>1471</v>
      </c>
      <c r="F945" s="28">
        <v>630.0</v>
      </c>
      <c r="G945" s="69">
        <v>7074040.0</v>
      </c>
      <c r="H945" s="69">
        <v>85360.0</v>
      </c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7.25" customHeight="1">
      <c r="A946" s="24" t="s">
        <v>25</v>
      </c>
      <c r="B946" s="24" t="s">
        <v>63</v>
      </c>
      <c r="C946" s="24" t="s">
        <v>1462</v>
      </c>
      <c r="D946" s="48" t="s">
        <v>547</v>
      </c>
      <c r="E946" s="28" t="s">
        <v>1474</v>
      </c>
      <c r="F946" s="28">
        <v>2269.0</v>
      </c>
      <c r="G946" s="69">
        <v>3.946954E7</v>
      </c>
      <c r="H946" s="69">
        <v>454020.0</v>
      </c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7.25" customHeight="1">
      <c r="A947" s="24" t="s">
        <v>25</v>
      </c>
      <c r="B947" s="24" t="s">
        <v>63</v>
      </c>
      <c r="C947" s="24" t="s">
        <v>123</v>
      </c>
      <c r="D947" s="48" t="s">
        <v>122</v>
      </c>
      <c r="E947" s="28" t="s">
        <v>1476</v>
      </c>
      <c r="F947" s="28">
        <v>399.0</v>
      </c>
      <c r="G947" s="69">
        <v>1.2825E7</v>
      </c>
      <c r="H947" s="69">
        <v>814000.0</v>
      </c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7.25" customHeight="1">
      <c r="A948" s="24" t="s">
        <v>25</v>
      </c>
      <c r="B948" s="24" t="s">
        <v>63</v>
      </c>
      <c r="C948" s="24" t="s">
        <v>123</v>
      </c>
      <c r="D948" s="48" t="s">
        <v>122</v>
      </c>
      <c r="E948" s="28" t="s">
        <v>1478</v>
      </c>
      <c r="F948" s="28">
        <v>22.0</v>
      </c>
      <c r="G948" s="69">
        <v>2112000.0</v>
      </c>
      <c r="H948" s="69">
        <v>80000.0</v>
      </c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7.25" customHeight="1">
      <c r="A949" s="24" t="s">
        <v>25</v>
      </c>
      <c r="B949" s="24" t="s">
        <v>63</v>
      </c>
      <c r="C949" s="24" t="s">
        <v>123</v>
      </c>
      <c r="D949" s="48" t="s">
        <v>122</v>
      </c>
      <c r="E949" s="28" t="s">
        <v>1480</v>
      </c>
      <c r="F949" s="28">
        <v>12.0</v>
      </c>
      <c r="G949" s="69">
        <v>2208000.0</v>
      </c>
      <c r="H949" s="69">
        <v>40000.0</v>
      </c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7.25" customHeight="1">
      <c r="A950" s="24" t="s">
        <v>25</v>
      </c>
      <c r="B950" s="24" t="s">
        <v>63</v>
      </c>
      <c r="C950" s="24" t="s">
        <v>123</v>
      </c>
      <c r="D950" s="48" t="s">
        <v>122</v>
      </c>
      <c r="E950" s="28" t="s">
        <v>1482</v>
      </c>
      <c r="F950" s="28">
        <v>1.0</v>
      </c>
      <c r="G950" s="69">
        <v>108000.0</v>
      </c>
      <c r="H950" s="69">
        <v>10000.0</v>
      </c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7.25" customHeight="1">
      <c r="A951" s="24" t="s">
        <v>25</v>
      </c>
      <c r="B951" s="24" t="s">
        <v>63</v>
      </c>
      <c r="C951" s="24" t="s">
        <v>123</v>
      </c>
      <c r="D951" s="48" t="s">
        <v>122</v>
      </c>
      <c r="E951" s="28" t="s">
        <v>1483</v>
      </c>
      <c r="F951" s="28">
        <v>42.0</v>
      </c>
      <c r="G951" s="69">
        <v>1000000.0</v>
      </c>
      <c r="H951" s="69">
        <v>91800.0</v>
      </c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7.25" customHeight="1">
      <c r="A952" s="24" t="s">
        <v>25</v>
      </c>
      <c r="B952" s="24" t="s">
        <v>63</v>
      </c>
      <c r="C952" s="24" t="s">
        <v>123</v>
      </c>
      <c r="D952" s="48" t="s">
        <v>122</v>
      </c>
      <c r="E952" s="28" t="s">
        <v>1485</v>
      </c>
      <c r="F952" s="28">
        <v>4.0</v>
      </c>
      <c r="G952" s="69">
        <v>304000.0</v>
      </c>
      <c r="H952" s="69">
        <v>30000.0</v>
      </c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7.25" customHeight="1">
      <c r="A953" s="24" t="s">
        <v>25</v>
      </c>
      <c r="B953" s="24" t="s">
        <v>99</v>
      </c>
      <c r="C953" s="24" t="s">
        <v>472</v>
      </c>
      <c r="D953" s="48" t="s">
        <v>471</v>
      </c>
      <c r="E953" s="28" t="s">
        <v>1488</v>
      </c>
      <c r="F953" s="28">
        <v>7.0</v>
      </c>
      <c r="G953" s="69">
        <v>202000.0</v>
      </c>
      <c r="H953" s="69">
        <v>35820.0</v>
      </c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7.25" customHeight="1">
      <c r="A954" s="24" t="s">
        <v>25</v>
      </c>
      <c r="B954" s="24" t="s">
        <v>99</v>
      </c>
      <c r="C954" s="24" t="s">
        <v>472</v>
      </c>
      <c r="D954" s="48" t="s">
        <v>471</v>
      </c>
      <c r="E954" s="28" t="s">
        <v>1489</v>
      </c>
      <c r="F954" s="28">
        <v>26.0</v>
      </c>
      <c r="G954" s="69">
        <v>366800.0</v>
      </c>
      <c r="H954" s="69">
        <v>62870.0</v>
      </c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7.25" customHeight="1">
      <c r="A955" s="24" t="s">
        <v>25</v>
      </c>
      <c r="B955" s="24" t="s">
        <v>99</v>
      </c>
      <c r="C955" s="24" t="s">
        <v>472</v>
      </c>
      <c r="D955" s="48" t="s">
        <v>471</v>
      </c>
      <c r="E955" s="28" t="s">
        <v>1491</v>
      </c>
      <c r="F955" s="28">
        <v>7.0</v>
      </c>
      <c r="G955" s="69">
        <v>178220.0</v>
      </c>
      <c r="H955" s="69">
        <v>22010.0</v>
      </c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7.25" customHeight="1">
      <c r="A956" s="24" t="s">
        <v>25</v>
      </c>
      <c r="B956" s="24" t="s">
        <v>99</v>
      </c>
      <c r="C956" s="24" t="s">
        <v>472</v>
      </c>
      <c r="D956" s="48" t="s">
        <v>471</v>
      </c>
      <c r="E956" s="28" t="s">
        <v>1495</v>
      </c>
      <c r="F956" s="28">
        <v>27.0</v>
      </c>
      <c r="G956" s="69">
        <v>768300.0</v>
      </c>
      <c r="H956" s="69">
        <v>77280.0</v>
      </c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7.25" customHeight="1">
      <c r="A957" s="24" t="s">
        <v>25</v>
      </c>
      <c r="B957" s="24" t="s">
        <v>99</v>
      </c>
      <c r="C957" s="24" t="s">
        <v>472</v>
      </c>
      <c r="D957" s="48" t="s">
        <v>471</v>
      </c>
      <c r="E957" s="28" t="s">
        <v>1497</v>
      </c>
      <c r="F957" s="28">
        <v>6.0</v>
      </c>
      <c r="G957" s="69">
        <v>126900.0</v>
      </c>
      <c r="H957" s="69">
        <v>25380.0</v>
      </c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7.25" customHeight="1">
      <c r="A958" s="24" t="s">
        <v>25</v>
      </c>
      <c r="B958" s="24" t="s">
        <v>99</v>
      </c>
      <c r="C958" s="24" t="s">
        <v>472</v>
      </c>
      <c r="D958" s="48" t="s">
        <v>471</v>
      </c>
      <c r="E958" s="28" t="s">
        <v>1499</v>
      </c>
      <c r="F958" s="28">
        <v>1.0</v>
      </c>
      <c r="G958" s="69">
        <v>22500.0</v>
      </c>
      <c r="H958" s="69">
        <v>4500.0</v>
      </c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7.25" customHeight="1">
      <c r="A959" s="24" t="s">
        <v>25</v>
      </c>
      <c r="B959" s="24" t="s">
        <v>99</v>
      </c>
      <c r="C959" s="24" t="s">
        <v>472</v>
      </c>
      <c r="D959" s="48" t="s">
        <v>471</v>
      </c>
      <c r="E959" s="28" t="s">
        <v>1501</v>
      </c>
      <c r="F959" s="28">
        <v>6.0</v>
      </c>
      <c r="G959" s="69">
        <v>96300.0</v>
      </c>
      <c r="H959" s="69">
        <v>2140.0</v>
      </c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7.25" customHeight="1">
      <c r="A960" s="24" t="s">
        <v>25</v>
      </c>
      <c r="B960" s="24" t="s">
        <v>99</v>
      </c>
      <c r="C960" s="24" t="s">
        <v>472</v>
      </c>
      <c r="D960" s="48" t="s">
        <v>471</v>
      </c>
      <c r="E960" s="28" t="s">
        <v>1503</v>
      </c>
      <c r="F960" s="28">
        <v>6.0</v>
      </c>
      <c r="G960" s="69">
        <v>92100.0</v>
      </c>
      <c r="H960" s="69">
        <v>9060.0</v>
      </c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7.25" customHeight="1">
      <c r="A961" s="24" t="s">
        <v>25</v>
      </c>
      <c r="B961" s="24" t="s">
        <v>99</v>
      </c>
      <c r="C961" s="24" t="s">
        <v>472</v>
      </c>
      <c r="D961" s="48" t="s">
        <v>471</v>
      </c>
      <c r="E961" s="28" t="s">
        <v>1505</v>
      </c>
      <c r="F961" s="28">
        <v>3.0</v>
      </c>
      <c r="G961" s="69">
        <v>47900.0</v>
      </c>
      <c r="H961" s="69">
        <v>0.0</v>
      </c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7.25" customHeight="1">
      <c r="A962" s="24" t="s">
        <v>25</v>
      </c>
      <c r="B962" s="24" t="s">
        <v>99</v>
      </c>
      <c r="C962" s="24" t="s">
        <v>472</v>
      </c>
      <c r="D962" s="48" t="s">
        <v>471</v>
      </c>
      <c r="E962" s="28" t="s">
        <v>1507</v>
      </c>
      <c r="F962" s="28">
        <v>16.0</v>
      </c>
      <c r="G962" s="69">
        <v>273200.0</v>
      </c>
      <c r="H962" s="69">
        <v>15000.0</v>
      </c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7.25" customHeight="1">
      <c r="A963" s="24" t="s">
        <v>25</v>
      </c>
      <c r="B963" s="24" t="s">
        <v>99</v>
      </c>
      <c r="C963" s="24" t="s">
        <v>472</v>
      </c>
      <c r="D963" s="48" t="s">
        <v>471</v>
      </c>
      <c r="E963" s="28" t="s">
        <v>1508</v>
      </c>
      <c r="F963" s="28">
        <v>0.0</v>
      </c>
      <c r="G963" s="69">
        <v>0.0</v>
      </c>
      <c r="H963" s="69">
        <v>0.0</v>
      </c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7.25" customHeight="1">
      <c r="A964" s="24" t="s">
        <v>25</v>
      </c>
      <c r="B964" s="24" t="s">
        <v>99</v>
      </c>
      <c r="C964" s="24" t="s">
        <v>472</v>
      </c>
      <c r="D964" s="48" t="s">
        <v>471</v>
      </c>
      <c r="E964" s="28" t="s">
        <v>1510</v>
      </c>
      <c r="F964" s="28">
        <v>0.0</v>
      </c>
      <c r="G964" s="69">
        <v>0.0</v>
      </c>
      <c r="H964" s="69">
        <v>0.0</v>
      </c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7.25" customHeight="1">
      <c r="A965" s="24" t="s">
        <v>25</v>
      </c>
      <c r="B965" s="24" t="s">
        <v>99</v>
      </c>
      <c r="C965" s="24" t="s">
        <v>472</v>
      </c>
      <c r="D965" s="48" t="s">
        <v>471</v>
      </c>
      <c r="E965" s="28" t="s">
        <v>1512</v>
      </c>
      <c r="F965" s="28">
        <v>1.0</v>
      </c>
      <c r="G965" s="69">
        <v>110350.0</v>
      </c>
      <c r="H965" s="69">
        <v>10000.0</v>
      </c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7.25" customHeight="1">
      <c r="A966" s="24" t="s">
        <v>25</v>
      </c>
      <c r="B966" s="24" t="s">
        <v>99</v>
      </c>
      <c r="C966" s="24" t="s">
        <v>472</v>
      </c>
      <c r="D966" s="48" t="s">
        <v>471</v>
      </c>
      <c r="E966" s="28" t="s">
        <v>1514</v>
      </c>
      <c r="F966" s="28">
        <v>1.0</v>
      </c>
      <c r="G966" s="69">
        <v>81720.0</v>
      </c>
      <c r="H966" s="69">
        <v>10000.0</v>
      </c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7.25" customHeight="1">
      <c r="A967" s="24" t="s">
        <v>25</v>
      </c>
      <c r="B967" s="24" t="s">
        <v>99</v>
      </c>
      <c r="C967" s="24" t="s">
        <v>472</v>
      </c>
      <c r="D967" s="48" t="s">
        <v>471</v>
      </c>
      <c r="E967" s="28" t="s">
        <v>1518</v>
      </c>
      <c r="F967" s="28">
        <v>14.0</v>
      </c>
      <c r="G967" s="69">
        <v>909980.0</v>
      </c>
      <c r="H967" s="69">
        <v>63000.0</v>
      </c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7.25" customHeight="1">
      <c r="A968" s="24" t="s">
        <v>25</v>
      </c>
      <c r="B968" s="24" t="s">
        <v>99</v>
      </c>
      <c r="C968" s="24" t="s">
        <v>472</v>
      </c>
      <c r="D968" s="48" t="s">
        <v>471</v>
      </c>
      <c r="E968" s="28" t="s">
        <v>1520</v>
      </c>
      <c r="F968" s="28">
        <v>5.0</v>
      </c>
      <c r="G968" s="69">
        <v>334100.0</v>
      </c>
      <c r="H968" s="69">
        <v>9210.0</v>
      </c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7.25" customHeight="1">
      <c r="A969" s="24" t="s">
        <v>25</v>
      </c>
      <c r="B969" s="24" t="s">
        <v>99</v>
      </c>
      <c r="C969" s="24" t="s">
        <v>472</v>
      </c>
      <c r="D969" s="48" t="s">
        <v>471</v>
      </c>
      <c r="E969" s="28" t="s">
        <v>1522</v>
      </c>
      <c r="F969" s="28">
        <v>0.0</v>
      </c>
      <c r="G969" s="69">
        <v>0.0</v>
      </c>
      <c r="H969" s="69">
        <v>0.0</v>
      </c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7.25" customHeight="1">
      <c r="A970" s="24" t="s">
        <v>25</v>
      </c>
      <c r="B970" s="24" t="s">
        <v>99</v>
      </c>
      <c r="C970" s="24" t="s">
        <v>472</v>
      </c>
      <c r="D970" s="48" t="s">
        <v>471</v>
      </c>
      <c r="E970" s="28" t="s">
        <v>1524</v>
      </c>
      <c r="F970" s="28">
        <v>7.0</v>
      </c>
      <c r="G970" s="69">
        <v>520920.0</v>
      </c>
      <c r="H970" s="69">
        <v>50000.0</v>
      </c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7.25" customHeight="1">
      <c r="A971" s="24" t="s">
        <v>25</v>
      </c>
      <c r="B971" s="24" t="s">
        <v>99</v>
      </c>
      <c r="C971" s="24" t="s">
        <v>472</v>
      </c>
      <c r="D971" s="48" t="s">
        <v>471</v>
      </c>
      <c r="E971" s="28" t="s">
        <v>1525</v>
      </c>
      <c r="F971" s="28">
        <v>1.0</v>
      </c>
      <c r="G971" s="69">
        <v>35600.0</v>
      </c>
      <c r="H971" s="69">
        <v>0.0</v>
      </c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7.25" customHeight="1">
      <c r="A972" s="24" t="s">
        <v>25</v>
      </c>
      <c r="B972" s="24" t="s">
        <v>99</v>
      </c>
      <c r="C972" s="24" t="s">
        <v>472</v>
      </c>
      <c r="D972" s="48" t="s">
        <v>471</v>
      </c>
      <c r="E972" s="28" t="s">
        <v>1527</v>
      </c>
      <c r="F972" s="28">
        <v>0.0</v>
      </c>
      <c r="G972" s="69">
        <v>0.0</v>
      </c>
      <c r="H972" s="69">
        <v>0.0</v>
      </c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7.25" customHeight="1">
      <c r="A973" s="24" t="s">
        <v>25</v>
      </c>
      <c r="B973" s="24" t="s">
        <v>99</v>
      </c>
      <c r="C973" s="24" t="s">
        <v>472</v>
      </c>
      <c r="D973" s="48" t="s">
        <v>471</v>
      </c>
      <c r="E973" s="28" t="s">
        <v>1529</v>
      </c>
      <c r="F973" s="28">
        <v>2.0</v>
      </c>
      <c r="G973" s="69">
        <v>444600.0</v>
      </c>
      <c r="H973" s="69">
        <v>0.0</v>
      </c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7.25" customHeight="1">
      <c r="A974" s="24" t="s">
        <v>25</v>
      </c>
      <c r="B974" s="24" t="s">
        <v>99</v>
      </c>
      <c r="C974" s="24" t="s">
        <v>472</v>
      </c>
      <c r="D974" s="48" t="s">
        <v>471</v>
      </c>
      <c r="E974" s="28" t="s">
        <v>1531</v>
      </c>
      <c r="F974" s="28">
        <v>0.0</v>
      </c>
      <c r="G974" s="69">
        <v>0.0</v>
      </c>
      <c r="H974" s="69">
        <v>0.0</v>
      </c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7.25" customHeight="1">
      <c r="A975" s="24" t="s">
        <v>25</v>
      </c>
      <c r="B975" s="24" t="s">
        <v>99</v>
      </c>
      <c r="C975" s="24" t="s">
        <v>472</v>
      </c>
      <c r="D975" s="48" t="s">
        <v>471</v>
      </c>
      <c r="E975" s="28" t="s">
        <v>1533</v>
      </c>
      <c r="F975" s="28">
        <v>1.0</v>
      </c>
      <c r="G975" s="69">
        <v>23580.0</v>
      </c>
      <c r="H975" s="69">
        <v>0.0</v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7.25" customHeight="1">
      <c r="A976" s="24" t="s">
        <v>25</v>
      </c>
      <c r="B976" s="24" t="s">
        <v>99</v>
      </c>
      <c r="C976" s="24" t="s">
        <v>472</v>
      </c>
      <c r="D976" s="48" t="s">
        <v>471</v>
      </c>
      <c r="E976" s="28" t="s">
        <v>1534</v>
      </c>
      <c r="F976" s="28">
        <v>6.0</v>
      </c>
      <c r="G976" s="69">
        <v>170400.0</v>
      </c>
      <c r="H976" s="69">
        <v>21320.0</v>
      </c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7.25" customHeight="1">
      <c r="A977" s="24" t="s">
        <v>25</v>
      </c>
      <c r="B977" s="24" t="s">
        <v>99</v>
      </c>
      <c r="C977" s="24" t="s">
        <v>472</v>
      </c>
      <c r="D977" s="48" t="s">
        <v>471</v>
      </c>
      <c r="E977" s="28" t="s">
        <v>1536</v>
      </c>
      <c r="F977" s="28">
        <v>0.0</v>
      </c>
      <c r="G977" s="69">
        <v>0.0</v>
      </c>
      <c r="H977" s="69">
        <v>0.0</v>
      </c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7.25" customHeight="1">
      <c r="A978" s="24" t="s">
        <v>25</v>
      </c>
      <c r="B978" s="24" t="s">
        <v>99</v>
      </c>
      <c r="C978" s="24" t="s">
        <v>472</v>
      </c>
      <c r="D978" s="48" t="s">
        <v>471</v>
      </c>
      <c r="E978" s="28" t="s">
        <v>1538</v>
      </c>
      <c r="F978" s="28">
        <v>2.0</v>
      </c>
      <c r="G978" s="69">
        <v>101800.0</v>
      </c>
      <c r="H978" s="69">
        <v>0.0</v>
      </c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7.25" customHeight="1">
      <c r="A979" s="24" t="s">
        <v>25</v>
      </c>
      <c r="B979" s="24" t="s">
        <v>99</v>
      </c>
      <c r="C979" s="24" t="s">
        <v>472</v>
      </c>
      <c r="D979" s="48" t="s">
        <v>471</v>
      </c>
      <c r="E979" s="28" t="s">
        <v>1540</v>
      </c>
      <c r="F979" s="28">
        <v>24.0</v>
      </c>
      <c r="G979" s="69">
        <v>650200.0</v>
      </c>
      <c r="H979" s="69">
        <v>70440.0</v>
      </c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7.25" customHeight="1">
      <c r="A980" s="24" t="s">
        <v>25</v>
      </c>
      <c r="B980" s="24" t="s">
        <v>99</v>
      </c>
      <c r="C980" s="24" t="s">
        <v>366</v>
      </c>
      <c r="D980" s="48" t="s">
        <v>364</v>
      </c>
      <c r="E980" s="28" t="s">
        <v>1542</v>
      </c>
      <c r="F980" s="28">
        <v>1319.0</v>
      </c>
      <c r="G980" s="69">
        <v>9.26234E7</v>
      </c>
      <c r="H980" s="69">
        <v>4710400.0</v>
      </c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7.25" customHeight="1">
      <c r="A981" s="24" t="s">
        <v>25</v>
      </c>
      <c r="B981" s="24" t="s">
        <v>91</v>
      </c>
      <c r="C981" s="24" t="s">
        <v>1544</v>
      </c>
      <c r="D981" s="48" t="s">
        <v>1545</v>
      </c>
      <c r="E981" s="28" t="s">
        <v>1546</v>
      </c>
      <c r="F981" s="28">
        <v>113.0</v>
      </c>
      <c r="G981" s="69">
        <v>3883300.0</v>
      </c>
      <c r="H981" s="69">
        <v>251110.0</v>
      </c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7.25" customHeight="1">
      <c r="A982" s="24" t="s">
        <v>25</v>
      </c>
      <c r="B982" s="24" t="s">
        <v>91</v>
      </c>
      <c r="C982" s="24" t="s">
        <v>1544</v>
      </c>
      <c r="D982" s="48" t="s">
        <v>1545</v>
      </c>
      <c r="E982" s="28" t="s">
        <v>1548</v>
      </c>
      <c r="F982" s="28">
        <v>7.0</v>
      </c>
      <c r="G982" s="69">
        <v>173600.0</v>
      </c>
      <c r="H982" s="69">
        <v>0.0</v>
      </c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7.25" customHeight="1">
      <c r="A983" s="24" t="s">
        <v>25</v>
      </c>
      <c r="B983" s="24" t="s">
        <v>91</v>
      </c>
      <c r="C983" s="24" t="s">
        <v>1544</v>
      </c>
      <c r="D983" s="48" t="s">
        <v>1545</v>
      </c>
      <c r="E983" s="28" t="s">
        <v>1550</v>
      </c>
      <c r="F983" s="28">
        <v>36.0</v>
      </c>
      <c r="G983" s="69">
        <v>775800.0</v>
      </c>
      <c r="H983" s="69">
        <v>87400.0</v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7.25" customHeight="1">
      <c r="A984" s="24" t="s">
        <v>25</v>
      </c>
      <c r="B984" s="24" t="s">
        <v>99</v>
      </c>
      <c r="C984" s="24" t="s">
        <v>472</v>
      </c>
      <c r="D984" s="48" t="s">
        <v>471</v>
      </c>
      <c r="E984" s="28" t="s">
        <v>1552</v>
      </c>
      <c r="F984" s="28">
        <v>13.0</v>
      </c>
      <c r="G984" s="69">
        <v>812090.0</v>
      </c>
      <c r="H984" s="69">
        <v>31590.0</v>
      </c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7.25" customHeight="1">
      <c r="A985" s="24" t="s">
        <v>25</v>
      </c>
      <c r="B985" s="24" t="s">
        <v>99</v>
      </c>
      <c r="C985" s="24" t="s">
        <v>472</v>
      </c>
      <c r="D985" s="48" t="s">
        <v>471</v>
      </c>
      <c r="E985" s="28" t="s">
        <v>1554</v>
      </c>
      <c r="F985" s="28">
        <v>13.0</v>
      </c>
      <c r="G985" s="69">
        <v>898100.0</v>
      </c>
      <c r="H985" s="69">
        <v>84180.0</v>
      </c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7.25" customHeight="1">
      <c r="A986" s="24" t="s">
        <v>25</v>
      </c>
      <c r="B986" s="24" t="s">
        <v>99</v>
      </c>
      <c r="C986" s="24" t="s">
        <v>472</v>
      </c>
      <c r="D986" s="48" t="s">
        <v>471</v>
      </c>
      <c r="E986" s="28" t="s">
        <v>1555</v>
      </c>
      <c r="F986" s="28">
        <v>192.0</v>
      </c>
      <c r="G986" s="69">
        <v>6392250.0</v>
      </c>
      <c r="H986" s="69">
        <v>855880.0</v>
      </c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7.25" customHeight="1">
      <c r="A987" s="24" t="s">
        <v>25</v>
      </c>
      <c r="B987" s="24" t="s">
        <v>99</v>
      </c>
      <c r="C987" s="24" t="s">
        <v>472</v>
      </c>
      <c r="D987" s="48" t="s">
        <v>471</v>
      </c>
      <c r="E987" s="28" t="s">
        <v>1557</v>
      </c>
      <c r="F987" s="28">
        <v>17.0</v>
      </c>
      <c r="G987" s="69">
        <v>1142250.0</v>
      </c>
      <c r="H987" s="69">
        <v>120000.0</v>
      </c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7.25" customHeight="1">
      <c r="A988" s="24" t="s">
        <v>25</v>
      </c>
      <c r="B988" s="24" t="s">
        <v>99</v>
      </c>
      <c r="C988" s="24" t="s">
        <v>472</v>
      </c>
      <c r="D988" s="48" t="s">
        <v>471</v>
      </c>
      <c r="E988" s="28" t="s">
        <v>1560</v>
      </c>
      <c r="F988" s="28">
        <v>0.0</v>
      </c>
      <c r="G988" s="69">
        <v>0.0</v>
      </c>
      <c r="H988" s="69">
        <v>0.0</v>
      </c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7.25" customHeight="1">
      <c r="A989" s="24" t="s">
        <v>25</v>
      </c>
      <c r="B989" s="24" t="s">
        <v>99</v>
      </c>
      <c r="C989" s="24" t="s">
        <v>472</v>
      </c>
      <c r="D989" s="48" t="s">
        <v>471</v>
      </c>
      <c r="E989" s="28" t="s">
        <v>1563</v>
      </c>
      <c r="F989" s="28">
        <v>1.0</v>
      </c>
      <c r="G989" s="69">
        <v>27230.0</v>
      </c>
      <c r="H989" s="69">
        <v>0.0</v>
      </c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7.25" customHeight="1">
      <c r="A990" s="24" t="s">
        <v>25</v>
      </c>
      <c r="B990" s="24" t="s">
        <v>99</v>
      </c>
      <c r="C990" s="24" t="s">
        <v>472</v>
      </c>
      <c r="D990" s="48" t="s">
        <v>471</v>
      </c>
      <c r="E990" s="28" t="s">
        <v>1565</v>
      </c>
      <c r="F990" s="28">
        <v>0.0</v>
      </c>
      <c r="G990" s="69">
        <v>0.0</v>
      </c>
      <c r="H990" s="69">
        <v>0.0</v>
      </c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7.25" customHeight="1">
      <c r="A991" s="24" t="s">
        <v>25</v>
      </c>
      <c r="B991" s="24" t="s">
        <v>99</v>
      </c>
      <c r="C991" s="24" t="s">
        <v>472</v>
      </c>
      <c r="D991" s="48" t="s">
        <v>471</v>
      </c>
      <c r="E991" s="28" t="s">
        <v>1568</v>
      </c>
      <c r="F991" s="28">
        <v>162.0</v>
      </c>
      <c r="G991" s="69">
        <v>3318710.0</v>
      </c>
      <c r="H991" s="69">
        <v>561450.0</v>
      </c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7.25" customHeight="1">
      <c r="A992" s="24" t="s">
        <v>25</v>
      </c>
      <c r="B992" s="24" t="s">
        <v>99</v>
      </c>
      <c r="C992" s="24" t="s">
        <v>472</v>
      </c>
      <c r="D992" s="48" t="s">
        <v>471</v>
      </c>
      <c r="E992" s="28" t="s">
        <v>1569</v>
      </c>
      <c r="F992" s="28">
        <v>9.0</v>
      </c>
      <c r="G992" s="69">
        <v>667400.0</v>
      </c>
      <c r="H992" s="69">
        <v>29200.0</v>
      </c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7.25" customHeight="1">
      <c r="A993" s="24" t="s">
        <v>25</v>
      </c>
      <c r="B993" s="24" t="s">
        <v>99</v>
      </c>
      <c r="C993" s="24" t="s">
        <v>472</v>
      </c>
      <c r="D993" s="48" t="s">
        <v>471</v>
      </c>
      <c r="E993" s="28" t="s">
        <v>1571</v>
      </c>
      <c r="F993" s="28">
        <v>1.0</v>
      </c>
      <c r="G993" s="69">
        <v>18000.0</v>
      </c>
      <c r="H993" s="69">
        <v>3600.0</v>
      </c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7.25" customHeight="1">
      <c r="A994" s="24" t="s">
        <v>25</v>
      </c>
      <c r="B994" s="24" t="s">
        <v>99</v>
      </c>
      <c r="C994" s="24" t="s">
        <v>472</v>
      </c>
      <c r="D994" s="48" t="s">
        <v>471</v>
      </c>
      <c r="E994" s="28" t="s">
        <v>1573</v>
      </c>
      <c r="F994" s="28">
        <v>2.0</v>
      </c>
      <c r="G994" s="69">
        <v>69050.0</v>
      </c>
      <c r="H994" s="69">
        <v>9950.0</v>
      </c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7.25" customHeight="1">
      <c r="A995" s="24" t="s">
        <v>25</v>
      </c>
      <c r="B995" s="24" t="s">
        <v>99</v>
      </c>
      <c r="C995" s="24" t="s">
        <v>472</v>
      </c>
      <c r="D995" s="48" t="s">
        <v>471</v>
      </c>
      <c r="E995" s="28" t="s">
        <v>1575</v>
      </c>
      <c r="F995" s="28">
        <v>6.0</v>
      </c>
      <c r="G995" s="69">
        <v>78200.0</v>
      </c>
      <c r="H995" s="69">
        <v>11520.0</v>
      </c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7.25" customHeight="1">
      <c r="A996" s="24" t="s">
        <v>25</v>
      </c>
      <c r="B996" s="24" t="s">
        <v>99</v>
      </c>
      <c r="C996" s="24" t="s">
        <v>472</v>
      </c>
      <c r="D996" s="48" t="s">
        <v>471</v>
      </c>
      <c r="E996" s="28" t="s">
        <v>1576</v>
      </c>
      <c r="F996" s="28">
        <v>0.0</v>
      </c>
      <c r="G996" s="69">
        <v>0.0</v>
      </c>
      <c r="H996" s="69">
        <v>0.0</v>
      </c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7.25" customHeight="1">
      <c r="A997" s="24" t="s">
        <v>25</v>
      </c>
      <c r="B997" s="24" t="s">
        <v>99</v>
      </c>
      <c r="C997" s="24" t="s">
        <v>472</v>
      </c>
      <c r="D997" s="48" t="s">
        <v>471</v>
      </c>
      <c r="E997" s="28" t="s">
        <v>1581</v>
      </c>
      <c r="F997" s="28">
        <v>5.0</v>
      </c>
      <c r="G997" s="69">
        <v>161040.0</v>
      </c>
      <c r="H997" s="69">
        <v>8790.0</v>
      </c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7.25" customHeight="1">
      <c r="A998" s="24" t="s">
        <v>25</v>
      </c>
      <c r="B998" s="24" t="s">
        <v>99</v>
      </c>
      <c r="C998" s="24" t="s">
        <v>472</v>
      </c>
      <c r="D998" s="48" t="s">
        <v>471</v>
      </c>
      <c r="E998" s="28" t="s">
        <v>1583</v>
      </c>
      <c r="F998" s="28">
        <v>1.0</v>
      </c>
      <c r="G998" s="69">
        <v>46500.0</v>
      </c>
      <c r="H998" s="69">
        <v>0.0</v>
      </c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7.25" customHeight="1">
      <c r="A999" s="24" t="s">
        <v>25</v>
      </c>
      <c r="B999" s="24" t="s">
        <v>99</v>
      </c>
      <c r="C999" s="24" t="s">
        <v>472</v>
      </c>
      <c r="D999" s="48" t="s">
        <v>471</v>
      </c>
      <c r="E999" s="28" t="s">
        <v>1585</v>
      </c>
      <c r="F999" s="28">
        <v>3.0</v>
      </c>
      <c r="G999" s="69">
        <v>160240.0</v>
      </c>
      <c r="H999" s="69">
        <v>16040.0</v>
      </c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7.25" customHeight="1">
      <c r="A1000" s="24" t="s">
        <v>25</v>
      </c>
      <c r="B1000" s="24" t="s">
        <v>91</v>
      </c>
      <c r="C1000" s="24" t="s">
        <v>1194</v>
      </c>
      <c r="D1000" s="48" t="s">
        <v>1193</v>
      </c>
      <c r="E1000" s="28" t="s">
        <v>1586</v>
      </c>
      <c r="F1000" s="28">
        <v>81.0</v>
      </c>
      <c r="G1000" s="69">
        <v>2399700.0</v>
      </c>
      <c r="H1000" s="69">
        <v>51980.0</v>
      </c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ht="17.25" customHeight="1">
      <c r="A1001" s="24" t="s">
        <v>25</v>
      </c>
      <c r="B1001" s="24" t="s">
        <v>91</v>
      </c>
      <c r="C1001" s="24" t="s">
        <v>1588</v>
      </c>
      <c r="D1001" s="48" t="s">
        <v>1589</v>
      </c>
      <c r="E1001" s="28" t="s">
        <v>1590</v>
      </c>
      <c r="F1001" s="28">
        <v>212.0</v>
      </c>
      <c r="G1001" s="69">
        <v>9861400.0</v>
      </c>
      <c r="H1001" s="69">
        <v>854580.0</v>
      </c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ht="17.25" customHeight="1">
      <c r="A1002" s="24" t="s">
        <v>25</v>
      </c>
      <c r="B1002" s="24" t="s">
        <v>91</v>
      </c>
      <c r="C1002" s="24" t="s">
        <v>1588</v>
      </c>
      <c r="D1002" s="48" t="s">
        <v>1589</v>
      </c>
      <c r="E1002" s="28" t="s">
        <v>1592</v>
      </c>
      <c r="F1002" s="28">
        <v>6.0</v>
      </c>
      <c r="G1002" s="69">
        <v>378000.0</v>
      </c>
      <c r="H1002" s="69">
        <v>20000.0</v>
      </c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ht="17.25" customHeight="1">
      <c r="A1003" s="24" t="s">
        <v>25</v>
      </c>
      <c r="B1003" s="24" t="s">
        <v>91</v>
      </c>
      <c r="C1003" s="24" t="s">
        <v>1588</v>
      </c>
      <c r="D1003" s="48" t="s">
        <v>1589</v>
      </c>
      <c r="E1003" s="28" t="s">
        <v>1596</v>
      </c>
      <c r="F1003" s="28">
        <v>0.0</v>
      </c>
      <c r="G1003" s="69">
        <v>0.0</v>
      </c>
      <c r="H1003" s="69">
        <v>0.0</v>
      </c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ht="17.25" customHeight="1">
      <c r="A1004" s="24" t="s">
        <v>25</v>
      </c>
      <c r="B1004" s="24" t="s">
        <v>91</v>
      </c>
      <c r="C1004" s="24" t="s">
        <v>1588</v>
      </c>
      <c r="D1004" s="48" t="s">
        <v>1589</v>
      </c>
      <c r="E1004" s="28" t="s">
        <v>1597</v>
      </c>
      <c r="F1004" s="28">
        <v>15.0</v>
      </c>
      <c r="G1004" s="69">
        <v>1019500.0</v>
      </c>
      <c r="H1004" s="69">
        <v>60000.0</v>
      </c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ht="17.25" customHeight="1">
      <c r="A1005" s="24" t="s">
        <v>25</v>
      </c>
      <c r="B1005" s="24" t="s">
        <v>91</v>
      </c>
      <c r="C1005" s="24" t="s">
        <v>1588</v>
      </c>
      <c r="D1005" s="48" t="s">
        <v>1589</v>
      </c>
      <c r="E1005" s="28" t="s">
        <v>1599</v>
      </c>
      <c r="F1005" s="28">
        <v>5.0</v>
      </c>
      <c r="G1005" s="69">
        <v>188000.0</v>
      </c>
      <c r="H1005" s="69">
        <v>21600.0</v>
      </c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 ht="17.25" customHeight="1">
      <c r="A1006" s="24" t="s">
        <v>25</v>
      </c>
      <c r="B1006" s="24" t="s">
        <v>91</v>
      </c>
      <c r="C1006" s="24" t="s">
        <v>43</v>
      </c>
      <c r="D1006" s="48" t="s">
        <v>42</v>
      </c>
      <c r="E1006" s="28" t="s">
        <v>1602</v>
      </c>
      <c r="F1006" s="28">
        <v>0.0</v>
      </c>
      <c r="G1006" s="69">
        <v>0.0</v>
      </c>
      <c r="H1006" s="69">
        <v>0.0</v>
      </c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 ht="17.25" customHeight="1">
      <c r="A1007" s="24" t="s">
        <v>25</v>
      </c>
      <c r="B1007" s="24" t="s">
        <v>91</v>
      </c>
      <c r="C1007" s="24" t="s">
        <v>115</v>
      </c>
      <c r="D1007" s="48" t="s">
        <v>114</v>
      </c>
      <c r="E1007" s="28" t="s">
        <v>1604</v>
      </c>
      <c r="F1007" s="28">
        <v>0.0</v>
      </c>
      <c r="G1007" s="69">
        <v>0.0</v>
      </c>
      <c r="H1007" s="69">
        <v>0.0</v>
      </c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 ht="17.25" customHeight="1">
      <c r="A1008" s="24" t="s">
        <v>25</v>
      </c>
      <c r="B1008" s="24" t="s">
        <v>91</v>
      </c>
      <c r="C1008" s="24" t="s">
        <v>115</v>
      </c>
      <c r="D1008" s="48" t="s">
        <v>114</v>
      </c>
      <c r="E1008" s="28" t="s">
        <v>1606</v>
      </c>
      <c r="F1008" s="28">
        <v>4.0</v>
      </c>
      <c r="G1008" s="69">
        <v>76500.0</v>
      </c>
      <c r="H1008" s="69">
        <v>0.0</v>
      </c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 ht="17.25" customHeight="1">
      <c r="A1009" s="24" t="s">
        <v>25</v>
      </c>
      <c r="B1009" s="24" t="s">
        <v>91</v>
      </c>
      <c r="C1009" s="24" t="s">
        <v>115</v>
      </c>
      <c r="D1009" s="48" t="s">
        <v>114</v>
      </c>
      <c r="E1009" s="28" t="s">
        <v>1607</v>
      </c>
      <c r="F1009" s="28">
        <v>15.0</v>
      </c>
      <c r="G1009" s="69">
        <v>484000.0</v>
      </c>
      <c r="H1009" s="69">
        <v>8020.0</v>
      </c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 ht="17.25" customHeight="1">
      <c r="A1010" s="24" t="s">
        <v>25</v>
      </c>
      <c r="B1010" s="24" t="s">
        <v>91</v>
      </c>
      <c r="C1010" s="24" t="s">
        <v>115</v>
      </c>
      <c r="D1010" s="48" t="s">
        <v>114</v>
      </c>
      <c r="E1010" s="28" t="s">
        <v>1611</v>
      </c>
      <c r="F1010" s="28">
        <v>27.0</v>
      </c>
      <c r="G1010" s="69">
        <v>996000.0</v>
      </c>
      <c r="H1010" s="69">
        <v>12560.0</v>
      </c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 ht="17.25" customHeight="1">
      <c r="A1011" s="24" t="s">
        <v>25</v>
      </c>
      <c r="B1011" s="24" t="s">
        <v>91</v>
      </c>
      <c r="C1011" s="24" t="s">
        <v>115</v>
      </c>
      <c r="D1011" s="48" t="s">
        <v>114</v>
      </c>
      <c r="E1011" s="28" t="s">
        <v>1614</v>
      </c>
      <c r="F1011" s="28">
        <v>128.0</v>
      </c>
      <c r="G1011" s="69">
        <v>5067500.0</v>
      </c>
      <c r="H1011" s="69">
        <v>175120.0</v>
      </c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 ht="17.25" customHeight="1">
      <c r="A1012" s="24" t="s">
        <v>25</v>
      </c>
      <c r="B1012" s="24" t="s">
        <v>91</v>
      </c>
      <c r="C1012" s="24" t="s">
        <v>115</v>
      </c>
      <c r="D1012" s="48" t="s">
        <v>114</v>
      </c>
      <c r="E1012" s="28" t="s">
        <v>1616</v>
      </c>
      <c r="F1012" s="28">
        <v>3.0</v>
      </c>
      <c r="G1012" s="69">
        <v>130200.0</v>
      </c>
      <c r="H1012" s="69">
        <v>14760.0</v>
      </c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 ht="17.25" customHeight="1">
      <c r="A1013" s="24" t="s">
        <v>25</v>
      </c>
      <c r="B1013" s="24" t="s">
        <v>91</v>
      </c>
      <c r="C1013" s="24" t="s">
        <v>115</v>
      </c>
      <c r="D1013" s="48" t="s">
        <v>114</v>
      </c>
      <c r="E1013" s="28" t="s">
        <v>1618</v>
      </c>
      <c r="F1013" s="28">
        <v>19.0</v>
      </c>
      <c r="G1013" s="69">
        <v>1201000.0</v>
      </c>
      <c r="H1013" s="69">
        <v>16400.0</v>
      </c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 ht="17.25" customHeight="1">
      <c r="A1014" s="24" t="s">
        <v>25</v>
      </c>
      <c r="B1014" s="24" t="s">
        <v>91</v>
      </c>
      <c r="C1014" s="24" t="s">
        <v>115</v>
      </c>
      <c r="D1014" s="48" t="s">
        <v>114</v>
      </c>
      <c r="E1014" s="28" t="s">
        <v>1619</v>
      </c>
      <c r="F1014" s="28">
        <v>10.0</v>
      </c>
      <c r="G1014" s="69">
        <v>460200.0</v>
      </c>
      <c r="H1014" s="69">
        <v>6540.0</v>
      </c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 ht="17.25" customHeight="1">
      <c r="A1015" s="24" t="s">
        <v>25</v>
      </c>
      <c r="B1015" s="24" t="s">
        <v>91</v>
      </c>
      <c r="C1015" s="24" t="s">
        <v>115</v>
      </c>
      <c r="D1015" s="48" t="s">
        <v>114</v>
      </c>
      <c r="E1015" s="28" t="s">
        <v>1621</v>
      </c>
      <c r="F1015" s="28">
        <v>1194.0</v>
      </c>
      <c r="G1015" s="69">
        <v>4.82379E7</v>
      </c>
      <c r="H1015" s="69">
        <v>4480650.0</v>
      </c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 ht="17.25" customHeight="1">
      <c r="A1016" s="24" t="s">
        <v>25</v>
      </c>
      <c r="B1016" s="24" t="s">
        <v>91</v>
      </c>
      <c r="C1016" s="24" t="s">
        <v>115</v>
      </c>
      <c r="D1016" s="48" t="s">
        <v>114</v>
      </c>
      <c r="E1016" s="28" t="s">
        <v>1623</v>
      </c>
      <c r="F1016" s="28">
        <v>385.0</v>
      </c>
      <c r="G1016" s="69">
        <v>1.33618E7</v>
      </c>
      <c r="H1016" s="69">
        <v>203450.0</v>
      </c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 ht="17.25" customHeight="1">
      <c r="A1017" s="24" t="s">
        <v>25</v>
      </c>
      <c r="B1017" s="24" t="s">
        <v>91</v>
      </c>
      <c r="C1017" s="24" t="s">
        <v>115</v>
      </c>
      <c r="D1017" s="48" t="s">
        <v>114</v>
      </c>
      <c r="E1017" s="28" t="s">
        <v>1627</v>
      </c>
      <c r="F1017" s="28">
        <v>10.0</v>
      </c>
      <c r="G1017" s="69">
        <v>202400.0</v>
      </c>
      <c r="H1017" s="69">
        <v>2740.0</v>
      </c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 ht="17.25" customHeight="1">
      <c r="A1018" s="24" t="s">
        <v>25</v>
      </c>
      <c r="B1018" s="24" t="s">
        <v>91</v>
      </c>
      <c r="C1018" s="24" t="s">
        <v>115</v>
      </c>
      <c r="D1018" s="48" t="s">
        <v>114</v>
      </c>
      <c r="E1018" s="28" t="s">
        <v>1629</v>
      </c>
      <c r="F1018" s="28">
        <v>132.0</v>
      </c>
      <c r="G1018" s="69">
        <v>2625400.0</v>
      </c>
      <c r="H1018" s="69">
        <v>27680.0</v>
      </c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 ht="17.25" customHeight="1">
      <c r="A1019" s="24" t="s">
        <v>25</v>
      </c>
      <c r="B1019" s="24" t="s">
        <v>91</v>
      </c>
      <c r="C1019" s="24" t="s">
        <v>115</v>
      </c>
      <c r="D1019" s="48" t="s">
        <v>114</v>
      </c>
      <c r="E1019" s="28" t="s">
        <v>1630</v>
      </c>
      <c r="F1019" s="28">
        <v>28.0</v>
      </c>
      <c r="G1019" s="69">
        <v>662400.0</v>
      </c>
      <c r="H1019" s="69">
        <v>0.0</v>
      </c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 ht="17.25" customHeight="1">
      <c r="A1020" s="24" t="s">
        <v>25</v>
      </c>
      <c r="B1020" s="24" t="s">
        <v>91</v>
      </c>
      <c r="C1020" s="24" t="s">
        <v>115</v>
      </c>
      <c r="D1020" s="48" t="s">
        <v>114</v>
      </c>
      <c r="E1020" s="28" t="s">
        <v>1632</v>
      </c>
      <c r="F1020" s="28">
        <v>9.0</v>
      </c>
      <c r="G1020" s="69">
        <v>226900.0</v>
      </c>
      <c r="H1020" s="69">
        <v>0.0</v>
      </c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 ht="17.25" customHeight="1">
      <c r="A1021" s="24" t="s">
        <v>25</v>
      </c>
      <c r="B1021" s="24" t="s">
        <v>91</v>
      </c>
      <c r="C1021" s="24" t="s">
        <v>115</v>
      </c>
      <c r="D1021" s="48" t="s">
        <v>114</v>
      </c>
      <c r="E1021" s="28" t="s">
        <v>1634</v>
      </c>
      <c r="F1021" s="28">
        <v>3.0</v>
      </c>
      <c r="G1021" s="69">
        <v>134000.0</v>
      </c>
      <c r="H1021" s="69">
        <v>0.0</v>
      </c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 ht="17.25" customHeight="1">
      <c r="A1022" s="24" t="s">
        <v>25</v>
      </c>
      <c r="B1022" s="24" t="s">
        <v>91</v>
      </c>
      <c r="C1022" s="24" t="s">
        <v>115</v>
      </c>
      <c r="D1022" s="48" t="s">
        <v>114</v>
      </c>
      <c r="E1022" s="28" t="s">
        <v>1636</v>
      </c>
      <c r="F1022" s="28">
        <v>7.0</v>
      </c>
      <c r="G1022" s="69">
        <v>80000.0</v>
      </c>
      <c r="H1022" s="69">
        <v>0.0</v>
      </c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 ht="17.25" customHeight="1">
      <c r="A1023" s="24" t="s">
        <v>25</v>
      </c>
      <c r="B1023" s="24" t="s">
        <v>91</v>
      </c>
      <c r="C1023" s="24" t="s">
        <v>115</v>
      </c>
      <c r="D1023" s="48" t="s">
        <v>114</v>
      </c>
      <c r="E1023" s="28" t="s">
        <v>1637</v>
      </c>
      <c r="F1023" s="28">
        <v>33.0</v>
      </c>
      <c r="G1023" s="69">
        <v>729800.0</v>
      </c>
      <c r="H1023" s="69">
        <v>0.0</v>
      </c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 ht="17.25" customHeight="1">
      <c r="A1024" s="24" t="s">
        <v>25</v>
      </c>
      <c r="B1024" s="24" t="s">
        <v>63</v>
      </c>
      <c r="C1024" s="24" t="s">
        <v>1638</v>
      </c>
      <c r="D1024" s="48" t="s">
        <v>1639</v>
      </c>
      <c r="E1024" s="28" t="s">
        <v>1640</v>
      </c>
      <c r="F1024" s="28">
        <v>0.0</v>
      </c>
      <c r="G1024" s="69">
        <v>0.0</v>
      </c>
      <c r="H1024" s="69">
        <v>0.0</v>
      </c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 ht="17.25" customHeight="1">
      <c r="A1025" s="24" t="s">
        <v>25</v>
      </c>
      <c r="B1025" s="24" t="s">
        <v>63</v>
      </c>
      <c r="C1025" s="24" t="s">
        <v>1638</v>
      </c>
      <c r="D1025" s="48" t="s">
        <v>1639</v>
      </c>
      <c r="E1025" s="28" t="s">
        <v>1642</v>
      </c>
      <c r="F1025" s="28">
        <v>0.0</v>
      </c>
      <c r="G1025" s="69">
        <v>0.0</v>
      </c>
      <c r="H1025" s="69">
        <v>0.0</v>
      </c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 ht="17.25" customHeight="1">
      <c r="A1026" s="24" t="s">
        <v>25</v>
      </c>
      <c r="B1026" s="24" t="s">
        <v>63</v>
      </c>
      <c r="C1026" s="24" t="s">
        <v>335</v>
      </c>
      <c r="D1026" s="48" t="s">
        <v>334</v>
      </c>
      <c r="E1026" s="28" t="s">
        <v>1644</v>
      </c>
      <c r="F1026" s="28">
        <v>11.0</v>
      </c>
      <c r="G1026" s="69">
        <v>330000.0</v>
      </c>
      <c r="H1026" s="69">
        <v>36000.0</v>
      </c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 ht="17.25" customHeight="1">
      <c r="A1027" s="24" t="s">
        <v>25</v>
      </c>
      <c r="B1027" s="24" t="s">
        <v>91</v>
      </c>
      <c r="C1027" s="24" t="s">
        <v>335</v>
      </c>
      <c r="D1027" s="48" t="s">
        <v>334</v>
      </c>
      <c r="E1027" s="28" t="s">
        <v>1646</v>
      </c>
      <c r="F1027" s="28">
        <v>3.0</v>
      </c>
      <c r="G1027" s="69">
        <v>84000.0</v>
      </c>
      <c r="H1027" s="69">
        <v>10000.0</v>
      </c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 ht="17.25" customHeight="1">
      <c r="A1028" s="24" t="s">
        <v>25</v>
      </c>
      <c r="B1028" s="24" t="s">
        <v>91</v>
      </c>
      <c r="C1028" s="24" t="s">
        <v>1648</v>
      </c>
      <c r="D1028" s="48" t="s">
        <v>1649</v>
      </c>
      <c r="E1028" s="28" t="s">
        <v>1650</v>
      </c>
      <c r="F1028" s="28">
        <v>104.0</v>
      </c>
      <c r="G1028" s="69">
        <v>2610500.0</v>
      </c>
      <c r="H1028" s="69">
        <v>234970.0</v>
      </c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 ht="17.25" customHeight="1">
      <c r="A1029" s="24" t="s">
        <v>25</v>
      </c>
      <c r="B1029" s="24" t="s">
        <v>63</v>
      </c>
      <c r="C1029" s="24" t="s">
        <v>1648</v>
      </c>
      <c r="D1029" s="48" t="s">
        <v>1649</v>
      </c>
      <c r="E1029" s="28" t="s">
        <v>1652</v>
      </c>
      <c r="F1029" s="28">
        <v>1.0</v>
      </c>
      <c r="G1029" s="69">
        <v>19900.0</v>
      </c>
      <c r="H1029" s="69">
        <v>0.0</v>
      </c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 ht="17.25" customHeight="1">
      <c r="A1030" s="24" t="s">
        <v>25</v>
      </c>
      <c r="B1030" s="24" t="s">
        <v>63</v>
      </c>
      <c r="C1030" s="24" t="s">
        <v>1648</v>
      </c>
      <c r="D1030" s="48" t="s">
        <v>1649</v>
      </c>
      <c r="E1030" s="28" t="s">
        <v>1653</v>
      </c>
      <c r="F1030" s="28">
        <v>5.0</v>
      </c>
      <c r="G1030" s="69">
        <v>225000.0</v>
      </c>
      <c r="H1030" s="69">
        <v>10000.0</v>
      </c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 ht="17.25" customHeight="1">
      <c r="A1031" s="24" t="s">
        <v>25</v>
      </c>
      <c r="B1031" s="24" t="s">
        <v>63</v>
      </c>
      <c r="C1031" s="24" t="s">
        <v>909</v>
      </c>
      <c r="D1031" s="48" t="s">
        <v>908</v>
      </c>
      <c r="E1031" s="28" t="s">
        <v>1655</v>
      </c>
      <c r="F1031" s="28">
        <v>512.0</v>
      </c>
      <c r="G1031" s="69">
        <v>1.56552E7</v>
      </c>
      <c r="H1031" s="69">
        <v>1606720.0</v>
      </c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 ht="17.25" customHeight="1">
      <c r="A1032" s="24" t="s">
        <v>25</v>
      </c>
      <c r="B1032" s="24" t="s">
        <v>63</v>
      </c>
      <c r="C1032" s="24" t="s">
        <v>909</v>
      </c>
      <c r="D1032" s="48" t="s">
        <v>908</v>
      </c>
      <c r="E1032" s="28" t="s">
        <v>1657</v>
      </c>
      <c r="F1032" s="28">
        <v>180.0</v>
      </c>
      <c r="G1032" s="69">
        <v>2469600.0</v>
      </c>
      <c r="H1032" s="69">
        <v>135920.0</v>
      </c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 ht="17.25" customHeight="1">
      <c r="A1033" s="24" t="s">
        <v>25</v>
      </c>
      <c r="B1033" s="24" t="s">
        <v>63</v>
      </c>
      <c r="C1033" s="24" t="s">
        <v>909</v>
      </c>
      <c r="D1033" s="48" t="s">
        <v>908</v>
      </c>
      <c r="E1033" s="28" t="s">
        <v>1660</v>
      </c>
      <c r="F1033" s="28">
        <v>170.0</v>
      </c>
      <c r="G1033" s="69">
        <v>2031500.0</v>
      </c>
      <c r="H1033" s="69">
        <v>83580.0</v>
      </c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 ht="17.25" customHeight="1">
      <c r="A1034" s="24" t="s">
        <v>25</v>
      </c>
      <c r="B1034" s="24" t="s">
        <v>91</v>
      </c>
      <c r="C1034" s="24" t="s">
        <v>1663</v>
      </c>
      <c r="D1034" s="48" t="s">
        <v>1665</v>
      </c>
      <c r="E1034" s="28" t="s">
        <v>1666</v>
      </c>
      <c r="F1034" s="28">
        <v>55.0</v>
      </c>
      <c r="G1034" s="69">
        <v>3545700.0</v>
      </c>
      <c r="H1034" s="69">
        <v>301290.0</v>
      </c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 ht="17.25" customHeight="1">
      <c r="A1035" s="24" t="s">
        <v>25</v>
      </c>
      <c r="B1035" s="24" t="s">
        <v>91</v>
      </c>
      <c r="C1035" s="24" t="s">
        <v>1663</v>
      </c>
      <c r="D1035" s="48" t="s">
        <v>1665</v>
      </c>
      <c r="E1035" s="28" t="s">
        <v>1667</v>
      </c>
      <c r="F1035" s="28">
        <v>1.0</v>
      </c>
      <c r="G1035" s="69">
        <v>56000.0</v>
      </c>
      <c r="H1035" s="69">
        <v>9200.0</v>
      </c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 ht="17.25" customHeight="1">
      <c r="A1036" s="24" t="s">
        <v>25</v>
      </c>
      <c r="B1036" s="24" t="s">
        <v>91</v>
      </c>
      <c r="C1036" s="24" t="s">
        <v>1663</v>
      </c>
      <c r="D1036" s="48" t="s">
        <v>1665</v>
      </c>
      <c r="E1036" s="28" t="s">
        <v>1669</v>
      </c>
      <c r="F1036" s="28">
        <v>16.0</v>
      </c>
      <c r="G1036" s="69">
        <v>432500.0</v>
      </c>
      <c r="H1036" s="69">
        <v>28040.0</v>
      </c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 ht="17.25" customHeight="1">
      <c r="A1037" s="24" t="s">
        <v>25</v>
      </c>
      <c r="B1037" s="24" t="s">
        <v>91</v>
      </c>
      <c r="C1037" s="24" t="s">
        <v>1663</v>
      </c>
      <c r="D1037" s="48" t="s">
        <v>1665</v>
      </c>
      <c r="E1037" s="28" t="s">
        <v>1671</v>
      </c>
      <c r="F1037" s="28">
        <v>2.0</v>
      </c>
      <c r="G1037" s="69">
        <v>84600.0</v>
      </c>
      <c r="H1037" s="69">
        <v>0.0</v>
      </c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 ht="17.25" customHeight="1">
      <c r="A1038" s="24" t="s">
        <v>25</v>
      </c>
      <c r="B1038" s="24" t="s">
        <v>91</v>
      </c>
      <c r="C1038" s="24" t="s">
        <v>1663</v>
      </c>
      <c r="D1038" s="48" t="s">
        <v>1665</v>
      </c>
      <c r="E1038" s="28" t="s">
        <v>1673</v>
      </c>
      <c r="F1038" s="28">
        <v>144.0</v>
      </c>
      <c r="G1038" s="69">
        <v>4863300.0</v>
      </c>
      <c r="H1038" s="69">
        <v>367840.0</v>
      </c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 ht="17.25" customHeight="1">
      <c r="A1039" s="24" t="s">
        <v>25</v>
      </c>
      <c r="B1039" s="24" t="s">
        <v>91</v>
      </c>
      <c r="C1039" s="24" t="s">
        <v>1663</v>
      </c>
      <c r="D1039" s="48" t="s">
        <v>1665</v>
      </c>
      <c r="E1039" s="28" t="s">
        <v>1675</v>
      </c>
      <c r="F1039" s="28">
        <v>7.0</v>
      </c>
      <c r="G1039" s="69">
        <v>514500.0</v>
      </c>
      <c r="H1039" s="69">
        <v>60000.0</v>
      </c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 ht="17.25" customHeight="1">
      <c r="A1040" s="24" t="s">
        <v>25</v>
      </c>
      <c r="B1040" s="24" t="s">
        <v>91</v>
      </c>
      <c r="C1040" s="24" t="s">
        <v>1663</v>
      </c>
      <c r="D1040" s="48" t="s">
        <v>1665</v>
      </c>
      <c r="E1040" s="28" t="s">
        <v>1677</v>
      </c>
      <c r="F1040" s="28">
        <v>6.0</v>
      </c>
      <c r="G1040" s="69">
        <v>328000.0</v>
      </c>
      <c r="H1040" s="69">
        <v>28600.0</v>
      </c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 ht="17.25" customHeight="1">
      <c r="A1041" s="24" t="s">
        <v>25</v>
      </c>
      <c r="B1041" s="24" t="s">
        <v>91</v>
      </c>
      <c r="C1041" s="24" t="s">
        <v>1663</v>
      </c>
      <c r="D1041" s="48" t="s">
        <v>1665</v>
      </c>
      <c r="E1041" s="28" t="s">
        <v>1678</v>
      </c>
      <c r="F1041" s="28">
        <v>1.0</v>
      </c>
      <c r="G1041" s="69">
        <v>60000.0</v>
      </c>
      <c r="H1041" s="69">
        <v>0.0</v>
      </c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 ht="17.25" customHeight="1">
      <c r="A1042" s="24" t="s">
        <v>25</v>
      </c>
      <c r="B1042" s="24" t="s">
        <v>91</v>
      </c>
      <c r="C1042" s="24" t="s">
        <v>1663</v>
      </c>
      <c r="D1042" s="48" t="s">
        <v>1665</v>
      </c>
      <c r="E1042" s="28" t="s">
        <v>1680</v>
      </c>
      <c r="F1042" s="28">
        <v>2.0</v>
      </c>
      <c r="G1042" s="69">
        <v>176000.0</v>
      </c>
      <c r="H1042" s="69">
        <v>20000.0</v>
      </c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 ht="17.25" customHeight="1">
      <c r="A1043" s="24" t="s">
        <v>25</v>
      </c>
      <c r="B1043" s="24" t="s">
        <v>91</v>
      </c>
      <c r="C1043" s="24" t="s">
        <v>1663</v>
      </c>
      <c r="D1043" s="48" t="s">
        <v>1665</v>
      </c>
      <c r="E1043" s="28" t="s">
        <v>1682</v>
      </c>
      <c r="F1043" s="28">
        <v>3.0</v>
      </c>
      <c r="G1043" s="69">
        <v>237000.0</v>
      </c>
      <c r="H1043" s="69">
        <v>10000.0</v>
      </c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 ht="17.25" customHeight="1">
      <c r="A1044" s="24" t="s">
        <v>25</v>
      </c>
      <c r="B1044" s="24" t="s">
        <v>91</v>
      </c>
      <c r="C1044" s="24" t="s">
        <v>1663</v>
      </c>
      <c r="D1044" s="48" t="s">
        <v>1665</v>
      </c>
      <c r="E1044" s="28" t="s">
        <v>1684</v>
      </c>
      <c r="F1044" s="28">
        <v>1.0</v>
      </c>
      <c r="G1044" s="69">
        <v>78500.0</v>
      </c>
      <c r="H1044" s="69">
        <v>0.0</v>
      </c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</row>
    <row r="1045" ht="17.25" customHeight="1">
      <c r="A1045" s="24" t="s">
        <v>25</v>
      </c>
      <c r="B1045" s="24" t="s">
        <v>91</v>
      </c>
      <c r="C1045" s="24" t="s">
        <v>1663</v>
      </c>
      <c r="D1045" s="48" t="s">
        <v>1665</v>
      </c>
      <c r="E1045" s="28" t="s">
        <v>1686</v>
      </c>
      <c r="F1045" s="28">
        <v>11.0</v>
      </c>
      <c r="G1045" s="69">
        <v>1015400.0</v>
      </c>
      <c r="H1045" s="69">
        <v>36240.0</v>
      </c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</row>
    <row r="1046" ht="17.25" customHeight="1">
      <c r="A1046" s="24" t="s">
        <v>25</v>
      </c>
      <c r="B1046" s="24" t="s">
        <v>91</v>
      </c>
      <c r="C1046" s="24" t="s">
        <v>1663</v>
      </c>
      <c r="D1046" s="48" t="s">
        <v>1665</v>
      </c>
      <c r="E1046" s="28" t="s">
        <v>1688</v>
      </c>
      <c r="F1046" s="28">
        <v>0.0</v>
      </c>
      <c r="G1046" s="69">
        <v>0.0</v>
      </c>
      <c r="H1046" s="69">
        <v>0.0</v>
      </c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</row>
    <row r="1047" ht="17.25" customHeight="1">
      <c r="A1047" s="24" t="s">
        <v>25</v>
      </c>
      <c r="B1047" s="24" t="s">
        <v>91</v>
      </c>
      <c r="C1047" s="24" t="s">
        <v>1663</v>
      </c>
      <c r="D1047" s="48" t="s">
        <v>1665</v>
      </c>
      <c r="E1047" s="28" t="s">
        <v>1689</v>
      </c>
      <c r="F1047" s="28">
        <v>0.0</v>
      </c>
      <c r="G1047" s="69">
        <v>0.0</v>
      </c>
      <c r="H1047" s="69">
        <v>0.0</v>
      </c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</row>
    <row r="1048" ht="17.25" customHeight="1">
      <c r="A1048" s="24" t="s">
        <v>25</v>
      </c>
      <c r="B1048" s="24" t="s">
        <v>91</v>
      </c>
      <c r="C1048" s="24" t="s">
        <v>1663</v>
      </c>
      <c r="D1048" s="48" t="s">
        <v>1665</v>
      </c>
      <c r="E1048" s="28" t="s">
        <v>1690</v>
      </c>
      <c r="F1048" s="28">
        <v>10.0</v>
      </c>
      <c r="G1048" s="69">
        <v>466300.0</v>
      </c>
      <c r="H1048" s="69">
        <v>68520.0</v>
      </c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</row>
    <row r="1049" ht="17.25" customHeight="1">
      <c r="A1049" s="24" t="s">
        <v>25</v>
      </c>
      <c r="B1049" s="24" t="s">
        <v>91</v>
      </c>
      <c r="C1049" s="24" t="s">
        <v>1663</v>
      </c>
      <c r="D1049" s="48" t="s">
        <v>1665</v>
      </c>
      <c r="E1049" s="28" t="s">
        <v>1691</v>
      </c>
      <c r="F1049" s="28">
        <v>1.0</v>
      </c>
      <c r="G1049" s="69">
        <v>41800.0</v>
      </c>
      <c r="H1049" s="69">
        <v>7360.0</v>
      </c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 ht="17.25" customHeight="1">
      <c r="A1050" s="24" t="s">
        <v>25</v>
      </c>
      <c r="B1050" s="24" t="s">
        <v>63</v>
      </c>
      <c r="C1050" s="24" t="s">
        <v>1692</v>
      </c>
      <c r="D1050" s="48" t="s">
        <v>1693</v>
      </c>
      <c r="E1050" s="28" t="s">
        <v>1694</v>
      </c>
      <c r="F1050" s="28">
        <v>30.0</v>
      </c>
      <c r="G1050" s="69">
        <v>916900.0</v>
      </c>
      <c r="H1050" s="69">
        <v>90450.0</v>
      </c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 ht="17.25" customHeight="1">
      <c r="A1051" s="24" t="s">
        <v>25</v>
      </c>
      <c r="B1051" s="24" t="s">
        <v>63</v>
      </c>
      <c r="C1051" s="24" t="s">
        <v>1692</v>
      </c>
      <c r="D1051" s="48" t="s">
        <v>1693</v>
      </c>
      <c r="E1051" s="28" t="s">
        <v>1695</v>
      </c>
      <c r="F1051" s="28">
        <v>209.0</v>
      </c>
      <c r="G1051" s="69">
        <v>5441000.0</v>
      </c>
      <c r="H1051" s="69">
        <v>442960.0</v>
      </c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</row>
    <row r="1052" ht="17.25" customHeight="1">
      <c r="A1052" s="24" t="s">
        <v>25</v>
      </c>
      <c r="B1052" s="24" t="s">
        <v>91</v>
      </c>
      <c r="C1052" s="24" t="s">
        <v>1692</v>
      </c>
      <c r="D1052" s="48" t="s">
        <v>1693</v>
      </c>
      <c r="E1052" s="28" t="s">
        <v>1697</v>
      </c>
      <c r="F1052" s="28">
        <v>16.0</v>
      </c>
      <c r="G1052" s="69">
        <v>548300.0</v>
      </c>
      <c r="H1052" s="69">
        <v>51440.0</v>
      </c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</row>
    <row r="1053" ht="17.25" customHeight="1">
      <c r="A1053" s="24" t="s">
        <v>25</v>
      </c>
      <c r="B1053" s="24" t="s">
        <v>91</v>
      </c>
      <c r="C1053" s="24" t="s">
        <v>1692</v>
      </c>
      <c r="D1053" s="48" t="s">
        <v>1693</v>
      </c>
      <c r="E1053" s="28" t="s">
        <v>1698</v>
      </c>
      <c r="F1053" s="28">
        <v>131.0</v>
      </c>
      <c r="G1053" s="69">
        <v>2023500.0</v>
      </c>
      <c r="H1053" s="69">
        <v>291900.0</v>
      </c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</row>
    <row r="1054" ht="17.25" customHeight="1">
      <c r="A1054" s="24" t="s">
        <v>25</v>
      </c>
      <c r="B1054" s="24" t="s">
        <v>63</v>
      </c>
      <c r="C1054" s="24" t="s">
        <v>1692</v>
      </c>
      <c r="D1054" s="48" t="s">
        <v>1693</v>
      </c>
      <c r="E1054" s="28" t="s">
        <v>1700</v>
      </c>
      <c r="F1054" s="28">
        <v>1.0</v>
      </c>
      <c r="G1054" s="69">
        <v>63900.0</v>
      </c>
      <c r="H1054" s="69">
        <v>0.0</v>
      </c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</row>
    <row r="1055" ht="17.25" customHeight="1">
      <c r="A1055" s="24" t="s">
        <v>25</v>
      </c>
      <c r="B1055" s="24" t="s">
        <v>91</v>
      </c>
      <c r="C1055" s="24" t="s">
        <v>1702</v>
      </c>
      <c r="D1055" s="48" t="s">
        <v>1703</v>
      </c>
      <c r="E1055" s="28" t="s">
        <v>1704</v>
      </c>
      <c r="F1055" s="28">
        <v>0.0</v>
      </c>
      <c r="G1055" s="69">
        <v>0.0</v>
      </c>
      <c r="H1055" s="69">
        <v>0.0</v>
      </c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</row>
    <row r="1056" ht="17.25" customHeight="1">
      <c r="A1056" s="24" t="s">
        <v>25</v>
      </c>
      <c r="B1056" s="24" t="s">
        <v>91</v>
      </c>
      <c r="C1056" s="24" t="s">
        <v>1702</v>
      </c>
      <c r="D1056" s="48" t="s">
        <v>1703</v>
      </c>
      <c r="E1056" s="28" t="s">
        <v>1706</v>
      </c>
      <c r="F1056" s="28">
        <v>0.0</v>
      </c>
      <c r="G1056" s="69">
        <v>0.0</v>
      </c>
      <c r="H1056" s="69">
        <v>0.0</v>
      </c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</row>
    <row r="1057" ht="17.25" customHeight="1">
      <c r="A1057" s="24" t="s">
        <v>25</v>
      </c>
      <c r="B1057" s="24" t="s">
        <v>91</v>
      </c>
      <c r="C1057" s="24" t="s">
        <v>1702</v>
      </c>
      <c r="D1057" s="48" t="s">
        <v>1703</v>
      </c>
      <c r="E1057" s="28" t="s">
        <v>1707</v>
      </c>
      <c r="F1057" s="28">
        <v>1.0</v>
      </c>
      <c r="G1057" s="69">
        <v>34900.0</v>
      </c>
      <c r="H1057" s="69">
        <v>6980.0</v>
      </c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</row>
    <row r="1058" ht="17.25" customHeight="1">
      <c r="A1058" s="24" t="s">
        <v>25</v>
      </c>
      <c r="B1058" s="24" t="s">
        <v>91</v>
      </c>
      <c r="C1058" s="24" t="s">
        <v>1702</v>
      </c>
      <c r="D1058" s="48" t="s">
        <v>1703</v>
      </c>
      <c r="E1058" s="28" t="s">
        <v>1709</v>
      </c>
      <c r="F1058" s="28">
        <v>21.0</v>
      </c>
      <c r="G1058" s="69">
        <v>1350600.0</v>
      </c>
      <c r="H1058" s="69">
        <v>80000.0</v>
      </c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 ht="17.25" customHeight="1">
      <c r="A1059" s="24" t="s">
        <v>25</v>
      </c>
      <c r="B1059" s="24" t="s">
        <v>91</v>
      </c>
      <c r="C1059" s="24" t="s">
        <v>1702</v>
      </c>
      <c r="D1059" s="48" t="s">
        <v>1703</v>
      </c>
      <c r="E1059" s="28" t="s">
        <v>1711</v>
      </c>
      <c r="F1059" s="28">
        <v>6.0</v>
      </c>
      <c r="G1059" s="69">
        <v>321400.0</v>
      </c>
      <c r="H1059" s="69">
        <v>30000.0</v>
      </c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</row>
    <row r="1060" ht="17.25" customHeight="1">
      <c r="A1060" s="24" t="s">
        <v>25</v>
      </c>
      <c r="B1060" s="24" t="s">
        <v>91</v>
      </c>
      <c r="C1060" s="24" t="s">
        <v>1702</v>
      </c>
      <c r="D1060" s="48" t="s">
        <v>1703</v>
      </c>
      <c r="E1060" s="28" t="s">
        <v>1713</v>
      </c>
      <c r="F1060" s="28">
        <v>2.0</v>
      </c>
      <c r="G1060" s="69">
        <v>93800.0</v>
      </c>
      <c r="H1060" s="69">
        <v>9380.0</v>
      </c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</row>
    <row r="1061" ht="17.25" customHeight="1">
      <c r="A1061" s="24" t="s">
        <v>25</v>
      </c>
      <c r="B1061" s="24" t="s">
        <v>91</v>
      </c>
      <c r="C1061" s="24" t="s">
        <v>1702</v>
      </c>
      <c r="D1061" s="48" t="s">
        <v>1703</v>
      </c>
      <c r="E1061" s="28" t="s">
        <v>1716</v>
      </c>
      <c r="F1061" s="28">
        <v>0.0</v>
      </c>
      <c r="G1061" s="69">
        <v>0.0</v>
      </c>
      <c r="H1061" s="69">
        <v>0.0</v>
      </c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</row>
    <row r="1062" ht="17.25" customHeight="1">
      <c r="A1062" s="24" t="s">
        <v>25</v>
      </c>
      <c r="B1062" s="24" t="s">
        <v>91</v>
      </c>
      <c r="C1062" s="24" t="s">
        <v>1702</v>
      </c>
      <c r="D1062" s="48" t="s">
        <v>1703</v>
      </c>
      <c r="E1062" s="28" t="s">
        <v>1717</v>
      </c>
      <c r="F1062" s="28">
        <v>3.0</v>
      </c>
      <c r="G1062" s="69">
        <v>134700.0</v>
      </c>
      <c r="H1062" s="69">
        <v>17960.0</v>
      </c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</row>
    <row r="1063" ht="17.25" customHeight="1">
      <c r="A1063" s="24" t="s">
        <v>25</v>
      </c>
      <c r="B1063" s="24" t="s">
        <v>91</v>
      </c>
      <c r="C1063" s="24" t="s">
        <v>1702</v>
      </c>
      <c r="D1063" s="48" t="s">
        <v>1703</v>
      </c>
      <c r="E1063" s="28" t="s">
        <v>1718</v>
      </c>
      <c r="F1063" s="28">
        <v>16.0</v>
      </c>
      <c r="G1063" s="69">
        <v>940300.0</v>
      </c>
      <c r="H1063" s="69">
        <v>110000.0</v>
      </c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</row>
    <row r="1064" ht="17.25" customHeight="1">
      <c r="A1064" s="24" t="s">
        <v>25</v>
      </c>
      <c r="B1064" s="24" t="s">
        <v>63</v>
      </c>
      <c r="C1064" s="24" t="s">
        <v>1720</v>
      </c>
      <c r="D1064" s="48" t="s">
        <v>1721</v>
      </c>
      <c r="E1064" s="28" t="s">
        <v>1722</v>
      </c>
      <c r="F1064" s="28">
        <v>0.0</v>
      </c>
      <c r="G1064" s="69">
        <v>0.0</v>
      </c>
      <c r="H1064" s="69">
        <v>0.0</v>
      </c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</row>
    <row r="1065" ht="17.25" customHeight="1">
      <c r="A1065" s="24" t="s">
        <v>25</v>
      </c>
      <c r="B1065" s="24" t="s">
        <v>63</v>
      </c>
      <c r="C1065" s="24" t="s">
        <v>1720</v>
      </c>
      <c r="D1065" s="48" t="s">
        <v>1721</v>
      </c>
      <c r="E1065" s="28" t="s">
        <v>1723</v>
      </c>
      <c r="F1065" s="28">
        <v>0.0</v>
      </c>
      <c r="G1065" s="69">
        <v>0.0</v>
      </c>
      <c r="H1065" s="69">
        <v>0.0</v>
      </c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 ht="17.25" customHeight="1">
      <c r="A1066" s="24" t="s">
        <v>25</v>
      </c>
      <c r="B1066" s="24" t="s">
        <v>91</v>
      </c>
      <c r="C1066" s="24" t="s">
        <v>1452</v>
      </c>
      <c r="D1066" s="48" t="s">
        <v>1451</v>
      </c>
      <c r="E1066" s="28" t="s">
        <v>1725</v>
      </c>
      <c r="F1066" s="28">
        <v>265.0</v>
      </c>
      <c r="G1066" s="69">
        <v>1.158884E7</v>
      </c>
      <c r="H1066" s="69">
        <v>621520.0</v>
      </c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</row>
    <row r="1067" ht="17.25" customHeight="1">
      <c r="A1067" s="24" t="s">
        <v>25</v>
      </c>
      <c r="B1067" s="24" t="s">
        <v>91</v>
      </c>
      <c r="C1067" s="24" t="s">
        <v>1452</v>
      </c>
      <c r="D1067" s="48" t="s">
        <v>1451</v>
      </c>
      <c r="E1067" s="28" t="s">
        <v>1727</v>
      </c>
      <c r="F1067" s="28">
        <v>4.0</v>
      </c>
      <c r="G1067" s="69">
        <v>299400.0</v>
      </c>
      <c r="H1067" s="69">
        <v>10000.0</v>
      </c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</row>
    <row r="1068" ht="17.25" customHeight="1">
      <c r="A1068" s="24" t="s">
        <v>25</v>
      </c>
      <c r="B1068" s="24" t="s">
        <v>91</v>
      </c>
      <c r="C1068" s="24" t="s">
        <v>1418</v>
      </c>
      <c r="D1068" s="48" t="s">
        <v>1417</v>
      </c>
      <c r="E1068" s="28" t="s">
        <v>1729</v>
      </c>
      <c r="F1068" s="28">
        <v>113.0</v>
      </c>
      <c r="G1068" s="69">
        <v>2137130.0</v>
      </c>
      <c r="H1068" s="69">
        <v>75280.0</v>
      </c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</row>
    <row r="1069" ht="17.25" customHeight="1">
      <c r="A1069" s="24" t="s">
        <v>25</v>
      </c>
      <c r="B1069" s="24" t="s">
        <v>91</v>
      </c>
      <c r="C1069" s="24" t="s">
        <v>1418</v>
      </c>
      <c r="D1069" s="48" t="s">
        <v>1417</v>
      </c>
      <c r="E1069" s="28" t="s">
        <v>1731</v>
      </c>
      <c r="F1069" s="28">
        <v>185.0</v>
      </c>
      <c r="G1069" s="69">
        <v>3528940.0</v>
      </c>
      <c r="H1069" s="69">
        <v>207520.0</v>
      </c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</row>
    <row r="1070" ht="17.25" customHeight="1">
      <c r="A1070" s="24" t="s">
        <v>25</v>
      </c>
      <c r="B1070" s="24" t="s">
        <v>63</v>
      </c>
      <c r="C1070" s="24" t="s">
        <v>1734</v>
      </c>
      <c r="D1070" s="48" t="s">
        <v>1735</v>
      </c>
      <c r="E1070" s="28" t="s">
        <v>1736</v>
      </c>
      <c r="F1070" s="28">
        <v>179.0</v>
      </c>
      <c r="G1070" s="69">
        <v>9583000.0</v>
      </c>
      <c r="H1070" s="69">
        <v>721800.0</v>
      </c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</row>
    <row r="1071" ht="17.25" customHeight="1">
      <c r="A1071" s="24" t="s">
        <v>25</v>
      </c>
      <c r="B1071" s="24" t="s">
        <v>63</v>
      </c>
      <c r="C1071" s="24" t="s">
        <v>1734</v>
      </c>
      <c r="D1071" s="48" t="s">
        <v>1735</v>
      </c>
      <c r="E1071" s="28" t="s">
        <v>1738</v>
      </c>
      <c r="F1071" s="28">
        <v>120.0</v>
      </c>
      <c r="G1071" s="69">
        <v>3520000.0</v>
      </c>
      <c r="H1071" s="69">
        <v>208400.0</v>
      </c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</row>
    <row r="1072" ht="17.25" customHeight="1">
      <c r="A1072" s="24" t="s">
        <v>25</v>
      </c>
      <c r="B1072" s="24" t="s">
        <v>91</v>
      </c>
      <c r="C1072" s="24" t="s">
        <v>1734</v>
      </c>
      <c r="D1072" s="48" t="s">
        <v>1735</v>
      </c>
      <c r="E1072" s="28" t="s">
        <v>1740</v>
      </c>
      <c r="F1072" s="28">
        <v>72.0</v>
      </c>
      <c r="G1072" s="69">
        <v>3344000.0</v>
      </c>
      <c r="H1072" s="69">
        <v>273200.0</v>
      </c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</row>
    <row r="1073" ht="17.25" customHeight="1">
      <c r="A1073" s="24" t="s">
        <v>25</v>
      </c>
      <c r="B1073" s="24" t="s">
        <v>63</v>
      </c>
      <c r="C1073" s="24" t="s">
        <v>1741</v>
      </c>
      <c r="D1073" s="48" t="s">
        <v>1742</v>
      </c>
      <c r="E1073" s="28" t="s">
        <v>1743</v>
      </c>
      <c r="F1073" s="28">
        <v>4.0</v>
      </c>
      <c r="G1073" s="69">
        <v>264000.0</v>
      </c>
      <c r="H1073" s="69">
        <v>40000.0</v>
      </c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</row>
    <row r="1074" ht="17.25" customHeight="1">
      <c r="A1074" s="24" t="s">
        <v>25</v>
      </c>
      <c r="B1074" s="24" t="s">
        <v>63</v>
      </c>
      <c r="C1074" s="24" t="s">
        <v>1741</v>
      </c>
      <c r="D1074" s="48" t="s">
        <v>1742</v>
      </c>
      <c r="E1074" s="28" t="s">
        <v>1745</v>
      </c>
      <c r="F1074" s="28">
        <v>0.0</v>
      </c>
      <c r="G1074" s="69">
        <v>0.0</v>
      </c>
      <c r="H1074" s="69">
        <v>0.0</v>
      </c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</row>
    <row r="1075" ht="17.25" customHeight="1">
      <c r="A1075" s="24" t="s">
        <v>25</v>
      </c>
      <c r="B1075" s="24" t="s">
        <v>63</v>
      </c>
      <c r="C1075" s="24" t="s">
        <v>1747</v>
      </c>
      <c r="D1075" s="48" t="s">
        <v>1748</v>
      </c>
      <c r="E1075" s="28" t="s">
        <v>1749</v>
      </c>
      <c r="F1075" s="28">
        <v>0.0</v>
      </c>
      <c r="G1075" s="69">
        <v>0.0</v>
      </c>
      <c r="H1075" s="69">
        <v>0.0</v>
      </c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</row>
    <row r="1076" ht="17.25" customHeight="1">
      <c r="A1076" s="24" t="s">
        <v>25</v>
      </c>
      <c r="B1076" s="24" t="s">
        <v>63</v>
      </c>
      <c r="C1076" s="24" t="s">
        <v>1747</v>
      </c>
      <c r="D1076" s="48" t="s">
        <v>1748</v>
      </c>
      <c r="E1076" s="28" t="s">
        <v>1751</v>
      </c>
      <c r="F1076" s="28">
        <v>1.0</v>
      </c>
      <c r="G1076" s="69">
        <v>40000.0</v>
      </c>
      <c r="H1076" s="69">
        <v>8000.0</v>
      </c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</row>
    <row r="1077" ht="17.25" customHeight="1">
      <c r="A1077" s="24" t="s">
        <v>25</v>
      </c>
      <c r="B1077" s="24" t="s">
        <v>63</v>
      </c>
      <c r="C1077" s="24" t="s">
        <v>1747</v>
      </c>
      <c r="D1077" s="48" t="s">
        <v>1748</v>
      </c>
      <c r="E1077" s="28" t="s">
        <v>1752</v>
      </c>
      <c r="F1077" s="28">
        <v>0.0</v>
      </c>
      <c r="G1077" s="69">
        <v>0.0</v>
      </c>
      <c r="H1077" s="69">
        <v>0.0</v>
      </c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</row>
    <row r="1078" ht="17.25" customHeight="1">
      <c r="A1078" s="24" t="s">
        <v>25</v>
      </c>
      <c r="B1078" s="24" t="s">
        <v>63</v>
      </c>
      <c r="C1078" s="24" t="s">
        <v>1747</v>
      </c>
      <c r="D1078" s="48" t="s">
        <v>1748</v>
      </c>
      <c r="E1078" s="28" t="s">
        <v>1756</v>
      </c>
      <c r="F1078" s="28">
        <v>0.0</v>
      </c>
      <c r="G1078" s="69">
        <v>0.0</v>
      </c>
      <c r="H1078" s="69">
        <v>0.0</v>
      </c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</row>
    <row r="1079" ht="17.25" customHeight="1">
      <c r="A1079" s="24" t="s">
        <v>25</v>
      </c>
      <c r="B1079" s="24" t="s">
        <v>63</v>
      </c>
      <c r="C1079" s="24" t="s">
        <v>1747</v>
      </c>
      <c r="D1079" s="48" t="s">
        <v>1748</v>
      </c>
      <c r="E1079" s="28" t="s">
        <v>1758</v>
      </c>
      <c r="F1079" s="28">
        <v>0.0</v>
      </c>
      <c r="G1079" s="69">
        <v>0.0</v>
      </c>
      <c r="H1079" s="69">
        <v>0.0</v>
      </c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</row>
    <row r="1080" ht="17.25" customHeight="1">
      <c r="A1080" s="24" t="s">
        <v>25</v>
      </c>
      <c r="B1080" s="24" t="s">
        <v>63</v>
      </c>
      <c r="C1080" s="24" t="s">
        <v>1747</v>
      </c>
      <c r="D1080" s="48" t="s">
        <v>1748</v>
      </c>
      <c r="E1080" s="28" t="s">
        <v>1759</v>
      </c>
      <c r="F1080" s="28">
        <v>0.0</v>
      </c>
      <c r="G1080" s="69">
        <v>0.0</v>
      </c>
      <c r="H1080" s="69">
        <v>0.0</v>
      </c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</row>
    <row r="1081" ht="17.25" customHeight="1">
      <c r="A1081" s="24" t="s">
        <v>25</v>
      </c>
      <c r="B1081" s="24" t="s">
        <v>63</v>
      </c>
      <c r="C1081" s="24" t="s">
        <v>1747</v>
      </c>
      <c r="D1081" s="48" t="s">
        <v>1748</v>
      </c>
      <c r="E1081" s="28" t="s">
        <v>1761</v>
      </c>
      <c r="F1081" s="28">
        <v>0.0</v>
      </c>
      <c r="G1081" s="69">
        <v>0.0</v>
      </c>
      <c r="H1081" s="69">
        <v>0.0</v>
      </c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</row>
    <row r="1082" ht="17.25" customHeight="1">
      <c r="A1082" s="24" t="s">
        <v>25</v>
      </c>
      <c r="B1082" s="24" t="s">
        <v>63</v>
      </c>
      <c r="C1082" s="24" t="s">
        <v>1747</v>
      </c>
      <c r="D1082" s="48" t="s">
        <v>1748</v>
      </c>
      <c r="E1082" s="28" t="s">
        <v>1763</v>
      </c>
      <c r="F1082" s="28">
        <v>0.0</v>
      </c>
      <c r="G1082" s="69">
        <v>0.0</v>
      </c>
      <c r="H1082" s="69">
        <v>0.0</v>
      </c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</row>
    <row r="1083" ht="17.25" customHeight="1">
      <c r="A1083" s="24" t="s">
        <v>25</v>
      </c>
      <c r="B1083" s="24" t="s">
        <v>63</v>
      </c>
      <c r="C1083" s="24" t="s">
        <v>1747</v>
      </c>
      <c r="D1083" s="48" t="s">
        <v>1748</v>
      </c>
      <c r="E1083" s="28" t="s">
        <v>1765</v>
      </c>
      <c r="F1083" s="28">
        <v>0.0</v>
      </c>
      <c r="G1083" s="69">
        <v>0.0</v>
      </c>
      <c r="H1083" s="69">
        <v>0.0</v>
      </c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</row>
    <row r="1084" ht="17.25" customHeight="1">
      <c r="A1084" s="24" t="s">
        <v>25</v>
      </c>
      <c r="B1084" s="24" t="s">
        <v>63</v>
      </c>
      <c r="C1084" s="24" t="s">
        <v>1747</v>
      </c>
      <c r="D1084" s="48" t="s">
        <v>1748</v>
      </c>
      <c r="E1084" s="28" t="s">
        <v>1766</v>
      </c>
      <c r="F1084" s="28">
        <v>0.0</v>
      </c>
      <c r="G1084" s="69">
        <v>0.0</v>
      </c>
      <c r="H1084" s="69">
        <v>0.0</v>
      </c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</row>
    <row r="1085" ht="17.25" customHeight="1">
      <c r="A1085" s="24" t="s">
        <v>25</v>
      </c>
      <c r="B1085" s="24" t="s">
        <v>63</v>
      </c>
      <c r="C1085" s="24" t="s">
        <v>1747</v>
      </c>
      <c r="D1085" s="48" t="s">
        <v>1748</v>
      </c>
      <c r="E1085" s="28" t="s">
        <v>1768</v>
      </c>
      <c r="F1085" s="28">
        <v>0.0</v>
      </c>
      <c r="G1085" s="69">
        <v>0.0</v>
      </c>
      <c r="H1085" s="69">
        <v>0.0</v>
      </c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</row>
    <row r="1086" ht="17.25" customHeight="1">
      <c r="A1086" s="24" t="s">
        <v>25</v>
      </c>
      <c r="B1086" s="24" t="s">
        <v>63</v>
      </c>
      <c r="C1086" s="24" t="s">
        <v>1747</v>
      </c>
      <c r="D1086" s="48" t="s">
        <v>1748</v>
      </c>
      <c r="E1086" s="28" t="s">
        <v>1770</v>
      </c>
      <c r="F1086" s="28">
        <v>0.0</v>
      </c>
      <c r="G1086" s="69">
        <v>0.0</v>
      </c>
      <c r="H1086" s="69">
        <v>0.0</v>
      </c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</row>
    <row r="1087" ht="17.25" customHeight="1">
      <c r="A1087" s="24" t="s">
        <v>25</v>
      </c>
      <c r="B1087" s="24" t="s">
        <v>63</v>
      </c>
      <c r="C1087" s="24" t="s">
        <v>1747</v>
      </c>
      <c r="D1087" s="48" t="s">
        <v>1748</v>
      </c>
      <c r="E1087" s="28" t="s">
        <v>1771</v>
      </c>
      <c r="F1087" s="28">
        <v>0.0</v>
      </c>
      <c r="G1087" s="69">
        <v>0.0</v>
      </c>
      <c r="H1087" s="69">
        <v>0.0</v>
      </c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</row>
    <row r="1088" ht="17.25" customHeight="1">
      <c r="A1088" s="24" t="s">
        <v>25</v>
      </c>
      <c r="B1088" s="24" t="s">
        <v>63</v>
      </c>
      <c r="C1088" s="24" t="s">
        <v>1747</v>
      </c>
      <c r="D1088" s="48" t="s">
        <v>1748</v>
      </c>
      <c r="E1088" s="28" t="s">
        <v>1773</v>
      </c>
      <c r="F1088" s="28">
        <v>0.0</v>
      </c>
      <c r="G1088" s="69">
        <v>0.0</v>
      </c>
      <c r="H1088" s="69">
        <v>0.0</v>
      </c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</row>
    <row r="1089" ht="17.25" customHeight="1">
      <c r="A1089" s="24" t="s">
        <v>25</v>
      </c>
      <c r="B1089" s="24" t="s">
        <v>63</v>
      </c>
      <c r="C1089" s="24" t="s">
        <v>1747</v>
      </c>
      <c r="D1089" s="48" t="s">
        <v>1748</v>
      </c>
      <c r="E1089" s="28" t="s">
        <v>1775</v>
      </c>
      <c r="F1089" s="28">
        <v>0.0</v>
      </c>
      <c r="G1089" s="69">
        <v>0.0</v>
      </c>
      <c r="H1089" s="69">
        <v>0.0</v>
      </c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</row>
    <row r="1090" ht="17.25" customHeight="1">
      <c r="A1090" s="24" t="s">
        <v>25</v>
      </c>
      <c r="B1090" s="24" t="s">
        <v>63</v>
      </c>
      <c r="C1090" s="24" t="s">
        <v>1747</v>
      </c>
      <c r="D1090" s="48" t="s">
        <v>1748</v>
      </c>
      <c r="E1090" s="28" t="s">
        <v>1777</v>
      </c>
      <c r="F1090" s="28">
        <v>0.0</v>
      </c>
      <c r="G1090" s="69">
        <v>0.0</v>
      </c>
      <c r="H1090" s="69">
        <v>0.0</v>
      </c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</row>
    <row r="1091" ht="17.25" customHeight="1">
      <c r="A1091" s="24" t="s">
        <v>25</v>
      </c>
      <c r="B1091" s="24" t="s">
        <v>63</v>
      </c>
      <c r="C1091" s="24" t="s">
        <v>1747</v>
      </c>
      <c r="D1091" s="48" t="s">
        <v>1748</v>
      </c>
      <c r="E1091" s="28" t="s">
        <v>1778</v>
      </c>
      <c r="F1091" s="28">
        <v>0.0</v>
      </c>
      <c r="G1091" s="69">
        <v>0.0</v>
      </c>
      <c r="H1091" s="69">
        <v>0.0</v>
      </c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</row>
    <row r="1092" ht="17.25" customHeight="1">
      <c r="A1092" s="24" t="s">
        <v>25</v>
      </c>
      <c r="B1092" s="24" t="s">
        <v>63</v>
      </c>
      <c r="C1092" s="24" t="s">
        <v>1779</v>
      </c>
      <c r="D1092" s="48" t="s">
        <v>1780</v>
      </c>
      <c r="E1092" s="28" t="s">
        <v>1781</v>
      </c>
      <c r="F1092" s="28">
        <v>1.0</v>
      </c>
      <c r="G1092" s="69">
        <v>80000.0</v>
      </c>
      <c r="H1092" s="69">
        <v>0.0</v>
      </c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</row>
    <row r="1093" ht="17.25" customHeight="1">
      <c r="A1093" s="24" t="s">
        <v>25</v>
      </c>
      <c r="B1093" s="24" t="s">
        <v>63</v>
      </c>
      <c r="C1093" s="24" t="s">
        <v>1779</v>
      </c>
      <c r="D1093" s="48" t="s">
        <v>1780</v>
      </c>
      <c r="E1093" s="28" t="s">
        <v>1783</v>
      </c>
      <c r="F1093" s="28">
        <v>19.0</v>
      </c>
      <c r="G1093" s="69">
        <v>307500.0</v>
      </c>
      <c r="H1093" s="69">
        <v>25800.0</v>
      </c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</row>
    <row r="1094" ht="17.25" customHeight="1">
      <c r="A1094" s="24" t="s">
        <v>25</v>
      </c>
      <c r="B1094" s="24" t="s">
        <v>63</v>
      </c>
      <c r="C1094" s="24" t="s">
        <v>1779</v>
      </c>
      <c r="D1094" s="48" t="s">
        <v>1780</v>
      </c>
      <c r="E1094" s="28" t="s">
        <v>1785</v>
      </c>
      <c r="F1094" s="28">
        <v>0.0</v>
      </c>
      <c r="G1094" s="69">
        <v>0.0</v>
      </c>
      <c r="H1094" s="69">
        <v>0.0</v>
      </c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</row>
    <row r="1095" ht="17.25" customHeight="1">
      <c r="A1095" s="24" t="s">
        <v>25</v>
      </c>
      <c r="B1095" s="24" t="s">
        <v>91</v>
      </c>
      <c r="C1095" s="24" t="s">
        <v>48</v>
      </c>
      <c r="D1095" s="48" t="s">
        <v>47</v>
      </c>
      <c r="E1095" s="28" t="s">
        <v>1786</v>
      </c>
      <c r="F1095" s="28">
        <v>124.0</v>
      </c>
      <c r="G1095" s="69">
        <v>5319400.0</v>
      </c>
      <c r="H1095" s="69">
        <v>477360.0</v>
      </c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</row>
    <row r="1096" ht="17.25" customHeight="1">
      <c r="A1096" s="24" t="s">
        <v>25</v>
      </c>
      <c r="B1096" s="24" t="s">
        <v>99</v>
      </c>
      <c r="C1096" s="24" t="s">
        <v>490</v>
      </c>
      <c r="D1096" s="48" t="s">
        <v>489</v>
      </c>
      <c r="E1096" s="28" t="s">
        <v>1788</v>
      </c>
      <c r="F1096" s="28">
        <v>4815.0</v>
      </c>
      <c r="G1096" s="69">
        <v>1.0258276E8</v>
      </c>
      <c r="H1096" s="69">
        <v>4101510.0</v>
      </c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</row>
    <row r="1097" ht="17.25" customHeight="1">
      <c r="A1097" s="24" t="s">
        <v>25</v>
      </c>
      <c r="B1097" s="24" t="s">
        <v>99</v>
      </c>
      <c r="C1097" s="24" t="s">
        <v>490</v>
      </c>
      <c r="D1097" s="48" t="s">
        <v>489</v>
      </c>
      <c r="E1097" s="28" t="s">
        <v>1789</v>
      </c>
      <c r="F1097" s="28">
        <v>141.0</v>
      </c>
      <c r="G1097" s="69">
        <v>2996900.0</v>
      </c>
      <c r="H1097" s="69">
        <v>99860.0</v>
      </c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</row>
    <row r="1098" ht="17.25" customHeight="1">
      <c r="A1098" s="24" t="s">
        <v>25</v>
      </c>
      <c r="B1098" s="24" t="s">
        <v>99</v>
      </c>
      <c r="C1098" s="24" t="s">
        <v>490</v>
      </c>
      <c r="D1098" s="48" t="s">
        <v>489</v>
      </c>
      <c r="E1098" s="28" t="s">
        <v>1791</v>
      </c>
      <c r="F1098" s="28">
        <v>100.0</v>
      </c>
      <c r="G1098" s="69">
        <v>1481250.0</v>
      </c>
      <c r="H1098" s="69">
        <v>20900.0</v>
      </c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</row>
    <row r="1099" ht="17.25" customHeight="1">
      <c r="A1099" s="24" t="s">
        <v>25</v>
      </c>
      <c r="B1099" s="24" t="s">
        <v>99</v>
      </c>
      <c r="C1099" s="24" t="s">
        <v>490</v>
      </c>
      <c r="D1099" s="48" t="s">
        <v>489</v>
      </c>
      <c r="E1099" s="28" t="s">
        <v>1793</v>
      </c>
      <c r="F1099" s="28">
        <v>47.0</v>
      </c>
      <c r="G1099" s="69">
        <v>918650.0</v>
      </c>
      <c r="H1099" s="69">
        <v>4180.0</v>
      </c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</row>
    <row r="1100" ht="17.25" customHeight="1">
      <c r="A1100" s="24" t="s">
        <v>25</v>
      </c>
      <c r="B1100" s="24" t="s">
        <v>99</v>
      </c>
      <c r="C1100" s="24" t="s">
        <v>490</v>
      </c>
      <c r="D1100" s="48" t="s">
        <v>489</v>
      </c>
      <c r="E1100" s="28" t="s">
        <v>1794</v>
      </c>
      <c r="F1100" s="28">
        <v>56.0</v>
      </c>
      <c r="G1100" s="69">
        <v>1423800.0</v>
      </c>
      <c r="H1100" s="69">
        <v>124870.0</v>
      </c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</row>
    <row r="1101" ht="17.25" customHeight="1">
      <c r="A1101" s="24" t="s">
        <v>25</v>
      </c>
      <c r="B1101" s="24" t="s">
        <v>99</v>
      </c>
      <c r="C1101" s="24" t="s">
        <v>490</v>
      </c>
      <c r="D1101" s="48" t="s">
        <v>489</v>
      </c>
      <c r="E1101" s="28" t="s">
        <v>1796</v>
      </c>
      <c r="F1101" s="28">
        <v>29.0</v>
      </c>
      <c r="G1101" s="69">
        <v>681400.0</v>
      </c>
      <c r="H1101" s="69">
        <v>8760.0</v>
      </c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</row>
    <row r="1102" ht="17.25" customHeight="1">
      <c r="A1102" s="24" t="s">
        <v>25</v>
      </c>
      <c r="B1102" s="24" t="s">
        <v>91</v>
      </c>
      <c r="C1102" s="24" t="s">
        <v>1797</v>
      </c>
      <c r="D1102" s="48" t="s">
        <v>1799</v>
      </c>
      <c r="E1102" s="28" t="s">
        <v>1800</v>
      </c>
      <c r="F1102" s="28">
        <v>95.0</v>
      </c>
      <c r="G1102" s="69">
        <v>7333200.0</v>
      </c>
      <c r="H1102" s="69">
        <v>550000.0</v>
      </c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</row>
    <row r="1103" ht="17.25" customHeight="1">
      <c r="A1103" s="24" t="s">
        <v>25</v>
      </c>
      <c r="B1103" s="24" t="s">
        <v>91</v>
      </c>
      <c r="C1103" s="24" t="s">
        <v>1797</v>
      </c>
      <c r="D1103" s="48" t="s">
        <v>1799</v>
      </c>
      <c r="E1103" s="28" t="s">
        <v>1801</v>
      </c>
      <c r="F1103" s="28">
        <v>121.0</v>
      </c>
      <c r="G1103" s="69">
        <v>4334400.0</v>
      </c>
      <c r="H1103" s="69">
        <v>674690.0</v>
      </c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</row>
    <row r="1104" ht="17.25" customHeight="1">
      <c r="A1104" s="24" t="s">
        <v>25</v>
      </c>
      <c r="B1104" s="24" t="s">
        <v>91</v>
      </c>
      <c r="C1104" s="24" t="s">
        <v>1797</v>
      </c>
      <c r="D1104" s="48" t="s">
        <v>1799</v>
      </c>
      <c r="E1104" s="28" t="s">
        <v>1803</v>
      </c>
      <c r="F1104" s="28">
        <v>10.0</v>
      </c>
      <c r="G1104" s="69">
        <v>482900.0</v>
      </c>
      <c r="H1104" s="69">
        <v>45120.0</v>
      </c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</row>
    <row r="1105" ht="17.25" customHeight="1">
      <c r="A1105" s="24" t="s">
        <v>25</v>
      </c>
      <c r="B1105" s="24" t="s">
        <v>91</v>
      </c>
      <c r="C1105" s="24" t="s">
        <v>1797</v>
      </c>
      <c r="D1105" s="48" t="s">
        <v>1799</v>
      </c>
      <c r="E1105" s="28" t="s">
        <v>1805</v>
      </c>
      <c r="F1105" s="28">
        <v>0.0</v>
      </c>
      <c r="G1105" s="69">
        <v>0.0</v>
      </c>
      <c r="H1105" s="69">
        <v>0.0</v>
      </c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</row>
    <row r="1106" ht="17.25" customHeight="1">
      <c r="A1106" s="24" t="s">
        <v>25</v>
      </c>
      <c r="B1106" s="24" t="s">
        <v>91</v>
      </c>
      <c r="C1106" s="24" t="s">
        <v>1797</v>
      </c>
      <c r="D1106" s="48" t="s">
        <v>1799</v>
      </c>
      <c r="E1106" s="28" t="s">
        <v>1806</v>
      </c>
      <c r="F1106" s="28">
        <v>6.0</v>
      </c>
      <c r="G1106" s="69">
        <v>246000.0</v>
      </c>
      <c r="H1106" s="69">
        <v>40680.0</v>
      </c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</row>
    <row r="1107" ht="17.25" customHeight="1">
      <c r="A1107" s="24" t="s">
        <v>25</v>
      </c>
      <c r="B1107" s="24" t="s">
        <v>91</v>
      </c>
      <c r="C1107" s="24" t="s">
        <v>1810</v>
      </c>
      <c r="D1107" s="48" t="s">
        <v>1811</v>
      </c>
      <c r="E1107" s="28" t="s">
        <v>1812</v>
      </c>
      <c r="F1107" s="28">
        <v>92.0</v>
      </c>
      <c r="G1107" s="69">
        <v>1481700.0</v>
      </c>
      <c r="H1107" s="69">
        <v>205380.0</v>
      </c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</row>
    <row r="1108" ht="17.25" customHeight="1">
      <c r="A1108" s="24" t="s">
        <v>25</v>
      </c>
      <c r="B1108" s="24" t="s">
        <v>91</v>
      </c>
      <c r="C1108" s="24" t="s">
        <v>1810</v>
      </c>
      <c r="D1108" s="48" t="s">
        <v>1811</v>
      </c>
      <c r="E1108" s="28" t="s">
        <v>1814</v>
      </c>
      <c r="F1108" s="28">
        <v>0.0</v>
      </c>
      <c r="G1108" s="69">
        <v>0.0</v>
      </c>
      <c r="H1108" s="69">
        <v>0.0</v>
      </c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</row>
    <row r="1109" ht="17.25" customHeight="1">
      <c r="A1109" s="24" t="s">
        <v>25</v>
      </c>
      <c r="B1109" s="24" t="s">
        <v>63</v>
      </c>
      <c r="C1109" s="24" t="s">
        <v>1816</v>
      </c>
      <c r="D1109" s="48" t="s">
        <v>1817</v>
      </c>
      <c r="E1109" s="28" t="s">
        <v>1818</v>
      </c>
      <c r="F1109" s="28">
        <v>135.0</v>
      </c>
      <c r="G1109" s="69">
        <v>4683410.0</v>
      </c>
      <c r="H1109" s="69">
        <v>450580.0</v>
      </c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</row>
    <row r="1110" ht="17.25" customHeight="1">
      <c r="A1110" s="24" t="s">
        <v>25</v>
      </c>
      <c r="B1110" s="24" t="s">
        <v>63</v>
      </c>
      <c r="C1110" s="24" t="s">
        <v>1816</v>
      </c>
      <c r="D1110" s="48" t="s">
        <v>1817</v>
      </c>
      <c r="E1110" s="28" t="s">
        <v>1820</v>
      </c>
      <c r="F1110" s="28">
        <v>148.0</v>
      </c>
      <c r="G1110" s="69">
        <v>2524500.0</v>
      </c>
      <c r="H1110" s="69">
        <v>209100.0</v>
      </c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</row>
    <row r="1111" ht="17.25" customHeight="1">
      <c r="A1111" s="24" t="s">
        <v>25</v>
      </c>
      <c r="B1111" s="24" t="s">
        <v>63</v>
      </c>
      <c r="C1111" s="24" t="s">
        <v>1816</v>
      </c>
      <c r="D1111" s="48" t="s">
        <v>1817</v>
      </c>
      <c r="E1111" s="28" t="s">
        <v>1821</v>
      </c>
      <c r="F1111" s="28">
        <v>13.0</v>
      </c>
      <c r="G1111" s="69">
        <v>123500.0</v>
      </c>
      <c r="H1111" s="69">
        <v>9500.0</v>
      </c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</row>
    <row r="1112" ht="17.25" customHeight="1">
      <c r="A1112" s="24" t="s">
        <v>25</v>
      </c>
      <c r="B1112" s="24" t="s">
        <v>63</v>
      </c>
      <c r="C1112" s="24" t="s">
        <v>1816</v>
      </c>
      <c r="D1112" s="48" t="s">
        <v>1817</v>
      </c>
      <c r="E1112" s="28" t="s">
        <v>1822</v>
      </c>
      <c r="F1112" s="28">
        <v>0.0</v>
      </c>
      <c r="G1112" s="69">
        <v>0.0</v>
      </c>
      <c r="H1112" s="69">
        <v>0.0</v>
      </c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</row>
    <row r="1113" ht="17.25" customHeight="1">
      <c r="A1113" s="24" t="s">
        <v>25</v>
      </c>
      <c r="B1113" s="24" t="s">
        <v>63</v>
      </c>
      <c r="C1113" s="24" t="s">
        <v>1816</v>
      </c>
      <c r="D1113" s="48" t="s">
        <v>1817</v>
      </c>
      <c r="E1113" s="28" t="s">
        <v>1824</v>
      </c>
      <c r="F1113" s="28">
        <v>0.0</v>
      </c>
      <c r="G1113" s="69">
        <v>0.0</v>
      </c>
      <c r="H1113" s="69">
        <v>0.0</v>
      </c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</row>
    <row r="1114" ht="17.25" customHeight="1">
      <c r="A1114" s="24" t="s">
        <v>25</v>
      </c>
      <c r="B1114" s="24" t="s">
        <v>63</v>
      </c>
      <c r="C1114" s="24" t="s">
        <v>1816</v>
      </c>
      <c r="D1114" s="48" t="s">
        <v>1817</v>
      </c>
      <c r="E1114" s="28" t="s">
        <v>1825</v>
      </c>
      <c r="F1114" s="28">
        <v>1.0</v>
      </c>
      <c r="G1114" s="69">
        <v>50000.0</v>
      </c>
      <c r="H1114" s="69">
        <v>8500.0</v>
      </c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</row>
    <row r="1115" ht="17.25" customHeight="1">
      <c r="A1115" s="24" t="s">
        <v>25</v>
      </c>
      <c r="B1115" s="24" t="s">
        <v>63</v>
      </c>
      <c r="C1115" s="24" t="s">
        <v>1816</v>
      </c>
      <c r="D1115" s="48" t="s">
        <v>1817</v>
      </c>
      <c r="E1115" s="28" t="s">
        <v>1827</v>
      </c>
      <c r="F1115" s="28">
        <v>1.0</v>
      </c>
      <c r="G1115" s="69">
        <v>36000.0</v>
      </c>
      <c r="H1115" s="69">
        <v>6120.0</v>
      </c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</row>
    <row r="1116" ht="17.25" customHeight="1">
      <c r="A1116" s="24" t="s">
        <v>25</v>
      </c>
      <c r="B1116" s="24" t="s">
        <v>63</v>
      </c>
      <c r="C1116" s="24" t="s">
        <v>1816</v>
      </c>
      <c r="D1116" s="48" t="s">
        <v>1817</v>
      </c>
      <c r="E1116" s="28" t="s">
        <v>1829</v>
      </c>
      <c r="F1116" s="28">
        <v>0.0</v>
      </c>
      <c r="G1116" s="69">
        <v>0.0</v>
      </c>
      <c r="H1116" s="69">
        <v>0.0</v>
      </c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</row>
    <row r="1117" ht="17.25" customHeight="1">
      <c r="A1117" s="24" t="s">
        <v>25</v>
      </c>
      <c r="B1117" s="24" t="s">
        <v>63</v>
      </c>
      <c r="C1117" s="24" t="s">
        <v>1816</v>
      </c>
      <c r="D1117" s="48" t="s">
        <v>1817</v>
      </c>
      <c r="E1117" s="28" t="s">
        <v>1831</v>
      </c>
      <c r="F1117" s="28">
        <v>1.0</v>
      </c>
      <c r="G1117" s="69">
        <v>18000.0</v>
      </c>
      <c r="H1117" s="69">
        <v>3060.0</v>
      </c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</row>
    <row r="1118" ht="17.25" customHeight="1">
      <c r="A1118" s="24" t="s">
        <v>25</v>
      </c>
      <c r="B1118" s="24" t="s">
        <v>63</v>
      </c>
      <c r="C1118" s="24" t="s">
        <v>1816</v>
      </c>
      <c r="D1118" s="48" t="s">
        <v>1817</v>
      </c>
      <c r="E1118" s="28" t="s">
        <v>1832</v>
      </c>
      <c r="F1118" s="28">
        <v>1.0</v>
      </c>
      <c r="G1118" s="69">
        <v>30000.0</v>
      </c>
      <c r="H1118" s="69">
        <v>0.0</v>
      </c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</row>
    <row r="1119" ht="17.25" customHeight="1">
      <c r="A1119" s="24" t="s">
        <v>25</v>
      </c>
      <c r="B1119" s="24" t="s">
        <v>63</v>
      </c>
      <c r="C1119" s="24" t="s">
        <v>1816</v>
      </c>
      <c r="D1119" s="48" t="s">
        <v>1817</v>
      </c>
      <c r="E1119" s="28" t="s">
        <v>1834</v>
      </c>
      <c r="F1119" s="28">
        <v>1.0</v>
      </c>
      <c r="G1119" s="69">
        <v>50000.0</v>
      </c>
      <c r="H1119" s="69">
        <v>8500.0</v>
      </c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</row>
    <row r="1120" ht="17.25" customHeight="1">
      <c r="A1120" s="24" t="s">
        <v>25</v>
      </c>
      <c r="B1120" s="24" t="s">
        <v>63</v>
      </c>
      <c r="C1120" s="24" t="s">
        <v>1816</v>
      </c>
      <c r="D1120" s="48" t="s">
        <v>1817</v>
      </c>
      <c r="E1120" s="28" t="s">
        <v>1836</v>
      </c>
      <c r="F1120" s="28">
        <v>0.0</v>
      </c>
      <c r="G1120" s="69">
        <v>0.0</v>
      </c>
      <c r="H1120" s="69">
        <v>0.0</v>
      </c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</row>
    <row r="1121" ht="17.25" customHeight="1">
      <c r="A1121" s="24" t="s">
        <v>25</v>
      </c>
      <c r="B1121" s="24" t="s">
        <v>63</v>
      </c>
      <c r="C1121" s="24" t="s">
        <v>1816</v>
      </c>
      <c r="D1121" s="48" t="s">
        <v>1817</v>
      </c>
      <c r="E1121" s="28" t="s">
        <v>1837</v>
      </c>
      <c r="F1121" s="28">
        <v>1.0</v>
      </c>
      <c r="G1121" s="69">
        <v>60000.0</v>
      </c>
      <c r="H1121" s="69">
        <v>10000.0</v>
      </c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</row>
    <row r="1122" ht="17.25" customHeight="1">
      <c r="A1122" s="24" t="s">
        <v>25</v>
      </c>
      <c r="B1122" s="24" t="s">
        <v>63</v>
      </c>
      <c r="C1122" s="24" t="s">
        <v>1816</v>
      </c>
      <c r="D1122" s="48" t="s">
        <v>1817</v>
      </c>
      <c r="E1122" s="28" t="s">
        <v>1839</v>
      </c>
      <c r="F1122" s="28">
        <v>0.0</v>
      </c>
      <c r="G1122" s="69">
        <v>0.0</v>
      </c>
      <c r="H1122" s="69">
        <v>0.0</v>
      </c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</row>
    <row r="1123" ht="17.25" customHeight="1">
      <c r="A1123" s="24" t="s">
        <v>25</v>
      </c>
      <c r="B1123" s="24" t="s">
        <v>63</v>
      </c>
      <c r="C1123" s="24" t="s">
        <v>1816</v>
      </c>
      <c r="D1123" s="48" t="s">
        <v>1817</v>
      </c>
      <c r="E1123" s="28" t="s">
        <v>1842</v>
      </c>
      <c r="F1123" s="28">
        <v>0.0</v>
      </c>
      <c r="G1123" s="69">
        <v>0.0</v>
      </c>
      <c r="H1123" s="69">
        <v>0.0</v>
      </c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</row>
    <row r="1124" ht="17.25" customHeight="1">
      <c r="A1124" s="24" t="s">
        <v>25</v>
      </c>
      <c r="B1124" s="24" t="s">
        <v>63</v>
      </c>
      <c r="C1124" s="24" t="s">
        <v>1816</v>
      </c>
      <c r="D1124" s="48" t="s">
        <v>1817</v>
      </c>
      <c r="E1124" s="28" t="s">
        <v>1844</v>
      </c>
      <c r="F1124" s="28">
        <v>0.0</v>
      </c>
      <c r="G1124" s="69">
        <v>0.0</v>
      </c>
      <c r="H1124" s="69">
        <v>0.0</v>
      </c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</row>
    <row r="1125" ht="17.25" customHeight="1">
      <c r="A1125" s="24" t="s">
        <v>25</v>
      </c>
      <c r="B1125" s="24" t="s">
        <v>63</v>
      </c>
      <c r="C1125" s="24" t="s">
        <v>1816</v>
      </c>
      <c r="D1125" s="48" t="s">
        <v>1817</v>
      </c>
      <c r="E1125" s="28" t="s">
        <v>1846</v>
      </c>
      <c r="F1125" s="28">
        <v>0.0</v>
      </c>
      <c r="G1125" s="69">
        <v>0.0</v>
      </c>
      <c r="H1125" s="69">
        <v>0.0</v>
      </c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</row>
    <row r="1126" ht="17.25" customHeight="1">
      <c r="A1126" s="24" t="s">
        <v>25</v>
      </c>
      <c r="B1126" s="24" t="s">
        <v>63</v>
      </c>
      <c r="C1126" s="24" t="s">
        <v>1816</v>
      </c>
      <c r="D1126" s="48" t="s">
        <v>1817</v>
      </c>
      <c r="E1126" s="28" t="s">
        <v>1847</v>
      </c>
      <c r="F1126" s="28">
        <v>1.0</v>
      </c>
      <c r="G1126" s="69">
        <v>59000.0</v>
      </c>
      <c r="H1126" s="69">
        <v>9440.0</v>
      </c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</row>
    <row r="1127" ht="17.25" customHeight="1">
      <c r="A1127" s="24" t="s">
        <v>25</v>
      </c>
      <c r="B1127" s="24" t="s">
        <v>63</v>
      </c>
      <c r="C1127" s="24" t="s">
        <v>1816</v>
      </c>
      <c r="D1127" s="48" t="s">
        <v>1817</v>
      </c>
      <c r="E1127" s="28" t="s">
        <v>1849</v>
      </c>
      <c r="F1127" s="28">
        <v>0.0</v>
      </c>
      <c r="G1127" s="69">
        <v>0.0</v>
      </c>
      <c r="H1127" s="69">
        <v>0.0</v>
      </c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</row>
    <row r="1128" ht="17.25" customHeight="1">
      <c r="A1128" s="24" t="s">
        <v>25</v>
      </c>
      <c r="B1128" s="24" t="s">
        <v>63</v>
      </c>
      <c r="C1128" s="24" t="s">
        <v>1816</v>
      </c>
      <c r="D1128" s="48" t="s">
        <v>1817</v>
      </c>
      <c r="E1128" s="28" t="s">
        <v>1851</v>
      </c>
      <c r="F1128" s="28">
        <v>0.0</v>
      </c>
      <c r="G1128" s="69">
        <v>0.0</v>
      </c>
      <c r="H1128" s="69">
        <v>0.0</v>
      </c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</row>
    <row r="1129" ht="17.25" customHeight="1">
      <c r="A1129" s="24" t="s">
        <v>25</v>
      </c>
      <c r="B1129" s="24" t="s">
        <v>63</v>
      </c>
      <c r="C1129" s="24" t="s">
        <v>1816</v>
      </c>
      <c r="D1129" s="48" t="s">
        <v>1817</v>
      </c>
      <c r="E1129" s="28" t="s">
        <v>1853</v>
      </c>
      <c r="F1129" s="28">
        <v>0.0</v>
      </c>
      <c r="G1129" s="69">
        <v>0.0</v>
      </c>
      <c r="H1129" s="69">
        <v>0.0</v>
      </c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</row>
    <row r="1130" ht="17.25" customHeight="1">
      <c r="A1130" s="24" t="s">
        <v>25</v>
      </c>
      <c r="B1130" s="24" t="s">
        <v>91</v>
      </c>
      <c r="C1130" s="24" t="s">
        <v>1854</v>
      </c>
      <c r="D1130" s="48" t="s">
        <v>1855</v>
      </c>
      <c r="E1130" s="28" t="s">
        <v>1856</v>
      </c>
      <c r="F1130" s="28">
        <v>0.0</v>
      </c>
      <c r="G1130" s="69">
        <v>0.0</v>
      </c>
      <c r="H1130" s="69">
        <v>0.0</v>
      </c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</row>
    <row r="1131" ht="17.25" customHeight="1">
      <c r="A1131" s="24" t="s">
        <v>25</v>
      </c>
      <c r="B1131" s="24" t="s">
        <v>91</v>
      </c>
      <c r="C1131" s="24" t="s">
        <v>1854</v>
      </c>
      <c r="D1131" s="48" t="s">
        <v>1855</v>
      </c>
      <c r="E1131" s="28" t="s">
        <v>1858</v>
      </c>
      <c r="F1131" s="28">
        <v>0.0</v>
      </c>
      <c r="G1131" s="69">
        <v>0.0</v>
      </c>
      <c r="H1131" s="69">
        <v>0.0</v>
      </c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</row>
    <row r="1132" ht="17.25" customHeight="1">
      <c r="A1132" s="24" t="s">
        <v>25</v>
      </c>
      <c r="B1132" s="24" t="s">
        <v>91</v>
      </c>
      <c r="C1132" s="24" t="s">
        <v>1854</v>
      </c>
      <c r="D1132" s="48" t="s">
        <v>1855</v>
      </c>
      <c r="E1132" s="28" t="s">
        <v>1859</v>
      </c>
      <c r="F1132" s="28">
        <v>0.0</v>
      </c>
      <c r="G1132" s="69">
        <v>0.0</v>
      </c>
      <c r="H1132" s="69">
        <v>0.0</v>
      </c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</row>
    <row r="1133" ht="17.25" customHeight="1">
      <c r="A1133" s="24" t="s">
        <v>25</v>
      </c>
      <c r="B1133" s="24" t="s">
        <v>91</v>
      </c>
      <c r="C1133" s="24" t="s">
        <v>1854</v>
      </c>
      <c r="D1133" s="48" t="s">
        <v>1855</v>
      </c>
      <c r="E1133" s="28" t="s">
        <v>1861</v>
      </c>
      <c r="F1133" s="28">
        <v>1.0</v>
      </c>
      <c r="G1133" s="69">
        <v>36900.0</v>
      </c>
      <c r="H1133" s="69">
        <v>0.0</v>
      </c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</row>
    <row r="1134" ht="17.25" customHeight="1">
      <c r="A1134" s="24" t="s">
        <v>25</v>
      </c>
      <c r="B1134" s="24" t="s">
        <v>91</v>
      </c>
      <c r="C1134" s="24" t="s">
        <v>1854</v>
      </c>
      <c r="D1134" s="48" t="s">
        <v>1855</v>
      </c>
      <c r="E1134" s="28" t="s">
        <v>1863</v>
      </c>
      <c r="F1134" s="28">
        <v>0.0</v>
      </c>
      <c r="G1134" s="69">
        <v>0.0</v>
      </c>
      <c r="H1134" s="69">
        <v>0.0</v>
      </c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</row>
    <row r="1135" ht="17.25" customHeight="1">
      <c r="A1135" s="24" t="s">
        <v>25</v>
      </c>
      <c r="B1135" s="24" t="s">
        <v>63</v>
      </c>
      <c r="C1135" s="24" t="s">
        <v>1462</v>
      </c>
      <c r="D1135" s="48" t="s">
        <v>547</v>
      </c>
      <c r="E1135" s="28" t="s">
        <v>1864</v>
      </c>
      <c r="F1135" s="28">
        <v>18.0</v>
      </c>
      <c r="G1135" s="69">
        <v>260500.0</v>
      </c>
      <c r="H1135" s="69">
        <v>6660.0</v>
      </c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</row>
    <row r="1136" ht="17.25" customHeight="1">
      <c r="A1136" s="24" t="s">
        <v>25</v>
      </c>
      <c r="B1136" s="24" t="s">
        <v>63</v>
      </c>
      <c r="C1136" s="24" t="s">
        <v>1866</v>
      </c>
      <c r="D1136" s="48" t="s">
        <v>1867</v>
      </c>
      <c r="E1136" s="28" t="s">
        <v>1868</v>
      </c>
      <c r="F1136" s="28">
        <v>17.0</v>
      </c>
      <c r="G1136" s="69">
        <v>325500.0</v>
      </c>
      <c r="H1136" s="69">
        <v>39600.0</v>
      </c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</row>
    <row r="1137" ht="17.25" customHeight="1">
      <c r="A1137" s="24" t="s">
        <v>25</v>
      </c>
      <c r="B1137" s="24" t="s">
        <v>63</v>
      </c>
      <c r="C1137" s="24" t="s">
        <v>1866</v>
      </c>
      <c r="D1137" s="48" t="s">
        <v>1867</v>
      </c>
      <c r="E1137" s="28" t="s">
        <v>1870</v>
      </c>
      <c r="F1137" s="28">
        <v>2.0</v>
      </c>
      <c r="G1137" s="69">
        <v>10500.0</v>
      </c>
      <c r="H1137" s="69">
        <v>0.0</v>
      </c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</row>
    <row r="1138" ht="17.25" customHeight="1">
      <c r="A1138" s="24" t="s">
        <v>25</v>
      </c>
      <c r="B1138" s="24" t="s">
        <v>63</v>
      </c>
      <c r="C1138" s="24" t="s">
        <v>1866</v>
      </c>
      <c r="D1138" s="48" t="s">
        <v>1867</v>
      </c>
      <c r="E1138" s="28" t="s">
        <v>1871</v>
      </c>
      <c r="F1138" s="28">
        <v>7.0</v>
      </c>
      <c r="G1138" s="69">
        <v>274540.0</v>
      </c>
      <c r="H1138" s="69">
        <v>44170.0</v>
      </c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</row>
    <row r="1139" ht="17.25" customHeight="1">
      <c r="A1139" s="24" t="s">
        <v>25</v>
      </c>
      <c r="B1139" s="24" t="s">
        <v>63</v>
      </c>
      <c r="C1139" s="24" t="s">
        <v>1866</v>
      </c>
      <c r="D1139" s="48" t="s">
        <v>1867</v>
      </c>
      <c r="E1139" s="28" t="s">
        <v>1873</v>
      </c>
      <c r="F1139" s="28">
        <v>21.0</v>
      </c>
      <c r="G1139" s="69">
        <v>296400.0</v>
      </c>
      <c r="H1139" s="69">
        <v>15960.0</v>
      </c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</row>
    <row r="1140" ht="17.25" customHeight="1">
      <c r="A1140" s="24" t="s">
        <v>25</v>
      </c>
      <c r="B1140" s="24" t="s">
        <v>91</v>
      </c>
      <c r="C1140" s="24" t="s">
        <v>1866</v>
      </c>
      <c r="D1140" s="48" t="s">
        <v>1867</v>
      </c>
      <c r="E1140" s="28" t="s">
        <v>1875</v>
      </c>
      <c r="F1140" s="28">
        <v>9.0</v>
      </c>
      <c r="G1140" s="69">
        <v>177680.0</v>
      </c>
      <c r="H1140" s="69">
        <v>23690.0</v>
      </c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</row>
    <row r="1141" ht="17.25" customHeight="1">
      <c r="A1141" s="24" t="s">
        <v>25</v>
      </c>
      <c r="B1141" s="24" t="s">
        <v>91</v>
      </c>
      <c r="C1141" s="24" t="s">
        <v>1866</v>
      </c>
      <c r="D1141" s="48" t="s">
        <v>1867</v>
      </c>
      <c r="E1141" s="28" t="s">
        <v>1876</v>
      </c>
      <c r="F1141" s="28">
        <v>187.0</v>
      </c>
      <c r="G1141" s="69">
        <v>3016600.0</v>
      </c>
      <c r="H1141" s="69">
        <v>219290.0</v>
      </c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</row>
    <row r="1142" ht="17.25" customHeight="1">
      <c r="A1142" s="24" t="s">
        <v>25</v>
      </c>
      <c r="B1142" s="24" t="s">
        <v>91</v>
      </c>
      <c r="C1142" s="24" t="s">
        <v>1878</v>
      </c>
      <c r="D1142" s="48" t="s">
        <v>1879</v>
      </c>
      <c r="E1142" s="28" t="s">
        <v>1880</v>
      </c>
      <c r="F1142" s="28">
        <v>7.0</v>
      </c>
      <c r="G1142" s="69">
        <v>262500.0</v>
      </c>
      <c r="H1142" s="69">
        <v>45200.0</v>
      </c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</row>
    <row r="1143" ht="17.25" customHeight="1">
      <c r="A1143" s="24" t="s">
        <v>25</v>
      </c>
      <c r="B1143" s="24" t="s">
        <v>91</v>
      </c>
      <c r="C1143" s="24" t="s">
        <v>1878</v>
      </c>
      <c r="D1143" s="48" t="s">
        <v>1879</v>
      </c>
      <c r="E1143" s="28" t="s">
        <v>1882</v>
      </c>
      <c r="F1143" s="28">
        <v>21.0</v>
      </c>
      <c r="G1143" s="69">
        <v>349510.0</v>
      </c>
      <c r="H1143" s="69">
        <v>40640.0</v>
      </c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</row>
    <row r="1144" ht="17.25" customHeight="1">
      <c r="A1144" s="24" t="s">
        <v>25</v>
      </c>
      <c r="B1144" s="24" t="s">
        <v>91</v>
      </c>
      <c r="C1144" s="24" t="s">
        <v>1878</v>
      </c>
      <c r="D1144" s="48" t="s">
        <v>1879</v>
      </c>
      <c r="E1144" s="28" t="s">
        <v>1883</v>
      </c>
      <c r="F1144" s="28">
        <v>15.0</v>
      </c>
      <c r="G1144" s="69">
        <v>142060.0</v>
      </c>
      <c r="H1144" s="69">
        <v>23000.0</v>
      </c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</row>
    <row r="1145" ht="17.25" customHeight="1">
      <c r="A1145" s="24" t="s">
        <v>25</v>
      </c>
      <c r="B1145" s="24" t="s">
        <v>91</v>
      </c>
      <c r="C1145" s="24" t="s">
        <v>1083</v>
      </c>
      <c r="D1145" s="48" t="s">
        <v>1082</v>
      </c>
      <c r="E1145" s="28" t="s">
        <v>1885</v>
      </c>
      <c r="F1145" s="28">
        <v>9084.0</v>
      </c>
      <c r="G1145" s="69">
        <v>3.83431E8</v>
      </c>
      <c r="H1145" s="69">
        <v>4684290.0</v>
      </c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</row>
    <row r="1146" ht="17.25" customHeight="1">
      <c r="A1146" s="24" t="s">
        <v>25</v>
      </c>
      <c r="B1146" s="24" t="s">
        <v>91</v>
      </c>
      <c r="C1146" s="24" t="s">
        <v>1083</v>
      </c>
      <c r="D1146" s="48" t="s">
        <v>1082</v>
      </c>
      <c r="E1146" s="28" t="s">
        <v>1887</v>
      </c>
      <c r="F1146" s="28">
        <v>815.0</v>
      </c>
      <c r="G1146" s="69">
        <v>8.50261E7</v>
      </c>
      <c r="H1146" s="69">
        <v>350000.0</v>
      </c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</row>
    <row r="1147" ht="17.25" customHeight="1">
      <c r="A1147" s="24" t="s">
        <v>25</v>
      </c>
      <c r="B1147" s="24" t="s">
        <v>91</v>
      </c>
      <c r="C1147" s="24" t="s">
        <v>1083</v>
      </c>
      <c r="D1147" s="48" t="s">
        <v>1082</v>
      </c>
      <c r="E1147" s="28" t="s">
        <v>1889</v>
      </c>
      <c r="F1147" s="28">
        <v>393.0</v>
      </c>
      <c r="G1147" s="69">
        <v>1.66246E7</v>
      </c>
      <c r="H1147" s="69">
        <v>51600.0</v>
      </c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</row>
    <row r="1148" ht="17.25" customHeight="1">
      <c r="A1148" s="24" t="s">
        <v>25</v>
      </c>
      <c r="B1148" s="24" t="s">
        <v>91</v>
      </c>
      <c r="C1148" s="24" t="s">
        <v>1083</v>
      </c>
      <c r="D1148" s="48" t="s">
        <v>1082</v>
      </c>
      <c r="E1148" s="28" t="s">
        <v>1891</v>
      </c>
      <c r="F1148" s="28">
        <v>7.0</v>
      </c>
      <c r="G1148" s="69">
        <v>564100.0</v>
      </c>
      <c r="H1148" s="69">
        <v>0.0</v>
      </c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</row>
    <row r="1149" ht="17.25" customHeight="1">
      <c r="A1149" s="24" t="s">
        <v>25</v>
      </c>
      <c r="B1149" s="24" t="s">
        <v>63</v>
      </c>
      <c r="C1149" s="24" t="s">
        <v>1892</v>
      </c>
      <c r="D1149" s="48" t="s">
        <v>1893</v>
      </c>
      <c r="E1149" s="28" t="s">
        <v>1894</v>
      </c>
      <c r="F1149" s="28">
        <v>90.0</v>
      </c>
      <c r="G1149" s="69">
        <v>3102000.0</v>
      </c>
      <c r="H1149" s="69">
        <v>361870.0</v>
      </c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</row>
    <row r="1150" ht="17.25" customHeight="1">
      <c r="A1150" s="24" t="s">
        <v>25</v>
      </c>
      <c r="B1150" s="24" t="s">
        <v>63</v>
      </c>
      <c r="C1150" s="24" t="s">
        <v>1892</v>
      </c>
      <c r="D1150" s="48" t="s">
        <v>1893</v>
      </c>
      <c r="E1150" s="28" t="s">
        <v>1897</v>
      </c>
      <c r="F1150" s="28">
        <v>4.0</v>
      </c>
      <c r="G1150" s="69">
        <v>108000.0</v>
      </c>
      <c r="H1150" s="69">
        <v>18000.0</v>
      </c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</row>
    <row r="1151" ht="17.25" customHeight="1">
      <c r="A1151" s="24" t="s">
        <v>25</v>
      </c>
      <c r="B1151" s="24" t="s">
        <v>63</v>
      </c>
      <c r="C1151" s="24" t="s">
        <v>1892</v>
      </c>
      <c r="D1151" s="48" t="s">
        <v>1893</v>
      </c>
      <c r="E1151" s="28" t="s">
        <v>1899</v>
      </c>
      <c r="F1151" s="28">
        <v>1.0</v>
      </c>
      <c r="G1151" s="69">
        <v>40000.0</v>
      </c>
      <c r="H1151" s="69">
        <v>8000.0</v>
      </c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</row>
    <row r="1152" ht="17.25" customHeight="1">
      <c r="A1152" s="24" t="s">
        <v>25</v>
      </c>
      <c r="B1152" s="24" t="s">
        <v>91</v>
      </c>
      <c r="C1152" s="24" t="s">
        <v>1900</v>
      </c>
      <c r="D1152" s="48" t="s">
        <v>1338</v>
      </c>
      <c r="E1152" s="28" t="s">
        <v>1901</v>
      </c>
      <c r="F1152" s="28">
        <v>53.0</v>
      </c>
      <c r="G1152" s="69">
        <v>1450100.0</v>
      </c>
      <c r="H1152" s="69">
        <v>144400.0</v>
      </c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</row>
    <row r="1153" ht="17.25" customHeight="1">
      <c r="A1153" s="24" t="s">
        <v>25</v>
      </c>
      <c r="B1153" s="24" t="s">
        <v>91</v>
      </c>
      <c r="C1153" s="24" t="s">
        <v>1900</v>
      </c>
      <c r="D1153" s="48" t="s">
        <v>1338</v>
      </c>
      <c r="E1153" s="28" t="s">
        <v>1903</v>
      </c>
      <c r="F1153" s="28">
        <v>8.0</v>
      </c>
      <c r="G1153" s="69">
        <v>361930.0</v>
      </c>
      <c r="H1153" s="69">
        <v>18240.0</v>
      </c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</row>
    <row r="1154" ht="17.25" customHeight="1">
      <c r="A1154" s="24" t="s">
        <v>25</v>
      </c>
      <c r="B1154" s="24" t="s">
        <v>91</v>
      </c>
      <c r="C1154" s="24" t="s">
        <v>1900</v>
      </c>
      <c r="D1154" s="48" t="s">
        <v>1338</v>
      </c>
      <c r="E1154" s="28" t="s">
        <v>1905</v>
      </c>
      <c r="F1154" s="28">
        <v>26.0</v>
      </c>
      <c r="G1154" s="69">
        <v>692980.0</v>
      </c>
      <c r="H1154" s="69">
        <v>47980.0</v>
      </c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</row>
    <row r="1155" ht="17.25" customHeight="1">
      <c r="A1155" s="24" t="s">
        <v>25</v>
      </c>
      <c r="B1155" s="24" t="s">
        <v>63</v>
      </c>
      <c r="C1155" s="24" t="s">
        <v>1906</v>
      </c>
      <c r="D1155" s="48" t="s">
        <v>1907</v>
      </c>
      <c r="E1155" s="28" t="s">
        <v>1908</v>
      </c>
      <c r="F1155" s="28">
        <v>32.0</v>
      </c>
      <c r="G1155" s="69">
        <v>1759500.0</v>
      </c>
      <c r="H1155" s="69">
        <v>104880.0</v>
      </c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</row>
    <row r="1156" ht="17.25" customHeight="1">
      <c r="A1156" s="24" t="s">
        <v>25</v>
      </c>
      <c r="B1156" s="24" t="s">
        <v>91</v>
      </c>
      <c r="C1156" s="24" t="s">
        <v>1906</v>
      </c>
      <c r="D1156" s="48" t="s">
        <v>1907</v>
      </c>
      <c r="E1156" s="28" t="s">
        <v>1910</v>
      </c>
      <c r="F1156" s="28">
        <v>3.0</v>
      </c>
      <c r="G1156" s="69">
        <v>119600.0</v>
      </c>
      <c r="H1156" s="69">
        <v>15980.0</v>
      </c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</row>
    <row r="1157" ht="17.25" customHeight="1">
      <c r="A1157" s="24" t="s">
        <v>25</v>
      </c>
      <c r="B1157" s="24" t="s">
        <v>63</v>
      </c>
      <c r="C1157" s="24" t="s">
        <v>1906</v>
      </c>
      <c r="D1157" s="48" t="s">
        <v>1907</v>
      </c>
      <c r="E1157" s="28" t="s">
        <v>1912</v>
      </c>
      <c r="F1157" s="28">
        <v>89.0</v>
      </c>
      <c r="G1157" s="69">
        <v>3591460.0</v>
      </c>
      <c r="H1157" s="69">
        <v>432940.0</v>
      </c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</row>
    <row r="1158" ht="17.25" customHeight="1">
      <c r="A1158" s="24" t="s">
        <v>25</v>
      </c>
      <c r="B1158" s="24" t="s">
        <v>63</v>
      </c>
      <c r="C1158" s="24" t="s">
        <v>1906</v>
      </c>
      <c r="D1158" s="48" t="s">
        <v>1907</v>
      </c>
      <c r="E1158" s="28" t="s">
        <v>1914</v>
      </c>
      <c r="F1158" s="28">
        <v>240.0</v>
      </c>
      <c r="G1158" s="69">
        <v>4341850.0</v>
      </c>
      <c r="H1158" s="69">
        <v>387360.0</v>
      </c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</row>
    <row r="1159" ht="17.25" customHeight="1">
      <c r="A1159" s="24" t="s">
        <v>25</v>
      </c>
      <c r="B1159" s="24" t="s">
        <v>63</v>
      </c>
      <c r="C1159" s="24" t="s">
        <v>1906</v>
      </c>
      <c r="D1159" s="48" t="s">
        <v>1907</v>
      </c>
      <c r="E1159" s="28" t="s">
        <v>1915</v>
      </c>
      <c r="F1159" s="28">
        <v>11.0</v>
      </c>
      <c r="G1159" s="69">
        <v>182100.0</v>
      </c>
      <c r="H1159" s="69">
        <v>6600.0</v>
      </c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</row>
    <row r="1160" ht="17.25" customHeight="1">
      <c r="A1160" s="24" t="s">
        <v>25</v>
      </c>
      <c r="B1160" s="24" t="s">
        <v>63</v>
      </c>
      <c r="C1160" s="24" t="s">
        <v>1906</v>
      </c>
      <c r="D1160" s="48" t="s">
        <v>1907</v>
      </c>
      <c r="E1160" s="28" t="s">
        <v>1918</v>
      </c>
      <c r="F1160" s="28">
        <v>29.0</v>
      </c>
      <c r="G1160" s="69">
        <v>1033220.0</v>
      </c>
      <c r="H1160" s="69">
        <v>76360.0</v>
      </c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</row>
    <row r="1161" ht="17.25" customHeight="1">
      <c r="A1161" s="24" t="s">
        <v>25</v>
      </c>
      <c r="B1161" s="24" t="s">
        <v>63</v>
      </c>
      <c r="C1161" s="24" t="s">
        <v>1906</v>
      </c>
      <c r="D1161" s="48" t="s">
        <v>1907</v>
      </c>
      <c r="E1161" s="28" t="s">
        <v>1920</v>
      </c>
      <c r="F1161" s="28">
        <v>3.0</v>
      </c>
      <c r="G1161" s="69">
        <v>33000.0</v>
      </c>
      <c r="H1161" s="69">
        <v>2200.0</v>
      </c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</row>
    <row r="1162" ht="17.25" customHeight="1">
      <c r="A1162" s="24" t="s">
        <v>25</v>
      </c>
      <c r="B1162" s="24" t="s">
        <v>63</v>
      </c>
      <c r="C1162" s="24" t="s">
        <v>1906</v>
      </c>
      <c r="D1162" s="48" t="s">
        <v>1907</v>
      </c>
      <c r="E1162" s="28" t="s">
        <v>1921</v>
      </c>
      <c r="F1162" s="28">
        <v>21.0</v>
      </c>
      <c r="G1162" s="69">
        <v>375700.0</v>
      </c>
      <c r="H1162" s="69">
        <v>34200.0</v>
      </c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</row>
    <row r="1163" ht="17.25" customHeight="1">
      <c r="A1163" s="24" t="s">
        <v>25</v>
      </c>
      <c r="B1163" s="24" t="s">
        <v>63</v>
      </c>
      <c r="C1163" s="24" t="s">
        <v>1906</v>
      </c>
      <c r="D1163" s="48" t="s">
        <v>1907</v>
      </c>
      <c r="E1163" s="28" t="s">
        <v>1923</v>
      </c>
      <c r="F1163" s="28">
        <v>5.0</v>
      </c>
      <c r="G1163" s="69">
        <v>96900.0</v>
      </c>
      <c r="H1163" s="69">
        <v>0.0</v>
      </c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</row>
    <row r="1164" ht="17.25" customHeight="1">
      <c r="A1164" s="24" t="s">
        <v>25</v>
      </c>
      <c r="B1164" s="24" t="s">
        <v>63</v>
      </c>
      <c r="C1164" s="24" t="s">
        <v>1906</v>
      </c>
      <c r="D1164" s="48" t="s">
        <v>1907</v>
      </c>
      <c r="E1164" s="28" t="s">
        <v>1925</v>
      </c>
      <c r="F1164" s="28">
        <v>20.0</v>
      </c>
      <c r="G1164" s="69">
        <v>310200.0</v>
      </c>
      <c r="H1164" s="69">
        <v>33000.0</v>
      </c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</row>
    <row r="1165" ht="17.25" customHeight="1">
      <c r="A1165" s="24" t="s">
        <v>25</v>
      </c>
      <c r="B1165" s="24" t="s">
        <v>63</v>
      </c>
      <c r="C1165" s="24" t="s">
        <v>1926</v>
      </c>
      <c r="D1165" s="48" t="s">
        <v>1927</v>
      </c>
      <c r="E1165" s="28" t="s">
        <v>1928</v>
      </c>
      <c r="F1165" s="28">
        <v>1.0</v>
      </c>
      <c r="G1165" s="69">
        <v>44000.0</v>
      </c>
      <c r="H1165" s="69">
        <v>8800.0</v>
      </c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</row>
    <row r="1166" ht="17.25" customHeight="1">
      <c r="A1166" s="24" t="s">
        <v>25</v>
      </c>
      <c r="B1166" s="24" t="s">
        <v>63</v>
      </c>
      <c r="C1166" s="24" t="s">
        <v>1926</v>
      </c>
      <c r="D1166" s="48" t="s">
        <v>1927</v>
      </c>
      <c r="E1166" s="28" t="s">
        <v>1930</v>
      </c>
      <c r="F1166" s="28">
        <v>0.0</v>
      </c>
      <c r="G1166" s="69">
        <v>0.0</v>
      </c>
      <c r="H1166" s="69">
        <v>0.0</v>
      </c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</row>
    <row r="1167" ht="17.25" customHeight="1">
      <c r="A1167" s="24" t="s">
        <v>25</v>
      </c>
      <c r="B1167" s="24" t="s">
        <v>63</v>
      </c>
      <c r="C1167" s="24" t="s">
        <v>1926</v>
      </c>
      <c r="D1167" s="48" t="s">
        <v>1927</v>
      </c>
      <c r="E1167" s="28" t="s">
        <v>1932</v>
      </c>
      <c r="F1167" s="28">
        <v>0.0</v>
      </c>
      <c r="G1167" s="69">
        <v>0.0</v>
      </c>
      <c r="H1167" s="69">
        <v>0.0</v>
      </c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</row>
    <row r="1168" ht="17.25" customHeight="1">
      <c r="A1168" s="24" t="s">
        <v>25</v>
      </c>
      <c r="B1168" s="24" t="s">
        <v>63</v>
      </c>
      <c r="C1168" s="24" t="s">
        <v>1926</v>
      </c>
      <c r="D1168" s="48" t="s">
        <v>1927</v>
      </c>
      <c r="E1168" s="28" t="s">
        <v>1933</v>
      </c>
      <c r="F1168" s="28">
        <v>2.0</v>
      </c>
      <c r="G1168" s="69">
        <v>40000.0</v>
      </c>
      <c r="H1168" s="69">
        <v>0.0</v>
      </c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</row>
    <row r="1169" ht="17.25" customHeight="1">
      <c r="A1169" s="24" t="s">
        <v>25</v>
      </c>
      <c r="B1169" s="24" t="s">
        <v>63</v>
      </c>
      <c r="C1169" s="24" t="s">
        <v>1926</v>
      </c>
      <c r="D1169" s="48" t="s">
        <v>1927</v>
      </c>
      <c r="E1169" s="28" t="s">
        <v>1935</v>
      </c>
      <c r="F1169" s="28">
        <v>1.0</v>
      </c>
      <c r="G1169" s="69">
        <v>90000.0</v>
      </c>
      <c r="H1169" s="69">
        <v>0.0</v>
      </c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</row>
    <row r="1170" ht="17.25" customHeight="1">
      <c r="A1170" s="24" t="s">
        <v>25</v>
      </c>
      <c r="B1170" s="24" t="s">
        <v>91</v>
      </c>
      <c r="C1170" s="24" t="s">
        <v>1937</v>
      </c>
      <c r="D1170" s="48" t="s">
        <v>1938</v>
      </c>
      <c r="E1170" s="28" t="s">
        <v>1939</v>
      </c>
      <c r="F1170" s="28">
        <v>82.0</v>
      </c>
      <c r="G1170" s="69">
        <v>2990300.0</v>
      </c>
      <c r="H1170" s="69">
        <v>199940.0</v>
      </c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</row>
    <row r="1171" ht="17.25" customHeight="1">
      <c r="A1171" s="24" t="s">
        <v>25</v>
      </c>
      <c r="B1171" s="24" t="s">
        <v>91</v>
      </c>
      <c r="C1171" s="24" t="s">
        <v>1286</v>
      </c>
      <c r="D1171" s="48" t="s">
        <v>1285</v>
      </c>
      <c r="E1171" s="28" t="s">
        <v>1940</v>
      </c>
      <c r="F1171" s="28">
        <v>278.0</v>
      </c>
      <c r="G1171" s="69">
        <v>5079090.0</v>
      </c>
      <c r="H1171" s="69">
        <v>562140.0</v>
      </c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</row>
    <row r="1172" ht="17.25" customHeight="1">
      <c r="A1172" s="24" t="s">
        <v>25</v>
      </c>
      <c r="B1172" s="24" t="s">
        <v>91</v>
      </c>
      <c r="C1172" s="24" t="s">
        <v>1286</v>
      </c>
      <c r="D1172" s="48" t="s">
        <v>1285</v>
      </c>
      <c r="E1172" s="28" t="s">
        <v>1941</v>
      </c>
      <c r="F1172" s="28">
        <v>18.0</v>
      </c>
      <c r="G1172" s="69">
        <v>193500.0</v>
      </c>
      <c r="H1172" s="69">
        <v>19160.0</v>
      </c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</row>
    <row r="1173" ht="17.25" customHeight="1">
      <c r="A1173" s="24" t="s">
        <v>25</v>
      </c>
      <c r="B1173" s="24" t="s">
        <v>91</v>
      </c>
      <c r="C1173" s="24" t="s">
        <v>1286</v>
      </c>
      <c r="D1173" s="48" t="s">
        <v>1285</v>
      </c>
      <c r="E1173" s="28" t="s">
        <v>1942</v>
      </c>
      <c r="F1173" s="28">
        <v>9.0</v>
      </c>
      <c r="G1173" s="69">
        <v>215500.0</v>
      </c>
      <c r="H1173" s="69">
        <v>19200.0</v>
      </c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</row>
    <row r="1174" ht="17.25" customHeight="1">
      <c r="A1174" s="24" t="s">
        <v>25</v>
      </c>
      <c r="B1174" s="24" t="s">
        <v>91</v>
      </c>
      <c r="C1174" s="24" t="s">
        <v>1286</v>
      </c>
      <c r="D1174" s="48" t="s">
        <v>1285</v>
      </c>
      <c r="E1174" s="28" t="s">
        <v>1944</v>
      </c>
      <c r="F1174" s="28">
        <v>3.0</v>
      </c>
      <c r="G1174" s="69">
        <v>35500.0</v>
      </c>
      <c r="H1174" s="69">
        <v>2400.0</v>
      </c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</row>
    <row r="1175" ht="17.25" customHeight="1">
      <c r="A1175" s="24" t="s">
        <v>25</v>
      </c>
      <c r="B1175" s="24" t="s">
        <v>91</v>
      </c>
      <c r="C1175" s="24" t="s">
        <v>1494</v>
      </c>
      <c r="D1175" s="48" t="s">
        <v>1493</v>
      </c>
      <c r="E1175" s="28" t="s">
        <v>1945</v>
      </c>
      <c r="F1175" s="28">
        <v>301.0</v>
      </c>
      <c r="G1175" s="69">
        <v>7819500.0</v>
      </c>
      <c r="H1175" s="69">
        <v>814500.0</v>
      </c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</row>
    <row r="1176" ht="17.25" customHeight="1">
      <c r="A1176" s="24" t="s">
        <v>25</v>
      </c>
      <c r="B1176" s="24" t="s">
        <v>91</v>
      </c>
      <c r="C1176" s="24" t="s">
        <v>1494</v>
      </c>
      <c r="D1176" s="48" t="s">
        <v>1493</v>
      </c>
      <c r="E1176" s="28" t="s">
        <v>1946</v>
      </c>
      <c r="F1176" s="28">
        <v>24.0</v>
      </c>
      <c r="G1176" s="69">
        <v>536500.0</v>
      </c>
      <c r="H1176" s="69">
        <v>30260.0</v>
      </c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</row>
    <row r="1177" ht="17.25" customHeight="1">
      <c r="A1177" s="24" t="s">
        <v>25</v>
      </c>
      <c r="B1177" s="24" t="s">
        <v>91</v>
      </c>
      <c r="C1177" s="24" t="s">
        <v>1050</v>
      </c>
      <c r="D1177" s="48" t="s">
        <v>1049</v>
      </c>
      <c r="E1177" s="28" t="s">
        <v>1948</v>
      </c>
      <c r="F1177" s="28">
        <v>73.0</v>
      </c>
      <c r="G1177" s="69">
        <v>2527000.0</v>
      </c>
      <c r="H1177" s="69">
        <v>174580.0</v>
      </c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</row>
    <row r="1178" ht="17.25" customHeight="1">
      <c r="A1178" s="24" t="s">
        <v>25</v>
      </c>
      <c r="B1178" s="24" t="s">
        <v>91</v>
      </c>
      <c r="C1178" s="24" t="s">
        <v>1050</v>
      </c>
      <c r="D1178" s="48" t="s">
        <v>1049</v>
      </c>
      <c r="E1178" s="28" t="s">
        <v>1949</v>
      </c>
      <c r="F1178" s="28">
        <v>23.0</v>
      </c>
      <c r="G1178" s="69">
        <v>1184000.0</v>
      </c>
      <c r="H1178" s="69">
        <v>73600.0</v>
      </c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</row>
    <row r="1179" ht="17.25" customHeight="1">
      <c r="A1179" s="24" t="s">
        <v>25</v>
      </c>
      <c r="B1179" s="24" t="s">
        <v>91</v>
      </c>
      <c r="C1179" s="24" t="s">
        <v>1050</v>
      </c>
      <c r="D1179" s="48" t="s">
        <v>1049</v>
      </c>
      <c r="E1179" s="28" t="s">
        <v>1950</v>
      </c>
      <c r="F1179" s="28">
        <v>0.0</v>
      </c>
      <c r="G1179" s="69">
        <v>0.0</v>
      </c>
      <c r="H1179" s="69">
        <v>0.0</v>
      </c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</row>
    <row r="1180" ht="17.25" customHeight="1">
      <c r="A1180" s="24" t="s">
        <v>25</v>
      </c>
      <c r="B1180" s="24" t="s">
        <v>91</v>
      </c>
      <c r="C1180" s="24" t="s">
        <v>138</v>
      </c>
      <c r="D1180" s="48" t="s">
        <v>137</v>
      </c>
      <c r="E1180" s="28" t="s">
        <v>1952</v>
      </c>
      <c r="F1180" s="28">
        <v>30.0</v>
      </c>
      <c r="G1180" s="69">
        <v>599700.0</v>
      </c>
      <c r="H1180" s="69">
        <v>33980.0</v>
      </c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</row>
    <row r="1181" ht="17.25" customHeight="1">
      <c r="A1181" s="24" t="s">
        <v>25</v>
      </c>
      <c r="B1181" s="24" t="s">
        <v>63</v>
      </c>
      <c r="C1181" s="24" t="s">
        <v>1953</v>
      </c>
      <c r="D1181" s="48" t="s">
        <v>1954</v>
      </c>
      <c r="E1181" s="28" t="s">
        <v>1955</v>
      </c>
      <c r="F1181" s="28">
        <v>5.0</v>
      </c>
      <c r="G1181" s="69">
        <v>220000.0</v>
      </c>
      <c r="H1181" s="69">
        <v>26000.0</v>
      </c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</row>
    <row r="1182" ht="17.25" customHeight="1">
      <c r="A1182" s="24" t="s">
        <v>25</v>
      </c>
      <c r="B1182" s="24" t="s">
        <v>63</v>
      </c>
      <c r="C1182" s="24" t="s">
        <v>1953</v>
      </c>
      <c r="D1182" s="48" t="s">
        <v>1954</v>
      </c>
      <c r="E1182" s="28" t="s">
        <v>1957</v>
      </c>
      <c r="F1182" s="28">
        <v>54.0</v>
      </c>
      <c r="G1182" s="69">
        <v>1097100.0</v>
      </c>
      <c r="H1182" s="69">
        <v>59320.0</v>
      </c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</row>
    <row r="1183" ht="17.25" customHeight="1">
      <c r="A1183" s="24" t="s">
        <v>25</v>
      </c>
      <c r="B1183" s="24" t="s">
        <v>63</v>
      </c>
      <c r="C1183" s="24" t="s">
        <v>1953</v>
      </c>
      <c r="D1183" s="48" t="s">
        <v>1954</v>
      </c>
      <c r="E1183" s="28" t="s">
        <v>1958</v>
      </c>
      <c r="F1183" s="28">
        <v>59.0</v>
      </c>
      <c r="G1183" s="69">
        <v>1249500.0</v>
      </c>
      <c r="H1183" s="69">
        <v>61000.0</v>
      </c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</row>
    <row r="1184" ht="17.25" customHeight="1">
      <c r="A1184" s="24" t="s">
        <v>25</v>
      </c>
      <c r="B1184" s="24" t="s">
        <v>63</v>
      </c>
      <c r="C1184" s="24" t="s">
        <v>1953</v>
      </c>
      <c r="D1184" s="48" t="s">
        <v>1954</v>
      </c>
      <c r="E1184" s="28" t="s">
        <v>1959</v>
      </c>
      <c r="F1184" s="28">
        <v>3.0</v>
      </c>
      <c r="G1184" s="69">
        <v>63000.0</v>
      </c>
      <c r="H1184" s="69">
        <v>4200.0</v>
      </c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</row>
    <row r="1185" ht="17.25" customHeight="1">
      <c r="A1185" s="24" t="s">
        <v>25</v>
      </c>
      <c r="B1185" s="24" t="s">
        <v>63</v>
      </c>
      <c r="C1185" s="24" t="s">
        <v>1953</v>
      </c>
      <c r="D1185" s="48" t="s">
        <v>1954</v>
      </c>
      <c r="E1185" s="28" t="s">
        <v>1963</v>
      </c>
      <c r="F1185" s="28">
        <v>3.0</v>
      </c>
      <c r="G1185" s="69">
        <v>42000.0</v>
      </c>
      <c r="H1185" s="69">
        <v>0.0</v>
      </c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</row>
    <row r="1186" ht="17.25" customHeight="1">
      <c r="A1186" s="24" t="s">
        <v>25</v>
      </c>
      <c r="B1186" s="24" t="s">
        <v>63</v>
      </c>
      <c r="C1186" s="24" t="s">
        <v>1953</v>
      </c>
      <c r="D1186" s="48" t="s">
        <v>1954</v>
      </c>
      <c r="E1186" s="28" t="s">
        <v>1964</v>
      </c>
      <c r="F1186" s="28">
        <v>1.0</v>
      </c>
      <c r="G1186" s="69">
        <v>14000.0</v>
      </c>
      <c r="H1186" s="69">
        <v>2800.0</v>
      </c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</row>
    <row r="1187" ht="17.25" customHeight="1">
      <c r="A1187" s="24" t="s">
        <v>25</v>
      </c>
      <c r="B1187" s="24" t="s">
        <v>63</v>
      </c>
      <c r="C1187" s="24" t="s">
        <v>1953</v>
      </c>
      <c r="D1187" s="48" t="s">
        <v>1954</v>
      </c>
      <c r="E1187" s="28" t="s">
        <v>1965</v>
      </c>
      <c r="F1187" s="28">
        <v>52.0</v>
      </c>
      <c r="G1187" s="69">
        <v>1863000.0</v>
      </c>
      <c r="H1187" s="69">
        <v>163600.0</v>
      </c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</row>
    <row r="1188" ht="17.25" customHeight="1">
      <c r="A1188" s="24" t="s">
        <v>25</v>
      </c>
      <c r="B1188" s="24" t="s">
        <v>63</v>
      </c>
      <c r="C1188" s="24" t="s">
        <v>1953</v>
      </c>
      <c r="D1188" s="48" t="s">
        <v>1954</v>
      </c>
      <c r="E1188" s="28" t="s">
        <v>1967</v>
      </c>
      <c r="F1188" s="28">
        <v>18.0</v>
      </c>
      <c r="G1188" s="69">
        <v>585500.0</v>
      </c>
      <c r="H1188" s="69">
        <v>48500.0</v>
      </c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</row>
    <row r="1189" ht="17.25" customHeight="1">
      <c r="A1189" s="24" t="s">
        <v>25</v>
      </c>
      <c r="B1189" s="24" t="s">
        <v>63</v>
      </c>
      <c r="C1189" s="24" t="s">
        <v>1953</v>
      </c>
      <c r="D1189" s="48" t="s">
        <v>1954</v>
      </c>
      <c r="E1189" s="28" t="s">
        <v>1968</v>
      </c>
      <c r="F1189" s="28">
        <v>3.0</v>
      </c>
      <c r="G1189" s="69">
        <v>51500.0</v>
      </c>
      <c r="H1189" s="69">
        <v>0.0</v>
      </c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</row>
    <row r="1190" ht="17.25" customHeight="1">
      <c r="A1190" s="24" t="s">
        <v>25</v>
      </c>
      <c r="B1190" s="24" t="s">
        <v>63</v>
      </c>
      <c r="C1190" s="24" t="s">
        <v>1953</v>
      </c>
      <c r="D1190" s="48" t="s">
        <v>1954</v>
      </c>
      <c r="E1190" s="28" t="s">
        <v>1970</v>
      </c>
      <c r="F1190" s="28">
        <v>5.0</v>
      </c>
      <c r="G1190" s="69">
        <v>210000.0</v>
      </c>
      <c r="H1190" s="69">
        <v>21000.0</v>
      </c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</row>
    <row r="1191" ht="17.25" customHeight="1">
      <c r="A1191" s="24" t="s">
        <v>25</v>
      </c>
      <c r="B1191" s="24" t="s">
        <v>63</v>
      </c>
      <c r="C1191" s="24" t="s">
        <v>1953</v>
      </c>
      <c r="D1191" s="48" t="s">
        <v>1954</v>
      </c>
      <c r="E1191" s="28" t="s">
        <v>1972</v>
      </c>
      <c r="F1191" s="28">
        <v>15.0</v>
      </c>
      <c r="G1191" s="69">
        <v>306000.0</v>
      </c>
      <c r="H1191" s="69">
        <v>10800.0</v>
      </c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</row>
    <row r="1192" ht="17.25" customHeight="1">
      <c r="A1192" s="24" t="s">
        <v>25</v>
      </c>
      <c r="B1192" s="24" t="s">
        <v>63</v>
      </c>
      <c r="C1192" s="24" t="s">
        <v>1953</v>
      </c>
      <c r="D1192" s="48" t="s">
        <v>1954</v>
      </c>
      <c r="E1192" s="28" t="s">
        <v>1976</v>
      </c>
      <c r="F1192" s="28">
        <v>1.0</v>
      </c>
      <c r="G1192" s="69">
        <v>12000.0</v>
      </c>
      <c r="H1192" s="69">
        <v>2400.0</v>
      </c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</row>
    <row r="1193" ht="17.25" customHeight="1">
      <c r="A1193" s="24" t="s">
        <v>25</v>
      </c>
      <c r="B1193" s="24" t="s">
        <v>63</v>
      </c>
      <c r="C1193" s="24" t="s">
        <v>1816</v>
      </c>
      <c r="D1193" s="24" t="s">
        <v>1817</v>
      </c>
      <c r="E1193" s="28" t="s">
        <v>1978</v>
      </c>
      <c r="F1193" s="28">
        <v>0.0</v>
      </c>
      <c r="G1193" s="69">
        <v>0.0</v>
      </c>
      <c r="H1193" s="69">
        <v>0.0</v>
      </c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</row>
    <row r="1194" ht="17.25" customHeight="1">
      <c r="A1194" s="24" t="s">
        <v>25</v>
      </c>
      <c r="B1194" s="24" t="s">
        <v>91</v>
      </c>
      <c r="C1194" s="24" t="s">
        <v>1980</v>
      </c>
      <c r="D1194" s="24" t="s">
        <v>1981</v>
      </c>
      <c r="E1194" s="28" t="s">
        <v>1982</v>
      </c>
      <c r="F1194" s="28">
        <v>371.0</v>
      </c>
      <c r="G1194" s="69">
        <v>1.30008E7</v>
      </c>
      <c r="H1194" s="69">
        <v>1218420.0</v>
      </c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</row>
    <row r="1195" ht="17.25" customHeight="1">
      <c r="A1195" s="24" t="s">
        <v>25</v>
      </c>
      <c r="B1195" s="24" t="s">
        <v>91</v>
      </c>
      <c r="C1195" s="24" t="s">
        <v>1980</v>
      </c>
      <c r="D1195" s="24" t="s">
        <v>1981</v>
      </c>
      <c r="E1195" s="28" t="s">
        <v>1984</v>
      </c>
      <c r="F1195" s="28">
        <v>37.0</v>
      </c>
      <c r="G1195" s="69">
        <v>1844400.0</v>
      </c>
      <c r="H1195" s="69">
        <v>230990.0</v>
      </c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</row>
    <row r="1196" ht="17.25" customHeight="1">
      <c r="A1196" s="24" t="s">
        <v>25</v>
      </c>
      <c r="B1196" s="24" t="s">
        <v>91</v>
      </c>
      <c r="C1196" s="24" t="s">
        <v>1980</v>
      </c>
      <c r="D1196" s="24" t="s">
        <v>1981</v>
      </c>
      <c r="E1196" s="28" t="s">
        <v>1986</v>
      </c>
      <c r="F1196" s="28">
        <v>2.0</v>
      </c>
      <c r="G1196" s="69">
        <v>113800.0</v>
      </c>
      <c r="H1196" s="69">
        <v>20000.0</v>
      </c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</row>
    <row r="1197" ht="17.25" customHeight="1">
      <c r="A1197" s="24" t="s">
        <v>25</v>
      </c>
      <c r="B1197" s="24" t="s">
        <v>91</v>
      </c>
      <c r="C1197" s="24" t="s">
        <v>1980</v>
      </c>
      <c r="D1197" s="24" t="s">
        <v>1981</v>
      </c>
      <c r="E1197" s="28" t="s">
        <v>1988</v>
      </c>
      <c r="F1197" s="28">
        <v>0.0</v>
      </c>
      <c r="G1197" s="69">
        <v>0.0</v>
      </c>
      <c r="H1197" s="69">
        <v>0.0</v>
      </c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</row>
    <row r="1198" ht="17.25" customHeight="1">
      <c r="A1198" s="24" t="s">
        <v>25</v>
      </c>
      <c r="B1198" s="24" t="s">
        <v>91</v>
      </c>
      <c r="C1198" s="24" t="s">
        <v>1980</v>
      </c>
      <c r="D1198" s="24" t="s">
        <v>1981</v>
      </c>
      <c r="E1198" s="28" t="s">
        <v>1992</v>
      </c>
      <c r="F1198" s="28">
        <v>1.0</v>
      </c>
      <c r="G1198" s="69">
        <v>57900.0</v>
      </c>
      <c r="H1198" s="69">
        <v>9580.0</v>
      </c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</row>
    <row r="1199" ht="17.25" customHeight="1">
      <c r="A1199" s="24" t="s">
        <v>25</v>
      </c>
      <c r="B1199" s="24" t="s">
        <v>91</v>
      </c>
      <c r="C1199" s="24" t="s">
        <v>1962</v>
      </c>
      <c r="D1199" s="24" t="s">
        <v>1961</v>
      </c>
      <c r="E1199" s="28" t="s">
        <v>1993</v>
      </c>
      <c r="F1199" s="28">
        <v>108.0</v>
      </c>
      <c r="G1199" s="69">
        <v>2834100.0</v>
      </c>
      <c r="H1199" s="69">
        <v>241400.0</v>
      </c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</row>
    <row r="1200" ht="17.25" customHeight="1">
      <c r="A1200" s="24" t="s">
        <v>25</v>
      </c>
      <c r="B1200" s="24" t="s">
        <v>63</v>
      </c>
      <c r="C1200" s="24" t="s">
        <v>1995</v>
      </c>
      <c r="D1200" s="24" t="s">
        <v>1996</v>
      </c>
      <c r="E1200" s="28" t="s">
        <v>1997</v>
      </c>
      <c r="F1200" s="28">
        <v>0.0</v>
      </c>
      <c r="G1200" s="69">
        <v>0.0</v>
      </c>
      <c r="H1200" s="69">
        <v>0.0</v>
      </c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</row>
    <row r="1201" ht="17.25" customHeight="1">
      <c r="A1201" s="24" t="s">
        <v>25</v>
      </c>
      <c r="B1201" s="24" t="s">
        <v>63</v>
      </c>
      <c r="C1201" s="24" t="s">
        <v>1995</v>
      </c>
      <c r="D1201" s="24" t="s">
        <v>1996</v>
      </c>
      <c r="E1201" s="28" t="s">
        <v>1998</v>
      </c>
      <c r="F1201" s="28">
        <v>3.0</v>
      </c>
      <c r="G1201" s="69">
        <v>135000.0</v>
      </c>
      <c r="H1201" s="69">
        <v>23000.0</v>
      </c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</row>
    <row r="1202" ht="17.25" customHeight="1">
      <c r="A1202" s="24" t="s">
        <v>25</v>
      </c>
      <c r="B1202" s="24" t="s">
        <v>63</v>
      </c>
      <c r="C1202" s="24" t="s">
        <v>1995</v>
      </c>
      <c r="D1202" s="24" t="s">
        <v>1996</v>
      </c>
      <c r="E1202" s="28" t="s">
        <v>2000</v>
      </c>
      <c r="F1202" s="28">
        <v>0.0</v>
      </c>
      <c r="G1202" s="69">
        <v>0.0</v>
      </c>
      <c r="H1202" s="69">
        <v>0.0</v>
      </c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</row>
    <row r="1203" ht="17.25" customHeight="1">
      <c r="A1203" s="24" t="s">
        <v>25</v>
      </c>
      <c r="B1203" s="24" t="s">
        <v>63</v>
      </c>
      <c r="C1203" s="24" t="s">
        <v>1995</v>
      </c>
      <c r="D1203" s="24" t="s">
        <v>1996</v>
      </c>
      <c r="E1203" s="28" t="s">
        <v>2001</v>
      </c>
      <c r="F1203" s="28">
        <v>0.0</v>
      </c>
      <c r="G1203" s="69">
        <v>0.0</v>
      </c>
      <c r="H1203" s="69">
        <v>0.0</v>
      </c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</row>
    <row r="1204" ht="17.25" customHeight="1">
      <c r="A1204" s="24" t="s">
        <v>25</v>
      </c>
      <c r="B1204" s="24" t="s">
        <v>63</v>
      </c>
      <c r="C1204" s="24" t="s">
        <v>1995</v>
      </c>
      <c r="D1204" s="24" t="s">
        <v>1996</v>
      </c>
      <c r="E1204" s="28" t="s">
        <v>2003</v>
      </c>
      <c r="F1204" s="28">
        <v>5.0</v>
      </c>
      <c r="G1204" s="69">
        <v>100000.0</v>
      </c>
      <c r="H1204" s="69">
        <v>4000.0</v>
      </c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</row>
    <row r="1205" ht="17.25" customHeight="1">
      <c r="A1205" s="24" t="s">
        <v>25</v>
      </c>
      <c r="B1205" s="24" t="s">
        <v>63</v>
      </c>
      <c r="C1205" s="24" t="s">
        <v>1995</v>
      </c>
      <c r="D1205" s="24" t="s">
        <v>1996</v>
      </c>
      <c r="E1205" s="28" t="s">
        <v>2005</v>
      </c>
      <c r="F1205" s="28">
        <v>5.0</v>
      </c>
      <c r="G1205" s="69">
        <v>210000.0</v>
      </c>
      <c r="H1205" s="69">
        <v>18000.0</v>
      </c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</row>
    <row r="1206" ht="17.25" customHeight="1">
      <c r="A1206" s="24" t="s">
        <v>25</v>
      </c>
      <c r="B1206" s="24" t="s">
        <v>63</v>
      </c>
      <c r="C1206" s="24" t="s">
        <v>1995</v>
      </c>
      <c r="D1206" s="24" t="s">
        <v>1996</v>
      </c>
      <c r="E1206" s="28" t="s">
        <v>2008</v>
      </c>
      <c r="F1206" s="28">
        <v>0.0</v>
      </c>
      <c r="G1206" s="69">
        <v>0.0</v>
      </c>
      <c r="H1206" s="69">
        <v>0.0</v>
      </c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</row>
    <row r="1207" ht="17.25" customHeight="1">
      <c r="A1207" s="24" t="s">
        <v>25</v>
      </c>
      <c r="B1207" s="24" t="s">
        <v>63</v>
      </c>
      <c r="C1207" s="24" t="s">
        <v>1995</v>
      </c>
      <c r="D1207" s="24" t="s">
        <v>1996</v>
      </c>
      <c r="E1207" s="28" t="s">
        <v>2010</v>
      </c>
      <c r="F1207" s="28">
        <v>2.0</v>
      </c>
      <c r="G1207" s="69">
        <v>36000.0</v>
      </c>
      <c r="H1207" s="69">
        <v>4800.0</v>
      </c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</row>
    <row r="1208" ht="17.25" customHeight="1">
      <c r="A1208" s="24" t="s">
        <v>25</v>
      </c>
      <c r="B1208" s="24" t="s">
        <v>91</v>
      </c>
      <c r="C1208" s="24" t="s">
        <v>2012</v>
      </c>
      <c r="D1208" s="24" t="s">
        <v>2013</v>
      </c>
      <c r="E1208" s="28" t="s">
        <v>2014</v>
      </c>
      <c r="F1208" s="28">
        <v>14.0</v>
      </c>
      <c r="G1208" s="69">
        <v>386510.0</v>
      </c>
      <c r="H1208" s="69">
        <v>17390.0</v>
      </c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</row>
    <row r="1209" ht="17.25" customHeight="1">
      <c r="A1209" s="24" t="s">
        <v>25</v>
      </c>
      <c r="B1209" s="24" t="s">
        <v>63</v>
      </c>
      <c r="C1209" s="24" t="s">
        <v>2012</v>
      </c>
      <c r="D1209" s="24" t="s">
        <v>2013</v>
      </c>
      <c r="E1209" s="28" t="s">
        <v>2015</v>
      </c>
      <c r="F1209" s="28">
        <v>70.0</v>
      </c>
      <c r="G1209" s="69">
        <v>1388480.0</v>
      </c>
      <c r="H1209" s="69">
        <v>262950.0</v>
      </c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</row>
    <row r="1210" ht="17.25" customHeight="1">
      <c r="A1210" s="24" t="s">
        <v>25</v>
      </c>
      <c r="B1210" s="24" t="s">
        <v>63</v>
      </c>
      <c r="C1210" s="24" t="s">
        <v>2012</v>
      </c>
      <c r="D1210" s="24" t="s">
        <v>2013</v>
      </c>
      <c r="E1210" s="28" t="s">
        <v>2016</v>
      </c>
      <c r="F1210" s="28">
        <v>0.0</v>
      </c>
      <c r="G1210" s="69">
        <v>0.0</v>
      </c>
      <c r="H1210" s="69">
        <v>0.0</v>
      </c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</row>
    <row r="1211" ht="17.25" customHeight="1">
      <c r="A1211" s="24" t="s">
        <v>25</v>
      </c>
      <c r="B1211" s="24" t="s">
        <v>63</v>
      </c>
      <c r="C1211" s="24" t="s">
        <v>2012</v>
      </c>
      <c r="D1211" s="24" t="s">
        <v>2013</v>
      </c>
      <c r="E1211" s="28" t="s">
        <v>2017</v>
      </c>
      <c r="F1211" s="28">
        <v>8.0</v>
      </c>
      <c r="G1211" s="69">
        <v>225200.0</v>
      </c>
      <c r="H1211" s="69">
        <v>39660.0</v>
      </c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</row>
    <row r="1212" ht="17.25" customHeight="1">
      <c r="A1212" s="24" t="s">
        <v>25</v>
      </c>
      <c r="B1212" s="24" t="s">
        <v>63</v>
      </c>
      <c r="C1212" s="24" t="s">
        <v>2012</v>
      </c>
      <c r="D1212" s="24" t="s">
        <v>2013</v>
      </c>
      <c r="E1212" s="28" t="s">
        <v>2018</v>
      </c>
      <c r="F1212" s="28">
        <v>0.0</v>
      </c>
      <c r="G1212" s="69">
        <v>0.0</v>
      </c>
      <c r="H1212" s="69">
        <v>0.0</v>
      </c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</row>
    <row r="1213" ht="17.25" customHeight="1">
      <c r="A1213" s="24" t="s">
        <v>25</v>
      </c>
      <c r="B1213" s="24" t="s">
        <v>63</v>
      </c>
      <c r="C1213" s="24" t="s">
        <v>2012</v>
      </c>
      <c r="D1213" s="24" t="s">
        <v>2013</v>
      </c>
      <c r="E1213" s="28" t="s">
        <v>2020</v>
      </c>
      <c r="F1213" s="28">
        <v>3.0</v>
      </c>
      <c r="G1213" s="69">
        <v>106880.0</v>
      </c>
      <c r="H1213" s="69">
        <v>7200.0</v>
      </c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</row>
    <row r="1214" ht="17.25" customHeight="1">
      <c r="A1214" s="24" t="s">
        <v>25</v>
      </c>
      <c r="B1214" s="24" t="s">
        <v>91</v>
      </c>
      <c r="C1214" s="24" t="s">
        <v>2012</v>
      </c>
      <c r="D1214" s="24" t="s">
        <v>2013</v>
      </c>
      <c r="E1214" s="28" t="s">
        <v>2021</v>
      </c>
      <c r="F1214" s="28">
        <v>0.0</v>
      </c>
      <c r="G1214" s="69">
        <v>0.0</v>
      </c>
      <c r="H1214" s="69">
        <v>0.0</v>
      </c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</row>
    <row r="1215" ht="17.25" customHeight="1">
      <c r="A1215" s="24" t="s">
        <v>25</v>
      </c>
      <c r="B1215" s="24" t="s">
        <v>63</v>
      </c>
      <c r="C1215" s="24" t="s">
        <v>2012</v>
      </c>
      <c r="D1215" s="24" t="s">
        <v>2013</v>
      </c>
      <c r="E1215" s="28" t="s">
        <v>2023</v>
      </c>
      <c r="F1215" s="28">
        <v>0.0</v>
      </c>
      <c r="G1215" s="69">
        <v>0.0</v>
      </c>
      <c r="H1215" s="69">
        <v>0.0</v>
      </c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</row>
    <row r="1216" ht="17.25" customHeight="1">
      <c r="A1216" s="24" t="s">
        <v>25</v>
      </c>
      <c r="B1216" s="24" t="s">
        <v>63</v>
      </c>
      <c r="C1216" s="24" t="s">
        <v>2012</v>
      </c>
      <c r="D1216" s="24" t="s">
        <v>2013</v>
      </c>
      <c r="E1216" s="28" t="s">
        <v>2024</v>
      </c>
      <c r="F1216" s="28">
        <v>0.0</v>
      </c>
      <c r="G1216" s="69">
        <v>0.0</v>
      </c>
      <c r="H1216" s="69">
        <v>0.0</v>
      </c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</row>
    <row r="1217" ht="17.25" customHeight="1">
      <c r="A1217" s="24" t="s">
        <v>25</v>
      </c>
      <c r="B1217" s="24" t="s">
        <v>91</v>
      </c>
      <c r="C1217" s="24" t="s">
        <v>2012</v>
      </c>
      <c r="D1217" s="24" t="s">
        <v>2013</v>
      </c>
      <c r="E1217" s="28" t="s">
        <v>2026</v>
      </c>
      <c r="F1217" s="28">
        <v>0.0</v>
      </c>
      <c r="G1217" s="69">
        <v>0.0</v>
      </c>
      <c r="H1217" s="69">
        <v>0.0</v>
      </c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</row>
    <row r="1218" ht="17.25" customHeight="1">
      <c r="A1218" s="24" t="s">
        <v>25</v>
      </c>
      <c r="B1218" s="24" t="s">
        <v>91</v>
      </c>
      <c r="C1218" s="24" t="s">
        <v>2027</v>
      </c>
      <c r="D1218" s="24" t="s">
        <v>2028</v>
      </c>
      <c r="E1218" s="28" t="s">
        <v>2029</v>
      </c>
      <c r="F1218" s="28">
        <v>4847.0</v>
      </c>
      <c r="G1218" s="69">
        <v>1.95587E8</v>
      </c>
      <c r="H1218" s="69">
        <v>4883600.0</v>
      </c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</row>
    <row r="1219" ht="17.25" customHeight="1">
      <c r="A1219" s="24" t="s">
        <v>25</v>
      </c>
      <c r="B1219" s="24" t="s">
        <v>91</v>
      </c>
      <c r="C1219" s="24" t="s">
        <v>802</v>
      </c>
      <c r="D1219" s="24" t="s">
        <v>801</v>
      </c>
      <c r="E1219" s="28" t="s">
        <v>2030</v>
      </c>
      <c r="F1219" s="28">
        <v>10.0</v>
      </c>
      <c r="G1219" s="69">
        <v>201000.0</v>
      </c>
      <c r="H1219" s="69">
        <v>4200.0</v>
      </c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</row>
    <row r="1220" ht="17.25" customHeight="1">
      <c r="A1220" s="24" t="s">
        <v>25</v>
      </c>
      <c r="B1220" s="24" t="s">
        <v>91</v>
      </c>
      <c r="C1220" s="24" t="s">
        <v>2032</v>
      </c>
      <c r="D1220" s="24" t="s">
        <v>2006</v>
      </c>
      <c r="E1220" s="28" t="s">
        <v>2033</v>
      </c>
      <c r="F1220" s="28">
        <v>19.0</v>
      </c>
      <c r="G1220" s="69">
        <v>750000.0</v>
      </c>
      <c r="H1220" s="69">
        <v>90580.0</v>
      </c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</row>
    <row r="1221" ht="17.25" customHeight="1">
      <c r="A1221" s="24" t="s">
        <v>25</v>
      </c>
      <c r="B1221" s="24" t="s">
        <v>91</v>
      </c>
      <c r="C1221" s="24" t="s">
        <v>2032</v>
      </c>
      <c r="D1221" s="24" t="s">
        <v>2006</v>
      </c>
      <c r="E1221" s="28" t="s">
        <v>2035</v>
      </c>
      <c r="F1221" s="28">
        <v>351.0</v>
      </c>
      <c r="G1221" s="69">
        <v>1.512476E7</v>
      </c>
      <c r="H1221" s="69">
        <v>1106700.0</v>
      </c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</row>
    <row r="1222" ht="17.25" customHeight="1">
      <c r="A1222" s="24" t="s">
        <v>25</v>
      </c>
      <c r="B1222" s="24" t="s">
        <v>91</v>
      </c>
      <c r="C1222" s="24" t="s">
        <v>2032</v>
      </c>
      <c r="D1222" s="24" t="s">
        <v>2006</v>
      </c>
      <c r="E1222" s="28" t="s">
        <v>2037</v>
      </c>
      <c r="F1222" s="28">
        <v>748.0</v>
      </c>
      <c r="G1222" s="69">
        <v>2.484504E7</v>
      </c>
      <c r="H1222" s="69">
        <v>2964040.0</v>
      </c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</row>
    <row r="1223" ht="17.25" customHeight="1">
      <c r="A1223" s="24" t="s">
        <v>25</v>
      </c>
      <c r="B1223" s="24" t="s">
        <v>91</v>
      </c>
      <c r="C1223" s="24" t="s">
        <v>2032</v>
      </c>
      <c r="D1223" s="24" t="s">
        <v>2006</v>
      </c>
      <c r="E1223" s="28" t="s">
        <v>2038</v>
      </c>
      <c r="F1223" s="28">
        <v>1.0</v>
      </c>
      <c r="G1223" s="69">
        <v>35900.0</v>
      </c>
      <c r="H1223" s="69">
        <v>0.0</v>
      </c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</row>
    <row r="1224" ht="17.25" customHeight="1">
      <c r="A1224" s="24" t="s">
        <v>25</v>
      </c>
      <c r="B1224" s="24" t="s">
        <v>63</v>
      </c>
      <c r="C1224" s="24" t="s">
        <v>2040</v>
      </c>
      <c r="D1224" s="24" t="s">
        <v>2041</v>
      </c>
      <c r="E1224" s="28" t="s">
        <v>2042</v>
      </c>
      <c r="F1224" s="28">
        <v>8.0</v>
      </c>
      <c r="G1224" s="69">
        <v>164400.0</v>
      </c>
      <c r="H1224" s="69">
        <v>10720.0</v>
      </c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</row>
    <row r="1225" ht="17.25" customHeight="1">
      <c r="A1225" s="24" t="s">
        <v>25</v>
      </c>
      <c r="B1225" s="24" t="s">
        <v>63</v>
      </c>
      <c r="C1225" s="24" t="s">
        <v>2040</v>
      </c>
      <c r="D1225" s="24" t="s">
        <v>2041</v>
      </c>
      <c r="E1225" s="28" t="s">
        <v>2044</v>
      </c>
      <c r="F1225" s="28">
        <v>0.0</v>
      </c>
      <c r="G1225" s="69">
        <v>0.0</v>
      </c>
      <c r="H1225" s="69">
        <v>0.0</v>
      </c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</row>
    <row r="1226" ht="17.25" customHeight="1">
      <c r="A1226" s="24" t="s">
        <v>25</v>
      </c>
      <c r="B1226" s="24" t="s">
        <v>63</v>
      </c>
      <c r="C1226" s="24" t="s">
        <v>2040</v>
      </c>
      <c r="D1226" s="24" t="s">
        <v>2041</v>
      </c>
      <c r="E1226" s="28" t="s">
        <v>2045</v>
      </c>
      <c r="F1226" s="28">
        <v>0.0</v>
      </c>
      <c r="G1226" s="69">
        <v>0.0</v>
      </c>
      <c r="H1226" s="69">
        <v>0.0</v>
      </c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</row>
    <row r="1227" ht="17.25" customHeight="1">
      <c r="A1227" s="24" t="s">
        <v>25</v>
      </c>
      <c r="B1227" s="24" t="s">
        <v>63</v>
      </c>
      <c r="C1227" s="24" t="s">
        <v>2040</v>
      </c>
      <c r="D1227" s="24" t="s">
        <v>2041</v>
      </c>
      <c r="E1227" s="28" t="s">
        <v>2047</v>
      </c>
      <c r="F1227" s="28">
        <v>1.0</v>
      </c>
      <c r="G1227" s="69">
        <v>9000.0</v>
      </c>
      <c r="H1227" s="69">
        <v>1800.0</v>
      </c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</row>
    <row r="1228" ht="17.25" customHeight="1">
      <c r="A1228" s="24" t="s">
        <v>25</v>
      </c>
      <c r="B1228" s="24" t="s">
        <v>63</v>
      </c>
      <c r="C1228" s="24" t="s">
        <v>2040</v>
      </c>
      <c r="D1228" s="24" t="s">
        <v>2041</v>
      </c>
      <c r="E1228" s="28" t="s">
        <v>2049</v>
      </c>
      <c r="F1228" s="28">
        <v>8.0</v>
      </c>
      <c r="G1228" s="69">
        <v>147900.0</v>
      </c>
      <c r="H1228" s="69">
        <v>0.0</v>
      </c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</row>
    <row r="1229" ht="17.25" customHeight="1">
      <c r="A1229" s="24" t="s">
        <v>25</v>
      </c>
      <c r="B1229" s="24" t="s">
        <v>63</v>
      </c>
      <c r="C1229" s="24" t="s">
        <v>2040</v>
      </c>
      <c r="D1229" s="24" t="s">
        <v>2041</v>
      </c>
      <c r="E1229" s="28" t="s">
        <v>2050</v>
      </c>
      <c r="F1229" s="28">
        <v>1.0</v>
      </c>
      <c r="G1229" s="69">
        <v>31800.0</v>
      </c>
      <c r="H1229" s="69">
        <v>6360.0</v>
      </c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</row>
    <row r="1230" ht="17.25" customHeight="1">
      <c r="A1230" s="24" t="s">
        <v>25</v>
      </c>
      <c r="B1230" s="24" t="s">
        <v>63</v>
      </c>
      <c r="C1230" s="24" t="s">
        <v>2040</v>
      </c>
      <c r="D1230" s="24" t="s">
        <v>2041</v>
      </c>
      <c r="E1230" s="28" t="s">
        <v>2053</v>
      </c>
      <c r="F1230" s="28">
        <v>0.0</v>
      </c>
      <c r="G1230" s="69">
        <v>0.0</v>
      </c>
      <c r="H1230" s="69">
        <v>0.0</v>
      </c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</row>
    <row r="1231" ht="17.25" customHeight="1">
      <c r="A1231" s="24" t="s">
        <v>25</v>
      </c>
      <c r="B1231" s="24" t="s">
        <v>63</v>
      </c>
      <c r="C1231" s="24" t="s">
        <v>2040</v>
      </c>
      <c r="D1231" s="24" t="s">
        <v>2041</v>
      </c>
      <c r="E1231" s="28" t="s">
        <v>2055</v>
      </c>
      <c r="F1231" s="28">
        <v>5.0</v>
      </c>
      <c r="G1231" s="69">
        <v>220900.0</v>
      </c>
      <c r="H1231" s="69">
        <v>16600.0</v>
      </c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</row>
    <row r="1232" ht="17.25" customHeight="1">
      <c r="A1232" s="24" t="s">
        <v>25</v>
      </c>
      <c r="B1232" s="24" t="s">
        <v>63</v>
      </c>
      <c r="C1232" s="24" t="s">
        <v>2040</v>
      </c>
      <c r="D1232" s="24" t="s">
        <v>2041</v>
      </c>
      <c r="E1232" s="28" t="s">
        <v>2056</v>
      </c>
      <c r="F1232" s="28">
        <v>0.0</v>
      </c>
      <c r="G1232" s="69">
        <v>0.0</v>
      </c>
      <c r="H1232" s="69">
        <v>0.0</v>
      </c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</row>
    <row r="1233" ht="17.25" customHeight="1">
      <c r="A1233" s="24" t="s">
        <v>25</v>
      </c>
      <c r="B1233" s="24" t="s">
        <v>63</v>
      </c>
      <c r="C1233" s="24" t="s">
        <v>2040</v>
      </c>
      <c r="D1233" s="24" t="s">
        <v>2041</v>
      </c>
      <c r="E1233" s="28" t="s">
        <v>2058</v>
      </c>
      <c r="F1233" s="28">
        <v>3.0</v>
      </c>
      <c r="G1233" s="69">
        <v>83600.0</v>
      </c>
      <c r="H1233" s="69">
        <v>0.0</v>
      </c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</row>
    <row r="1234" ht="17.25" customHeight="1">
      <c r="A1234" s="24" t="s">
        <v>25</v>
      </c>
      <c r="B1234" s="24" t="s">
        <v>63</v>
      </c>
      <c r="C1234" s="24" t="s">
        <v>2040</v>
      </c>
      <c r="D1234" s="24" t="s">
        <v>2041</v>
      </c>
      <c r="E1234" s="28" t="s">
        <v>2060</v>
      </c>
      <c r="F1234" s="28">
        <v>0.0</v>
      </c>
      <c r="G1234" s="69">
        <v>0.0</v>
      </c>
      <c r="H1234" s="69">
        <v>0.0</v>
      </c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</row>
    <row r="1235" ht="17.25" customHeight="1">
      <c r="A1235" s="24" t="s">
        <v>25</v>
      </c>
      <c r="B1235" s="24" t="s">
        <v>63</v>
      </c>
      <c r="C1235" s="24" t="s">
        <v>2040</v>
      </c>
      <c r="D1235" s="24" t="s">
        <v>2041</v>
      </c>
      <c r="E1235" s="28" t="s">
        <v>2061</v>
      </c>
      <c r="F1235" s="28">
        <v>2.0</v>
      </c>
      <c r="G1235" s="69">
        <v>64200.0</v>
      </c>
      <c r="H1235" s="69">
        <v>0.0</v>
      </c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</row>
    <row r="1236" ht="17.25" customHeight="1">
      <c r="A1236" s="24" t="s">
        <v>25</v>
      </c>
      <c r="B1236" s="24" t="s">
        <v>63</v>
      </c>
      <c r="C1236" s="24" t="s">
        <v>2040</v>
      </c>
      <c r="D1236" s="24" t="s">
        <v>2041</v>
      </c>
      <c r="E1236" s="28" t="s">
        <v>2063</v>
      </c>
      <c r="F1236" s="28">
        <v>2.0</v>
      </c>
      <c r="G1236" s="69">
        <v>89600.0</v>
      </c>
      <c r="H1236" s="69">
        <v>17920.0</v>
      </c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</row>
    <row r="1237" ht="17.25" customHeight="1">
      <c r="A1237" s="24" t="s">
        <v>25</v>
      </c>
      <c r="B1237" s="24" t="s">
        <v>63</v>
      </c>
      <c r="C1237" s="24" t="s">
        <v>2040</v>
      </c>
      <c r="D1237" s="24" t="s">
        <v>2041</v>
      </c>
      <c r="E1237" s="28" t="s">
        <v>2064</v>
      </c>
      <c r="F1237" s="28">
        <v>1.0</v>
      </c>
      <c r="G1237" s="69">
        <v>13400.0</v>
      </c>
      <c r="H1237" s="69">
        <v>2680.0</v>
      </c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</row>
    <row r="1238" ht="17.25" customHeight="1">
      <c r="A1238" s="24" t="s">
        <v>25</v>
      </c>
      <c r="B1238" s="24" t="s">
        <v>63</v>
      </c>
      <c r="C1238" s="24" t="s">
        <v>2040</v>
      </c>
      <c r="D1238" s="24" t="s">
        <v>2041</v>
      </c>
      <c r="E1238" s="28" t="s">
        <v>2065</v>
      </c>
      <c r="F1238" s="28">
        <v>0.0</v>
      </c>
      <c r="G1238" s="69">
        <v>0.0</v>
      </c>
      <c r="H1238" s="69">
        <v>0.0</v>
      </c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</row>
    <row r="1239" ht="17.25" customHeight="1">
      <c r="A1239" s="24" t="s">
        <v>25</v>
      </c>
      <c r="B1239" s="24" t="s">
        <v>63</v>
      </c>
      <c r="C1239" s="24" t="s">
        <v>2040</v>
      </c>
      <c r="D1239" s="24" t="s">
        <v>2041</v>
      </c>
      <c r="E1239" s="28" t="s">
        <v>2066</v>
      </c>
      <c r="F1239" s="28">
        <v>1.0</v>
      </c>
      <c r="G1239" s="69">
        <v>38400.0</v>
      </c>
      <c r="H1239" s="69">
        <v>0.0</v>
      </c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</row>
    <row r="1240" ht="17.25" customHeight="1">
      <c r="A1240" s="24" t="s">
        <v>25</v>
      </c>
      <c r="B1240" s="24" t="s">
        <v>63</v>
      </c>
      <c r="C1240" s="24" t="s">
        <v>2040</v>
      </c>
      <c r="D1240" s="24" t="s">
        <v>2041</v>
      </c>
      <c r="E1240" s="28" t="s">
        <v>2067</v>
      </c>
      <c r="F1240" s="28">
        <v>3.0</v>
      </c>
      <c r="G1240" s="69">
        <v>114500.0</v>
      </c>
      <c r="H1240" s="69">
        <v>22900.0</v>
      </c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</row>
    <row r="1241" ht="17.25" customHeight="1">
      <c r="A1241" s="24" t="s">
        <v>25</v>
      </c>
      <c r="B1241" s="24" t="s">
        <v>63</v>
      </c>
      <c r="C1241" s="24" t="s">
        <v>2040</v>
      </c>
      <c r="D1241" s="24" t="s">
        <v>2041</v>
      </c>
      <c r="E1241" s="28" t="s">
        <v>2068</v>
      </c>
      <c r="F1241" s="28">
        <v>5.0</v>
      </c>
      <c r="G1241" s="69">
        <v>99000.0</v>
      </c>
      <c r="H1241" s="69">
        <v>11880.0</v>
      </c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</row>
    <row r="1242" ht="17.25" customHeight="1">
      <c r="A1242" s="24" t="s">
        <v>25</v>
      </c>
      <c r="B1242" s="24" t="s">
        <v>63</v>
      </c>
      <c r="C1242" s="24" t="s">
        <v>2069</v>
      </c>
      <c r="D1242" s="24" t="s">
        <v>2070</v>
      </c>
      <c r="E1242" s="28" t="s">
        <v>2071</v>
      </c>
      <c r="F1242" s="28">
        <v>5.0</v>
      </c>
      <c r="G1242" s="69">
        <v>416000.0</v>
      </c>
      <c r="H1242" s="69">
        <v>7200.0</v>
      </c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</row>
    <row r="1243" ht="17.25" customHeight="1">
      <c r="A1243" s="24" t="s">
        <v>25</v>
      </c>
      <c r="B1243" s="24" t="s">
        <v>63</v>
      </c>
      <c r="C1243" s="24" t="s">
        <v>2069</v>
      </c>
      <c r="D1243" s="24" t="s">
        <v>2070</v>
      </c>
      <c r="E1243" s="28" t="s">
        <v>2072</v>
      </c>
      <c r="F1243" s="28">
        <v>3.0</v>
      </c>
      <c r="G1243" s="69">
        <v>137900.0</v>
      </c>
      <c r="H1243" s="69">
        <v>7880.0</v>
      </c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</row>
    <row r="1244" ht="17.25" customHeight="1">
      <c r="A1244" s="24" t="s">
        <v>25</v>
      </c>
      <c r="B1244" s="24" t="s">
        <v>63</v>
      </c>
      <c r="C1244" s="24" t="s">
        <v>2069</v>
      </c>
      <c r="D1244" s="24" t="s">
        <v>2070</v>
      </c>
      <c r="E1244" s="28" t="s">
        <v>2073</v>
      </c>
      <c r="F1244" s="28">
        <v>2.0</v>
      </c>
      <c r="G1244" s="69">
        <v>58000.0</v>
      </c>
      <c r="H1244" s="69">
        <v>0.0</v>
      </c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</row>
    <row r="1245" ht="17.25" customHeight="1">
      <c r="A1245" s="24" t="s">
        <v>25</v>
      </c>
      <c r="B1245" s="24" t="s">
        <v>63</v>
      </c>
      <c r="C1245" s="24" t="s">
        <v>2069</v>
      </c>
      <c r="D1245" s="24" t="s">
        <v>2070</v>
      </c>
      <c r="E1245" s="28" t="s">
        <v>2074</v>
      </c>
      <c r="F1245" s="28">
        <v>3.0</v>
      </c>
      <c r="G1245" s="69">
        <v>87000.0</v>
      </c>
      <c r="H1245" s="69">
        <v>0.0</v>
      </c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</row>
    <row r="1246" ht="17.25" customHeight="1">
      <c r="A1246" s="24" t="s">
        <v>25</v>
      </c>
      <c r="B1246" s="24" t="s">
        <v>63</v>
      </c>
      <c r="C1246" s="24" t="s">
        <v>2075</v>
      </c>
      <c r="D1246" s="24" t="s">
        <v>2076</v>
      </c>
      <c r="E1246" s="28" t="s">
        <v>2077</v>
      </c>
      <c r="F1246" s="28">
        <v>3.0</v>
      </c>
      <c r="G1246" s="69">
        <v>83700.0</v>
      </c>
      <c r="H1246" s="69">
        <v>5580.0</v>
      </c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</row>
    <row r="1247" ht="17.25" customHeight="1">
      <c r="A1247" s="24" t="s">
        <v>25</v>
      </c>
      <c r="B1247" s="24" t="s">
        <v>63</v>
      </c>
      <c r="C1247" s="24" t="s">
        <v>2040</v>
      </c>
      <c r="D1247" s="24" t="s">
        <v>2041</v>
      </c>
      <c r="E1247" s="28" t="s">
        <v>2078</v>
      </c>
      <c r="F1247" s="28">
        <v>0.0</v>
      </c>
      <c r="G1247" s="69">
        <v>0.0</v>
      </c>
      <c r="H1247" s="69">
        <v>0.0</v>
      </c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</row>
    <row r="1248" ht="17.25" customHeight="1">
      <c r="A1248" s="24" t="s">
        <v>25</v>
      </c>
      <c r="B1248" s="24" t="s">
        <v>63</v>
      </c>
      <c r="C1248" s="24" t="s">
        <v>2079</v>
      </c>
      <c r="D1248" s="24" t="s">
        <v>2080</v>
      </c>
      <c r="E1248" s="28" t="s">
        <v>2081</v>
      </c>
      <c r="F1248" s="28">
        <v>5.0</v>
      </c>
      <c r="G1248" s="69">
        <v>71600.0</v>
      </c>
      <c r="H1248" s="69">
        <v>0.0</v>
      </c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</row>
    <row r="1249" ht="17.25" customHeight="1">
      <c r="A1249" s="24" t="s">
        <v>25</v>
      </c>
      <c r="B1249" s="24" t="s">
        <v>63</v>
      </c>
      <c r="C1249" s="24" t="s">
        <v>2079</v>
      </c>
      <c r="D1249" s="24" t="s">
        <v>2080</v>
      </c>
      <c r="E1249" s="28" t="s">
        <v>2082</v>
      </c>
      <c r="F1249" s="28">
        <v>2.0</v>
      </c>
      <c r="G1249" s="69">
        <v>25920.0</v>
      </c>
      <c r="H1249" s="69">
        <v>3890.0</v>
      </c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</row>
    <row r="1250" ht="17.25" customHeight="1">
      <c r="A1250" s="24" t="s">
        <v>25</v>
      </c>
      <c r="B1250" s="24" t="s">
        <v>63</v>
      </c>
      <c r="C1250" s="24" t="s">
        <v>2079</v>
      </c>
      <c r="D1250" s="24" t="s">
        <v>2080</v>
      </c>
      <c r="E1250" s="28" t="s">
        <v>2083</v>
      </c>
      <c r="F1250" s="28">
        <v>1.0</v>
      </c>
      <c r="G1250" s="69">
        <v>6480.0</v>
      </c>
      <c r="H1250" s="69">
        <v>0.0</v>
      </c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</row>
    <row r="1251" ht="17.25" customHeight="1">
      <c r="A1251" s="24" t="s">
        <v>25</v>
      </c>
      <c r="B1251" s="24" t="s">
        <v>63</v>
      </c>
      <c r="C1251" s="24" t="s">
        <v>2079</v>
      </c>
      <c r="D1251" s="24" t="s">
        <v>2080</v>
      </c>
      <c r="E1251" s="28" t="s">
        <v>2084</v>
      </c>
      <c r="F1251" s="28">
        <v>4.0</v>
      </c>
      <c r="G1251" s="69">
        <v>24480.0</v>
      </c>
      <c r="H1251" s="69">
        <v>0.0</v>
      </c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</row>
    <row r="1252" ht="17.25" customHeight="1">
      <c r="A1252" s="24" t="s">
        <v>25</v>
      </c>
      <c r="B1252" s="24" t="s">
        <v>63</v>
      </c>
      <c r="C1252" s="24" t="s">
        <v>2079</v>
      </c>
      <c r="D1252" s="24" t="s">
        <v>2080</v>
      </c>
      <c r="E1252" s="28" t="s">
        <v>2085</v>
      </c>
      <c r="F1252" s="28">
        <v>1.0</v>
      </c>
      <c r="G1252" s="69">
        <v>6480.0</v>
      </c>
      <c r="H1252" s="69">
        <v>0.0</v>
      </c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</row>
    <row r="1253" ht="17.25" customHeight="1">
      <c r="A1253" s="24" t="s">
        <v>25</v>
      </c>
      <c r="B1253" s="24" t="s">
        <v>63</v>
      </c>
      <c r="C1253" s="24" t="s">
        <v>2079</v>
      </c>
      <c r="D1253" s="24" t="s">
        <v>2080</v>
      </c>
      <c r="E1253" s="28" t="s">
        <v>2086</v>
      </c>
      <c r="F1253" s="28">
        <v>2.0</v>
      </c>
      <c r="G1253" s="69">
        <v>85260.0</v>
      </c>
      <c r="H1253" s="69">
        <v>0.0</v>
      </c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</row>
    <row r="1254" ht="17.25" customHeight="1">
      <c r="A1254" s="24" t="s">
        <v>25</v>
      </c>
      <c r="B1254" s="24" t="s">
        <v>91</v>
      </c>
      <c r="C1254" s="24" t="s">
        <v>2087</v>
      </c>
      <c r="D1254" s="24" t="s">
        <v>2088</v>
      </c>
      <c r="E1254" s="28" t="s">
        <v>2089</v>
      </c>
      <c r="F1254" s="28">
        <v>247.0</v>
      </c>
      <c r="G1254" s="69">
        <v>2356800.0</v>
      </c>
      <c r="H1254" s="69">
        <v>221980.0</v>
      </c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</row>
    <row r="1255" ht="17.25" customHeight="1">
      <c r="A1255" s="24" t="s">
        <v>25</v>
      </c>
      <c r="B1255" s="24" t="s">
        <v>91</v>
      </c>
      <c r="C1255" s="24" t="s">
        <v>1237</v>
      </c>
      <c r="D1255" s="24" t="s">
        <v>1236</v>
      </c>
      <c r="E1255" s="28" t="s">
        <v>2090</v>
      </c>
      <c r="F1255" s="28">
        <v>34.0</v>
      </c>
      <c r="G1255" s="69">
        <v>1555000.0</v>
      </c>
      <c r="H1255" s="69">
        <v>295000.0</v>
      </c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</row>
    <row r="1256" ht="17.25" customHeight="1">
      <c r="A1256" s="24" t="s">
        <v>25</v>
      </c>
      <c r="B1256" s="24" t="s">
        <v>91</v>
      </c>
      <c r="C1256" s="24" t="s">
        <v>1237</v>
      </c>
      <c r="D1256" s="24" t="s">
        <v>1236</v>
      </c>
      <c r="E1256" s="28" t="s">
        <v>2091</v>
      </c>
      <c r="F1256" s="28">
        <v>3.0</v>
      </c>
      <c r="G1256" s="69">
        <v>28000.0</v>
      </c>
      <c r="H1256" s="69">
        <v>0.0</v>
      </c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</row>
    <row r="1257" ht="17.25" customHeight="1">
      <c r="A1257" s="24" t="s">
        <v>25</v>
      </c>
      <c r="B1257" s="24" t="s">
        <v>91</v>
      </c>
      <c r="C1257" s="24" t="s">
        <v>1237</v>
      </c>
      <c r="D1257" s="24" t="s">
        <v>1236</v>
      </c>
      <c r="E1257" s="28" t="s">
        <v>2092</v>
      </c>
      <c r="F1257" s="28">
        <v>2.0</v>
      </c>
      <c r="G1257" s="69">
        <v>14000.0</v>
      </c>
      <c r="H1257" s="69">
        <v>0.0</v>
      </c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</row>
    <row r="1258" ht="17.25" customHeight="1">
      <c r="A1258" s="24" t="s">
        <v>25</v>
      </c>
      <c r="B1258" s="24" t="s">
        <v>91</v>
      </c>
      <c r="C1258" s="24" t="s">
        <v>1237</v>
      </c>
      <c r="D1258" s="24" t="s">
        <v>1236</v>
      </c>
      <c r="E1258" s="28" t="s">
        <v>2093</v>
      </c>
      <c r="F1258" s="28">
        <v>20.0</v>
      </c>
      <c r="G1258" s="69">
        <v>770000.0</v>
      </c>
      <c r="H1258" s="69">
        <v>125940.0</v>
      </c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</row>
    <row r="1259" ht="17.25" customHeight="1">
      <c r="A1259" s="24" t="s">
        <v>25</v>
      </c>
      <c r="B1259" s="24" t="s">
        <v>91</v>
      </c>
      <c r="C1259" s="24" t="s">
        <v>1237</v>
      </c>
      <c r="D1259" s="24" t="s">
        <v>1236</v>
      </c>
      <c r="E1259" s="28" t="s">
        <v>2094</v>
      </c>
      <c r="F1259" s="28">
        <v>8.0</v>
      </c>
      <c r="G1259" s="69">
        <v>144000.0</v>
      </c>
      <c r="H1259" s="69">
        <v>17400.0</v>
      </c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</row>
    <row r="1260" ht="17.25" customHeight="1">
      <c r="A1260" s="24" t="s">
        <v>25</v>
      </c>
      <c r="B1260" s="24" t="s">
        <v>91</v>
      </c>
      <c r="C1260" s="24" t="s">
        <v>1237</v>
      </c>
      <c r="D1260" s="24" t="s">
        <v>1236</v>
      </c>
      <c r="E1260" s="28" t="s">
        <v>2096</v>
      </c>
      <c r="F1260" s="28">
        <v>1.0</v>
      </c>
      <c r="G1260" s="69">
        <v>5000.0</v>
      </c>
      <c r="H1260" s="69">
        <v>0.0</v>
      </c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</row>
    <row r="1261" ht="17.25" customHeight="1">
      <c r="A1261" s="24" t="s">
        <v>25</v>
      </c>
      <c r="B1261" s="24" t="s">
        <v>91</v>
      </c>
      <c r="C1261" s="24" t="s">
        <v>1237</v>
      </c>
      <c r="D1261" s="24" t="s">
        <v>1236</v>
      </c>
      <c r="E1261" s="28" t="s">
        <v>2097</v>
      </c>
      <c r="F1261" s="28">
        <v>6.0</v>
      </c>
      <c r="G1261" s="69">
        <v>27000.0</v>
      </c>
      <c r="H1261" s="69">
        <v>0.0</v>
      </c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</row>
    <row r="1262" ht="17.25" customHeight="1">
      <c r="A1262" s="24" t="s">
        <v>25</v>
      </c>
      <c r="B1262" s="24" t="s">
        <v>91</v>
      </c>
      <c r="C1262" s="24" t="s">
        <v>1237</v>
      </c>
      <c r="D1262" s="24" t="s">
        <v>1236</v>
      </c>
      <c r="E1262" s="28" t="s">
        <v>2098</v>
      </c>
      <c r="F1262" s="28">
        <v>0.0</v>
      </c>
      <c r="G1262" s="69">
        <v>0.0</v>
      </c>
      <c r="H1262" s="69">
        <v>0.0</v>
      </c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</row>
    <row r="1263" ht="17.25" customHeight="1">
      <c r="A1263" s="24" t="s">
        <v>25</v>
      </c>
      <c r="B1263" s="24" t="s">
        <v>91</v>
      </c>
      <c r="C1263" s="24" t="s">
        <v>1237</v>
      </c>
      <c r="D1263" s="24" t="s">
        <v>1236</v>
      </c>
      <c r="E1263" s="28" t="s">
        <v>2099</v>
      </c>
      <c r="F1263" s="28">
        <v>0.0</v>
      </c>
      <c r="G1263" s="69">
        <v>0.0</v>
      </c>
      <c r="H1263" s="69">
        <v>0.0</v>
      </c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</row>
    <row r="1264" ht="17.25" customHeight="1">
      <c r="A1264" s="24" t="s">
        <v>25</v>
      </c>
      <c r="B1264" s="24" t="s">
        <v>91</v>
      </c>
      <c r="C1264" s="24" t="s">
        <v>1237</v>
      </c>
      <c r="D1264" s="24" t="s">
        <v>1236</v>
      </c>
      <c r="E1264" s="28" t="s">
        <v>2100</v>
      </c>
      <c r="F1264" s="28">
        <v>1.0</v>
      </c>
      <c r="G1264" s="69">
        <v>9000.0</v>
      </c>
      <c r="H1264" s="69">
        <v>0.0</v>
      </c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</row>
    <row r="1265" ht="17.25" customHeight="1">
      <c r="A1265" s="24" t="s">
        <v>25</v>
      </c>
      <c r="B1265" s="24" t="s">
        <v>91</v>
      </c>
      <c r="C1265" s="24" t="s">
        <v>1237</v>
      </c>
      <c r="D1265" s="24" t="s">
        <v>1236</v>
      </c>
      <c r="E1265" s="28" t="s">
        <v>2101</v>
      </c>
      <c r="F1265" s="28">
        <v>0.0</v>
      </c>
      <c r="G1265" s="69">
        <v>0.0</v>
      </c>
      <c r="H1265" s="69">
        <v>0.0</v>
      </c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</row>
    <row r="1266" ht="17.25" customHeight="1">
      <c r="A1266" s="24" t="s">
        <v>25</v>
      </c>
      <c r="B1266" s="24" t="s">
        <v>91</v>
      </c>
      <c r="C1266" s="24" t="s">
        <v>1237</v>
      </c>
      <c r="D1266" s="24" t="s">
        <v>1236</v>
      </c>
      <c r="E1266" s="28" t="s">
        <v>2102</v>
      </c>
      <c r="F1266" s="28">
        <v>9.0</v>
      </c>
      <c r="G1266" s="69">
        <v>390000.0</v>
      </c>
      <c r="H1266" s="69">
        <v>66000.0</v>
      </c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</row>
    <row r="1267" ht="17.25" customHeight="1">
      <c r="A1267" s="24" t="s">
        <v>25</v>
      </c>
      <c r="B1267" s="24" t="s">
        <v>91</v>
      </c>
      <c r="C1267" s="24" t="s">
        <v>1237</v>
      </c>
      <c r="D1267" s="24" t="s">
        <v>1236</v>
      </c>
      <c r="E1267" s="28" t="s">
        <v>2103</v>
      </c>
      <c r="F1267" s="28">
        <v>5.0</v>
      </c>
      <c r="G1267" s="69">
        <v>117000.0</v>
      </c>
      <c r="H1267" s="69">
        <v>12800.0</v>
      </c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</row>
    <row r="1268" ht="17.25" customHeight="1">
      <c r="A1268" s="24" t="s">
        <v>25</v>
      </c>
      <c r="B1268" s="24" t="s">
        <v>91</v>
      </c>
      <c r="C1268" s="24" t="s">
        <v>1237</v>
      </c>
      <c r="D1268" s="24" t="s">
        <v>1236</v>
      </c>
      <c r="E1268" s="28" t="s">
        <v>2104</v>
      </c>
      <c r="F1268" s="28">
        <v>5.0</v>
      </c>
      <c r="G1268" s="69">
        <v>103000.0</v>
      </c>
      <c r="H1268" s="69">
        <v>10000.0</v>
      </c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</row>
    <row r="1269" ht="17.25" customHeight="1">
      <c r="A1269" s="24" t="s">
        <v>25</v>
      </c>
      <c r="B1269" s="24" t="s">
        <v>91</v>
      </c>
      <c r="C1269" s="24" t="s">
        <v>1237</v>
      </c>
      <c r="D1269" s="24" t="s">
        <v>1236</v>
      </c>
      <c r="E1269" s="28" t="s">
        <v>2105</v>
      </c>
      <c r="F1269" s="28">
        <v>1.0</v>
      </c>
      <c r="G1269" s="69">
        <v>4500.0</v>
      </c>
      <c r="H1269" s="69">
        <v>0.0</v>
      </c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</row>
    <row r="1270" ht="17.25" customHeight="1">
      <c r="A1270" s="24" t="s">
        <v>25</v>
      </c>
      <c r="B1270" s="24" t="s">
        <v>91</v>
      </c>
      <c r="C1270" s="24" t="s">
        <v>1237</v>
      </c>
      <c r="D1270" s="24" t="s">
        <v>1236</v>
      </c>
      <c r="E1270" s="28" t="s">
        <v>2106</v>
      </c>
      <c r="F1270" s="28">
        <v>16.0</v>
      </c>
      <c r="G1270" s="69">
        <v>206000.0</v>
      </c>
      <c r="H1270" s="69">
        <v>12000.0</v>
      </c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</row>
    <row r="1271" ht="17.25" customHeight="1">
      <c r="A1271" s="24" t="s">
        <v>25</v>
      </c>
      <c r="B1271" s="24" t="s">
        <v>91</v>
      </c>
      <c r="C1271" s="24" t="s">
        <v>1237</v>
      </c>
      <c r="D1271" s="24" t="s">
        <v>1236</v>
      </c>
      <c r="E1271" s="28" t="s">
        <v>2109</v>
      </c>
      <c r="F1271" s="28">
        <v>42.0</v>
      </c>
      <c r="G1271" s="69">
        <v>1030000.0</v>
      </c>
      <c r="H1271" s="69">
        <v>126300.0</v>
      </c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</row>
    <row r="1272" ht="17.25" customHeight="1">
      <c r="A1272" s="24" t="s">
        <v>25</v>
      </c>
      <c r="B1272" s="24" t="s">
        <v>91</v>
      </c>
      <c r="C1272" s="24" t="s">
        <v>1237</v>
      </c>
      <c r="D1272" s="24" t="s">
        <v>1236</v>
      </c>
      <c r="E1272" s="28" t="s">
        <v>2110</v>
      </c>
      <c r="F1272" s="28">
        <v>85.0</v>
      </c>
      <c r="G1272" s="69">
        <v>3276000.0</v>
      </c>
      <c r="H1272" s="69">
        <v>511400.0</v>
      </c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</row>
    <row r="1273" ht="17.25" customHeight="1">
      <c r="A1273" s="24" t="s">
        <v>25</v>
      </c>
      <c r="B1273" s="24" t="s">
        <v>91</v>
      </c>
      <c r="C1273" s="24" t="s">
        <v>1237</v>
      </c>
      <c r="D1273" s="24" t="s">
        <v>1236</v>
      </c>
      <c r="E1273" s="28" t="s">
        <v>2111</v>
      </c>
      <c r="F1273" s="28">
        <v>29.0</v>
      </c>
      <c r="G1273" s="69">
        <v>1552000.0</v>
      </c>
      <c r="H1273" s="69">
        <v>119800.0</v>
      </c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</row>
    <row r="1274" ht="17.25" customHeight="1">
      <c r="A1274" s="24" t="s">
        <v>25</v>
      </c>
      <c r="B1274" s="24" t="s">
        <v>91</v>
      </c>
      <c r="C1274" s="24" t="s">
        <v>1237</v>
      </c>
      <c r="D1274" s="24" t="s">
        <v>1236</v>
      </c>
      <c r="E1274" s="28" t="s">
        <v>2112</v>
      </c>
      <c r="F1274" s="28">
        <v>21.0</v>
      </c>
      <c r="G1274" s="69">
        <v>246000.0</v>
      </c>
      <c r="H1274" s="69">
        <v>19000.0</v>
      </c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</row>
    <row r="1275" ht="17.25" customHeight="1">
      <c r="A1275" s="24" t="s">
        <v>25</v>
      </c>
      <c r="B1275" s="24" t="s">
        <v>91</v>
      </c>
      <c r="C1275" s="24" t="s">
        <v>1237</v>
      </c>
      <c r="D1275" s="24" t="s">
        <v>1236</v>
      </c>
      <c r="E1275" s="28" t="s">
        <v>2113</v>
      </c>
      <c r="F1275" s="28">
        <v>16.0</v>
      </c>
      <c r="G1275" s="69">
        <v>107000.0</v>
      </c>
      <c r="H1275" s="69">
        <v>2200.0</v>
      </c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</row>
    <row r="1276" ht="17.25" customHeight="1">
      <c r="A1276" s="24" t="s">
        <v>25</v>
      </c>
      <c r="B1276" s="24" t="s">
        <v>63</v>
      </c>
      <c r="C1276" s="24" t="s">
        <v>1237</v>
      </c>
      <c r="D1276" s="24" t="s">
        <v>1236</v>
      </c>
      <c r="E1276" s="28" t="s">
        <v>2114</v>
      </c>
      <c r="F1276" s="28">
        <v>16.0</v>
      </c>
      <c r="G1276" s="69">
        <v>167000.0</v>
      </c>
      <c r="H1276" s="69">
        <v>5000.0</v>
      </c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</row>
    <row r="1277" ht="17.25" customHeight="1">
      <c r="A1277" s="24" t="s">
        <v>25</v>
      </c>
      <c r="B1277" s="24" t="s">
        <v>91</v>
      </c>
      <c r="C1277" s="24" t="s">
        <v>1237</v>
      </c>
      <c r="D1277" s="24" t="s">
        <v>1236</v>
      </c>
      <c r="E1277" s="28" t="s">
        <v>2115</v>
      </c>
      <c r="F1277" s="28">
        <v>17.0</v>
      </c>
      <c r="G1277" s="69">
        <v>361000.0</v>
      </c>
      <c r="H1277" s="69">
        <v>54000.0</v>
      </c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</row>
    <row r="1278" ht="17.25" customHeight="1">
      <c r="A1278" s="24" t="s">
        <v>25</v>
      </c>
      <c r="B1278" s="24" t="s">
        <v>91</v>
      </c>
      <c r="C1278" s="24" t="s">
        <v>1237</v>
      </c>
      <c r="D1278" s="24" t="s">
        <v>1236</v>
      </c>
      <c r="E1278" s="28" t="s">
        <v>2116</v>
      </c>
      <c r="F1278" s="28">
        <v>17.0</v>
      </c>
      <c r="G1278" s="69">
        <v>367000.0</v>
      </c>
      <c r="H1278" s="69">
        <v>36800.0</v>
      </c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</row>
    <row r="1279" ht="17.25" customHeight="1">
      <c r="A1279" s="24" t="s">
        <v>25</v>
      </c>
      <c r="B1279" s="24" t="s">
        <v>91</v>
      </c>
      <c r="C1279" s="24" t="s">
        <v>1237</v>
      </c>
      <c r="D1279" s="24" t="s">
        <v>1236</v>
      </c>
      <c r="E1279" s="28" t="s">
        <v>2117</v>
      </c>
      <c r="F1279" s="28">
        <v>74.0</v>
      </c>
      <c r="G1279" s="69">
        <v>1197000.0</v>
      </c>
      <c r="H1279" s="69">
        <v>96400.0</v>
      </c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</row>
    <row r="1280" ht="17.25" customHeight="1">
      <c r="A1280" s="24" t="s">
        <v>25</v>
      </c>
      <c r="B1280" s="24" t="s">
        <v>91</v>
      </c>
      <c r="C1280" s="24" t="s">
        <v>1237</v>
      </c>
      <c r="D1280" s="24" t="s">
        <v>1236</v>
      </c>
      <c r="E1280" s="28" t="s">
        <v>2118</v>
      </c>
      <c r="F1280" s="28">
        <v>4.0</v>
      </c>
      <c r="G1280" s="69">
        <v>30000.0</v>
      </c>
      <c r="H1280" s="69">
        <v>0.0</v>
      </c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</row>
    <row r="1281" ht="17.25" customHeight="1">
      <c r="A1281" s="24" t="s">
        <v>25</v>
      </c>
      <c r="B1281" s="24" t="s">
        <v>91</v>
      </c>
      <c r="C1281" s="24" t="s">
        <v>1237</v>
      </c>
      <c r="D1281" s="24" t="s">
        <v>1236</v>
      </c>
      <c r="E1281" s="28" t="s">
        <v>2119</v>
      </c>
      <c r="F1281" s="28">
        <v>12.0</v>
      </c>
      <c r="G1281" s="69">
        <v>274000.0</v>
      </c>
      <c r="H1281" s="69">
        <v>15000.0</v>
      </c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</row>
    <row r="1282" ht="17.25" customHeight="1">
      <c r="A1282" s="24" t="s">
        <v>25</v>
      </c>
      <c r="B1282" s="24" t="s">
        <v>91</v>
      </c>
      <c r="C1282" s="24" t="s">
        <v>1237</v>
      </c>
      <c r="D1282" s="24" t="s">
        <v>1236</v>
      </c>
      <c r="E1282" s="28" t="s">
        <v>2122</v>
      </c>
      <c r="F1282" s="28">
        <v>62.0</v>
      </c>
      <c r="G1282" s="69">
        <v>2864000.0</v>
      </c>
      <c r="H1282" s="69">
        <v>352600.0</v>
      </c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</row>
    <row r="1283" ht="17.25" customHeight="1">
      <c r="A1283" s="24" t="s">
        <v>25</v>
      </c>
      <c r="B1283" s="24" t="s">
        <v>91</v>
      </c>
      <c r="C1283" s="24" t="s">
        <v>1237</v>
      </c>
      <c r="D1283" s="24" t="s">
        <v>1236</v>
      </c>
      <c r="E1283" s="28" t="s">
        <v>2123</v>
      </c>
      <c r="F1283" s="28">
        <v>3.0</v>
      </c>
      <c r="G1283" s="69">
        <v>19000.0</v>
      </c>
      <c r="H1283" s="69">
        <v>1800.0</v>
      </c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</row>
    <row r="1284" ht="17.25" customHeight="1">
      <c r="A1284" s="24" t="s">
        <v>25</v>
      </c>
      <c r="B1284" s="24" t="s">
        <v>91</v>
      </c>
      <c r="C1284" s="24" t="s">
        <v>1237</v>
      </c>
      <c r="D1284" s="24" t="s">
        <v>1236</v>
      </c>
      <c r="E1284" s="28" t="s">
        <v>2124</v>
      </c>
      <c r="F1284" s="28">
        <v>1.0</v>
      </c>
      <c r="G1284" s="69">
        <v>9000.0</v>
      </c>
      <c r="H1284" s="69">
        <v>0.0</v>
      </c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</row>
    <row r="1285" ht="17.25" customHeight="1">
      <c r="A1285" s="24" t="s">
        <v>25</v>
      </c>
      <c r="B1285" s="24" t="s">
        <v>91</v>
      </c>
      <c r="C1285" s="24" t="s">
        <v>1237</v>
      </c>
      <c r="D1285" s="24" t="s">
        <v>1236</v>
      </c>
      <c r="E1285" s="28" t="s">
        <v>2125</v>
      </c>
      <c r="F1285" s="28">
        <v>35.0</v>
      </c>
      <c r="G1285" s="69">
        <v>353500.0</v>
      </c>
      <c r="H1285" s="69">
        <v>8200.0</v>
      </c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</row>
    <row r="1286" ht="17.25" customHeight="1">
      <c r="A1286" s="24" t="s">
        <v>25</v>
      </c>
      <c r="B1286" s="24" t="s">
        <v>91</v>
      </c>
      <c r="C1286" s="24" t="s">
        <v>1254</v>
      </c>
      <c r="D1286" s="24" t="s">
        <v>1253</v>
      </c>
      <c r="E1286" s="28" t="s">
        <v>2126</v>
      </c>
      <c r="F1286" s="28">
        <v>1.0</v>
      </c>
      <c r="G1286" s="69">
        <v>40000.0</v>
      </c>
      <c r="H1286" s="69">
        <v>8000.0</v>
      </c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</row>
    <row r="1287" ht="17.25" customHeight="1">
      <c r="A1287" s="24" t="s">
        <v>25</v>
      </c>
      <c r="B1287" s="24" t="s">
        <v>91</v>
      </c>
      <c r="C1287" s="24" t="s">
        <v>1254</v>
      </c>
      <c r="D1287" s="24" t="s">
        <v>1253</v>
      </c>
      <c r="E1287" s="28" t="s">
        <v>2127</v>
      </c>
      <c r="F1287" s="28">
        <v>2.0</v>
      </c>
      <c r="G1287" s="69">
        <v>200000.0</v>
      </c>
      <c r="H1287" s="69">
        <v>10000.0</v>
      </c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</row>
    <row r="1288" ht="17.25" customHeight="1">
      <c r="A1288" s="24" t="s">
        <v>25</v>
      </c>
      <c r="B1288" s="24" t="s">
        <v>91</v>
      </c>
      <c r="C1288" s="24" t="s">
        <v>2128</v>
      </c>
      <c r="D1288" s="24" t="s">
        <v>2129</v>
      </c>
      <c r="E1288" s="28" t="s">
        <v>2130</v>
      </c>
      <c r="F1288" s="28">
        <v>0.0</v>
      </c>
      <c r="G1288" s="69">
        <v>0.0</v>
      </c>
      <c r="H1288" s="69">
        <v>0.0</v>
      </c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</row>
    <row r="1289" ht="17.25" customHeight="1">
      <c r="A1289" s="24" t="s">
        <v>25</v>
      </c>
      <c r="B1289" s="24" t="s">
        <v>63</v>
      </c>
      <c r="C1289" s="24" t="s">
        <v>2131</v>
      </c>
      <c r="D1289" s="24" t="s">
        <v>2132</v>
      </c>
      <c r="E1289" s="28" t="s">
        <v>2133</v>
      </c>
      <c r="F1289" s="28">
        <v>96.0</v>
      </c>
      <c r="G1289" s="69">
        <v>3003500.0</v>
      </c>
      <c r="H1289" s="69">
        <v>86600.0</v>
      </c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</row>
    <row r="1290" ht="17.25" customHeight="1">
      <c r="A1290" s="24" t="s">
        <v>25</v>
      </c>
      <c r="B1290" s="24" t="s">
        <v>63</v>
      </c>
      <c r="C1290" s="24" t="s">
        <v>2131</v>
      </c>
      <c r="D1290" s="24" t="s">
        <v>2132</v>
      </c>
      <c r="E1290" s="28" t="s">
        <v>2134</v>
      </c>
      <c r="F1290" s="28">
        <v>47.0</v>
      </c>
      <c r="G1290" s="69">
        <v>1120000.0</v>
      </c>
      <c r="H1290" s="69">
        <v>70000.0</v>
      </c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</row>
    <row r="1291" ht="17.25" customHeight="1">
      <c r="A1291" s="24" t="s">
        <v>25</v>
      </c>
      <c r="B1291" s="24" t="s">
        <v>63</v>
      </c>
      <c r="C1291" s="24" t="s">
        <v>2131</v>
      </c>
      <c r="D1291" s="24" t="s">
        <v>2132</v>
      </c>
      <c r="E1291" s="28" t="s">
        <v>2135</v>
      </c>
      <c r="F1291" s="28">
        <v>168.0</v>
      </c>
      <c r="G1291" s="69">
        <v>7561000.0</v>
      </c>
      <c r="H1291" s="69">
        <v>230000.0</v>
      </c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</row>
    <row r="1292" ht="17.25" customHeight="1">
      <c r="A1292" s="24" t="s">
        <v>25</v>
      </c>
      <c r="B1292" s="24" t="s">
        <v>63</v>
      </c>
      <c r="C1292" s="24" t="s">
        <v>2131</v>
      </c>
      <c r="D1292" s="24" t="s">
        <v>2132</v>
      </c>
      <c r="E1292" s="28" t="s">
        <v>2136</v>
      </c>
      <c r="F1292" s="28">
        <v>11.0</v>
      </c>
      <c r="G1292" s="69">
        <v>271100.0</v>
      </c>
      <c r="H1292" s="69">
        <v>22620.0</v>
      </c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</row>
    <row r="1293" ht="17.25" customHeight="1">
      <c r="A1293" s="24" t="s">
        <v>25</v>
      </c>
      <c r="B1293" s="24" t="s">
        <v>63</v>
      </c>
      <c r="C1293" s="24" t="s">
        <v>2131</v>
      </c>
      <c r="D1293" s="24" t="s">
        <v>2132</v>
      </c>
      <c r="E1293" s="28" t="s">
        <v>2137</v>
      </c>
      <c r="F1293" s="28">
        <v>16.0</v>
      </c>
      <c r="G1293" s="69">
        <v>247000.0</v>
      </c>
      <c r="H1293" s="69">
        <v>15000.0</v>
      </c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</row>
    <row r="1294" ht="17.25" customHeight="1">
      <c r="A1294" s="24" t="s">
        <v>25</v>
      </c>
      <c r="B1294" s="24" t="s">
        <v>63</v>
      </c>
      <c r="C1294" s="24" t="s">
        <v>2131</v>
      </c>
      <c r="D1294" s="24" t="s">
        <v>2132</v>
      </c>
      <c r="E1294" s="28" t="s">
        <v>2138</v>
      </c>
      <c r="F1294" s="28">
        <v>12.0</v>
      </c>
      <c r="G1294" s="69">
        <v>195000.0</v>
      </c>
      <c r="H1294" s="69">
        <v>6000.0</v>
      </c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</row>
    <row r="1295" ht="17.25" customHeight="1">
      <c r="A1295" s="24" t="s">
        <v>25</v>
      </c>
      <c r="B1295" s="24" t="s">
        <v>63</v>
      </c>
      <c r="C1295" s="24" t="s">
        <v>2131</v>
      </c>
      <c r="D1295" s="24" t="s">
        <v>2132</v>
      </c>
      <c r="E1295" s="28" t="s">
        <v>2141</v>
      </c>
      <c r="F1295" s="28">
        <v>2.0</v>
      </c>
      <c r="G1295" s="69">
        <v>30000.0</v>
      </c>
      <c r="H1295" s="69">
        <v>3000.0</v>
      </c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</row>
    <row r="1296" ht="17.25" customHeight="1">
      <c r="A1296" s="24" t="s">
        <v>25</v>
      </c>
      <c r="B1296" s="24" t="s">
        <v>63</v>
      </c>
      <c r="C1296" s="24" t="s">
        <v>2131</v>
      </c>
      <c r="D1296" s="24" t="s">
        <v>2132</v>
      </c>
      <c r="E1296" s="28" t="s">
        <v>2142</v>
      </c>
      <c r="F1296" s="28">
        <v>4.0</v>
      </c>
      <c r="G1296" s="69">
        <v>90000.0</v>
      </c>
      <c r="H1296" s="69">
        <v>6000.0</v>
      </c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</row>
    <row r="1297" ht="17.25" customHeight="1">
      <c r="A1297" s="24" t="s">
        <v>25</v>
      </c>
      <c r="B1297" s="24" t="s">
        <v>63</v>
      </c>
      <c r="C1297" s="24" t="s">
        <v>2131</v>
      </c>
      <c r="D1297" s="24" t="s">
        <v>2132</v>
      </c>
      <c r="E1297" s="28" t="s">
        <v>2143</v>
      </c>
      <c r="F1297" s="28">
        <v>4.0</v>
      </c>
      <c r="G1297" s="69">
        <v>120000.0</v>
      </c>
      <c r="H1297" s="69">
        <v>8940.0</v>
      </c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</row>
    <row r="1298" ht="17.25" customHeight="1">
      <c r="A1298" s="24" t="s">
        <v>25</v>
      </c>
      <c r="B1298" s="24" t="s">
        <v>63</v>
      </c>
      <c r="C1298" s="24" t="s">
        <v>2131</v>
      </c>
      <c r="D1298" s="24" t="s">
        <v>2132</v>
      </c>
      <c r="E1298" s="28" t="s">
        <v>2144</v>
      </c>
      <c r="F1298" s="28">
        <v>4.0</v>
      </c>
      <c r="G1298" s="69">
        <v>59000.0</v>
      </c>
      <c r="H1298" s="69">
        <v>0.0</v>
      </c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</row>
    <row r="1299" ht="17.25" customHeight="1">
      <c r="A1299" s="24" t="s">
        <v>25</v>
      </c>
      <c r="B1299" s="24" t="s">
        <v>63</v>
      </c>
      <c r="C1299" s="24" t="s">
        <v>2131</v>
      </c>
      <c r="D1299" s="24" t="s">
        <v>2132</v>
      </c>
      <c r="E1299" s="28" t="s">
        <v>2145</v>
      </c>
      <c r="F1299" s="28">
        <v>4.0</v>
      </c>
      <c r="G1299" s="69">
        <v>68000.0</v>
      </c>
      <c r="H1299" s="69">
        <v>0.0</v>
      </c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</row>
    <row r="1300" ht="17.25" customHeight="1">
      <c r="A1300" s="24" t="s">
        <v>25</v>
      </c>
      <c r="B1300" s="24" t="s">
        <v>63</v>
      </c>
      <c r="C1300" s="24" t="s">
        <v>2131</v>
      </c>
      <c r="D1300" s="24" t="s">
        <v>2132</v>
      </c>
      <c r="E1300" s="28" t="s">
        <v>2146</v>
      </c>
      <c r="F1300" s="28">
        <v>3.0</v>
      </c>
      <c r="G1300" s="69">
        <v>38000.0</v>
      </c>
      <c r="H1300" s="69">
        <v>3000.0</v>
      </c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</row>
    <row r="1301" ht="17.25" customHeight="1">
      <c r="A1301" s="24" t="s">
        <v>25</v>
      </c>
      <c r="B1301" s="24" t="s">
        <v>63</v>
      </c>
      <c r="C1301" s="24" t="s">
        <v>2131</v>
      </c>
      <c r="D1301" s="24" t="s">
        <v>2132</v>
      </c>
      <c r="E1301" s="28" t="s">
        <v>2147</v>
      </c>
      <c r="F1301" s="28">
        <v>13.0</v>
      </c>
      <c r="G1301" s="69">
        <v>182000.0</v>
      </c>
      <c r="H1301" s="69">
        <v>10400.0</v>
      </c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</row>
    <row r="1302" ht="17.25" customHeight="1">
      <c r="A1302" s="24" t="s">
        <v>25</v>
      </c>
      <c r="B1302" s="24" t="s">
        <v>63</v>
      </c>
      <c r="C1302" s="24" t="s">
        <v>2131</v>
      </c>
      <c r="D1302" s="24" t="s">
        <v>2132</v>
      </c>
      <c r="E1302" s="28" t="s">
        <v>2148</v>
      </c>
      <c r="F1302" s="28">
        <v>7.0</v>
      </c>
      <c r="G1302" s="69">
        <v>221000.0</v>
      </c>
      <c r="H1302" s="69">
        <v>23000.0</v>
      </c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</row>
    <row r="1303" ht="17.25" customHeight="1">
      <c r="A1303" s="24" t="s">
        <v>25</v>
      </c>
      <c r="B1303" s="24" t="s">
        <v>63</v>
      </c>
      <c r="C1303" s="24" t="s">
        <v>2131</v>
      </c>
      <c r="D1303" s="24" t="s">
        <v>2132</v>
      </c>
      <c r="E1303" s="28" t="s">
        <v>2149</v>
      </c>
      <c r="F1303" s="28">
        <v>0.0</v>
      </c>
      <c r="G1303" s="69">
        <v>0.0</v>
      </c>
      <c r="H1303" s="69">
        <v>0.0</v>
      </c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</row>
    <row r="1304" ht="17.25" customHeight="1">
      <c r="A1304" s="24" t="s">
        <v>25</v>
      </c>
      <c r="B1304" s="24" t="s">
        <v>91</v>
      </c>
      <c r="C1304" s="24" t="s">
        <v>2150</v>
      </c>
      <c r="D1304" s="24" t="s">
        <v>2151</v>
      </c>
      <c r="E1304" s="28" t="s">
        <v>2152</v>
      </c>
      <c r="F1304" s="28">
        <v>3.0</v>
      </c>
      <c r="G1304" s="69">
        <v>70000.0</v>
      </c>
      <c r="H1304" s="69">
        <v>9000.0</v>
      </c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</row>
    <row r="1305" ht="17.25" customHeight="1">
      <c r="A1305" s="24" t="s">
        <v>25</v>
      </c>
      <c r="B1305" s="24" t="s">
        <v>91</v>
      </c>
      <c r="C1305" s="24" t="s">
        <v>2150</v>
      </c>
      <c r="D1305" s="24" t="s">
        <v>2151</v>
      </c>
      <c r="E1305" s="28" t="s">
        <v>2153</v>
      </c>
      <c r="F1305" s="28">
        <v>0.0</v>
      </c>
      <c r="G1305" s="69">
        <v>0.0</v>
      </c>
      <c r="H1305" s="69">
        <v>0.0</v>
      </c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</row>
    <row r="1306" ht="17.25" customHeight="1">
      <c r="A1306" s="24" t="s">
        <v>25</v>
      </c>
      <c r="B1306" s="24" t="s">
        <v>91</v>
      </c>
      <c r="C1306" s="24" t="s">
        <v>2150</v>
      </c>
      <c r="D1306" s="24" t="s">
        <v>2151</v>
      </c>
      <c r="E1306" s="28" t="s">
        <v>2154</v>
      </c>
      <c r="F1306" s="28">
        <v>0.0</v>
      </c>
      <c r="G1306" s="69">
        <v>0.0</v>
      </c>
      <c r="H1306" s="69">
        <v>0.0</v>
      </c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</row>
    <row r="1307" ht="17.25" customHeight="1">
      <c r="A1307" s="24" t="s">
        <v>25</v>
      </c>
      <c r="B1307" s="24" t="s">
        <v>91</v>
      </c>
      <c r="C1307" s="24" t="s">
        <v>2150</v>
      </c>
      <c r="D1307" s="24" t="s">
        <v>2151</v>
      </c>
      <c r="E1307" s="28" t="s">
        <v>2155</v>
      </c>
      <c r="F1307" s="28">
        <v>0.0</v>
      </c>
      <c r="G1307" s="69">
        <v>0.0</v>
      </c>
      <c r="H1307" s="69">
        <v>0.0</v>
      </c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</row>
    <row r="1308" ht="17.25" customHeight="1">
      <c r="A1308" s="24" t="s">
        <v>25</v>
      </c>
      <c r="B1308" s="24" t="s">
        <v>91</v>
      </c>
      <c r="C1308" s="24" t="s">
        <v>2150</v>
      </c>
      <c r="D1308" s="24" t="s">
        <v>2151</v>
      </c>
      <c r="E1308" s="28" t="s">
        <v>2156</v>
      </c>
      <c r="F1308" s="28">
        <v>1.0</v>
      </c>
      <c r="G1308" s="69">
        <v>32000.0</v>
      </c>
      <c r="H1308" s="69">
        <v>0.0</v>
      </c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</row>
    <row r="1309" ht="17.25" customHeight="1">
      <c r="A1309" s="24" t="s">
        <v>25</v>
      </c>
      <c r="B1309" s="24" t="s">
        <v>91</v>
      </c>
      <c r="C1309" s="24" t="s">
        <v>2157</v>
      </c>
      <c r="D1309" s="24" t="s">
        <v>1407</v>
      </c>
      <c r="E1309" s="28" t="s">
        <v>2158</v>
      </c>
      <c r="F1309" s="28">
        <v>0.0</v>
      </c>
      <c r="G1309" s="69">
        <v>0.0</v>
      </c>
      <c r="H1309" s="69">
        <v>0.0</v>
      </c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</row>
    <row r="1310" ht="17.25" customHeight="1">
      <c r="A1310" s="24" t="s">
        <v>25</v>
      </c>
      <c r="B1310" s="24" t="s">
        <v>63</v>
      </c>
      <c r="C1310" s="24" t="s">
        <v>1342</v>
      </c>
      <c r="D1310" s="24" t="s">
        <v>1343</v>
      </c>
      <c r="E1310" s="28" t="s">
        <v>2159</v>
      </c>
      <c r="F1310" s="28">
        <v>0.0</v>
      </c>
      <c r="G1310" s="69">
        <v>0.0</v>
      </c>
      <c r="H1310" s="69">
        <v>0.0</v>
      </c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</row>
    <row r="1311" ht="17.25" customHeight="1">
      <c r="A1311" s="24" t="s">
        <v>25</v>
      </c>
      <c r="B1311" s="24" t="s">
        <v>63</v>
      </c>
      <c r="C1311" s="24" t="s">
        <v>1342</v>
      </c>
      <c r="D1311" s="24" t="s">
        <v>1343</v>
      </c>
      <c r="E1311" s="28" t="s">
        <v>2160</v>
      </c>
      <c r="F1311" s="28">
        <v>0.0</v>
      </c>
      <c r="G1311" s="69">
        <v>0.0</v>
      </c>
      <c r="H1311" s="69">
        <v>0.0</v>
      </c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</row>
    <row r="1312" ht="17.25" customHeight="1">
      <c r="A1312" s="24" t="s">
        <v>25</v>
      </c>
      <c r="B1312" s="24" t="s">
        <v>91</v>
      </c>
      <c r="C1312" s="24" t="s">
        <v>2150</v>
      </c>
      <c r="D1312" s="24" t="s">
        <v>2151</v>
      </c>
      <c r="E1312" s="28" t="s">
        <v>2161</v>
      </c>
      <c r="F1312" s="28">
        <v>0.0</v>
      </c>
      <c r="G1312" s="69">
        <v>0.0</v>
      </c>
      <c r="H1312" s="69">
        <v>0.0</v>
      </c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</row>
    <row r="1313" ht="17.25" customHeight="1">
      <c r="A1313" s="24" t="s">
        <v>25</v>
      </c>
      <c r="B1313" s="24" t="s">
        <v>91</v>
      </c>
      <c r="C1313" s="24" t="s">
        <v>1692</v>
      </c>
      <c r="D1313" s="24" t="s">
        <v>1693</v>
      </c>
      <c r="E1313" s="28" t="s">
        <v>2162</v>
      </c>
      <c r="F1313" s="28">
        <v>51.0</v>
      </c>
      <c r="G1313" s="69">
        <v>2568620.0</v>
      </c>
      <c r="H1313" s="69">
        <v>239260.0</v>
      </c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</row>
    <row r="1314" ht="17.25" customHeight="1">
      <c r="A1314" s="24" t="s">
        <v>25</v>
      </c>
      <c r="B1314" s="24" t="s">
        <v>63</v>
      </c>
      <c r="C1314" s="24" t="s">
        <v>1692</v>
      </c>
      <c r="D1314" s="24" t="s">
        <v>1693</v>
      </c>
      <c r="E1314" s="28" t="s">
        <v>2163</v>
      </c>
      <c r="F1314" s="28">
        <v>2.0</v>
      </c>
      <c r="G1314" s="69">
        <v>31600.0</v>
      </c>
      <c r="H1314" s="69">
        <v>5340.0</v>
      </c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</row>
    <row r="1315" ht="17.25" customHeight="1">
      <c r="A1315" s="24" t="s">
        <v>25</v>
      </c>
      <c r="B1315" s="24" t="s">
        <v>63</v>
      </c>
      <c r="C1315" s="24" t="s">
        <v>1692</v>
      </c>
      <c r="D1315" s="24" t="s">
        <v>1693</v>
      </c>
      <c r="E1315" s="28" t="s">
        <v>2164</v>
      </c>
      <c r="F1315" s="28">
        <v>1.0</v>
      </c>
      <c r="G1315" s="69">
        <v>6500.0</v>
      </c>
      <c r="H1315" s="69">
        <v>0.0</v>
      </c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</row>
    <row r="1316" ht="17.25" customHeight="1">
      <c r="A1316" s="24" t="s">
        <v>25</v>
      </c>
      <c r="B1316" s="24" t="s">
        <v>91</v>
      </c>
      <c r="C1316" s="24" t="s">
        <v>209</v>
      </c>
      <c r="D1316" s="24" t="s">
        <v>207</v>
      </c>
      <c r="E1316" s="28" t="s">
        <v>2165</v>
      </c>
      <c r="F1316" s="28">
        <v>3.0</v>
      </c>
      <c r="G1316" s="69">
        <v>175000.0</v>
      </c>
      <c r="H1316" s="69">
        <v>0.0</v>
      </c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</row>
    <row r="1317" ht="17.25" customHeight="1">
      <c r="A1317" s="24" t="s">
        <v>25</v>
      </c>
      <c r="B1317" s="24" t="s">
        <v>91</v>
      </c>
      <c r="C1317" s="24" t="s">
        <v>2166</v>
      </c>
      <c r="D1317" s="24" t="s">
        <v>2167</v>
      </c>
      <c r="E1317" s="28" t="s">
        <v>2168</v>
      </c>
      <c r="F1317" s="28">
        <v>4.0</v>
      </c>
      <c r="G1317" s="69">
        <v>146120.0</v>
      </c>
      <c r="H1317" s="69">
        <v>3780.0</v>
      </c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</row>
    <row r="1318" ht="17.25" customHeight="1">
      <c r="A1318" s="24" t="s">
        <v>25</v>
      </c>
      <c r="B1318" s="24" t="s">
        <v>63</v>
      </c>
      <c r="C1318" s="24" t="s">
        <v>2169</v>
      </c>
      <c r="D1318" s="24" t="s">
        <v>2170</v>
      </c>
      <c r="E1318" s="28" t="s">
        <v>2171</v>
      </c>
      <c r="F1318" s="28">
        <v>2.0</v>
      </c>
      <c r="G1318" s="69">
        <v>165000.0</v>
      </c>
      <c r="H1318" s="69">
        <v>20000.0</v>
      </c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</row>
    <row r="1319" ht="17.25" customHeight="1">
      <c r="A1319" s="24" t="s">
        <v>25</v>
      </c>
      <c r="B1319" s="24" t="s">
        <v>63</v>
      </c>
      <c r="C1319" s="24" t="s">
        <v>2169</v>
      </c>
      <c r="D1319" s="24" t="s">
        <v>2170</v>
      </c>
      <c r="E1319" s="28" t="s">
        <v>2172</v>
      </c>
      <c r="F1319" s="28">
        <v>7.0</v>
      </c>
      <c r="G1319" s="69">
        <v>315000.0</v>
      </c>
      <c r="H1319" s="69">
        <v>27000.0</v>
      </c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</row>
    <row r="1320" ht="17.25" customHeight="1">
      <c r="A1320" s="24" t="s">
        <v>25</v>
      </c>
      <c r="B1320" s="24" t="s">
        <v>63</v>
      </c>
      <c r="C1320" s="24" t="s">
        <v>2173</v>
      </c>
      <c r="D1320" s="24" t="s">
        <v>2174</v>
      </c>
      <c r="E1320" s="28" t="s">
        <v>2175</v>
      </c>
      <c r="F1320" s="28">
        <v>38.0</v>
      </c>
      <c r="G1320" s="69">
        <v>456000.0</v>
      </c>
      <c r="H1320" s="69">
        <v>33600.0</v>
      </c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</row>
    <row r="1321" ht="17.25" customHeight="1">
      <c r="A1321" s="24" t="s">
        <v>25</v>
      </c>
      <c r="B1321" s="24" t="s">
        <v>63</v>
      </c>
      <c r="C1321" s="24" t="s">
        <v>2173</v>
      </c>
      <c r="D1321" s="24" t="s">
        <v>2174</v>
      </c>
      <c r="E1321" s="28" t="s">
        <v>2176</v>
      </c>
      <c r="F1321" s="28">
        <v>247.0</v>
      </c>
      <c r="G1321" s="69">
        <v>7084000.0</v>
      </c>
      <c r="H1321" s="69">
        <v>724940.0</v>
      </c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</row>
    <row r="1322" ht="17.25" customHeight="1">
      <c r="A1322" s="24" t="s">
        <v>25</v>
      </c>
      <c r="B1322" s="24" t="s">
        <v>91</v>
      </c>
      <c r="C1322" s="24" t="s">
        <v>2166</v>
      </c>
      <c r="D1322" s="24" t="s">
        <v>2167</v>
      </c>
      <c r="E1322" s="28" t="s">
        <v>2178</v>
      </c>
      <c r="F1322" s="28">
        <v>5.0</v>
      </c>
      <c r="G1322" s="69">
        <v>179500.0</v>
      </c>
      <c r="H1322" s="69">
        <v>0.0</v>
      </c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</row>
    <row r="1323" ht="17.25" customHeight="1">
      <c r="A1323" s="24" t="s">
        <v>25</v>
      </c>
      <c r="B1323" s="24" t="s">
        <v>91</v>
      </c>
      <c r="C1323" s="24" t="s">
        <v>2173</v>
      </c>
      <c r="D1323" s="24" t="s">
        <v>2174</v>
      </c>
      <c r="E1323" s="28" t="s">
        <v>2179</v>
      </c>
      <c r="F1323" s="28">
        <v>24.0</v>
      </c>
      <c r="G1323" s="69">
        <v>356400.0</v>
      </c>
      <c r="H1323" s="69">
        <v>13860.0</v>
      </c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</row>
    <row r="1324" ht="17.25" customHeight="1">
      <c r="A1324" s="24" t="s">
        <v>25</v>
      </c>
      <c r="B1324" s="24" t="s">
        <v>91</v>
      </c>
      <c r="C1324" s="24" t="s">
        <v>2173</v>
      </c>
      <c r="D1324" s="24" t="s">
        <v>2174</v>
      </c>
      <c r="E1324" s="28" t="s">
        <v>2180</v>
      </c>
      <c r="F1324" s="28">
        <v>43.0</v>
      </c>
      <c r="G1324" s="69">
        <v>1149200.0</v>
      </c>
      <c r="H1324" s="69">
        <v>145380.0</v>
      </c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</row>
    <row r="1325" ht="17.25" customHeight="1">
      <c r="A1325" s="24" t="s">
        <v>25</v>
      </c>
      <c r="B1325" s="24" t="s">
        <v>91</v>
      </c>
      <c r="C1325" s="24" t="s">
        <v>2173</v>
      </c>
      <c r="D1325" s="24" t="s">
        <v>2174</v>
      </c>
      <c r="E1325" s="28" t="s">
        <v>2181</v>
      </c>
      <c r="F1325" s="28">
        <v>110.0</v>
      </c>
      <c r="G1325" s="69">
        <v>5041500.0</v>
      </c>
      <c r="H1325" s="69">
        <v>693030.0</v>
      </c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</row>
    <row r="1326" ht="17.25" customHeight="1">
      <c r="A1326" s="24" t="s">
        <v>25</v>
      </c>
      <c r="B1326" s="24" t="s">
        <v>91</v>
      </c>
      <c r="C1326" s="24" t="s">
        <v>2173</v>
      </c>
      <c r="D1326" s="24" t="s">
        <v>2174</v>
      </c>
      <c r="E1326" s="28" t="s">
        <v>2182</v>
      </c>
      <c r="F1326" s="28">
        <v>56.0</v>
      </c>
      <c r="G1326" s="69">
        <v>1207800.0</v>
      </c>
      <c r="H1326" s="69">
        <v>95040.0</v>
      </c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</row>
    <row r="1327" ht="17.25" customHeight="1">
      <c r="A1327" s="24" t="s">
        <v>25</v>
      </c>
      <c r="B1327" s="24" t="s">
        <v>63</v>
      </c>
      <c r="C1327" s="24" t="s">
        <v>2183</v>
      </c>
      <c r="D1327" s="24" t="s">
        <v>2184</v>
      </c>
      <c r="E1327" s="28" t="s">
        <v>2185</v>
      </c>
      <c r="F1327" s="28">
        <v>78.0</v>
      </c>
      <c r="G1327" s="69">
        <v>3658450.0</v>
      </c>
      <c r="H1327" s="69">
        <v>412330.0</v>
      </c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</row>
    <row r="1328" ht="17.25" customHeight="1">
      <c r="A1328" s="24" t="s">
        <v>25</v>
      </c>
      <c r="B1328" s="24" t="s">
        <v>63</v>
      </c>
      <c r="C1328" s="24" t="s">
        <v>2186</v>
      </c>
      <c r="D1328" s="24" t="s">
        <v>2187</v>
      </c>
      <c r="E1328" s="28" t="s">
        <v>2188</v>
      </c>
      <c r="F1328" s="28">
        <v>40.0</v>
      </c>
      <c r="G1328" s="69">
        <v>1453500.0</v>
      </c>
      <c r="H1328" s="69">
        <v>178600.0</v>
      </c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</row>
    <row r="1329" ht="17.25" customHeight="1">
      <c r="A1329" s="24" t="s">
        <v>25</v>
      </c>
      <c r="B1329" s="24" t="s">
        <v>63</v>
      </c>
      <c r="C1329" s="24" t="s">
        <v>2186</v>
      </c>
      <c r="D1329" s="24" t="s">
        <v>2187</v>
      </c>
      <c r="E1329" s="28" t="s">
        <v>2189</v>
      </c>
      <c r="F1329" s="28">
        <v>11.0</v>
      </c>
      <c r="G1329" s="69">
        <v>651500.0</v>
      </c>
      <c r="H1329" s="69">
        <v>80000.0</v>
      </c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</row>
    <row r="1330" ht="17.25" customHeight="1">
      <c r="A1330" s="24" t="s">
        <v>25</v>
      </c>
      <c r="B1330" s="24" t="s">
        <v>63</v>
      </c>
      <c r="C1330" s="24" t="s">
        <v>2186</v>
      </c>
      <c r="D1330" s="24" t="s">
        <v>2187</v>
      </c>
      <c r="E1330" s="28" t="s">
        <v>2190</v>
      </c>
      <c r="F1330" s="28">
        <v>13.0</v>
      </c>
      <c r="G1330" s="69">
        <v>374000.0</v>
      </c>
      <c r="H1330" s="69">
        <v>35200.0</v>
      </c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</row>
    <row r="1331" ht="17.25" customHeight="1">
      <c r="A1331" s="24" t="s">
        <v>25</v>
      </c>
      <c r="B1331" s="24" t="s">
        <v>63</v>
      </c>
      <c r="C1331" s="24" t="s">
        <v>2186</v>
      </c>
      <c r="D1331" s="24" t="s">
        <v>2187</v>
      </c>
      <c r="E1331" s="28" t="s">
        <v>2191</v>
      </c>
      <c r="F1331" s="28">
        <v>25.0</v>
      </c>
      <c r="G1331" s="69">
        <v>1007000.0</v>
      </c>
      <c r="H1331" s="69">
        <v>107800.0</v>
      </c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</row>
    <row r="1332" ht="17.25" customHeight="1">
      <c r="A1332" s="24" t="s">
        <v>25</v>
      </c>
      <c r="B1332" s="24" t="s">
        <v>63</v>
      </c>
      <c r="C1332" s="24" t="s">
        <v>2186</v>
      </c>
      <c r="D1332" s="24" t="s">
        <v>2187</v>
      </c>
      <c r="E1332" s="28" t="s">
        <v>2194</v>
      </c>
      <c r="F1332" s="28">
        <v>8.0</v>
      </c>
      <c r="G1332" s="69">
        <v>405000.0</v>
      </c>
      <c r="H1332" s="69">
        <v>50000.0</v>
      </c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</row>
    <row r="1333" ht="17.25" customHeight="1">
      <c r="A1333" s="24" t="s">
        <v>25</v>
      </c>
      <c r="B1333" s="24" t="s">
        <v>63</v>
      </c>
      <c r="C1333" s="24" t="s">
        <v>2186</v>
      </c>
      <c r="D1333" s="24" t="s">
        <v>2187</v>
      </c>
      <c r="E1333" s="28" t="s">
        <v>2195</v>
      </c>
      <c r="F1333" s="28">
        <v>6.0</v>
      </c>
      <c r="G1333" s="69">
        <v>374000.0</v>
      </c>
      <c r="H1333" s="69">
        <v>39600.0</v>
      </c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</row>
    <row r="1334" ht="17.25" customHeight="1">
      <c r="A1334" s="24" t="s">
        <v>25</v>
      </c>
      <c r="B1334" s="24" t="s">
        <v>63</v>
      </c>
      <c r="C1334" s="24" t="s">
        <v>2186</v>
      </c>
      <c r="D1334" s="24" t="s">
        <v>2187</v>
      </c>
      <c r="E1334" s="28" t="s">
        <v>2196</v>
      </c>
      <c r="F1334" s="28">
        <v>2.0</v>
      </c>
      <c r="G1334" s="69">
        <v>160000.0</v>
      </c>
      <c r="H1334" s="69">
        <v>10000.0</v>
      </c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</row>
    <row r="1335" ht="17.25" customHeight="1">
      <c r="A1335" s="24" t="s">
        <v>25</v>
      </c>
      <c r="B1335" s="24" t="s">
        <v>63</v>
      </c>
      <c r="C1335" s="24" t="s">
        <v>2186</v>
      </c>
      <c r="D1335" s="24" t="s">
        <v>2187</v>
      </c>
      <c r="E1335" s="28" t="s">
        <v>2197</v>
      </c>
      <c r="F1335" s="28">
        <v>0.0</v>
      </c>
      <c r="G1335" s="69">
        <v>0.0</v>
      </c>
      <c r="H1335" s="69">
        <v>0.0</v>
      </c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</row>
    <row r="1336" ht="17.25" customHeight="1">
      <c r="A1336" s="24" t="s">
        <v>25</v>
      </c>
      <c r="B1336" s="24" t="s">
        <v>63</v>
      </c>
      <c r="C1336" s="24" t="s">
        <v>2186</v>
      </c>
      <c r="D1336" s="24" t="s">
        <v>2187</v>
      </c>
      <c r="E1336" s="28" t="s">
        <v>2198</v>
      </c>
      <c r="F1336" s="28">
        <v>0.0</v>
      </c>
      <c r="G1336" s="69">
        <v>0.0</v>
      </c>
      <c r="H1336" s="69">
        <v>0.0</v>
      </c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</row>
    <row r="1337" ht="17.25" customHeight="1">
      <c r="A1337" s="24" t="s">
        <v>25</v>
      </c>
      <c r="B1337" s="24" t="s">
        <v>63</v>
      </c>
      <c r="C1337" s="24" t="s">
        <v>2186</v>
      </c>
      <c r="D1337" s="24" t="s">
        <v>2187</v>
      </c>
      <c r="E1337" s="28" t="s">
        <v>2199</v>
      </c>
      <c r="F1337" s="28">
        <v>3.0</v>
      </c>
      <c r="G1337" s="69">
        <v>228000.0</v>
      </c>
      <c r="H1337" s="69">
        <v>10000.0</v>
      </c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</row>
    <row r="1338" ht="17.25" customHeight="1">
      <c r="A1338" s="24" t="s">
        <v>25</v>
      </c>
      <c r="B1338" s="24" t="s">
        <v>63</v>
      </c>
      <c r="C1338" s="24" t="s">
        <v>2186</v>
      </c>
      <c r="D1338" s="24" t="s">
        <v>2187</v>
      </c>
      <c r="E1338" s="28" t="s">
        <v>2200</v>
      </c>
      <c r="F1338" s="28">
        <v>7.0</v>
      </c>
      <c r="G1338" s="69">
        <v>474000.0</v>
      </c>
      <c r="H1338" s="69">
        <v>60000.0</v>
      </c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</row>
    <row r="1339" ht="17.25" customHeight="1">
      <c r="A1339" s="24" t="s">
        <v>25</v>
      </c>
      <c r="B1339" s="24" t="s">
        <v>63</v>
      </c>
      <c r="C1339" s="24" t="s">
        <v>2186</v>
      </c>
      <c r="D1339" s="24" t="s">
        <v>2187</v>
      </c>
      <c r="E1339" s="28" t="s">
        <v>2201</v>
      </c>
      <c r="F1339" s="28">
        <v>3.0</v>
      </c>
      <c r="G1339" s="69">
        <v>150000.0</v>
      </c>
      <c r="H1339" s="69">
        <v>30000.0</v>
      </c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</row>
    <row r="1340" ht="17.25" customHeight="1">
      <c r="A1340" s="24" t="s">
        <v>25</v>
      </c>
      <c r="B1340" s="24" t="s">
        <v>63</v>
      </c>
      <c r="C1340" s="24" t="s">
        <v>2186</v>
      </c>
      <c r="D1340" s="24" t="s">
        <v>2187</v>
      </c>
      <c r="E1340" s="28" t="s">
        <v>2202</v>
      </c>
      <c r="F1340" s="28">
        <v>14.0</v>
      </c>
      <c r="G1340" s="69">
        <v>889000.0</v>
      </c>
      <c r="H1340" s="69">
        <v>100000.0</v>
      </c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</row>
    <row r="1341" ht="17.25" customHeight="1">
      <c r="A1341" s="24" t="s">
        <v>25</v>
      </c>
      <c r="B1341" s="24" t="s">
        <v>63</v>
      </c>
      <c r="C1341" s="24" t="s">
        <v>2186</v>
      </c>
      <c r="D1341" s="24" t="s">
        <v>2187</v>
      </c>
      <c r="E1341" s="28" t="s">
        <v>2203</v>
      </c>
      <c r="F1341" s="28">
        <v>7.0</v>
      </c>
      <c r="G1341" s="69">
        <v>712000.0</v>
      </c>
      <c r="H1341" s="69">
        <v>40000.0</v>
      </c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</row>
    <row r="1342" ht="17.25" customHeight="1">
      <c r="A1342" s="24" t="s">
        <v>25</v>
      </c>
      <c r="B1342" s="24" t="s">
        <v>63</v>
      </c>
      <c r="C1342" s="24" t="s">
        <v>2186</v>
      </c>
      <c r="D1342" s="24" t="s">
        <v>2187</v>
      </c>
      <c r="E1342" s="28" t="s">
        <v>2204</v>
      </c>
      <c r="F1342" s="28">
        <v>11.0</v>
      </c>
      <c r="G1342" s="69">
        <v>382000.0</v>
      </c>
      <c r="H1342" s="69">
        <v>75600.0</v>
      </c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</row>
    <row r="1343" ht="17.25" customHeight="1">
      <c r="A1343" s="24" t="s">
        <v>25</v>
      </c>
      <c r="B1343" s="24" t="s">
        <v>63</v>
      </c>
      <c r="C1343" s="24" t="s">
        <v>2186</v>
      </c>
      <c r="D1343" s="24" t="s">
        <v>2187</v>
      </c>
      <c r="E1343" s="28" t="s">
        <v>2205</v>
      </c>
      <c r="F1343" s="28">
        <v>1.0</v>
      </c>
      <c r="G1343" s="69">
        <v>159000.0</v>
      </c>
      <c r="H1343" s="69">
        <v>10000.0</v>
      </c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</row>
    <row r="1344" ht="17.25" customHeight="1">
      <c r="A1344" s="24" t="s">
        <v>25</v>
      </c>
      <c r="B1344" s="24" t="s">
        <v>63</v>
      </c>
      <c r="C1344" s="24" t="s">
        <v>2186</v>
      </c>
      <c r="D1344" s="24" t="s">
        <v>2187</v>
      </c>
      <c r="E1344" s="28" t="s">
        <v>2206</v>
      </c>
      <c r="F1344" s="28">
        <v>8.0</v>
      </c>
      <c r="G1344" s="69">
        <v>287000.0</v>
      </c>
      <c r="H1344" s="69">
        <v>18000.0</v>
      </c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</row>
    <row r="1345" ht="17.25" customHeight="1">
      <c r="A1345" s="24" t="s">
        <v>25</v>
      </c>
      <c r="B1345" s="24" t="s">
        <v>63</v>
      </c>
      <c r="C1345" s="24" t="s">
        <v>2186</v>
      </c>
      <c r="D1345" s="24" t="s">
        <v>2187</v>
      </c>
      <c r="E1345" s="28" t="s">
        <v>2207</v>
      </c>
      <c r="F1345" s="28">
        <v>4.0</v>
      </c>
      <c r="G1345" s="69">
        <v>165000.0</v>
      </c>
      <c r="H1345" s="69">
        <v>15000.0</v>
      </c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</row>
    <row r="1346" ht="17.25" customHeight="1">
      <c r="A1346" s="24" t="s">
        <v>25</v>
      </c>
      <c r="B1346" s="24" t="s">
        <v>63</v>
      </c>
      <c r="C1346" s="24" t="s">
        <v>2208</v>
      </c>
      <c r="D1346" s="24" t="s">
        <v>2209</v>
      </c>
      <c r="E1346" s="28" t="s">
        <v>2210</v>
      </c>
      <c r="F1346" s="28">
        <v>3.0</v>
      </c>
      <c r="G1346" s="69">
        <v>87200.0</v>
      </c>
      <c r="H1346" s="69">
        <v>10000.0</v>
      </c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</row>
    <row r="1347" ht="17.25" customHeight="1">
      <c r="A1347" s="24" t="s">
        <v>25</v>
      </c>
      <c r="B1347" s="24" t="s">
        <v>63</v>
      </c>
      <c r="C1347" s="24" t="s">
        <v>2208</v>
      </c>
      <c r="D1347" s="24" t="s">
        <v>2209</v>
      </c>
      <c r="E1347" s="28" t="s">
        <v>2211</v>
      </c>
      <c r="F1347" s="28">
        <v>5.0</v>
      </c>
      <c r="G1347" s="69">
        <v>165000.0</v>
      </c>
      <c r="H1347" s="69">
        <v>31440.0</v>
      </c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</row>
    <row r="1348" ht="17.25" customHeight="1">
      <c r="A1348" s="24" t="s">
        <v>25</v>
      </c>
      <c r="B1348" s="24" t="s">
        <v>63</v>
      </c>
      <c r="C1348" s="24" t="s">
        <v>2208</v>
      </c>
      <c r="D1348" s="24" t="s">
        <v>2209</v>
      </c>
      <c r="E1348" s="28" t="s">
        <v>2214</v>
      </c>
      <c r="F1348" s="28">
        <v>4.0</v>
      </c>
      <c r="G1348" s="69">
        <v>41500.0</v>
      </c>
      <c r="H1348" s="69">
        <v>4800.0</v>
      </c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</row>
    <row r="1349" ht="17.25" customHeight="1">
      <c r="A1349" s="24" t="s">
        <v>25</v>
      </c>
      <c r="B1349" s="24" t="s">
        <v>63</v>
      </c>
      <c r="C1349" s="24" t="s">
        <v>2215</v>
      </c>
      <c r="D1349" s="24" t="s">
        <v>2216</v>
      </c>
      <c r="E1349" s="28" t="s">
        <v>2217</v>
      </c>
      <c r="F1349" s="28">
        <v>15.0</v>
      </c>
      <c r="G1349" s="69">
        <v>599000.0</v>
      </c>
      <c r="H1349" s="69">
        <v>43800.0</v>
      </c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</row>
    <row r="1350" ht="17.25" customHeight="1">
      <c r="A1350" s="24" t="s">
        <v>25</v>
      </c>
      <c r="B1350" s="24" t="s">
        <v>63</v>
      </c>
      <c r="C1350" s="24" t="s">
        <v>2215</v>
      </c>
      <c r="D1350" s="24" t="s">
        <v>2216</v>
      </c>
      <c r="E1350" s="28" t="s">
        <v>2218</v>
      </c>
      <c r="F1350" s="28">
        <v>2.0</v>
      </c>
      <c r="G1350" s="69">
        <v>88700.0</v>
      </c>
      <c r="H1350" s="69">
        <v>10000.0</v>
      </c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</row>
    <row r="1351" ht="17.25" customHeight="1">
      <c r="A1351" s="24" t="s">
        <v>25</v>
      </c>
      <c r="B1351" s="24" t="s">
        <v>63</v>
      </c>
      <c r="C1351" s="24" t="s">
        <v>2215</v>
      </c>
      <c r="D1351" s="24" t="s">
        <v>2216</v>
      </c>
      <c r="E1351" s="28" t="s">
        <v>2219</v>
      </c>
      <c r="F1351" s="28">
        <v>1.0</v>
      </c>
      <c r="G1351" s="69">
        <v>25900.0</v>
      </c>
      <c r="H1351" s="69">
        <v>5180.0</v>
      </c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</row>
    <row r="1352" ht="17.25" customHeight="1">
      <c r="A1352" s="24" t="s">
        <v>25</v>
      </c>
      <c r="B1352" s="24" t="s">
        <v>63</v>
      </c>
      <c r="C1352" s="24" t="s">
        <v>2215</v>
      </c>
      <c r="D1352" s="24" t="s">
        <v>2216</v>
      </c>
      <c r="E1352" s="28" t="s">
        <v>2220</v>
      </c>
      <c r="F1352" s="28">
        <v>4.0</v>
      </c>
      <c r="G1352" s="69">
        <v>299500.0</v>
      </c>
      <c r="H1352" s="69">
        <v>30000.0</v>
      </c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</row>
    <row r="1353" ht="17.25" customHeight="1">
      <c r="A1353" s="24" t="s">
        <v>25</v>
      </c>
      <c r="B1353" s="24" t="s">
        <v>63</v>
      </c>
      <c r="C1353" s="24" t="s">
        <v>2215</v>
      </c>
      <c r="D1353" s="24" t="s">
        <v>2216</v>
      </c>
      <c r="E1353" s="28" t="s">
        <v>2221</v>
      </c>
      <c r="F1353" s="28">
        <v>0.0</v>
      </c>
      <c r="G1353" s="69">
        <v>0.0</v>
      </c>
      <c r="H1353" s="69">
        <v>0.0</v>
      </c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</row>
    <row r="1354" ht="17.25" customHeight="1">
      <c r="A1354" s="24" t="s">
        <v>25</v>
      </c>
      <c r="B1354" s="24" t="s">
        <v>63</v>
      </c>
      <c r="C1354" s="24" t="s">
        <v>2215</v>
      </c>
      <c r="D1354" s="24" t="s">
        <v>2216</v>
      </c>
      <c r="E1354" s="28" t="s">
        <v>2224</v>
      </c>
      <c r="F1354" s="28">
        <v>1.0</v>
      </c>
      <c r="G1354" s="69">
        <v>27900.0</v>
      </c>
      <c r="H1354" s="69">
        <v>0.0</v>
      </c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</row>
    <row r="1355" ht="17.25" customHeight="1">
      <c r="A1355" s="24" t="s">
        <v>25</v>
      </c>
      <c r="B1355" s="24" t="s">
        <v>63</v>
      </c>
      <c r="C1355" s="24" t="s">
        <v>2215</v>
      </c>
      <c r="D1355" s="24" t="s">
        <v>2216</v>
      </c>
      <c r="E1355" s="28" t="s">
        <v>2225</v>
      </c>
      <c r="F1355" s="28">
        <v>7.0</v>
      </c>
      <c r="G1355" s="69">
        <v>118300.0</v>
      </c>
      <c r="H1355" s="69">
        <v>13520.0</v>
      </c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</row>
    <row r="1356" ht="17.25" customHeight="1">
      <c r="A1356" s="24" t="s">
        <v>25</v>
      </c>
      <c r="B1356" s="24" t="s">
        <v>63</v>
      </c>
      <c r="C1356" s="24" t="s">
        <v>2215</v>
      </c>
      <c r="D1356" s="24" t="s">
        <v>2216</v>
      </c>
      <c r="E1356" s="28" t="s">
        <v>2226</v>
      </c>
      <c r="F1356" s="28">
        <v>2.0</v>
      </c>
      <c r="G1356" s="69">
        <v>119800.0</v>
      </c>
      <c r="H1356" s="69">
        <v>10000.0</v>
      </c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</row>
    <row r="1357" ht="17.25" customHeight="1">
      <c r="A1357" s="24" t="s">
        <v>25</v>
      </c>
      <c r="B1357" s="24" t="s">
        <v>63</v>
      </c>
      <c r="C1357" s="24" t="s">
        <v>2215</v>
      </c>
      <c r="D1357" s="24" t="s">
        <v>2216</v>
      </c>
      <c r="E1357" s="28" t="s">
        <v>2227</v>
      </c>
      <c r="F1357" s="28">
        <v>1.0</v>
      </c>
      <c r="G1357" s="69">
        <v>15900.0</v>
      </c>
      <c r="H1357" s="69">
        <v>0.0</v>
      </c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</row>
    <row r="1358" ht="17.25" customHeight="1">
      <c r="A1358" s="24" t="s">
        <v>25</v>
      </c>
      <c r="B1358" s="24" t="s">
        <v>63</v>
      </c>
      <c r="C1358" s="24" t="s">
        <v>2215</v>
      </c>
      <c r="D1358" s="24" t="s">
        <v>2216</v>
      </c>
      <c r="E1358" s="28" t="s">
        <v>2228</v>
      </c>
      <c r="F1358" s="28">
        <v>0.0</v>
      </c>
      <c r="G1358" s="69">
        <v>0.0</v>
      </c>
      <c r="H1358" s="69">
        <v>0.0</v>
      </c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</row>
    <row r="1359" ht="17.25" customHeight="1">
      <c r="A1359" s="24" t="s">
        <v>25</v>
      </c>
      <c r="B1359" s="24" t="s">
        <v>63</v>
      </c>
      <c r="C1359" s="24" t="s">
        <v>2215</v>
      </c>
      <c r="D1359" s="24" t="s">
        <v>2216</v>
      </c>
      <c r="E1359" s="28" t="s">
        <v>2229</v>
      </c>
      <c r="F1359" s="28">
        <v>2.0</v>
      </c>
      <c r="G1359" s="69">
        <v>31800.0</v>
      </c>
      <c r="H1359" s="69">
        <v>0.0</v>
      </c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</row>
    <row r="1360" ht="17.25" customHeight="1">
      <c r="A1360" s="24" t="s">
        <v>25</v>
      </c>
      <c r="B1360" s="24" t="s">
        <v>63</v>
      </c>
      <c r="C1360" s="24" t="s">
        <v>2215</v>
      </c>
      <c r="D1360" s="24" t="s">
        <v>2216</v>
      </c>
      <c r="E1360" s="28" t="s">
        <v>2230</v>
      </c>
      <c r="F1360" s="28">
        <v>4.0</v>
      </c>
      <c r="G1360" s="69">
        <v>128000.0</v>
      </c>
      <c r="H1360" s="69">
        <v>10000.0</v>
      </c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</row>
    <row r="1361" ht="17.25" customHeight="1">
      <c r="A1361" s="24" t="s">
        <v>25</v>
      </c>
      <c r="B1361" s="24" t="s">
        <v>63</v>
      </c>
      <c r="C1361" s="24" t="s">
        <v>2215</v>
      </c>
      <c r="D1361" s="24" t="s">
        <v>2216</v>
      </c>
      <c r="E1361" s="28" t="s">
        <v>2231</v>
      </c>
      <c r="F1361" s="28">
        <v>1.0</v>
      </c>
      <c r="G1361" s="69">
        <v>39200.0</v>
      </c>
      <c r="H1361" s="69">
        <v>7840.0</v>
      </c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</row>
    <row r="1362" ht="17.25" customHeight="1">
      <c r="A1362" s="24" t="s">
        <v>25</v>
      </c>
      <c r="B1362" s="24" t="s">
        <v>63</v>
      </c>
      <c r="C1362" s="24" t="s">
        <v>2215</v>
      </c>
      <c r="D1362" s="24" t="s">
        <v>2216</v>
      </c>
      <c r="E1362" s="28" t="s">
        <v>2232</v>
      </c>
      <c r="F1362" s="28">
        <v>10.0</v>
      </c>
      <c r="G1362" s="69">
        <v>236000.0</v>
      </c>
      <c r="H1362" s="69">
        <v>40800.0</v>
      </c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</row>
    <row r="1363" ht="17.25" customHeight="1">
      <c r="A1363" s="24" t="s">
        <v>25</v>
      </c>
      <c r="B1363" s="24" t="s">
        <v>63</v>
      </c>
      <c r="C1363" s="24" t="s">
        <v>2215</v>
      </c>
      <c r="D1363" s="24" t="s">
        <v>2216</v>
      </c>
      <c r="E1363" s="28" t="s">
        <v>2233</v>
      </c>
      <c r="F1363" s="28">
        <v>0.0</v>
      </c>
      <c r="G1363" s="69">
        <v>0.0</v>
      </c>
      <c r="H1363" s="69">
        <v>0.0</v>
      </c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</row>
    <row r="1364" ht="17.25" customHeight="1">
      <c r="A1364" s="24" t="s">
        <v>25</v>
      </c>
      <c r="B1364" s="24" t="s">
        <v>63</v>
      </c>
      <c r="C1364" s="24" t="s">
        <v>2215</v>
      </c>
      <c r="D1364" s="24" t="s">
        <v>2216</v>
      </c>
      <c r="E1364" s="28" t="s">
        <v>2234</v>
      </c>
      <c r="F1364" s="28">
        <v>0.0</v>
      </c>
      <c r="G1364" s="69">
        <v>0.0</v>
      </c>
      <c r="H1364" s="69">
        <v>0.0</v>
      </c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</row>
    <row r="1365" ht="17.25" customHeight="1">
      <c r="A1365" s="24" t="s">
        <v>25</v>
      </c>
      <c r="B1365" s="24" t="s">
        <v>63</v>
      </c>
      <c r="C1365" s="24" t="s">
        <v>2215</v>
      </c>
      <c r="D1365" s="24" t="s">
        <v>2216</v>
      </c>
      <c r="E1365" s="28" t="s">
        <v>2236</v>
      </c>
      <c r="F1365" s="28">
        <v>0.0</v>
      </c>
      <c r="G1365" s="69">
        <v>0.0</v>
      </c>
      <c r="H1365" s="69">
        <v>0.0</v>
      </c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</row>
    <row r="1366" ht="17.25" customHeight="1">
      <c r="A1366" s="24" t="s">
        <v>25</v>
      </c>
      <c r="B1366" s="24" t="s">
        <v>63</v>
      </c>
      <c r="C1366" s="24" t="s">
        <v>2215</v>
      </c>
      <c r="D1366" s="24" t="s">
        <v>2216</v>
      </c>
      <c r="E1366" s="28" t="s">
        <v>2237</v>
      </c>
      <c r="F1366" s="28">
        <v>5.0</v>
      </c>
      <c r="G1366" s="69">
        <v>110600.0</v>
      </c>
      <c r="H1366" s="69">
        <v>18510.0</v>
      </c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</row>
    <row r="1367" ht="17.25" customHeight="1">
      <c r="A1367" s="24" t="s">
        <v>25</v>
      </c>
      <c r="B1367" s="24" t="s">
        <v>63</v>
      </c>
      <c r="C1367" s="24" t="s">
        <v>2215</v>
      </c>
      <c r="D1367" s="24" t="s">
        <v>2216</v>
      </c>
      <c r="E1367" s="28" t="s">
        <v>2238</v>
      </c>
      <c r="F1367" s="28">
        <v>12.0</v>
      </c>
      <c r="G1367" s="69">
        <v>316800.0</v>
      </c>
      <c r="H1367" s="69">
        <v>51480.0</v>
      </c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</row>
    <row r="1368" ht="17.25" customHeight="1">
      <c r="A1368" s="24" t="s">
        <v>25</v>
      </c>
      <c r="B1368" s="24" t="s">
        <v>63</v>
      </c>
      <c r="C1368" s="24" t="s">
        <v>2215</v>
      </c>
      <c r="D1368" s="24" t="s">
        <v>2216</v>
      </c>
      <c r="E1368" s="28" t="s">
        <v>2239</v>
      </c>
      <c r="F1368" s="28">
        <v>0.0</v>
      </c>
      <c r="G1368" s="69">
        <v>0.0</v>
      </c>
      <c r="H1368" s="69">
        <v>0.0</v>
      </c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</row>
    <row r="1369" ht="17.25" customHeight="1">
      <c r="A1369" s="24" t="s">
        <v>25</v>
      </c>
      <c r="B1369" s="24" t="s">
        <v>63</v>
      </c>
      <c r="C1369" s="24" t="s">
        <v>2215</v>
      </c>
      <c r="D1369" s="24" t="s">
        <v>2216</v>
      </c>
      <c r="E1369" s="28" t="s">
        <v>2240</v>
      </c>
      <c r="F1369" s="28">
        <v>0.0</v>
      </c>
      <c r="G1369" s="69">
        <v>0.0</v>
      </c>
      <c r="H1369" s="69">
        <v>0.0</v>
      </c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</row>
    <row r="1370" ht="17.25" customHeight="1">
      <c r="A1370" s="24" t="s">
        <v>25</v>
      </c>
      <c r="B1370" s="24" t="s">
        <v>91</v>
      </c>
      <c r="C1370" s="24" t="s">
        <v>2241</v>
      </c>
      <c r="D1370" s="24" t="s">
        <v>2242</v>
      </c>
      <c r="E1370" s="28" t="s">
        <v>2243</v>
      </c>
      <c r="F1370" s="28">
        <v>2.0</v>
      </c>
      <c r="G1370" s="69">
        <v>60300.0</v>
      </c>
      <c r="H1370" s="69">
        <v>12060.0</v>
      </c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</row>
    <row r="1371" ht="17.25" customHeight="1">
      <c r="A1371" s="24" t="s">
        <v>25</v>
      </c>
      <c r="B1371" s="24" t="s">
        <v>91</v>
      </c>
      <c r="C1371" s="24" t="s">
        <v>2241</v>
      </c>
      <c r="D1371" s="24" t="s">
        <v>2242</v>
      </c>
      <c r="E1371" s="28" t="s">
        <v>2244</v>
      </c>
      <c r="F1371" s="28">
        <v>14.0</v>
      </c>
      <c r="G1371" s="69">
        <v>149600.0</v>
      </c>
      <c r="H1371" s="69">
        <v>12320.0</v>
      </c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</row>
    <row r="1372" ht="17.25" customHeight="1">
      <c r="A1372" s="24" t="s">
        <v>25</v>
      </c>
      <c r="B1372" s="24" t="s">
        <v>91</v>
      </c>
      <c r="C1372" s="24" t="s">
        <v>2241</v>
      </c>
      <c r="D1372" s="24" t="s">
        <v>2242</v>
      </c>
      <c r="E1372" s="28" t="s">
        <v>2245</v>
      </c>
      <c r="F1372" s="28">
        <v>6.0</v>
      </c>
      <c r="G1372" s="69">
        <v>82620.0</v>
      </c>
      <c r="H1372" s="69">
        <v>11820.0</v>
      </c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</row>
    <row r="1373" ht="17.25" customHeight="1">
      <c r="A1373" s="24" t="s">
        <v>25</v>
      </c>
      <c r="B1373" s="24" t="s">
        <v>91</v>
      </c>
      <c r="C1373" s="24" t="s">
        <v>2241</v>
      </c>
      <c r="D1373" s="24" t="s">
        <v>2242</v>
      </c>
      <c r="E1373" s="28" t="s">
        <v>2246</v>
      </c>
      <c r="F1373" s="28">
        <v>66.0</v>
      </c>
      <c r="G1373" s="69">
        <v>607380.0</v>
      </c>
      <c r="H1373" s="69">
        <v>105420.0</v>
      </c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</row>
    <row r="1374" ht="17.25" customHeight="1">
      <c r="A1374" s="24" t="s">
        <v>25</v>
      </c>
      <c r="B1374" s="24" t="s">
        <v>63</v>
      </c>
      <c r="C1374" s="24" t="s">
        <v>2169</v>
      </c>
      <c r="D1374" s="24" t="s">
        <v>2170</v>
      </c>
      <c r="E1374" s="28" t="s">
        <v>2247</v>
      </c>
      <c r="F1374" s="28">
        <v>125.0</v>
      </c>
      <c r="G1374" s="69">
        <v>3673000.0</v>
      </c>
      <c r="H1374" s="69">
        <v>162040.0</v>
      </c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</row>
    <row r="1375" ht="17.25" customHeight="1">
      <c r="A1375" s="24" t="s">
        <v>25</v>
      </c>
      <c r="B1375" s="24" t="s">
        <v>63</v>
      </c>
      <c r="C1375" s="24" t="s">
        <v>2186</v>
      </c>
      <c r="D1375" s="24" t="s">
        <v>2187</v>
      </c>
      <c r="E1375" s="28" t="s">
        <v>2249</v>
      </c>
      <c r="F1375" s="28">
        <v>9.0</v>
      </c>
      <c r="G1375" s="69">
        <v>564300.0</v>
      </c>
      <c r="H1375" s="69">
        <v>60000.0</v>
      </c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</row>
    <row r="1376" ht="17.25" customHeight="1">
      <c r="A1376" s="24" t="s">
        <v>25</v>
      </c>
      <c r="B1376" s="24" t="s">
        <v>63</v>
      </c>
      <c r="C1376" s="24" t="s">
        <v>2186</v>
      </c>
      <c r="D1376" s="24" t="s">
        <v>2187</v>
      </c>
      <c r="E1376" s="28" t="s">
        <v>2250</v>
      </c>
      <c r="F1376" s="28">
        <v>7.0</v>
      </c>
      <c r="G1376" s="69">
        <v>539100.0</v>
      </c>
      <c r="H1376" s="69">
        <v>10000.0</v>
      </c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</row>
    <row r="1377" ht="17.25" customHeight="1">
      <c r="A1377" s="24" t="s">
        <v>25</v>
      </c>
      <c r="B1377" s="24" t="s">
        <v>63</v>
      </c>
      <c r="C1377" s="24" t="s">
        <v>2186</v>
      </c>
      <c r="D1377" s="24" t="s">
        <v>2187</v>
      </c>
      <c r="E1377" s="28" t="s">
        <v>2251</v>
      </c>
      <c r="F1377" s="28">
        <v>1.0</v>
      </c>
      <c r="G1377" s="69">
        <v>123500.0</v>
      </c>
      <c r="H1377" s="69">
        <v>10000.0</v>
      </c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</row>
    <row r="1378" ht="17.25" customHeight="1">
      <c r="A1378" s="24" t="s">
        <v>25</v>
      </c>
      <c r="B1378" s="24" t="s">
        <v>63</v>
      </c>
      <c r="C1378" s="24" t="s">
        <v>2186</v>
      </c>
      <c r="D1378" s="24" t="s">
        <v>2187</v>
      </c>
      <c r="E1378" s="28" t="s">
        <v>2252</v>
      </c>
      <c r="F1378" s="28">
        <v>0.0</v>
      </c>
      <c r="G1378" s="69">
        <v>0.0</v>
      </c>
      <c r="H1378" s="69">
        <v>0.0</v>
      </c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</row>
    <row r="1379" ht="17.25" customHeight="1">
      <c r="A1379" s="24" t="s">
        <v>25</v>
      </c>
      <c r="B1379" s="24" t="s">
        <v>63</v>
      </c>
      <c r="C1379" s="24" t="s">
        <v>2186</v>
      </c>
      <c r="D1379" s="24" t="s">
        <v>2187</v>
      </c>
      <c r="E1379" s="28" t="s">
        <v>2253</v>
      </c>
      <c r="F1379" s="28">
        <v>1.0</v>
      </c>
      <c r="G1379" s="69">
        <v>113400.0</v>
      </c>
      <c r="H1379" s="69">
        <v>0.0</v>
      </c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</row>
    <row r="1380" ht="17.25" customHeight="1">
      <c r="A1380" s="24" t="s">
        <v>25</v>
      </c>
      <c r="B1380" s="24" t="s">
        <v>63</v>
      </c>
      <c r="C1380" s="24" t="s">
        <v>2186</v>
      </c>
      <c r="D1380" s="24" t="s">
        <v>2187</v>
      </c>
      <c r="E1380" s="28" t="s">
        <v>2255</v>
      </c>
      <c r="F1380" s="28">
        <v>6.0</v>
      </c>
      <c r="G1380" s="69">
        <v>332000.0</v>
      </c>
      <c r="H1380" s="69">
        <v>10000.0</v>
      </c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</row>
    <row r="1381" ht="17.25" customHeight="1">
      <c r="A1381" s="24" t="s">
        <v>25</v>
      </c>
      <c r="B1381" s="24" t="s">
        <v>63</v>
      </c>
      <c r="C1381" s="24" t="s">
        <v>2186</v>
      </c>
      <c r="D1381" s="24" t="s">
        <v>2187</v>
      </c>
      <c r="E1381" s="28" t="s">
        <v>2256</v>
      </c>
      <c r="F1381" s="28">
        <v>0.0</v>
      </c>
      <c r="G1381" s="69">
        <v>0.0</v>
      </c>
      <c r="H1381" s="69">
        <v>0.0</v>
      </c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</row>
    <row r="1382" ht="17.25" customHeight="1">
      <c r="A1382" s="24" t="s">
        <v>25</v>
      </c>
      <c r="B1382" s="24" t="s">
        <v>63</v>
      </c>
      <c r="C1382" s="24" t="s">
        <v>2186</v>
      </c>
      <c r="D1382" s="24" t="s">
        <v>2187</v>
      </c>
      <c r="E1382" s="28" t="s">
        <v>2257</v>
      </c>
      <c r="F1382" s="28">
        <v>1.0</v>
      </c>
      <c r="G1382" s="69">
        <v>221400.0</v>
      </c>
      <c r="H1382" s="69">
        <v>0.0</v>
      </c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</row>
    <row r="1383" ht="17.25" customHeight="1">
      <c r="A1383" s="24" t="s">
        <v>25</v>
      </c>
      <c r="B1383" s="24" t="s">
        <v>63</v>
      </c>
      <c r="C1383" s="24" t="s">
        <v>2186</v>
      </c>
      <c r="D1383" s="24" t="s">
        <v>2187</v>
      </c>
      <c r="E1383" s="28" t="s">
        <v>2258</v>
      </c>
      <c r="F1383" s="28">
        <v>1.0</v>
      </c>
      <c r="G1383" s="69">
        <v>32000.0</v>
      </c>
      <c r="H1383" s="69">
        <v>0.0</v>
      </c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</row>
    <row r="1384" ht="17.25" customHeight="1">
      <c r="A1384" s="24" t="s">
        <v>25</v>
      </c>
      <c r="B1384" s="24" t="s">
        <v>63</v>
      </c>
      <c r="C1384" s="24" t="s">
        <v>1702</v>
      </c>
      <c r="D1384" s="24" t="s">
        <v>1703</v>
      </c>
      <c r="E1384" s="28" t="s">
        <v>2259</v>
      </c>
      <c r="F1384" s="28">
        <v>27.0</v>
      </c>
      <c r="G1384" s="69">
        <v>1249200.0</v>
      </c>
      <c r="H1384" s="69">
        <v>54080.0</v>
      </c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</row>
    <row r="1385" ht="17.25" customHeight="1">
      <c r="A1385" s="24" t="s">
        <v>25</v>
      </c>
      <c r="B1385" s="24" t="s">
        <v>63</v>
      </c>
      <c r="C1385" s="24" t="s">
        <v>1702</v>
      </c>
      <c r="D1385" s="24" t="s">
        <v>1703</v>
      </c>
      <c r="E1385" s="28" t="s">
        <v>2260</v>
      </c>
      <c r="F1385" s="28">
        <v>29.0</v>
      </c>
      <c r="G1385" s="69">
        <v>1654000.0</v>
      </c>
      <c r="H1385" s="69">
        <v>50000.0</v>
      </c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</row>
    <row r="1386" ht="17.25" customHeight="1">
      <c r="A1386" s="24" t="s">
        <v>25</v>
      </c>
      <c r="B1386" s="24" t="s">
        <v>63</v>
      </c>
      <c r="C1386" s="24" t="s">
        <v>407</v>
      </c>
      <c r="D1386" s="24" t="s">
        <v>406</v>
      </c>
      <c r="E1386" s="28" t="s">
        <v>2261</v>
      </c>
      <c r="F1386" s="28">
        <v>1.0</v>
      </c>
      <c r="G1386" s="69">
        <v>54000.0</v>
      </c>
      <c r="H1386" s="69">
        <v>10000.0</v>
      </c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</row>
    <row r="1387" ht="17.25" customHeight="1">
      <c r="A1387" s="24" t="s">
        <v>25</v>
      </c>
      <c r="B1387" s="24" t="s">
        <v>63</v>
      </c>
      <c r="C1387" s="24" t="s">
        <v>407</v>
      </c>
      <c r="D1387" s="24" t="s">
        <v>406</v>
      </c>
      <c r="E1387" s="28" t="s">
        <v>2262</v>
      </c>
      <c r="F1387" s="28">
        <v>8.0</v>
      </c>
      <c r="G1387" s="69">
        <v>528000.0</v>
      </c>
      <c r="H1387" s="69">
        <v>27530.0</v>
      </c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</row>
    <row r="1388" ht="17.25" customHeight="1">
      <c r="A1388" s="24" t="s">
        <v>25</v>
      </c>
      <c r="B1388" s="24" t="s">
        <v>63</v>
      </c>
      <c r="C1388" s="24" t="s">
        <v>407</v>
      </c>
      <c r="D1388" s="24" t="s">
        <v>406</v>
      </c>
      <c r="E1388" s="28" t="s">
        <v>2263</v>
      </c>
      <c r="F1388" s="28">
        <v>17.0</v>
      </c>
      <c r="G1388" s="69">
        <v>960000.0</v>
      </c>
      <c r="H1388" s="69">
        <v>77200.0</v>
      </c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</row>
    <row r="1389" ht="17.25" customHeight="1">
      <c r="A1389" s="24" t="s">
        <v>25</v>
      </c>
      <c r="B1389" s="24" t="s">
        <v>63</v>
      </c>
      <c r="C1389" s="24" t="s">
        <v>407</v>
      </c>
      <c r="D1389" s="24" t="s">
        <v>406</v>
      </c>
      <c r="E1389" s="28" t="s">
        <v>2264</v>
      </c>
      <c r="F1389" s="28">
        <v>3.0</v>
      </c>
      <c r="G1389" s="69">
        <v>87000.0</v>
      </c>
      <c r="H1389" s="69">
        <v>0.0</v>
      </c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</row>
    <row r="1390" ht="17.25" customHeight="1">
      <c r="A1390" s="24" t="s">
        <v>25</v>
      </c>
      <c r="B1390" s="24" t="s">
        <v>63</v>
      </c>
      <c r="C1390" s="24" t="s">
        <v>407</v>
      </c>
      <c r="D1390" s="24" t="s">
        <v>406</v>
      </c>
      <c r="E1390" s="28" t="s">
        <v>2265</v>
      </c>
      <c r="F1390" s="28">
        <v>0.0</v>
      </c>
      <c r="G1390" s="69">
        <v>0.0</v>
      </c>
      <c r="H1390" s="69">
        <v>0.0</v>
      </c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</row>
    <row r="1391" ht="17.25" customHeight="1">
      <c r="A1391" s="24" t="s">
        <v>25</v>
      </c>
      <c r="B1391" s="24" t="s">
        <v>63</v>
      </c>
      <c r="C1391" s="24" t="s">
        <v>407</v>
      </c>
      <c r="D1391" s="24" t="s">
        <v>406</v>
      </c>
      <c r="E1391" s="28" t="s">
        <v>2266</v>
      </c>
      <c r="F1391" s="28">
        <v>0.0</v>
      </c>
      <c r="G1391" s="69">
        <v>0.0</v>
      </c>
      <c r="H1391" s="69">
        <v>0.0</v>
      </c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</row>
    <row r="1392" ht="17.25" customHeight="1">
      <c r="A1392" s="24" t="s">
        <v>25</v>
      </c>
      <c r="B1392" s="24" t="s">
        <v>63</v>
      </c>
      <c r="C1392" s="24" t="s">
        <v>407</v>
      </c>
      <c r="D1392" s="24" t="s">
        <v>406</v>
      </c>
      <c r="E1392" s="28" t="s">
        <v>2267</v>
      </c>
      <c r="F1392" s="28">
        <v>2.0</v>
      </c>
      <c r="G1392" s="69">
        <v>66000.0</v>
      </c>
      <c r="H1392" s="69">
        <v>6600.0</v>
      </c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</row>
    <row r="1393" ht="17.25" customHeight="1">
      <c r="A1393" s="24" t="s">
        <v>25</v>
      </c>
      <c r="B1393" s="24" t="s">
        <v>63</v>
      </c>
      <c r="C1393" s="24" t="s">
        <v>2268</v>
      </c>
      <c r="D1393" s="24" t="s">
        <v>2269</v>
      </c>
      <c r="E1393" s="28" t="s">
        <v>2270</v>
      </c>
      <c r="F1393" s="28">
        <v>0.0</v>
      </c>
      <c r="G1393" s="69">
        <v>0.0</v>
      </c>
      <c r="H1393" s="69">
        <v>0.0</v>
      </c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</row>
    <row r="1394" ht="17.25" customHeight="1">
      <c r="A1394" s="24" t="s">
        <v>25</v>
      </c>
      <c r="B1394" s="24" t="s">
        <v>63</v>
      </c>
      <c r="C1394" s="24" t="s">
        <v>1329</v>
      </c>
      <c r="D1394" s="24" t="s">
        <v>1326</v>
      </c>
      <c r="E1394" s="28" t="s">
        <v>2273</v>
      </c>
      <c r="F1394" s="28">
        <v>238.0</v>
      </c>
      <c r="G1394" s="69">
        <v>2.76093E7</v>
      </c>
      <c r="H1394" s="69">
        <v>1060000.0</v>
      </c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</row>
    <row r="1395" ht="17.25" customHeight="1">
      <c r="A1395" s="24" t="s">
        <v>25</v>
      </c>
      <c r="B1395" s="24" t="s">
        <v>63</v>
      </c>
      <c r="C1395" s="24" t="s">
        <v>1329</v>
      </c>
      <c r="D1395" s="24" t="s">
        <v>1326</v>
      </c>
      <c r="E1395" s="28" t="s">
        <v>2274</v>
      </c>
      <c r="F1395" s="28">
        <v>37.0</v>
      </c>
      <c r="G1395" s="69">
        <v>1833170.0</v>
      </c>
      <c r="H1395" s="69">
        <v>116180.0</v>
      </c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</row>
    <row r="1396" ht="17.25" customHeight="1">
      <c r="A1396" s="24" t="s">
        <v>25</v>
      </c>
      <c r="B1396" s="24" t="s">
        <v>63</v>
      </c>
      <c r="C1396" s="24" t="s">
        <v>1329</v>
      </c>
      <c r="D1396" s="24" t="s">
        <v>1326</v>
      </c>
      <c r="E1396" s="28" t="s">
        <v>2275</v>
      </c>
      <c r="F1396" s="28">
        <v>16.0</v>
      </c>
      <c r="G1396" s="69">
        <v>1088000.0</v>
      </c>
      <c r="H1396" s="69">
        <v>50000.0</v>
      </c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</row>
    <row r="1397" ht="17.25" customHeight="1">
      <c r="A1397" s="24" t="s">
        <v>25</v>
      </c>
      <c r="B1397" s="24" t="s">
        <v>63</v>
      </c>
      <c r="C1397" s="24" t="s">
        <v>1329</v>
      </c>
      <c r="D1397" s="24" t="s">
        <v>1326</v>
      </c>
      <c r="E1397" s="28" t="s">
        <v>2276</v>
      </c>
      <c r="F1397" s="28">
        <v>46.0</v>
      </c>
      <c r="G1397" s="69">
        <v>6388000.0</v>
      </c>
      <c r="H1397" s="69">
        <v>140000.0</v>
      </c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</row>
    <row r="1398" ht="17.25" customHeight="1">
      <c r="A1398" s="24" t="s">
        <v>25</v>
      </c>
      <c r="B1398" s="24" t="s">
        <v>63</v>
      </c>
      <c r="C1398" s="24" t="s">
        <v>1329</v>
      </c>
      <c r="D1398" s="24" t="s">
        <v>1326</v>
      </c>
      <c r="E1398" s="28" t="s">
        <v>2279</v>
      </c>
      <c r="F1398" s="28">
        <v>8.0</v>
      </c>
      <c r="G1398" s="69">
        <v>926010.0</v>
      </c>
      <c r="H1398" s="69">
        <v>20000.0</v>
      </c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</row>
    <row r="1399" ht="17.25" customHeight="1">
      <c r="A1399" s="24" t="s">
        <v>25</v>
      </c>
      <c r="B1399" s="24" t="s">
        <v>63</v>
      </c>
      <c r="C1399" s="24" t="s">
        <v>1329</v>
      </c>
      <c r="D1399" s="24" t="s">
        <v>1326</v>
      </c>
      <c r="E1399" s="28" t="s">
        <v>2280</v>
      </c>
      <c r="F1399" s="28">
        <v>30.0</v>
      </c>
      <c r="G1399" s="69">
        <v>1242700.0</v>
      </c>
      <c r="H1399" s="69">
        <v>113140.0</v>
      </c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</row>
    <row r="1400" ht="17.25" customHeight="1">
      <c r="A1400" s="24" t="s">
        <v>25</v>
      </c>
      <c r="B1400" s="24" t="s">
        <v>63</v>
      </c>
      <c r="C1400" s="24" t="s">
        <v>1329</v>
      </c>
      <c r="D1400" s="24" t="s">
        <v>1326</v>
      </c>
      <c r="E1400" s="28" t="s">
        <v>2281</v>
      </c>
      <c r="F1400" s="28">
        <v>5.0</v>
      </c>
      <c r="G1400" s="69">
        <v>162450.0</v>
      </c>
      <c r="H1400" s="69">
        <v>12760.0</v>
      </c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</row>
    <row r="1401" ht="17.25" customHeight="1">
      <c r="A1401" s="24" t="s">
        <v>25</v>
      </c>
      <c r="B1401" s="24" t="s">
        <v>63</v>
      </c>
      <c r="C1401" s="24" t="s">
        <v>1329</v>
      </c>
      <c r="D1401" s="24" t="s">
        <v>1326</v>
      </c>
      <c r="E1401" s="28" t="s">
        <v>2282</v>
      </c>
      <c r="F1401" s="28">
        <v>5.0</v>
      </c>
      <c r="G1401" s="69">
        <v>540000.0</v>
      </c>
      <c r="H1401" s="69">
        <v>10000.0</v>
      </c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</row>
    <row r="1402" ht="17.25" customHeight="1">
      <c r="A1402" s="24" t="s">
        <v>25</v>
      </c>
      <c r="B1402" s="24" t="s">
        <v>63</v>
      </c>
      <c r="C1402" s="24" t="s">
        <v>1329</v>
      </c>
      <c r="D1402" s="24" t="s">
        <v>1326</v>
      </c>
      <c r="E1402" s="28" t="s">
        <v>2283</v>
      </c>
      <c r="F1402" s="28">
        <v>14.0</v>
      </c>
      <c r="G1402" s="69">
        <v>966000.0</v>
      </c>
      <c r="H1402" s="69">
        <v>50000.0</v>
      </c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</row>
    <row r="1403" ht="17.25" customHeight="1">
      <c r="A1403" s="24" t="s">
        <v>25</v>
      </c>
      <c r="B1403" s="24" t="s">
        <v>63</v>
      </c>
      <c r="C1403" s="24" t="s">
        <v>1329</v>
      </c>
      <c r="D1403" s="24" t="s">
        <v>1326</v>
      </c>
      <c r="E1403" s="28" t="s">
        <v>2284</v>
      </c>
      <c r="F1403" s="28">
        <v>3.0</v>
      </c>
      <c r="G1403" s="69">
        <v>86000.0</v>
      </c>
      <c r="H1403" s="69">
        <v>11600.0</v>
      </c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</row>
    <row r="1404" ht="17.25" customHeight="1">
      <c r="A1404" s="24" t="s">
        <v>25</v>
      </c>
      <c r="B1404" s="24" t="s">
        <v>63</v>
      </c>
      <c r="C1404" s="24" t="s">
        <v>1329</v>
      </c>
      <c r="D1404" s="24" t="s">
        <v>1326</v>
      </c>
      <c r="E1404" s="28" t="s">
        <v>2285</v>
      </c>
      <c r="F1404" s="28">
        <v>3.0</v>
      </c>
      <c r="G1404" s="69">
        <v>668000.0</v>
      </c>
      <c r="H1404" s="69">
        <v>10000.0</v>
      </c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</row>
    <row r="1405" ht="17.25" customHeight="1">
      <c r="A1405" s="24" t="s">
        <v>25</v>
      </c>
      <c r="B1405" s="24" t="s">
        <v>63</v>
      </c>
      <c r="C1405" s="24" t="s">
        <v>1329</v>
      </c>
      <c r="D1405" s="24" t="s">
        <v>1326</v>
      </c>
      <c r="E1405" s="28" t="s">
        <v>2286</v>
      </c>
      <c r="F1405" s="28">
        <v>8.0</v>
      </c>
      <c r="G1405" s="69">
        <v>814120.0</v>
      </c>
      <c r="H1405" s="69">
        <v>30000.0</v>
      </c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</row>
    <row r="1406" ht="17.25" customHeight="1">
      <c r="A1406" s="24" t="s">
        <v>25</v>
      </c>
      <c r="B1406" s="24" t="s">
        <v>63</v>
      </c>
      <c r="C1406" s="24" t="s">
        <v>1329</v>
      </c>
      <c r="D1406" s="24" t="s">
        <v>1326</v>
      </c>
      <c r="E1406" s="28" t="s">
        <v>2287</v>
      </c>
      <c r="F1406" s="28">
        <v>1.0</v>
      </c>
      <c r="G1406" s="69">
        <v>18900.0</v>
      </c>
      <c r="H1406" s="69">
        <v>3780.0</v>
      </c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</row>
    <row r="1407" ht="17.25" customHeight="1">
      <c r="A1407" s="24" t="s">
        <v>25</v>
      </c>
      <c r="B1407" s="24" t="s">
        <v>63</v>
      </c>
      <c r="C1407" s="24" t="s">
        <v>1329</v>
      </c>
      <c r="D1407" s="24" t="s">
        <v>1326</v>
      </c>
      <c r="E1407" s="28" t="s">
        <v>2288</v>
      </c>
      <c r="F1407" s="28">
        <v>1.0</v>
      </c>
      <c r="G1407" s="69">
        <v>32000.0</v>
      </c>
      <c r="H1407" s="69">
        <v>0.0</v>
      </c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</row>
    <row r="1408" ht="17.25" customHeight="1">
      <c r="A1408" s="24" t="s">
        <v>25</v>
      </c>
      <c r="B1408" s="24" t="s">
        <v>63</v>
      </c>
      <c r="C1408" s="24" t="s">
        <v>1329</v>
      </c>
      <c r="D1408" s="24" t="s">
        <v>1326</v>
      </c>
      <c r="E1408" s="28" t="s">
        <v>2289</v>
      </c>
      <c r="F1408" s="28">
        <v>2.0</v>
      </c>
      <c r="G1408" s="69">
        <v>329000.0</v>
      </c>
      <c r="H1408" s="69">
        <v>0.0</v>
      </c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</row>
    <row r="1409" ht="17.25" customHeight="1">
      <c r="A1409" s="24" t="s">
        <v>25</v>
      </c>
      <c r="B1409" s="24" t="s">
        <v>91</v>
      </c>
      <c r="C1409" s="24" t="s">
        <v>2150</v>
      </c>
      <c r="D1409" s="24" t="s">
        <v>2151</v>
      </c>
      <c r="E1409" s="28" t="s">
        <v>2290</v>
      </c>
      <c r="F1409" s="28">
        <v>1.0</v>
      </c>
      <c r="G1409" s="69">
        <v>93000.0</v>
      </c>
      <c r="H1409" s="69">
        <v>10000.0</v>
      </c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</row>
    <row r="1410" ht="17.25" customHeight="1">
      <c r="A1410" s="24" t="s">
        <v>25</v>
      </c>
      <c r="B1410" s="24" t="s">
        <v>63</v>
      </c>
      <c r="C1410" s="24" t="s">
        <v>2150</v>
      </c>
      <c r="D1410" s="24" t="s">
        <v>2151</v>
      </c>
      <c r="E1410" s="28" t="s">
        <v>2291</v>
      </c>
      <c r="F1410" s="28">
        <v>0.0</v>
      </c>
      <c r="G1410" s="69">
        <v>0.0</v>
      </c>
      <c r="H1410" s="69">
        <v>0.0</v>
      </c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</row>
    <row r="1411" ht="17.25" customHeight="1">
      <c r="A1411" s="24" t="s">
        <v>25</v>
      </c>
      <c r="B1411" s="24" t="s">
        <v>91</v>
      </c>
      <c r="C1411" s="24" t="s">
        <v>2150</v>
      </c>
      <c r="D1411" s="24" t="s">
        <v>2151</v>
      </c>
      <c r="E1411" s="28" t="s">
        <v>2292</v>
      </c>
      <c r="F1411" s="28">
        <v>1.0</v>
      </c>
      <c r="G1411" s="69">
        <v>62000.0</v>
      </c>
      <c r="H1411" s="69">
        <v>0.0</v>
      </c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</row>
    <row r="1412" ht="17.25" customHeight="1">
      <c r="A1412" s="24" t="s">
        <v>25</v>
      </c>
      <c r="B1412" s="24" t="s">
        <v>63</v>
      </c>
      <c r="C1412" s="24" t="s">
        <v>2166</v>
      </c>
      <c r="D1412" s="24" t="s">
        <v>2167</v>
      </c>
      <c r="E1412" s="28" t="s">
        <v>2293</v>
      </c>
      <c r="F1412" s="28">
        <v>101.0</v>
      </c>
      <c r="G1412" s="69">
        <v>2421630.0</v>
      </c>
      <c r="H1412" s="69">
        <v>217410.0</v>
      </c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</row>
    <row r="1413" ht="17.25" customHeight="1">
      <c r="A1413" s="24" t="s">
        <v>25</v>
      </c>
      <c r="B1413" s="24" t="s">
        <v>63</v>
      </c>
      <c r="C1413" s="24" t="s">
        <v>1448</v>
      </c>
      <c r="D1413" s="24" t="s">
        <v>36</v>
      </c>
      <c r="E1413" s="28" t="s">
        <v>2294</v>
      </c>
      <c r="F1413" s="28">
        <v>8.0</v>
      </c>
      <c r="G1413" s="69">
        <v>282000.0</v>
      </c>
      <c r="H1413" s="69">
        <v>43400.0</v>
      </c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</row>
    <row r="1414" ht="17.25" customHeight="1">
      <c r="A1414" s="24" t="s">
        <v>25</v>
      </c>
      <c r="B1414" s="24" t="s">
        <v>63</v>
      </c>
      <c r="C1414" s="24" t="s">
        <v>1448</v>
      </c>
      <c r="D1414" s="24" t="s">
        <v>36</v>
      </c>
      <c r="E1414" s="28" t="s">
        <v>2295</v>
      </c>
      <c r="F1414" s="28">
        <v>4.0</v>
      </c>
      <c r="G1414" s="69">
        <v>223500.0</v>
      </c>
      <c r="H1414" s="69">
        <v>15600.0</v>
      </c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</row>
    <row r="1415" ht="17.25" customHeight="1">
      <c r="A1415" s="24" t="s">
        <v>25</v>
      </c>
      <c r="B1415" s="24" t="s">
        <v>63</v>
      </c>
      <c r="C1415" s="24" t="s">
        <v>1448</v>
      </c>
      <c r="D1415" s="24" t="s">
        <v>36</v>
      </c>
      <c r="E1415" s="28" t="s">
        <v>2296</v>
      </c>
      <c r="F1415" s="28">
        <v>5.0</v>
      </c>
      <c r="G1415" s="69">
        <v>516000.0</v>
      </c>
      <c r="H1415" s="69">
        <v>26800.0</v>
      </c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</row>
    <row r="1416" ht="17.25" customHeight="1">
      <c r="A1416" s="24" t="s">
        <v>25</v>
      </c>
      <c r="B1416" s="24" t="s">
        <v>63</v>
      </c>
      <c r="C1416" s="24" t="s">
        <v>1448</v>
      </c>
      <c r="D1416" s="24" t="s">
        <v>36</v>
      </c>
      <c r="E1416" s="28" t="s">
        <v>2297</v>
      </c>
      <c r="F1416" s="28">
        <v>0.0</v>
      </c>
      <c r="G1416" s="69">
        <v>0.0</v>
      </c>
      <c r="H1416" s="69">
        <v>0.0</v>
      </c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</row>
    <row r="1417" ht="17.25" customHeight="1">
      <c r="A1417" s="24" t="s">
        <v>25</v>
      </c>
      <c r="B1417" s="24" t="s">
        <v>63</v>
      </c>
      <c r="C1417" s="24" t="s">
        <v>1142</v>
      </c>
      <c r="D1417" s="24" t="s">
        <v>1141</v>
      </c>
      <c r="E1417" s="28" t="s">
        <v>2298</v>
      </c>
      <c r="F1417" s="28">
        <v>0.0</v>
      </c>
      <c r="G1417" s="69">
        <v>0.0</v>
      </c>
      <c r="H1417" s="69">
        <v>0.0</v>
      </c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</row>
    <row r="1418" ht="17.25" customHeight="1">
      <c r="A1418" s="24" t="s">
        <v>25</v>
      </c>
      <c r="B1418" s="24" t="s">
        <v>63</v>
      </c>
      <c r="C1418" s="24" t="s">
        <v>1142</v>
      </c>
      <c r="D1418" s="24" t="s">
        <v>1141</v>
      </c>
      <c r="E1418" s="28" t="s">
        <v>2299</v>
      </c>
      <c r="F1418" s="28">
        <v>0.0</v>
      </c>
      <c r="G1418" s="69">
        <v>0.0</v>
      </c>
      <c r="H1418" s="69">
        <v>0.0</v>
      </c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</row>
    <row r="1419" ht="17.25" customHeight="1">
      <c r="A1419" s="24" t="s">
        <v>25</v>
      </c>
      <c r="B1419" s="24" t="s">
        <v>63</v>
      </c>
      <c r="C1419" s="24" t="s">
        <v>294</v>
      </c>
      <c r="D1419" s="24" t="s">
        <v>293</v>
      </c>
      <c r="E1419" s="28" t="s">
        <v>2300</v>
      </c>
      <c r="F1419" s="28">
        <v>7916.0</v>
      </c>
      <c r="G1419" s="69">
        <v>1.277917E8</v>
      </c>
      <c r="H1419" s="69">
        <v>4657460.0</v>
      </c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</row>
    <row r="1420" ht="17.25" customHeight="1">
      <c r="A1420" s="24" t="s">
        <v>25</v>
      </c>
      <c r="B1420" s="24" t="s">
        <v>63</v>
      </c>
      <c r="C1420" s="24" t="s">
        <v>294</v>
      </c>
      <c r="D1420" s="24" t="s">
        <v>293</v>
      </c>
      <c r="E1420" s="28" t="s">
        <v>2301</v>
      </c>
      <c r="F1420" s="28">
        <v>1512.0</v>
      </c>
      <c r="G1420" s="69">
        <v>1.53513E7</v>
      </c>
      <c r="H1420" s="69">
        <v>374720.0</v>
      </c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</row>
    <row r="1421" ht="17.25" customHeight="1">
      <c r="A1421" s="24" t="s">
        <v>25</v>
      </c>
      <c r="B1421" s="24" t="s">
        <v>63</v>
      </c>
      <c r="C1421" s="24" t="s">
        <v>1217</v>
      </c>
      <c r="D1421" s="24" t="s">
        <v>1216</v>
      </c>
      <c r="E1421" s="28" t="s">
        <v>2302</v>
      </c>
      <c r="F1421" s="28">
        <v>42.0</v>
      </c>
      <c r="G1421" s="69">
        <v>1769000.0</v>
      </c>
      <c r="H1421" s="69">
        <v>285800.0</v>
      </c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</row>
    <row r="1422" ht="17.25" customHeight="1">
      <c r="A1422" s="24" t="s">
        <v>25</v>
      </c>
      <c r="B1422" s="24" t="s">
        <v>63</v>
      </c>
      <c r="C1422" s="24" t="s">
        <v>1217</v>
      </c>
      <c r="D1422" s="24" t="s">
        <v>1216</v>
      </c>
      <c r="E1422" s="28" t="s">
        <v>2303</v>
      </c>
      <c r="F1422" s="28">
        <v>0.0</v>
      </c>
      <c r="G1422" s="69">
        <v>0.0</v>
      </c>
      <c r="H1422" s="69">
        <v>0.0</v>
      </c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</row>
    <row r="1423" ht="17.25" customHeight="1">
      <c r="A1423" s="24" t="s">
        <v>25</v>
      </c>
      <c r="B1423" s="24" t="s">
        <v>63</v>
      </c>
      <c r="C1423" s="24" t="s">
        <v>1217</v>
      </c>
      <c r="D1423" s="24" t="s">
        <v>1216</v>
      </c>
      <c r="E1423" s="28" t="s">
        <v>2304</v>
      </c>
      <c r="F1423" s="28">
        <v>0.0</v>
      </c>
      <c r="G1423" s="69">
        <v>0.0</v>
      </c>
      <c r="H1423" s="69">
        <v>0.0</v>
      </c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</row>
    <row r="1424" ht="17.25" customHeight="1">
      <c r="A1424" s="24" t="s">
        <v>25</v>
      </c>
      <c r="B1424" s="24" t="s">
        <v>63</v>
      </c>
      <c r="C1424" s="24" t="s">
        <v>1217</v>
      </c>
      <c r="D1424" s="24" t="s">
        <v>1216</v>
      </c>
      <c r="E1424" s="28" t="s">
        <v>2305</v>
      </c>
      <c r="F1424" s="28">
        <v>3.0</v>
      </c>
      <c r="G1424" s="69">
        <v>147000.0</v>
      </c>
      <c r="H1424" s="69">
        <v>9800.0</v>
      </c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</row>
    <row r="1425" ht="17.25" customHeight="1">
      <c r="A1425" s="24" t="s">
        <v>25</v>
      </c>
      <c r="B1425" s="24" t="s">
        <v>63</v>
      </c>
      <c r="C1425" s="24" t="s">
        <v>1050</v>
      </c>
      <c r="D1425" s="24" t="s">
        <v>1049</v>
      </c>
      <c r="E1425" s="28" t="s">
        <v>2306</v>
      </c>
      <c r="F1425" s="28">
        <v>38.0</v>
      </c>
      <c r="G1425" s="69">
        <v>1240000.0</v>
      </c>
      <c r="H1425" s="69">
        <v>43600.0</v>
      </c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</row>
    <row r="1426" ht="17.25" customHeight="1">
      <c r="A1426" s="24" t="s">
        <v>25</v>
      </c>
      <c r="B1426" s="24" t="s">
        <v>63</v>
      </c>
      <c r="C1426" s="24" t="s">
        <v>2150</v>
      </c>
      <c r="D1426" s="24" t="s">
        <v>2151</v>
      </c>
      <c r="E1426" s="84" t="s">
        <v>2307</v>
      </c>
      <c r="F1426" s="28">
        <v>0.0</v>
      </c>
      <c r="G1426" s="69">
        <v>0.0</v>
      </c>
      <c r="H1426" s="69">
        <v>0.0</v>
      </c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</row>
    <row r="1427" ht="17.25" customHeight="1">
      <c r="A1427" s="24" t="s">
        <v>25</v>
      </c>
      <c r="B1427" s="24" t="s">
        <v>63</v>
      </c>
      <c r="C1427" s="24" t="s">
        <v>1702</v>
      </c>
      <c r="D1427" s="24" t="s">
        <v>1703</v>
      </c>
      <c r="E1427" s="28" t="s">
        <v>2310</v>
      </c>
      <c r="F1427" s="28">
        <v>0.0</v>
      </c>
      <c r="G1427" s="69">
        <v>0.0</v>
      </c>
      <c r="H1427" s="69">
        <v>0.0</v>
      </c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</row>
    <row r="1428" ht="17.25" customHeight="1">
      <c r="A1428" s="24" t="s">
        <v>25</v>
      </c>
      <c r="B1428" s="24" t="s">
        <v>63</v>
      </c>
      <c r="C1428" s="24" t="s">
        <v>1702</v>
      </c>
      <c r="D1428" s="24" t="s">
        <v>1703</v>
      </c>
      <c r="E1428" s="28" t="s">
        <v>2311</v>
      </c>
      <c r="F1428" s="28">
        <v>1.0</v>
      </c>
      <c r="G1428" s="69">
        <v>43700.0</v>
      </c>
      <c r="H1428" s="69">
        <v>0.0</v>
      </c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</row>
    <row r="1429" ht="17.25" customHeight="1">
      <c r="A1429" s="24" t="s">
        <v>25</v>
      </c>
      <c r="B1429" s="24" t="s">
        <v>63</v>
      </c>
      <c r="C1429" s="24" t="s">
        <v>1702</v>
      </c>
      <c r="D1429" s="24" t="s">
        <v>1703</v>
      </c>
      <c r="E1429" s="28" t="s">
        <v>2312</v>
      </c>
      <c r="F1429" s="28">
        <v>2.0</v>
      </c>
      <c r="G1429" s="69">
        <v>138000.0</v>
      </c>
      <c r="H1429" s="69">
        <v>19200.0</v>
      </c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</row>
    <row r="1430" ht="17.25" customHeight="1">
      <c r="A1430" s="24" t="s">
        <v>25</v>
      </c>
      <c r="B1430" s="24" t="s">
        <v>63</v>
      </c>
      <c r="C1430" s="24" t="s">
        <v>1702</v>
      </c>
      <c r="D1430" s="24" t="s">
        <v>1703</v>
      </c>
      <c r="E1430" s="28" t="s">
        <v>2313</v>
      </c>
      <c r="F1430" s="28">
        <v>0.0</v>
      </c>
      <c r="G1430" s="69">
        <v>0.0</v>
      </c>
      <c r="H1430" s="69">
        <v>0.0</v>
      </c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</row>
    <row r="1431" ht="17.25" customHeight="1">
      <c r="A1431" s="24" t="s">
        <v>25</v>
      </c>
      <c r="B1431" s="24" t="s">
        <v>63</v>
      </c>
      <c r="C1431" s="24" t="s">
        <v>1702</v>
      </c>
      <c r="D1431" s="24" t="s">
        <v>1703</v>
      </c>
      <c r="E1431" s="28" t="s">
        <v>2314</v>
      </c>
      <c r="F1431" s="28">
        <v>3.0</v>
      </c>
      <c r="G1431" s="69">
        <v>86000.0</v>
      </c>
      <c r="H1431" s="69">
        <v>11600.0</v>
      </c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</row>
    <row r="1432" ht="17.25" customHeight="1">
      <c r="A1432" s="24" t="s">
        <v>25</v>
      </c>
      <c r="B1432" s="24" t="s">
        <v>63</v>
      </c>
      <c r="C1432" s="24" t="s">
        <v>1702</v>
      </c>
      <c r="D1432" s="24" t="s">
        <v>1703</v>
      </c>
      <c r="E1432" s="28" t="s">
        <v>2315</v>
      </c>
      <c r="F1432" s="28">
        <v>2.0</v>
      </c>
      <c r="G1432" s="69">
        <v>79800.0</v>
      </c>
      <c r="H1432" s="69">
        <v>15960.0</v>
      </c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</row>
    <row r="1433" ht="17.25" customHeight="1">
      <c r="A1433" s="24" t="s">
        <v>25</v>
      </c>
      <c r="B1433" s="24" t="s">
        <v>63</v>
      </c>
      <c r="C1433" s="24" t="s">
        <v>1702</v>
      </c>
      <c r="D1433" s="24" t="s">
        <v>1703</v>
      </c>
      <c r="E1433" s="28" t="s">
        <v>2316</v>
      </c>
      <c r="F1433" s="28">
        <v>2.0</v>
      </c>
      <c r="G1433" s="69">
        <v>87400.0</v>
      </c>
      <c r="H1433" s="69">
        <v>17480.0</v>
      </c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</row>
    <row r="1434" ht="17.25" customHeight="1">
      <c r="A1434" s="24" t="s">
        <v>25</v>
      </c>
      <c r="B1434" s="24" t="s">
        <v>63</v>
      </c>
      <c r="C1434" s="24" t="s">
        <v>2040</v>
      </c>
      <c r="D1434" s="24" t="s">
        <v>2041</v>
      </c>
      <c r="E1434" s="28" t="s">
        <v>2317</v>
      </c>
      <c r="F1434" s="28">
        <v>1.0</v>
      </c>
      <c r="G1434" s="69">
        <v>52700.0</v>
      </c>
      <c r="H1434" s="69">
        <v>0.0</v>
      </c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</row>
    <row r="1435" ht="17.25" customHeight="1">
      <c r="A1435" s="24" t="s">
        <v>25</v>
      </c>
      <c r="B1435" s="24" t="s">
        <v>63</v>
      </c>
      <c r="C1435" s="24" t="s">
        <v>2040</v>
      </c>
      <c r="D1435" s="24" t="s">
        <v>2041</v>
      </c>
      <c r="E1435" s="28" t="s">
        <v>2318</v>
      </c>
      <c r="F1435" s="28">
        <v>0.0</v>
      </c>
      <c r="G1435" s="69">
        <v>0.0</v>
      </c>
      <c r="H1435" s="69">
        <v>0.0</v>
      </c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</row>
    <row r="1436" ht="17.25" customHeight="1">
      <c r="A1436" s="24" t="s">
        <v>25</v>
      </c>
      <c r="B1436" s="24" t="s">
        <v>63</v>
      </c>
      <c r="C1436" s="24" t="s">
        <v>2040</v>
      </c>
      <c r="D1436" s="24" t="s">
        <v>2041</v>
      </c>
      <c r="E1436" s="28" t="s">
        <v>2319</v>
      </c>
      <c r="F1436" s="28">
        <v>0.0</v>
      </c>
      <c r="G1436" s="69">
        <v>0.0</v>
      </c>
      <c r="H1436" s="69">
        <v>0.0</v>
      </c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</row>
    <row r="1437" ht="17.25" customHeight="1">
      <c r="A1437" s="24" t="s">
        <v>25</v>
      </c>
      <c r="B1437" s="24" t="s">
        <v>63</v>
      </c>
      <c r="C1437" s="24" t="s">
        <v>2040</v>
      </c>
      <c r="D1437" s="24" t="s">
        <v>2041</v>
      </c>
      <c r="E1437" s="28" t="s">
        <v>2320</v>
      </c>
      <c r="F1437" s="28">
        <v>0.0</v>
      </c>
      <c r="G1437" s="69">
        <v>0.0</v>
      </c>
      <c r="H1437" s="69">
        <v>0.0</v>
      </c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</row>
    <row r="1438" ht="17.25" customHeight="1">
      <c r="A1438" s="24" t="s">
        <v>25</v>
      </c>
      <c r="B1438" s="24" t="s">
        <v>63</v>
      </c>
      <c r="C1438" s="24" t="s">
        <v>2040</v>
      </c>
      <c r="D1438" s="24" t="s">
        <v>2041</v>
      </c>
      <c r="E1438" s="28" t="s">
        <v>2321</v>
      </c>
      <c r="F1438" s="28">
        <v>0.0</v>
      </c>
      <c r="G1438" s="69">
        <v>0.0</v>
      </c>
      <c r="H1438" s="69">
        <v>0.0</v>
      </c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</row>
    <row r="1439" ht="17.25" customHeight="1">
      <c r="A1439" s="24" t="s">
        <v>25</v>
      </c>
      <c r="B1439" s="24" t="s">
        <v>63</v>
      </c>
      <c r="C1439" s="24" t="s">
        <v>2040</v>
      </c>
      <c r="D1439" s="24" t="s">
        <v>2041</v>
      </c>
      <c r="E1439" s="28" t="s">
        <v>2322</v>
      </c>
      <c r="F1439" s="28">
        <v>0.0</v>
      </c>
      <c r="G1439" s="69">
        <v>0.0</v>
      </c>
      <c r="H1439" s="69">
        <v>0.0</v>
      </c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</row>
    <row r="1440" ht="17.25" customHeight="1">
      <c r="A1440" s="24" t="s">
        <v>25</v>
      </c>
      <c r="B1440" s="24" t="s">
        <v>63</v>
      </c>
      <c r="C1440" s="24" t="s">
        <v>2040</v>
      </c>
      <c r="D1440" s="24" t="s">
        <v>2041</v>
      </c>
      <c r="E1440" s="28" t="s">
        <v>2323</v>
      </c>
      <c r="F1440" s="28">
        <v>0.0</v>
      </c>
      <c r="G1440" s="69">
        <v>0.0</v>
      </c>
      <c r="H1440" s="69">
        <v>0.0</v>
      </c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</row>
    <row r="1441" ht="17.25" customHeight="1">
      <c r="A1441" s="24" t="s">
        <v>25</v>
      </c>
      <c r="B1441" s="24" t="s">
        <v>91</v>
      </c>
      <c r="C1441" s="24" t="s">
        <v>209</v>
      </c>
      <c r="D1441" s="24" t="s">
        <v>207</v>
      </c>
      <c r="E1441" s="28" t="s">
        <v>2324</v>
      </c>
      <c r="F1441" s="28">
        <v>1.0</v>
      </c>
      <c r="G1441" s="69">
        <v>25000.0</v>
      </c>
      <c r="H1441" s="69">
        <v>0.0</v>
      </c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</row>
    <row r="1442" ht="17.25" customHeight="1">
      <c r="A1442" s="44" t="s">
        <v>25</v>
      </c>
      <c r="B1442" s="24" t="s">
        <v>91</v>
      </c>
      <c r="C1442" s="44" t="s">
        <v>209</v>
      </c>
      <c r="D1442" s="44" t="s">
        <v>207</v>
      </c>
      <c r="E1442" s="44" t="s">
        <v>2325</v>
      </c>
      <c r="F1442" s="58">
        <v>1.0</v>
      </c>
      <c r="G1442" s="58">
        <v>40000.0</v>
      </c>
      <c r="H1442" s="58">
        <v>0.0</v>
      </c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</row>
    <row r="1443" ht="17.25" customHeight="1">
      <c r="A1443" s="44" t="s">
        <v>25</v>
      </c>
      <c r="B1443" s="24" t="s">
        <v>91</v>
      </c>
      <c r="C1443" s="44" t="s">
        <v>209</v>
      </c>
      <c r="D1443" s="44" t="s">
        <v>207</v>
      </c>
      <c r="E1443" s="44" t="s">
        <v>2326</v>
      </c>
      <c r="F1443" s="58">
        <v>0.0</v>
      </c>
      <c r="G1443" s="58">
        <v>0.0</v>
      </c>
      <c r="H1443" s="58">
        <v>0.0</v>
      </c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</row>
    <row r="1444" ht="17.25" customHeight="1">
      <c r="A1444" s="44" t="s">
        <v>25</v>
      </c>
      <c r="B1444" s="44" t="s">
        <v>63</v>
      </c>
      <c r="C1444" s="44" t="s">
        <v>1098</v>
      </c>
      <c r="D1444" s="44" t="s">
        <v>1097</v>
      </c>
      <c r="E1444" s="44" t="s">
        <v>2327</v>
      </c>
      <c r="F1444" s="58">
        <v>5130.0</v>
      </c>
      <c r="G1444" s="58">
        <v>2.457827E8</v>
      </c>
      <c r="H1444" s="58">
        <v>2090900.0</v>
      </c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</row>
    <row r="1445" ht="17.25" customHeight="1">
      <c r="A1445" s="44" t="s">
        <v>25</v>
      </c>
      <c r="B1445" s="44" t="s">
        <v>63</v>
      </c>
      <c r="C1445" s="44" t="s">
        <v>1098</v>
      </c>
      <c r="D1445" s="44" t="s">
        <v>1097</v>
      </c>
      <c r="E1445" s="44" t="s">
        <v>2328</v>
      </c>
      <c r="F1445" s="58">
        <v>5237.0</v>
      </c>
      <c r="G1445" s="58">
        <v>1.122061E8</v>
      </c>
      <c r="H1445" s="58">
        <v>251360.0</v>
      </c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</row>
    <row r="1446" ht="17.25" customHeight="1">
      <c r="A1446" s="44" t="s">
        <v>25</v>
      </c>
      <c r="B1446" s="44" t="s">
        <v>63</v>
      </c>
      <c r="C1446" s="44" t="s">
        <v>1098</v>
      </c>
      <c r="D1446" s="44" t="s">
        <v>1097</v>
      </c>
      <c r="E1446" s="44" t="s">
        <v>2329</v>
      </c>
      <c r="F1446" s="58">
        <v>7082.0</v>
      </c>
      <c r="G1446" s="58">
        <v>1.511566E8</v>
      </c>
      <c r="H1446" s="58">
        <v>191600.0</v>
      </c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</row>
    <row r="1447" ht="17.25" customHeight="1">
      <c r="A1447" s="44" t="s">
        <v>25</v>
      </c>
      <c r="B1447" s="44" t="s">
        <v>63</v>
      </c>
      <c r="C1447" s="44" t="s">
        <v>1098</v>
      </c>
      <c r="D1447" s="44" t="s">
        <v>1097</v>
      </c>
      <c r="E1447" s="44" t="s">
        <v>2330</v>
      </c>
      <c r="F1447" s="58">
        <v>6507.0</v>
      </c>
      <c r="G1447" s="58">
        <v>1.241214E8</v>
      </c>
      <c r="H1447" s="58">
        <v>164960.0</v>
      </c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</row>
    <row r="1448" ht="17.25" customHeight="1">
      <c r="A1448" s="44" t="s">
        <v>25</v>
      </c>
      <c r="B1448" s="44" t="s">
        <v>63</v>
      </c>
      <c r="C1448" s="44" t="s">
        <v>2186</v>
      </c>
      <c r="D1448" s="44" t="s">
        <v>2187</v>
      </c>
      <c r="E1448" s="44" t="s">
        <v>2333</v>
      </c>
      <c r="F1448" s="58">
        <v>9.0</v>
      </c>
      <c r="G1448" s="58">
        <v>203000.0</v>
      </c>
      <c r="H1448" s="58">
        <v>12000.0</v>
      </c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</row>
    <row r="1449" ht="17.25" customHeight="1">
      <c r="A1449" s="44" t="s">
        <v>25</v>
      </c>
      <c r="B1449" s="44" t="s">
        <v>63</v>
      </c>
      <c r="C1449" s="44" t="s">
        <v>2186</v>
      </c>
      <c r="D1449" s="44" t="s">
        <v>2187</v>
      </c>
      <c r="E1449" s="44" t="s">
        <v>2334</v>
      </c>
      <c r="F1449" s="58">
        <v>3.0</v>
      </c>
      <c r="G1449" s="58">
        <v>320000.0</v>
      </c>
      <c r="H1449" s="58">
        <v>8000.0</v>
      </c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</row>
    <row r="1450" ht="17.25" customHeight="1">
      <c r="A1450" s="44" t="s">
        <v>25</v>
      </c>
      <c r="B1450" s="44" t="s">
        <v>91</v>
      </c>
      <c r="C1450" s="44" t="s">
        <v>2335</v>
      </c>
      <c r="D1450" s="85" t="s">
        <v>2336</v>
      </c>
      <c r="E1450" s="44" t="s">
        <v>2337</v>
      </c>
      <c r="F1450" s="58">
        <v>1.0</v>
      </c>
      <c r="G1450" s="58">
        <v>26900.0</v>
      </c>
      <c r="H1450" s="58">
        <v>5380.0</v>
      </c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</row>
    <row r="1451" ht="17.25" customHeight="1">
      <c r="A1451" s="44" t="s">
        <v>25</v>
      </c>
      <c r="B1451" s="44" t="s">
        <v>91</v>
      </c>
      <c r="C1451" s="44" t="s">
        <v>1962</v>
      </c>
      <c r="D1451" s="85" t="s">
        <v>1961</v>
      </c>
      <c r="E1451" s="44" t="s">
        <v>2338</v>
      </c>
      <c r="F1451" s="58">
        <v>234.0</v>
      </c>
      <c r="G1451" s="58">
        <v>5887600.0</v>
      </c>
      <c r="H1451" s="58">
        <v>0.0</v>
      </c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</row>
    <row r="1452" ht="17.25" customHeight="1">
      <c r="A1452" s="44" t="s">
        <v>25</v>
      </c>
      <c r="B1452" s="44" t="s">
        <v>91</v>
      </c>
      <c r="C1452" s="44" t="s">
        <v>1962</v>
      </c>
      <c r="D1452" s="85" t="s">
        <v>1961</v>
      </c>
      <c r="E1452" s="44" t="s">
        <v>2339</v>
      </c>
      <c r="F1452" s="58">
        <v>98.0</v>
      </c>
      <c r="G1452" s="58">
        <v>2527900.0</v>
      </c>
      <c r="H1452" s="58">
        <v>0.0</v>
      </c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</row>
    <row r="1453" ht="17.25" customHeight="1">
      <c r="A1453" s="44" t="s">
        <v>25</v>
      </c>
      <c r="B1453" s="44" t="s">
        <v>91</v>
      </c>
      <c r="C1453" s="44" t="s">
        <v>1962</v>
      </c>
      <c r="D1453" s="85" t="s">
        <v>1961</v>
      </c>
      <c r="E1453" s="44" t="s">
        <v>2340</v>
      </c>
      <c r="F1453" s="58">
        <v>1.0</v>
      </c>
      <c r="G1453" s="58">
        <v>31000.0</v>
      </c>
      <c r="H1453" s="58">
        <v>0.0</v>
      </c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</row>
    <row r="1454" ht="17.25" customHeight="1">
      <c r="A1454" s="44" t="s">
        <v>25</v>
      </c>
      <c r="B1454" s="44" t="s">
        <v>91</v>
      </c>
      <c r="C1454" s="44" t="s">
        <v>2335</v>
      </c>
      <c r="D1454" s="44" t="s">
        <v>2336</v>
      </c>
      <c r="E1454" s="44" t="s">
        <v>2341</v>
      </c>
      <c r="F1454" s="58">
        <v>1.0</v>
      </c>
      <c r="G1454" s="58">
        <v>35000.0</v>
      </c>
      <c r="H1454" s="58">
        <v>0.0</v>
      </c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</row>
    <row r="1455" ht="17.25" customHeight="1">
      <c r="A1455" s="86"/>
      <c r="B1455" s="86"/>
      <c r="C1455" s="86"/>
      <c r="D1455" s="86"/>
      <c r="E1455" s="86"/>
      <c r="F1455" s="87"/>
      <c r="G1455" s="87"/>
      <c r="H1455" s="87"/>
      <c r="I1455" s="88"/>
      <c r="J1455" s="88"/>
      <c r="K1455" s="88"/>
      <c r="L1455" s="88"/>
      <c r="M1455" s="88"/>
      <c r="N1455" s="88"/>
      <c r="O1455" s="88"/>
      <c r="P1455" s="88"/>
      <c r="Q1455" s="88"/>
      <c r="R1455" s="88"/>
      <c r="S1455" s="88"/>
      <c r="T1455" s="88"/>
      <c r="U1455" s="88"/>
      <c r="V1455" s="88"/>
      <c r="W1455" s="88"/>
      <c r="X1455" s="88"/>
      <c r="Y1455" s="88"/>
      <c r="Z1455" s="88"/>
    </row>
    <row r="1456" ht="17.25" customHeight="1">
      <c r="A1456" s="88"/>
      <c r="B1456" s="88"/>
      <c r="C1456" s="88"/>
      <c r="D1456" s="88"/>
      <c r="E1456" s="88"/>
      <c r="F1456" s="89"/>
      <c r="G1456" s="89"/>
      <c r="H1456" s="89"/>
      <c r="I1456" s="88"/>
      <c r="J1456" s="88"/>
      <c r="K1456" s="88"/>
      <c r="L1456" s="88"/>
      <c r="M1456" s="88"/>
      <c r="N1456" s="88"/>
      <c r="O1456" s="88"/>
      <c r="P1456" s="88"/>
      <c r="Q1456" s="88"/>
      <c r="R1456" s="88"/>
      <c r="S1456" s="88"/>
      <c r="T1456" s="88"/>
      <c r="U1456" s="88"/>
      <c r="V1456" s="88"/>
      <c r="W1456" s="88"/>
      <c r="X1456" s="88"/>
      <c r="Y1456" s="88"/>
      <c r="Z1456" s="88"/>
    </row>
    <row r="1457" ht="17.25" customHeight="1">
      <c r="A1457" s="88"/>
      <c r="B1457" s="88"/>
      <c r="C1457" s="88"/>
      <c r="D1457" s="88"/>
      <c r="E1457" s="88"/>
      <c r="F1457" s="89"/>
      <c r="G1457" s="89"/>
      <c r="H1457" s="89"/>
      <c r="I1457" s="88"/>
      <c r="J1457" s="88"/>
      <c r="K1457" s="88"/>
      <c r="L1457" s="88"/>
      <c r="M1457" s="88"/>
      <c r="N1457" s="88"/>
      <c r="O1457" s="88"/>
      <c r="P1457" s="88"/>
      <c r="Q1457" s="88"/>
      <c r="R1457" s="88"/>
      <c r="S1457" s="88"/>
      <c r="T1457" s="88"/>
      <c r="U1457" s="88"/>
      <c r="V1457" s="88"/>
      <c r="W1457" s="88"/>
      <c r="X1457" s="88"/>
      <c r="Y1457" s="88"/>
      <c r="Z1457" s="88"/>
    </row>
    <row r="1458" ht="17.25" customHeight="1">
      <c r="A1458" s="88"/>
      <c r="B1458" s="88"/>
      <c r="C1458" s="88"/>
      <c r="D1458" s="88"/>
      <c r="E1458" s="88"/>
      <c r="F1458" s="89"/>
      <c r="G1458" s="89"/>
      <c r="H1458" s="89"/>
      <c r="I1458" s="88"/>
      <c r="J1458" s="88"/>
      <c r="K1458" s="88"/>
      <c r="L1458" s="88"/>
      <c r="M1458" s="88"/>
      <c r="N1458" s="88"/>
      <c r="O1458" s="88"/>
      <c r="P1458" s="88"/>
      <c r="Q1458" s="88"/>
      <c r="R1458" s="88"/>
      <c r="S1458" s="88"/>
      <c r="T1458" s="88"/>
      <c r="U1458" s="88"/>
      <c r="V1458" s="88"/>
      <c r="W1458" s="88"/>
      <c r="X1458" s="88"/>
      <c r="Y1458" s="88"/>
      <c r="Z1458" s="88"/>
    </row>
    <row r="1459" ht="17.25" customHeight="1">
      <c r="A1459" s="88"/>
      <c r="B1459" s="88"/>
      <c r="C1459" s="88"/>
      <c r="D1459" s="88"/>
      <c r="E1459" s="88"/>
      <c r="F1459" s="89"/>
      <c r="G1459" s="89"/>
      <c r="H1459" s="89"/>
      <c r="I1459" s="88"/>
      <c r="J1459" s="88"/>
      <c r="K1459" s="88"/>
      <c r="L1459" s="88"/>
      <c r="M1459" s="88"/>
      <c r="N1459" s="88"/>
      <c r="O1459" s="88"/>
      <c r="P1459" s="88"/>
      <c r="Q1459" s="88"/>
      <c r="R1459" s="88"/>
      <c r="S1459" s="88"/>
      <c r="T1459" s="88"/>
      <c r="U1459" s="88"/>
      <c r="V1459" s="88"/>
      <c r="W1459" s="88"/>
      <c r="X1459" s="88"/>
      <c r="Y1459" s="88"/>
      <c r="Z1459" s="88"/>
    </row>
    <row r="1460" ht="17.25" customHeight="1">
      <c r="A1460" s="88"/>
      <c r="B1460" s="88"/>
      <c r="C1460" s="88"/>
      <c r="D1460" s="88"/>
      <c r="E1460" s="88"/>
      <c r="F1460" s="89"/>
      <c r="G1460" s="89"/>
      <c r="H1460" s="89"/>
      <c r="I1460" s="88"/>
      <c r="J1460" s="88"/>
      <c r="K1460" s="88"/>
      <c r="L1460" s="88"/>
      <c r="M1460" s="88"/>
      <c r="N1460" s="88"/>
      <c r="O1460" s="88"/>
      <c r="P1460" s="88"/>
      <c r="Q1460" s="88"/>
      <c r="R1460" s="88"/>
      <c r="S1460" s="88"/>
      <c r="T1460" s="88"/>
      <c r="U1460" s="88"/>
      <c r="V1460" s="88"/>
      <c r="W1460" s="88"/>
      <c r="X1460" s="88"/>
      <c r="Y1460" s="88"/>
      <c r="Z1460" s="88"/>
    </row>
    <row r="1461" ht="17.25" customHeight="1">
      <c r="A1461" s="88"/>
      <c r="B1461" s="88"/>
      <c r="C1461" s="88"/>
      <c r="D1461" s="88"/>
      <c r="E1461" s="88"/>
      <c r="F1461" s="89"/>
      <c r="G1461" s="89"/>
      <c r="H1461" s="89"/>
      <c r="I1461" s="88"/>
      <c r="J1461" s="88"/>
      <c r="K1461" s="88"/>
      <c r="L1461" s="88"/>
      <c r="M1461" s="88"/>
      <c r="N1461" s="88"/>
      <c r="O1461" s="88"/>
      <c r="P1461" s="88"/>
      <c r="Q1461" s="88"/>
      <c r="R1461" s="88"/>
      <c r="S1461" s="88"/>
      <c r="T1461" s="88"/>
      <c r="U1461" s="88"/>
      <c r="V1461" s="88"/>
      <c r="W1461" s="88"/>
      <c r="X1461" s="88"/>
      <c r="Y1461" s="88"/>
      <c r="Z1461" s="88"/>
    </row>
    <row r="1462" ht="17.25" customHeight="1">
      <c r="A1462" s="88"/>
      <c r="B1462" s="88"/>
      <c r="C1462" s="88"/>
      <c r="D1462" s="88"/>
      <c r="E1462" s="88"/>
      <c r="F1462" s="89"/>
      <c r="G1462" s="89"/>
      <c r="H1462" s="89"/>
      <c r="I1462" s="88"/>
      <c r="J1462" s="88"/>
      <c r="K1462" s="88"/>
      <c r="L1462" s="88"/>
      <c r="M1462" s="88"/>
      <c r="N1462" s="88"/>
      <c r="O1462" s="88"/>
      <c r="P1462" s="88"/>
      <c r="Q1462" s="88"/>
      <c r="R1462" s="88"/>
      <c r="S1462" s="88"/>
      <c r="T1462" s="88"/>
      <c r="U1462" s="88"/>
      <c r="V1462" s="88"/>
      <c r="W1462" s="88"/>
      <c r="X1462" s="88"/>
      <c r="Y1462" s="88"/>
      <c r="Z1462" s="88"/>
    </row>
    <row r="1463" ht="17.25" customHeight="1">
      <c r="A1463" s="88"/>
      <c r="B1463" s="88"/>
      <c r="C1463" s="88"/>
      <c r="D1463" s="88"/>
      <c r="E1463" s="88"/>
      <c r="F1463" s="89"/>
      <c r="G1463" s="89"/>
      <c r="H1463" s="89"/>
      <c r="I1463" s="88"/>
      <c r="J1463" s="88"/>
      <c r="K1463" s="88"/>
      <c r="L1463" s="88"/>
      <c r="M1463" s="88"/>
      <c r="N1463" s="88"/>
      <c r="O1463" s="88"/>
      <c r="P1463" s="88"/>
      <c r="Q1463" s="88"/>
      <c r="R1463" s="88"/>
      <c r="S1463" s="88"/>
      <c r="T1463" s="88"/>
      <c r="U1463" s="88"/>
      <c r="V1463" s="88"/>
      <c r="W1463" s="88"/>
      <c r="X1463" s="88"/>
      <c r="Y1463" s="88"/>
      <c r="Z1463" s="88"/>
    </row>
    <row r="1464" ht="17.25" customHeight="1">
      <c r="A1464" s="88"/>
      <c r="B1464" s="88"/>
      <c r="C1464" s="88"/>
      <c r="D1464" s="88"/>
      <c r="E1464" s="88"/>
      <c r="F1464" s="89"/>
      <c r="G1464" s="89"/>
      <c r="H1464" s="89"/>
      <c r="I1464" s="88"/>
      <c r="J1464" s="88"/>
      <c r="K1464" s="88"/>
      <c r="L1464" s="88"/>
      <c r="M1464" s="88"/>
      <c r="N1464" s="88"/>
      <c r="O1464" s="88"/>
      <c r="P1464" s="88"/>
      <c r="Q1464" s="88"/>
      <c r="R1464" s="88"/>
      <c r="S1464" s="88"/>
      <c r="T1464" s="88"/>
      <c r="U1464" s="88"/>
      <c r="V1464" s="88"/>
      <c r="W1464" s="88"/>
      <c r="X1464" s="88"/>
      <c r="Y1464" s="88"/>
      <c r="Z1464" s="88"/>
    </row>
    <row r="1465" ht="17.25" customHeight="1">
      <c r="A1465" s="88"/>
      <c r="B1465" s="88"/>
      <c r="C1465" s="88"/>
      <c r="D1465" s="88"/>
      <c r="E1465" s="88"/>
      <c r="F1465" s="89"/>
      <c r="G1465" s="89"/>
      <c r="H1465" s="89"/>
      <c r="I1465" s="88"/>
      <c r="J1465" s="88"/>
      <c r="K1465" s="88"/>
      <c r="L1465" s="88"/>
      <c r="M1465" s="88"/>
      <c r="N1465" s="88"/>
      <c r="O1465" s="88"/>
      <c r="P1465" s="88"/>
      <c r="Q1465" s="88"/>
      <c r="R1465" s="88"/>
      <c r="S1465" s="88"/>
      <c r="T1465" s="88"/>
      <c r="U1465" s="88"/>
      <c r="V1465" s="88"/>
      <c r="W1465" s="88"/>
      <c r="X1465" s="88"/>
      <c r="Y1465" s="88"/>
      <c r="Z1465" s="88"/>
    </row>
    <row r="1466" ht="17.25" customHeight="1">
      <c r="A1466" s="88"/>
      <c r="B1466" s="88"/>
      <c r="C1466" s="88"/>
      <c r="D1466" s="88"/>
      <c r="E1466" s="88"/>
      <c r="F1466" s="89"/>
      <c r="G1466" s="89"/>
      <c r="H1466" s="89"/>
      <c r="I1466" s="88"/>
      <c r="J1466" s="88"/>
      <c r="K1466" s="88"/>
      <c r="L1466" s="88"/>
      <c r="M1466" s="88"/>
      <c r="N1466" s="88"/>
      <c r="O1466" s="88"/>
      <c r="P1466" s="88"/>
      <c r="Q1466" s="88"/>
      <c r="R1466" s="88"/>
      <c r="S1466" s="88"/>
      <c r="T1466" s="88"/>
      <c r="U1466" s="88"/>
      <c r="V1466" s="88"/>
      <c r="W1466" s="88"/>
      <c r="X1466" s="88"/>
      <c r="Y1466" s="88"/>
      <c r="Z1466" s="88"/>
    </row>
    <row r="1467" ht="17.25" customHeight="1">
      <c r="A1467" s="88"/>
      <c r="B1467" s="88"/>
      <c r="C1467" s="88"/>
      <c r="D1467" s="88"/>
      <c r="E1467" s="88"/>
      <c r="F1467" s="89"/>
      <c r="G1467" s="89"/>
      <c r="H1467" s="89"/>
      <c r="I1467" s="88"/>
      <c r="J1467" s="88"/>
      <c r="K1467" s="88"/>
      <c r="L1467" s="88"/>
      <c r="M1467" s="88"/>
      <c r="N1467" s="88"/>
      <c r="O1467" s="88"/>
      <c r="P1467" s="88"/>
      <c r="Q1467" s="88"/>
      <c r="R1467" s="88"/>
      <c r="S1467" s="88"/>
      <c r="T1467" s="88"/>
      <c r="U1467" s="88"/>
      <c r="V1467" s="88"/>
      <c r="W1467" s="88"/>
      <c r="X1467" s="88"/>
      <c r="Y1467" s="88"/>
      <c r="Z1467" s="88"/>
    </row>
    <row r="1468" ht="17.25" customHeight="1">
      <c r="A1468" s="88"/>
      <c r="B1468" s="88"/>
      <c r="C1468" s="88"/>
      <c r="D1468" s="88"/>
      <c r="E1468" s="88"/>
      <c r="F1468" s="89"/>
      <c r="G1468" s="89"/>
      <c r="H1468" s="89"/>
      <c r="I1468" s="88"/>
      <c r="J1468" s="88"/>
      <c r="K1468" s="88"/>
      <c r="L1468" s="88"/>
      <c r="M1468" s="88"/>
      <c r="N1468" s="88"/>
      <c r="O1468" s="88"/>
      <c r="P1468" s="88"/>
      <c r="Q1468" s="88"/>
      <c r="R1468" s="88"/>
      <c r="S1468" s="88"/>
      <c r="T1468" s="88"/>
      <c r="U1468" s="88"/>
      <c r="V1468" s="88"/>
      <c r="W1468" s="88"/>
      <c r="X1468" s="88"/>
      <c r="Y1468" s="88"/>
      <c r="Z1468" s="88"/>
    </row>
    <row r="1469" ht="17.25" customHeight="1">
      <c r="A1469" s="88"/>
      <c r="B1469" s="88"/>
      <c r="C1469" s="88"/>
      <c r="D1469" s="88"/>
      <c r="E1469" s="88"/>
      <c r="F1469" s="89"/>
      <c r="G1469" s="89"/>
      <c r="H1469" s="89"/>
      <c r="I1469" s="88"/>
      <c r="J1469" s="88"/>
      <c r="K1469" s="88"/>
      <c r="L1469" s="88"/>
      <c r="M1469" s="88"/>
      <c r="N1469" s="88"/>
      <c r="O1469" s="88"/>
      <c r="P1469" s="88"/>
      <c r="Q1469" s="88"/>
      <c r="R1469" s="88"/>
      <c r="S1469" s="88"/>
      <c r="T1469" s="88"/>
      <c r="U1469" s="88"/>
      <c r="V1469" s="88"/>
      <c r="W1469" s="88"/>
      <c r="X1469" s="88"/>
      <c r="Y1469" s="88"/>
      <c r="Z1469" s="88"/>
    </row>
    <row r="1470" ht="17.25" customHeight="1">
      <c r="A1470" s="88"/>
      <c r="B1470" s="88"/>
      <c r="C1470" s="88"/>
      <c r="D1470" s="88"/>
      <c r="E1470" s="88"/>
      <c r="F1470" s="89"/>
      <c r="G1470" s="89"/>
      <c r="H1470" s="89"/>
      <c r="I1470" s="88"/>
      <c r="J1470" s="88"/>
      <c r="K1470" s="88"/>
      <c r="L1470" s="88"/>
      <c r="M1470" s="88"/>
      <c r="N1470" s="88"/>
      <c r="O1470" s="88"/>
      <c r="P1470" s="88"/>
      <c r="Q1470" s="88"/>
      <c r="R1470" s="88"/>
      <c r="S1470" s="88"/>
      <c r="T1470" s="88"/>
      <c r="U1470" s="88"/>
      <c r="V1470" s="88"/>
      <c r="W1470" s="88"/>
      <c r="X1470" s="88"/>
      <c r="Y1470" s="88"/>
      <c r="Z1470" s="88"/>
    </row>
    <row r="1471" ht="17.25" customHeight="1">
      <c r="A1471" s="88"/>
      <c r="B1471" s="88"/>
      <c r="C1471" s="88"/>
      <c r="D1471" s="88"/>
      <c r="E1471" s="88"/>
      <c r="F1471" s="89"/>
      <c r="G1471" s="89"/>
      <c r="H1471" s="89"/>
      <c r="I1471" s="88"/>
      <c r="J1471" s="88"/>
      <c r="K1471" s="88"/>
      <c r="L1471" s="88"/>
      <c r="M1471" s="88"/>
      <c r="N1471" s="88"/>
      <c r="O1471" s="88"/>
      <c r="P1471" s="88"/>
      <c r="Q1471" s="88"/>
      <c r="R1471" s="88"/>
      <c r="S1471" s="88"/>
      <c r="T1471" s="88"/>
      <c r="U1471" s="88"/>
      <c r="V1471" s="88"/>
      <c r="W1471" s="88"/>
      <c r="X1471" s="88"/>
      <c r="Y1471" s="88"/>
      <c r="Z1471" s="88"/>
    </row>
    <row r="1472" ht="17.25" customHeight="1">
      <c r="A1472" s="88"/>
      <c r="B1472" s="88"/>
      <c r="C1472" s="88"/>
      <c r="D1472" s="88"/>
      <c r="E1472" s="88"/>
      <c r="F1472" s="89"/>
      <c r="G1472" s="89"/>
      <c r="H1472" s="89"/>
      <c r="I1472" s="88"/>
      <c r="J1472" s="88"/>
      <c r="K1472" s="88"/>
      <c r="L1472" s="88"/>
      <c r="M1472" s="88"/>
      <c r="N1472" s="88"/>
      <c r="O1472" s="88"/>
      <c r="P1472" s="88"/>
      <c r="Q1472" s="88"/>
      <c r="R1472" s="88"/>
      <c r="S1472" s="88"/>
      <c r="T1472" s="88"/>
      <c r="U1472" s="88"/>
      <c r="V1472" s="88"/>
      <c r="W1472" s="88"/>
      <c r="X1472" s="88"/>
      <c r="Y1472" s="88"/>
      <c r="Z1472" s="88"/>
    </row>
    <row r="1473" ht="17.25" customHeight="1">
      <c r="A1473" s="88"/>
      <c r="B1473" s="88"/>
      <c r="C1473" s="88"/>
      <c r="D1473" s="88"/>
      <c r="E1473" s="88"/>
      <c r="F1473" s="89"/>
      <c r="G1473" s="89"/>
      <c r="H1473" s="89"/>
      <c r="I1473" s="88"/>
      <c r="J1473" s="88"/>
      <c r="K1473" s="88"/>
      <c r="L1473" s="88"/>
      <c r="M1473" s="88"/>
      <c r="N1473" s="88"/>
      <c r="O1473" s="88"/>
      <c r="P1473" s="88"/>
      <c r="Q1473" s="88"/>
      <c r="R1473" s="88"/>
      <c r="S1473" s="88"/>
      <c r="T1473" s="88"/>
      <c r="U1473" s="88"/>
      <c r="V1473" s="88"/>
      <c r="W1473" s="88"/>
      <c r="X1473" s="88"/>
      <c r="Y1473" s="88"/>
      <c r="Z1473" s="88"/>
    </row>
    <row r="1474" ht="17.25" customHeight="1">
      <c r="A1474" s="88"/>
      <c r="B1474" s="88"/>
      <c r="C1474" s="88"/>
      <c r="D1474" s="88"/>
      <c r="E1474" s="88"/>
      <c r="F1474" s="89"/>
      <c r="G1474" s="89"/>
      <c r="H1474" s="89"/>
      <c r="I1474" s="88"/>
      <c r="J1474" s="88"/>
      <c r="K1474" s="88"/>
      <c r="L1474" s="88"/>
      <c r="M1474" s="88"/>
      <c r="N1474" s="88"/>
      <c r="O1474" s="88"/>
      <c r="P1474" s="88"/>
      <c r="Q1474" s="88"/>
      <c r="R1474" s="88"/>
      <c r="S1474" s="88"/>
      <c r="T1474" s="88"/>
      <c r="U1474" s="88"/>
      <c r="V1474" s="88"/>
      <c r="W1474" s="88"/>
      <c r="X1474" s="88"/>
      <c r="Y1474" s="88"/>
      <c r="Z1474" s="88"/>
    </row>
    <row r="1475" ht="17.25" customHeight="1">
      <c r="A1475" s="88"/>
      <c r="B1475" s="88"/>
      <c r="C1475" s="88"/>
      <c r="D1475" s="88"/>
      <c r="E1475" s="88"/>
      <c r="F1475" s="89"/>
      <c r="G1475" s="89"/>
      <c r="H1475" s="89"/>
      <c r="I1475" s="88"/>
      <c r="J1475" s="88"/>
      <c r="K1475" s="88"/>
      <c r="L1475" s="88"/>
      <c r="M1475" s="88"/>
      <c r="N1475" s="88"/>
      <c r="O1475" s="88"/>
      <c r="P1475" s="88"/>
      <c r="Q1475" s="88"/>
      <c r="R1475" s="88"/>
      <c r="S1475" s="88"/>
      <c r="T1475" s="88"/>
      <c r="U1475" s="88"/>
      <c r="V1475" s="88"/>
      <c r="W1475" s="88"/>
      <c r="X1475" s="88"/>
      <c r="Y1475" s="88"/>
      <c r="Z1475" s="88"/>
    </row>
    <row r="1476" ht="17.25" customHeight="1">
      <c r="A1476" s="88"/>
      <c r="B1476" s="88"/>
      <c r="C1476" s="88"/>
      <c r="D1476" s="88"/>
      <c r="E1476" s="88"/>
      <c r="F1476" s="89"/>
      <c r="G1476" s="89"/>
      <c r="H1476" s="89"/>
      <c r="I1476" s="88"/>
      <c r="J1476" s="88"/>
      <c r="K1476" s="88"/>
      <c r="L1476" s="88"/>
      <c r="M1476" s="88"/>
      <c r="N1476" s="88"/>
      <c r="O1476" s="88"/>
      <c r="P1476" s="88"/>
      <c r="Q1476" s="88"/>
      <c r="R1476" s="88"/>
      <c r="S1476" s="88"/>
      <c r="T1476" s="88"/>
      <c r="U1476" s="88"/>
      <c r="V1476" s="88"/>
      <c r="W1476" s="88"/>
      <c r="X1476" s="88"/>
      <c r="Y1476" s="88"/>
      <c r="Z1476" s="88"/>
    </row>
    <row r="1477" ht="17.25" customHeight="1">
      <c r="A1477" s="88"/>
      <c r="B1477" s="88"/>
      <c r="C1477" s="88"/>
      <c r="D1477" s="88"/>
      <c r="E1477" s="88"/>
      <c r="F1477" s="89"/>
      <c r="G1477" s="89"/>
      <c r="H1477" s="89"/>
      <c r="I1477" s="88"/>
      <c r="J1477" s="88"/>
      <c r="K1477" s="88"/>
      <c r="L1477" s="88"/>
      <c r="M1477" s="88"/>
      <c r="N1477" s="88"/>
      <c r="O1477" s="88"/>
      <c r="P1477" s="88"/>
      <c r="Q1477" s="88"/>
      <c r="R1477" s="88"/>
      <c r="S1477" s="88"/>
      <c r="T1477" s="88"/>
      <c r="U1477" s="88"/>
      <c r="V1477" s="88"/>
      <c r="W1477" s="88"/>
      <c r="X1477" s="88"/>
      <c r="Y1477" s="88"/>
      <c r="Z1477" s="88"/>
    </row>
    <row r="1478" ht="17.25" customHeight="1">
      <c r="A1478" s="88"/>
      <c r="B1478" s="88"/>
      <c r="C1478" s="88"/>
      <c r="D1478" s="88"/>
      <c r="E1478" s="88"/>
      <c r="F1478" s="89"/>
      <c r="G1478" s="89"/>
      <c r="H1478" s="89"/>
      <c r="I1478" s="88"/>
      <c r="J1478" s="88"/>
      <c r="K1478" s="88"/>
      <c r="L1478" s="88"/>
      <c r="M1478" s="88"/>
      <c r="N1478" s="88"/>
      <c r="O1478" s="88"/>
      <c r="P1478" s="88"/>
      <c r="Q1478" s="88"/>
      <c r="R1478" s="88"/>
      <c r="S1478" s="88"/>
      <c r="T1478" s="88"/>
      <c r="U1478" s="88"/>
      <c r="V1478" s="88"/>
      <c r="W1478" s="88"/>
      <c r="X1478" s="88"/>
      <c r="Y1478" s="88"/>
      <c r="Z1478" s="88"/>
    </row>
    <row r="1479" ht="17.25" customHeight="1">
      <c r="A1479" s="88"/>
      <c r="B1479" s="88"/>
      <c r="C1479" s="88"/>
      <c r="D1479" s="88"/>
      <c r="E1479" s="88"/>
      <c r="F1479" s="89"/>
      <c r="G1479" s="89"/>
      <c r="H1479" s="89"/>
      <c r="I1479" s="88"/>
      <c r="J1479" s="88"/>
      <c r="K1479" s="88"/>
      <c r="L1479" s="88"/>
      <c r="M1479" s="88"/>
      <c r="N1479" s="88"/>
      <c r="O1479" s="88"/>
      <c r="P1479" s="88"/>
      <c r="Q1479" s="88"/>
      <c r="R1479" s="88"/>
      <c r="S1479" s="88"/>
      <c r="T1479" s="88"/>
      <c r="U1479" s="88"/>
      <c r="V1479" s="88"/>
      <c r="W1479" s="88"/>
      <c r="X1479" s="88"/>
      <c r="Y1479" s="88"/>
      <c r="Z1479" s="88"/>
    </row>
    <row r="1480" ht="17.25" customHeight="1">
      <c r="A1480" s="88"/>
      <c r="B1480" s="88"/>
      <c r="C1480" s="88"/>
      <c r="D1480" s="88"/>
      <c r="E1480" s="88"/>
      <c r="F1480" s="89"/>
      <c r="G1480" s="89"/>
      <c r="H1480" s="89"/>
      <c r="I1480" s="88"/>
      <c r="J1480" s="88"/>
      <c r="K1480" s="88"/>
      <c r="L1480" s="88"/>
      <c r="M1480" s="88"/>
      <c r="N1480" s="88"/>
      <c r="O1480" s="88"/>
      <c r="P1480" s="88"/>
      <c r="Q1480" s="88"/>
      <c r="R1480" s="88"/>
      <c r="S1480" s="88"/>
      <c r="T1480" s="88"/>
      <c r="U1480" s="88"/>
      <c r="V1480" s="88"/>
      <c r="W1480" s="88"/>
      <c r="X1480" s="88"/>
      <c r="Y1480" s="88"/>
      <c r="Z1480" s="88"/>
    </row>
    <row r="1481" ht="17.25" customHeight="1">
      <c r="A1481" s="88"/>
      <c r="B1481" s="88"/>
      <c r="C1481" s="88"/>
      <c r="D1481" s="88"/>
      <c r="E1481" s="88"/>
      <c r="F1481" s="89"/>
      <c r="G1481" s="89"/>
      <c r="H1481" s="89"/>
      <c r="I1481" s="88"/>
      <c r="J1481" s="88"/>
      <c r="K1481" s="88"/>
      <c r="L1481" s="88"/>
      <c r="M1481" s="88"/>
      <c r="N1481" s="88"/>
      <c r="O1481" s="88"/>
      <c r="P1481" s="88"/>
      <c r="Q1481" s="88"/>
      <c r="R1481" s="88"/>
      <c r="S1481" s="88"/>
      <c r="T1481" s="88"/>
      <c r="U1481" s="88"/>
      <c r="V1481" s="88"/>
      <c r="W1481" s="88"/>
      <c r="X1481" s="88"/>
      <c r="Y1481" s="88"/>
      <c r="Z1481" s="88"/>
    </row>
    <row r="1482" ht="17.25" customHeight="1">
      <c r="A1482" s="88"/>
      <c r="B1482" s="88"/>
      <c r="C1482" s="88"/>
      <c r="D1482" s="88"/>
      <c r="E1482" s="88"/>
      <c r="F1482" s="89"/>
      <c r="G1482" s="89"/>
      <c r="H1482" s="89"/>
      <c r="I1482" s="88"/>
      <c r="J1482" s="88"/>
      <c r="K1482" s="88"/>
      <c r="L1482" s="88"/>
      <c r="M1482" s="88"/>
      <c r="N1482" s="88"/>
      <c r="O1482" s="88"/>
      <c r="P1482" s="88"/>
      <c r="Q1482" s="88"/>
      <c r="R1482" s="88"/>
      <c r="S1482" s="88"/>
      <c r="T1482" s="88"/>
      <c r="U1482" s="88"/>
      <c r="V1482" s="88"/>
      <c r="W1482" s="88"/>
      <c r="X1482" s="88"/>
      <c r="Y1482" s="88"/>
      <c r="Z1482" s="88"/>
    </row>
    <row r="1483" ht="17.25" customHeight="1">
      <c r="A1483" s="88"/>
      <c r="B1483" s="88"/>
      <c r="C1483" s="88"/>
      <c r="D1483" s="88"/>
      <c r="E1483" s="88"/>
      <c r="F1483" s="89"/>
      <c r="G1483" s="89"/>
      <c r="H1483" s="89"/>
      <c r="I1483" s="88"/>
      <c r="J1483" s="88"/>
      <c r="K1483" s="88"/>
      <c r="L1483" s="88"/>
      <c r="M1483" s="88"/>
      <c r="N1483" s="88"/>
      <c r="O1483" s="88"/>
      <c r="P1483" s="88"/>
      <c r="Q1483" s="88"/>
      <c r="R1483" s="88"/>
      <c r="S1483" s="88"/>
      <c r="T1483" s="88"/>
      <c r="U1483" s="88"/>
      <c r="V1483" s="88"/>
      <c r="W1483" s="88"/>
      <c r="X1483" s="88"/>
      <c r="Y1483" s="88"/>
      <c r="Z1483" s="88"/>
    </row>
    <row r="1484" ht="17.25" customHeight="1">
      <c r="A1484" s="88"/>
      <c r="B1484" s="88"/>
      <c r="C1484" s="88"/>
      <c r="D1484" s="88"/>
      <c r="E1484" s="88"/>
      <c r="F1484" s="89"/>
      <c r="G1484" s="89"/>
      <c r="H1484" s="89"/>
      <c r="I1484" s="88"/>
      <c r="J1484" s="88"/>
      <c r="K1484" s="88"/>
      <c r="L1484" s="88"/>
      <c r="M1484" s="88"/>
      <c r="N1484" s="88"/>
      <c r="O1484" s="88"/>
      <c r="P1484" s="88"/>
      <c r="Q1484" s="88"/>
      <c r="R1484" s="88"/>
      <c r="S1484" s="88"/>
      <c r="T1484" s="88"/>
      <c r="U1484" s="88"/>
      <c r="V1484" s="88"/>
      <c r="W1484" s="88"/>
      <c r="X1484" s="88"/>
      <c r="Y1484" s="88"/>
      <c r="Z1484" s="88"/>
    </row>
    <row r="1485" ht="17.25" customHeight="1">
      <c r="A1485" s="88"/>
      <c r="B1485" s="88"/>
      <c r="C1485" s="88"/>
      <c r="D1485" s="88"/>
      <c r="E1485" s="88"/>
      <c r="F1485" s="89"/>
      <c r="G1485" s="89"/>
      <c r="H1485" s="89"/>
      <c r="I1485" s="88"/>
      <c r="J1485" s="88"/>
      <c r="K1485" s="88"/>
      <c r="L1485" s="88"/>
      <c r="M1485" s="88"/>
      <c r="N1485" s="88"/>
      <c r="O1485" s="88"/>
      <c r="P1485" s="88"/>
      <c r="Q1485" s="88"/>
      <c r="R1485" s="88"/>
      <c r="S1485" s="88"/>
      <c r="T1485" s="88"/>
      <c r="U1485" s="88"/>
      <c r="V1485" s="88"/>
      <c r="W1485" s="88"/>
      <c r="X1485" s="88"/>
      <c r="Y1485" s="88"/>
      <c r="Z1485" s="88"/>
    </row>
    <row r="1486" ht="17.25" customHeight="1">
      <c r="A1486" s="88"/>
      <c r="B1486" s="88"/>
      <c r="C1486" s="88"/>
      <c r="D1486" s="88"/>
      <c r="E1486" s="88"/>
      <c r="F1486" s="89"/>
      <c r="G1486" s="89"/>
      <c r="H1486" s="89"/>
      <c r="I1486" s="88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U1486" s="88"/>
      <c r="V1486" s="88"/>
      <c r="W1486" s="88"/>
      <c r="X1486" s="88"/>
      <c r="Y1486" s="88"/>
      <c r="Z1486" s="88"/>
    </row>
    <row r="1487" ht="17.25" customHeight="1">
      <c r="A1487" s="88"/>
      <c r="B1487" s="88"/>
      <c r="C1487" s="88"/>
      <c r="D1487" s="88"/>
      <c r="E1487" s="88"/>
      <c r="F1487" s="89"/>
      <c r="G1487" s="89"/>
      <c r="H1487" s="89"/>
      <c r="I1487" s="88"/>
      <c r="J1487" s="88"/>
      <c r="K1487" s="88"/>
      <c r="L1487" s="88"/>
      <c r="M1487" s="88"/>
      <c r="N1487" s="88"/>
      <c r="O1487" s="88"/>
      <c r="P1487" s="88"/>
      <c r="Q1487" s="88"/>
      <c r="R1487" s="88"/>
      <c r="S1487" s="88"/>
      <c r="T1487" s="88"/>
      <c r="U1487" s="88"/>
      <c r="V1487" s="88"/>
      <c r="W1487" s="88"/>
      <c r="X1487" s="88"/>
      <c r="Y1487" s="88"/>
      <c r="Z1487" s="88"/>
    </row>
    <row r="1488" ht="17.25" customHeight="1">
      <c r="A1488" s="88"/>
      <c r="B1488" s="88"/>
      <c r="C1488" s="88"/>
      <c r="D1488" s="88"/>
      <c r="E1488" s="88"/>
      <c r="F1488" s="89"/>
      <c r="G1488" s="89"/>
      <c r="H1488" s="89"/>
      <c r="I1488" s="88"/>
      <c r="J1488" s="88"/>
      <c r="K1488" s="88"/>
      <c r="L1488" s="88"/>
      <c r="M1488" s="88"/>
      <c r="N1488" s="88"/>
      <c r="O1488" s="88"/>
      <c r="P1488" s="88"/>
      <c r="Q1488" s="88"/>
      <c r="R1488" s="88"/>
      <c r="S1488" s="88"/>
      <c r="T1488" s="88"/>
      <c r="U1488" s="88"/>
      <c r="V1488" s="88"/>
      <c r="W1488" s="88"/>
      <c r="X1488" s="88"/>
      <c r="Y1488" s="88"/>
      <c r="Z1488" s="88"/>
    </row>
    <row r="1489" ht="17.25" customHeight="1">
      <c r="A1489" s="88"/>
      <c r="B1489" s="88"/>
      <c r="C1489" s="88"/>
      <c r="D1489" s="88"/>
      <c r="E1489" s="88"/>
      <c r="F1489" s="89"/>
      <c r="G1489" s="89"/>
      <c r="H1489" s="89"/>
      <c r="I1489" s="88"/>
      <c r="J1489" s="88"/>
      <c r="K1489" s="88"/>
      <c r="L1489" s="88"/>
      <c r="M1489" s="88"/>
      <c r="N1489" s="88"/>
      <c r="O1489" s="88"/>
      <c r="P1489" s="88"/>
      <c r="Q1489" s="88"/>
      <c r="R1489" s="88"/>
      <c r="S1489" s="88"/>
      <c r="T1489" s="88"/>
      <c r="U1489" s="88"/>
      <c r="V1489" s="88"/>
      <c r="W1489" s="88"/>
      <c r="X1489" s="88"/>
      <c r="Y1489" s="88"/>
      <c r="Z1489" s="88"/>
    </row>
    <row r="1490" ht="17.25" customHeight="1">
      <c r="A1490" s="88"/>
      <c r="B1490" s="88"/>
      <c r="C1490" s="88"/>
      <c r="D1490" s="88"/>
      <c r="E1490" s="88"/>
      <c r="F1490" s="89"/>
      <c r="G1490" s="89"/>
      <c r="H1490" s="89"/>
      <c r="I1490" s="88"/>
      <c r="J1490" s="88"/>
      <c r="K1490" s="88"/>
      <c r="L1490" s="88"/>
      <c r="M1490" s="88"/>
      <c r="N1490" s="88"/>
      <c r="O1490" s="88"/>
      <c r="P1490" s="88"/>
      <c r="Q1490" s="88"/>
      <c r="R1490" s="88"/>
      <c r="S1490" s="88"/>
      <c r="T1490" s="88"/>
      <c r="U1490" s="88"/>
      <c r="V1490" s="88"/>
      <c r="W1490" s="88"/>
      <c r="X1490" s="88"/>
      <c r="Y1490" s="88"/>
      <c r="Z1490" s="88"/>
    </row>
    <row r="1491" ht="17.25" customHeight="1">
      <c r="A1491" s="88"/>
      <c r="B1491" s="88"/>
      <c r="C1491" s="88"/>
      <c r="D1491" s="88"/>
      <c r="E1491" s="88"/>
      <c r="F1491" s="89"/>
      <c r="G1491" s="89"/>
      <c r="H1491" s="89"/>
      <c r="I1491" s="88"/>
      <c r="J1491" s="88"/>
      <c r="K1491" s="88"/>
      <c r="L1491" s="88"/>
      <c r="M1491" s="88"/>
      <c r="N1491" s="88"/>
      <c r="O1491" s="88"/>
      <c r="P1491" s="88"/>
      <c r="Q1491" s="88"/>
      <c r="R1491" s="88"/>
      <c r="S1491" s="88"/>
      <c r="T1491" s="88"/>
      <c r="U1491" s="88"/>
      <c r="V1491" s="88"/>
      <c r="W1491" s="88"/>
      <c r="X1491" s="88"/>
      <c r="Y1491" s="88"/>
      <c r="Z1491" s="88"/>
    </row>
    <row r="1492" ht="17.25" customHeight="1">
      <c r="A1492" s="88"/>
      <c r="B1492" s="88"/>
      <c r="C1492" s="88"/>
      <c r="D1492" s="88"/>
      <c r="E1492" s="88"/>
      <c r="F1492" s="89"/>
      <c r="G1492" s="89"/>
      <c r="H1492" s="89"/>
      <c r="I1492" s="88"/>
      <c r="J1492" s="88"/>
      <c r="K1492" s="88"/>
      <c r="L1492" s="88"/>
      <c r="M1492" s="88"/>
      <c r="N1492" s="88"/>
      <c r="O1492" s="88"/>
      <c r="P1492" s="88"/>
      <c r="Q1492" s="88"/>
      <c r="R1492" s="88"/>
      <c r="S1492" s="88"/>
      <c r="T1492" s="88"/>
      <c r="U1492" s="88"/>
      <c r="V1492" s="88"/>
      <c r="W1492" s="88"/>
      <c r="X1492" s="88"/>
      <c r="Y1492" s="88"/>
      <c r="Z1492" s="88"/>
    </row>
    <row r="1493" ht="17.25" customHeight="1">
      <c r="A1493" s="88"/>
      <c r="B1493" s="88"/>
      <c r="C1493" s="88"/>
      <c r="D1493" s="88"/>
      <c r="E1493" s="88"/>
      <c r="F1493" s="89"/>
      <c r="G1493" s="89"/>
      <c r="H1493" s="89"/>
      <c r="I1493" s="88"/>
      <c r="J1493" s="88"/>
      <c r="K1493" s="88"/>
      <c r="L1493" s="88"/>
      <c r="M1493" s="88"/>
      <c r="N1493" s="88"/>
      <c r="O1493" s="88"/>
      <c r="P1493" s="88"/>
      <c r="Q1493" s="88"/>
      <c r="R1493" s="88"/>
      <c r="S1493" s="88"/>
      <c r="T1493" s="88"/>
      <c r="U1493" s="88"/>
      <c r="V1493" s="88"/>
      <c r="W1493" s="88"/>
      <c r="X1493" s="88"/>
      <c r="Y1493" s="88"/>
      <c r="Z1493" s="88"/>
    </row>
    <row r="1494" ht="17.25" customHeight="1">
      <c r="A1494" s="88"/>
      <c r="B1494" s="88"/>
      <c r="C1494" s="88"/>
      <c r="D1494" s="88"/>
      <c r="E1494" s="88"/>
      <c r="F1494" s="89"/>
      <c r="G1494" s="89"/>
      <c r="H1494" s="89"/>
      <c r="I1494" s="88"/>
      <c r="J1494" s="88"/>
      <c r="K1494" s="88"/>
      <c r="L1494" s="88"/>
      <c r="M1494" s="88"/>
      <c r="N1494" s="88"/>
      <c r="O1494" s="88"/>
      <c r="P1494" s="88"/>
      <c r="Q1494" s="88"/>
      <c r="R1494" s="88"/>
      <c r="S1494" s="88"/>
      <c r="T1494" s="88"/>
      <c r="U1494" s="88"/>
      <c r="V1494" s="88"/>
      <c r="W1494" s="88"/>
      <c r="X1494" s="88"/>
      <c r="Y1494" s="88"/>
      <c r="Z1494" s="88"/>
    </row>
    <row r="1495" ht="17.25" customHeight="1">
      <c r="A1495" s="88"/>
      <c r="B1495" s="88"/>
      <c r="C1495" s="88"/>
      <c r="D1495" s="88"/>
      <c r="E1495" s="88"/>
      <c r="F1495" s="89"/>
      <c r="G1495" s="89"/>
      <c r="H1495" s="89"/>
      <c r="I1495" s="88"/>
      <c r="J1495" s="88"/>
      <c r="K1495" s="88"/>
      <c r="L1495" s="88"/>
      <c r="M1495" s="88"/>
      <c r="N1495" s="88"/>
      <c r="O1495" s="88"/>
      <c r="P1495" s="88"/>
      <c r="Q1495" s="88"/>
      <c r="R1495" s="88"/>
      <c r="S1495" s="88"/>
      <c r="T1495" s="88"/>
      <c r="U1495" s="88"/>
      <c r="V1495" s="88"/>
      <c r="W1495" s="88"/>
      <c r="X1495" s="88"/>
      <c r="Y1495" s="88"/>
      <c r="Z1495" s="88"/>
    </row>
    <row r="1496" ht="17.25" customHeight="1">
      <c r="A1496" s="88"/>
      <c r="B1496" s="88"/>
      <c r="C1496" s="88"/>
      <c r="D1496" s="88"/>
      <c r="E1496" s="88"/>
      <c r="F1496" s="89"/>
      <c r="G1496" s="89"/>
      <c r="H1496" s="89"/>
      <c r="I1496" s="88"/>
      <c r="J1496" s="88"/>
      <c r="K1496" s="88"/>
      <c r="L1496" s="88"/>
      <c r="M1496" s="88"/>
      <c r="N1496" s="88"/>
      <c r="O1496" s="88"/>
      <c r="P1496" s="88"/>
      <c r="Q1496" s="88"/>
      <c r="R1496" s="88"/>
      <c r="S1496" s="88"/>
      <c r="T1496" s="88"/>
      <c r="U1496" s="88"/>
      <c r="V1496" s="88"/>
      <c r="W1496" s="88"/>
      <c r="X1496" s="88"/>
      <c r="Y1496" s="88"/>
      <c r="Z1496" s="88"/>
    </row>
    <row r="1497" ht="17.25" customHeight="1">
      <c r="A1497" s="88"/>
      <c r="B1497" s="88"/>
      <c r="C1497" s="88"/>
      <c r="D1497" s="88"/>
      <c r="E1497" s="88"/>
      <c r="F1497" s="89"/>
      <c r="G1497" s="89"/>
      <c r="H1497" s="89"/>
      <c r="I1497" s="88"/>
      <c r="J1497" s="88"/>
      <c r="K1497" s="88"/>
      <c r="L1497" s="88"/>
      <c r="M1497" s="88"/>
      <c r="N1497" s="88"/>
      <c r="O1497" s="88"/>
      <c r="P1497" s="88"/>
      <c r="Q1497" s="88"/>
      <c r="R1497" s="88"/>
      <c r="S1497" s="88"/>
      <c r="T1497" s="88"/>
      <c r="U1497" s="88"/>
      <c r="V1497" s="88"/>
      <c r="W1497" s="88"/>
      <c r="X1497" s="88"/>
      <c r="Y1497" s="88"/>
      <c r="Z1497" s="88"/>
    </row>
    <row r="1498" ht="17.25" customHeight="1">
      <c r="A1498" s="88"/>
      <c r="B1498" s="88"/>
      <c r="C1498" s="88"/>
      <c r="D1498" s="88"/>
      <c r="E1498" s="88"/>
      <c r="F1498" s="89"/>
      <c r="G1498" s="89"/>
      <c r="H1498" s="89"/>
      <c r="I1498" s="88"/>
      <c r="J1498" s="88"/>
      <c r="K1498" s="88"/>
      <c r="L1498" s="88"/>
      <c r="M1498" s="88"/>
      <c r="N1498" s="88"/>
      <c r="O1498" s="88"/>
      <c r="P1498" s="88"/>
      <c r="Q1498" s="88"/>
      <c r="R1498" s="88"/>
      <c r="S1498" s="88"/>
      <c r="T1498" s="88"/>
      <c r="U1498" s="88"/>
      <c r="V1498" s="88"/>
      <c r="W1498" s="88"/>
      <c r="X1498" s="88"/>
      <c r="Y1498" s="88"/>
      <c r="Z1498" s="88"/>
    </row>
    <row r="1499" ht="17.25" customHeight="1">
      <c r="A1499" s="88"/>
      <c r="B1499" s="88"/>
      <c r="C1499" s="88"/>
      <c r="D1499" s="88"/>
      <c r="E1499" s="88"/>
      <c r="F1499" s="89"/>
      <c r="G1499" s="89"/>
      <c r="H1499" s="89"/>
      <c r="I1499" s="88"/>
      <c r="J1499" s="88"/>
      <c r="K1499" s="88"/>
      <c r="L1499" s="88"/>
      <c r="M1499" s="88"/>
      <c r="N1499" s="88"/>
      <c r="O1499" s="88"/>
      <c r="P1499" s="88"/>
      <c r="Q1499" s="88"/>
      <c r="R1499" s="88"/>
      <c r="S1499" s="88"/>
      <c r="T1499" s="88"/>
      <c r="U1499" s="88"/>
      <c r="V1499" s="88"/>
      <c r="W1499" s="88"/>
      <c r="X1499" s="88"/>
      <c r="Y1499" s="88"/>
      <c r="Z1499" s="88"/>
    </row>
    <row r="1500" ht="17.25" customHeight="1">
      <c r="A1500" s="88"/>
      <c r="B1500" s="88"/>
      <c r="C1500" s="88"/>
      <c r="D1500" s="88"/>
      <c r="E1500" s="88"/>
      <c r="F1500" s="89"/>
      <c r="G1500" s="89"/>
      <c r="H1500" s="89"/>
      <c r="I1500" s="88"/>
      <c r="J1500" s="88"/>
      <c r="K1500" s="88"/>
      <c r="L1500" s="88"/>
      <c r="M1500" s="88"/>
      <c r="N1500" s="88"/>
      <c r="O1500" s="88"/>
      <c r="P1500" s="88"/>
      <c r="Q1500" s="88"/>
      <c r="R1500" s="88"/>
      <c r="S1500" s="88"/>
      <c r="T1500" s="88"/>
      <c r="U1500" s="88"/>
      <c r="V1500" s="88"/>
      <c r="W1500" s="88"/>
      <c r="X1500" s="88"/>
      <c r="Y1500" s="88"/>
      <c r="Z1500" s="88"/>
    </row>
    <row r="1501" ht="17.25" customHeight="1">
      <c r="A1501" s="88"/>
      <c r="B1501" s="88"/>
      <c r="C1501" s="88"/>
      <c r="D1501" s="88"/>
      <c r="E1501" s="88"/>
      <c r="F1501" s="89"/>
      <c r="G1501" s="89"/>
      <c r="H1501" s="89"/>
      <c r="I1501" s="88"/>
      <c r="J1501" s="88"/>
      <c r="K1501" s="88"/>
      <c r="L1501" s="88"/>
      <c r="M1501" s="88"/>
      <c r="N1501" s="88"/>
      <c r="O1501" s="88"/>
      <c r="P1501" s="88"/>
      <c r="Q1501" s="88"/>
      <c r="R1501" s="88"/>
      <c r="S1501" s="88"/>
      <c r="T1501" s="88"/>
      <c r="U1501" s="88"/>
      <c r="V1501" s="88"/>
      <c r="W1501" s="88"/>
      <c r="X1501" s="88"/>
      <c r="Y1501" s="88"/>
      <c r="Z1501" s="88"/>
    </row>
    <row r="1502" ht="17.25" customHeight="1">
      <c r="A1502" s="88"/>
      <c r="B1502" s="88"/>
      <c r="C1502" s="88"/>
      <c r="D1502" s="88"/>
      <c r="E1502" s="88"/>
      <c r="F1502" s="89"/>
      <c r="G1502" s="89"/>
      <c r="H1502" s="89"/>
      <c r="I1502" s="88"/>
      <c r="J1502" s="88"/>
      <c r="K1502" s="88"/>
      <c r="L1502" s="88"/>
      <c r="M1502" s="88"/>
      <c r="N1502" s="88"/>
      <c r="O1502" s="88"/>
      <c r="P1502" s="88"/>
      <c r="Q1502" s="88"/>
      <c r="R1502" s="88"/>
      <c r="S1502" s="88"/>
      <c r="T1502" s="88"/>
      <c r="U1502" s="88"/>
      <c r="V1502" s="88"/>
      <c r="W1502" s="88"/>
      <c r="X1502" s="88"/>
      <c r="Y1502" s="88"/>
      <c r="Z1502" s="88"/>
    </row>
    <row r="1503" ht="17.25" customHeight="1">
      <c r="A1503" s="88"/>
      <c r="B1503" s="88"/>
      <c r="C1503" s="88"/>
      <c r="D1503" s="88"/>
      <c r="E1503" s="88"/>
      <c r="F1503" s="89"/>
      <c r="G1503" s="89"/>
      <c r="H1503" s="89"/>
      <c r="I1503" s="88"/>
      <c r="J1503" s="88"/>
      <c r="K1503" s="88"/>
      <c r="L1503" s="88"/>
      <c r="M1503" s="88"/>
      <c r="N1503" s="88"/>
      <c r="O1503" s="88"/>
      <c r="P1503" s="88"/>
      <c r="Q1503" s="88"/>
      <c r="R1503" s="88"/>
      <c r="S1503" s="88"/>
      <c r="T1503" s="88"/>
      <c r="U1503" s="88"/>
      <c r="V1503" s="88"/>
      <c r="W1503" s="88"/>
      <c r="X1503" s="88"/>
      <c r="Y1503" s="88"/>
      <c r="Z1503" s="88"/>
    </row>
    <row r="1504" ht="17.25" customHeight="1">
      <c r="A1504" s="88"/>
      <c r="B1504" s="88"/>
      <c r="C1504" s="88"/>
      <c r="D1504" s="88"/>
      <c r="E1504" s="88"/>
      <c r="F1504" s="89"/>
      <c r="G1504" s="89"/>
      <c r="H1504" s="89"/>
      <c r="I1504" s="88"/>
      <c r="J1504" s="88"/>
      <c r="K1504" s="88"/>
      <c r="L1504" s="88"/>
      <c r="M1504" s="88"/>
      <c r="N1504" s="88"/>
      <c r="O1504" s="88"/>
      <c r="P1504" s="88"/>
      <c r="Q1504" s="88"/>
      <c r="R1504" s="88"/>
      <c r="S1504" s="88"/>
      <c r="T1504" s="88"/>
      <c r="U1504" s="88"/>
      <c r="V1504" s="88"/>
      <c r="W1504" s="88"/>
      <c r="X1504" s="88"/>
      <c r="Y1504" s="88"/>
      <c r="Z1504" s="88"/>
    </row>
    <row r="1505" ht="17.25" customHeight="1">
      <c r="A1505" s="88"/>
      <c r="B1505" s="88"/>
      <c r="C1505" s="88"/>
      <c r="D1505" s="88"/>
      <c r="E1505" s="88"/>
      <c r="F1505" s="89"/>
      <c r="G1505" s="89"/>
      <c r="H1505" s="89"/>
      <c r="I1505" s="88"/>
      <c r="J1505" s="88"/>
      <c r="K1505" s="88"/>
      <c r="L1505" s="88"/>
      <c r="M1505" s="88"/>
      <c r="N1505" s="88"/>
      <c r="O1505" s="88"/>
      <c r="P1505" s="88"/>
      <c r="Q1505" s="88"/>
      <c r="R1505" s="88"/>
      <c r="S1505" s="88"/>
      <c r="T1505" s="88"/>
      <c r="U1505" s="88"/>
      <c r="V1505" s="88"/>
      <c r="W1505" s="88"/>
      <c r="X1505" s="88"/>
      <c r="Y1505" s="88"/>
      <c r="Z1505" s="88"/>
    </row>
    <row r="1506" ht="17.25" customHeight="1">
      <c r="A1506" s="88"/>
      <c r="B1506" s="88"/>
      <c r="C1506" s="88"/>
      <c r="D1506" s="88"/>
      <c r="E1506" s="88"/>
      <c r="F1506" s="89"/>
      <c r="G1506" s="89"/>
      <c r="H1506" s="89"/>
      <c r="I1506" s="88"/>
      <c r="J1506" s="88"/>
      <c r="K1506" s="88"/>
      <c r="L1506" s="88"/>
      <c r="M1506" s="88"/>
      <c r="N1506" s="88"/>
      <c r="O1506" s="88"/>
      <c r="P1506" s="88"/>
      <c r="Q1506" s="88"/>
      <c r="R1506" s="88"/>
      <c r="S1506" s="88"/>
      <c r="T1506" s="88"/>
      <c r="U1506" s="88"/>
      <c r="V1506" s="88"/>
      <c r="W1506" s="88"/>
      <c r="X1506" s="88"/>
      <c r="Y1506" s="88"/>
      <c r="Z1506" s="88"/>
    </row>
    <row r="1507" ht="17.25" customHeight="1">
      <c r="A1507" s="88"/>
      <c r="B1507" s="88"/>
      <c r="C1507" s="88"/>
      <c r="D1507" s="88"/>
      <c r="E1507" s="88"/>
      <c r="F1507" s="89"/>
      <c r="G1507" s="89"/>
      <c r="H1507" s="89"/>
      <c r="I1507" s="88"/>
      <c r="J1507" s="88"/>
      <c r="K1507" s="88"/>
      <c r="L1507" s="88"/>
      <c r="M1507" s="88"/>
      <c r="N1507" s="88"/>
      <c r="O1507" s="88"/>
      <c r="P1507" s="88"/>
      <c r="Q1507" s="88"/>
      <c r="R1507" s="88"/>
      <c r="S1507" s="88"/>
      <c r="T1507" s="88"/>
      <c r="U1507" s="88"/>
      <c r="V1507" s="88"/>
      <c r="W1507" s="88"/>
      <c r="X1507" s="88"/>
      <c r="Y1507" s="88"/>
      <c r="Z1507" s="88"/>
    </row>
    <row r="1508" ht="17.25" customHeight="1">
      <c r="A1508" s="88"/>
      <c r="B1508" s="88"/>
      <c r="C1508" s="88"/>
      <c r="D1508" s="88"/>
      <c r="E1508" s="88"/>
      <c r="F1508" s="89"/>
      <c r="G1508" s="89"/>
      <c r="H1508" s="89"/>
      <c r="I1508" s="88"/>
      <c r="J1508" s="88"/>
      <c r="K1508" s="88"/>
      <c r="L1508" s="88"/>
      <c r="M1508" s="88"/>
      <c r="N1508" s="88"/>
      <c r="O1508" s="88"/>
      <c r="P1508" s="88"/>
      <c r="Q1508" s="88"/>
      <c r="R1508" s="88"/>
      <c r="S1508" s="88"/>
      <c r="T1508" s="88"/>
      <c r="U1508" s="88"/>
      <c r="V1508" s="88"/>
      <c r="W1508" s="88"/>
      <c r="X1508" s="88"/>
      <c r="Y1508" s="88"/>
      <c r="Z1508" s="88"/>
    </row>
    <row r="1509" ht="17.25" customHeight="1">
      <c r="A1509" s="88"/>
      <c r="B1509" s="88"/>
      <c r="C1509" s="88"/>
      <c r="D1509" s="88"/>
      <c r="E1509" s="88"/>
      <c r="F1509" s="89"/>
      <c r="G1509" s="89"/>
      <c r="H1509" s="89"/>
      <c r="I1509" s="88"/>
      <c r="J1509" s="88"/>
      <c r="K1509" s="88"/>
      <c r="L1509" s="88"/>
      <c r="M1509" s="88"/>
      <c r="N1509" s="88"/>
      <c r="O1509" s="88"/>
      <c r="P1509" s="88"/>
      <c r="Q1509" s="88"/>
      <c r="R1509" s="88"/>
      <c r="S1509" s="88"/>
      <c r="T1509" s="88"/>
      <c r="U1509" s="88"/>
      <c r="V1509" s="88"/>
      <c r="W1509" s="88"/>
      <c r="X1509" s="88"/>
      <c r="Y1509" s="88"/>
      <c r="Z1509" s="88"/>
    </row>
    <row r="1510" ht="17.25" customHeight="1">
      <c r="A1510" s="88"/>
      <c r="B1510" s="88"/>
      <c r="C1510" s="88"/>
      <c r="D1510" s="88"/>
      <c r="E1510" s="88"/>
      <c r="F1510" s="89"/>
      <c r="G1510" s="89"/>
      <c r="H1510" s="89"/>
      <c r="I1510" s="88"/>
      <c r="J1510" s="88"/>
      <c r="K1510" s="88"/>
      <c r="L1510" s="88"/>
      <c r="M1510" s="88"/>
      <c r="N1510" s="88"/>
      <c r="O1510" s="88"/>
      <c r="P1510" s="88"/>
      <c r="Q1510" s="88"/>
      <c r="R1510" s="88"/>
      <c r="S1510" s="88"/>
      <c r="T1510" s="88"/>
      <c r="U1510" s="88"/>
      <c r="V1510" s="88"/>
      <c r="W1510" s="88"/>
      <c r="X1510" s="88"/>
      <c r="Y1510" s="88"/>
      <c r="Z1510" s="88"/>
    </row>
    <row r="1511" ht="17.25" customHeight="1">
      <c r="A1511" s="88"/>
      <c r="B1511" s="88"/>
      <c r="C1511" s="88"/>
      <c r="D1511" s="88"/>
      <c r="E1511" s="88"/>
      <c r="F1511" s="89"/>
      <c r="G1511" s="89"/>
      <c r="H1511" s="89"/>
      <c r="I1511" s="88"/>
      <c r="J1511" s="88"/>
      <c r="K1511" s="88"/>
      <c r="L1511" s="88"/>
      <c r="M1511" s="88"/>
      <c r="N1511" s="88"/>
      <c r="O1511" s="88"/>
      <c r="P1511" s="88"/>
      <c r="Q1511" s="88"/>
      <c r="R1511" s="88"/>
      <c r="S1511" s="88"/>
      <c r="T1511" s="88"/>
      <c r="U1511" s="88"/>
      <c r="V1511" s="88"/>
      <c r="W1511" s="88"/>
      <c r="X1511" s="88"/>
      <c r="Y1511" s="88"/>
      <c r="Z1511" s="88"/>
    </row>
    <row r="1512" ht="17.25" customHeight="1">
      <c r="A1512" s="88"/>
      <c r="B1512" s="88"/>
      <c r="C1512" s="88"/>
      <c r="D1512" s="88"/>
      <c r="E1512" s="88"/>
      <c r="F1512" s="89"/>
      <c r="G1512" s="89"/>
      <c r="H1512" s="89"/>
      <c r="I1512" s="88"/>
      <c r="J1512" s="88"/>
      <c r="K1512" s="88"/>
      <c r="L1512" s="88"/>
      <c r="M1512" s="88"/>
      <c r="N1512" s="88"/>
      <c r="O1512" s="88"/>
      <c r="P1512" s="88"/>
      <c r="Q1512" s="88"/>
      <c r="R1512" s="88"/>
      <c r="S1512" s="88"/>
      <c r="T1512" s="88"/>
      <c r="U1512" s="88"/>
      <c r="V1512" s="88"/>
      <c r="W1512" s="88"/>
      <c r="X1512" s="88"/>
      <c r="Y1512" s="88"/>
      <c r="Z1512" s="88"/>
    </row>
    <row r="1513" ht="17.25" customHeight="1">
      <c r="A1513" s="88"/>
      <c r="B1513" s="88"/>
      <c r="C1513" s="88"/>
      <c r="D1513" s="88"/>
      <c r="E1513" s="88"/>
      <c r="F1513" s="89"/>
      <c r="G1513" s="89"/>
      <c r="H1513" s="89"/>
      <c r="I1513" s="88"/>
      <c r="J1513" s="88"/>
      <c r="K1513" s="88"/>
      <c r="L1513" s="88"/>
      <c r="M1513" s="88"/>
      <c r="N1513" s="88"/>
      <c r="O1513" s="88"/>
      <c r="P1513" s="88"/>
      <c r="Q1513" s="88"/>
      <c r="R1513" s="88"/>
      <c r="S1513" s="88"/>
      <c r="T1513" s="88"/>
      <c r="U1513" s="88"/>
      <c r="V1513" s="88"/>
      <c r="W1513" s="88"/>
      <c r="X1513" s="88"/>
      <c r="Y1513" s="88"/>
      <c r="Z1513" s="88"/>
    </row>
    <row r="1514" ht="17.25" customHeight="1">
      <c r="A1514" s="88"/>
      <c r="B1514" s="88"/>
      <c r="C1514" s="88"/>
      <c r="D1514" s="88"/>
      <c r="E1514" s="88"/>
      <c r="F1514" s="89"/>
      <c r="G1514" s="89"/>
      <c r="H1514" s="89"/>
      <c r="I1514" s="88"/>
      <c r="J1514" s="88"/>
      <c r="K1514" s="88"/>
      <c r="L1514" s="88"/>
      <c r="M1514" s="88"/>
      <c r="N1514" s="88"/>
      <c r="O1514" s="88"/>
      <c r="P1514" s="88"/>
      <c r="Q1514" s="88"/>
      <c r="R1514" s="88"/>
      <c r="S1514" s="88"/>
      <c r="T1514" s="88"/>
      <c r="U1514" s="88"/>
      <c r="V1514" s="88"/>
      <c r="W1514" s="88"/>
      <c r="X1514" s="88"/>
      <c r="Y1514" s="88"/>
      <c r="Z1514" s="88"/>
    </row>
    <row r="1515" ht="17.25" customHeight="1">
      <c r="A1515" s="88"/>
      <c r="B1515" s="88"/>
      <c r="C1515" s="88"/>
      <c r="D1515" s="88"/>
      <c r="E1515" s="88"/>
      <c r="F1515" s="89"/>
      <c r="G1515" s="89"/>
      <c r="H1515" s="89"/>
      <c r="I1515" s="88"/>
      <c r="J1515" s="88"/>
      <c r="K1515" s="88"/>
      <c r="L1515" s="88"/>
      <c r="M1515" s="88"/>
      <c r="N1515" s="88"/>
      <c r="O1515" s="88"/>
      <c r="P1515" s="88"/>
      <c r="Q1515" s="88"/>
      <c r="R1515" s="88"/>
      <c r="S1515" s="88"/>
      <c r="T1515" s="88"/>
      <c r="U1515" s="88"/>
      <c r="V1515" s="88"/>
      <c r="W1515" s="88"/>
      <c r="X1515" s="88"/>
      <c r="Y1515" s="88"/>
      <c r="Z1515" s="88"/>
    </row>
    <row r="1516" ht="17.25" customHeight="1">
      <c r="A1516" s="88"/>
      <c r="B1516" s="88"/>
      <c r="C1516" s="88"/>
      <c r="D1516" s="88"/>
      <c r="E1516" s="88"/>
      <c r="F1516" s="89"/>
      <c r="G1516" s="89"/>
      <c r="H1516" s="89"/>
      <c r="I1516" s="88"/>
      <c r="J1516" s="88"/>
      <c r="K1516" s="88"/>
      <c r="L1516" s="88"/>
      <c r="M1516" s="88"/>
      <c r="N1516" s="88"/>
      <c r="O1516" s="88"/>
      <c r="P1516" s="88"/>
      <c r="Q1516" s="88"/>
      <c r="R1516" s="88"/>
      <c r="S1516" s="88"/>
      <c r="T1516" s="88"/>
      <c r="U1516" s="88"/>
      <c r="V1516" s="88"/>
      <c r="W1516" s="88"/>
      <c r="X1516" s="88"/>
      <c r="Y1516" s="88"/>
      <c r="Z1516" s="88"/>
    </row>
    <row r="1517" ht="17.25" customHeight="1">
      <c r="A1517" s="88"/>
      <c r="B1517" s="88"/>
      <c r="C1517" s="88"/>
      <c r="D1517" s="88"/>
      <c r="E1517" s="88"/>
      <c r="F1517" s="89"/>
      <c r="G1517" s="89"/>
      <c r="H1517" s="89"/>
      <c r="I1517" s="88"/>
      <c r="J1517" s="88"/>
      <c r="K1517" s="88"/>
      <c r="L1517" s="88"/>
      <c r="M1517" s="88"/>
      <c r="N1517" s="88"/>
      <c r="O1517" s="88"/>
      <c r="P1517" s="88"/>
      <c r="Q1517" s="88"/>
      <c r="R1517" s="88"/>
      <c r="S1517" s="88"/>
      <c r="T1517" s="88"/>
      <c r="U1517" s="88"/>
      <c r="V1517" s="88"/>
      <c r="W1517" s="88"/>
      <c r="X1517" s="88"/>
      <c r="Y1517" s="88"/>
      <c r="Z1517" s="88"/>
    </row>
    <row r="1518" ht="17.25" customHeight="1">
      <c r="A1518" s="88"/>
      <c r="B1518" s="88"/>
      <c r="C1518" s="88"/>
      <c r="D1518" s="88"/>
      <c r="E1518" s="88"/>
      <c r="F1518" s="89"/>
      <c r="G1518" s="89"/>
      <c r="H1518" s="89"/>
      <c r="I1518" s="88"/>
      <c r="J1518" s="88"/>
      <c r="K1518" s="88"/>
      <c r="L1518" s="88"/>
      <c r="M1518" s="88"/>
      <c r="N1518" s="88"/>
      <c r="O1518" s="88"/>
      <c r="P1518" s="88"/>
      <c r="Q1518" s="88"/>
      <c r="R1518" s="88"/>
      <c r="S1518" s="88"/>
      <c r="T1518" s="88"/>
      <c r="U1518" s="88"/>
      <c r="V1518" s="88"/>
      <c r="W1518" s="88"/>
      <c r="X1518" s="88"/>
      <c r="Y1518" s="88"/>
      <c r="Z1518" s="88"/>
    </row>
    <row r="1519" ht="17.25" customHeight="1">
      <c r="A1519" s="88"/>
      <c r="B1519" s="88"/>
      <c r="C1519" s="88"/>
      <c r="D1519" s="88"/>
      <c r="E1519" s="88"/>
      <c r="F1519" s="89"/>
      <c r="G1519" s="89"/>
      <c r="H1519" s="89"/>
      <c r="I1519" s="88"/>
      <c r="J1519" s="88"/>
      <c r="K1519" s="88"/>
      <c r="L1519" s="88"/>
      <c r="M1519" s="88"/>
      <c r="N1519" s="88"/>
      <c r="O1519" s="88"/>
      <c r="P1519" s="88"/>
      <c r="Q1519" s="88"/>
      <c r="R1519" s="88"/>
      <c r="S1519" s="88"/>
      <c r="T1519" s="88"/>
      <c r="U1519" s="88"/>
      <c r="V1519" s="88"/>
      <c r="W1519" s="88"/>
      <c r="X1519" s="88"/>
      <c r="Y1519" s="88"/>
      <c r="Z1519" s="88"/>
    </row>
    <row r="1520" ht="17.25" customHeight="1">
      <c r="A1520" s="88"/>
      <c r="B1520" s="88"/>
      <c r="C1520" s="88"/>
      <c r="D1520" s="88"/>
      <c r="E1520" s="88"/>
      <c r="F1520" s="89"/>
      <c r="G1520" s="89"/>
      <c r="H1520" s="89"/>
      <c r="I1520" s="88"/>
      <c r="J1520" s="88"/>
      <c r="K1520" s="88"/>
      <c r="L1520" s="88"/>
      <c r="M1520" s="88"/>
      <c r="N1520" s="88"/>
      <c r="O1520" s="88"/>
      <c r="P1520" s="88"/>
      <c r="Q1520" s="88"/>
      <c r="R1520" s="88"/>
      <c r="S1520" s="88"/>
      <c r="T1520" s="88"/>
      <c r="U1520" s="88"/>
      <c r="V1520" s="88"/>
      <c r="W1520" s="88"/>
      <c r="X1520" s="88"/>
      <c r="Y1520" s="88"/>
      <c r="Z1520" s="88"/>
    </row>
    <row r="1521" ht="17.25" customHeight="1">
      <c r="A1521" s="88"/>
      <c r="B1521" s="88"/>
      <c r="C1521" s="88"/>
      <c r="D1521" s="88"/>
      <c r="E1521" s="88"/>
      <c r="F1521" s="89"/>
      <c r="G1521" s="89"/>
      <c r="H1521" s="89"/>
      <c r="I1521" s="88"/>
      <c r="J1521" s="88"/>
      <c r="K1521" s="88"/>
      <c r="L1521" s="88"/>
      <c r="M1521" s="88"/>
      <c r="N1521" s="88"/>
      <c r="O1521" s="88"/>
      <c r="P1521" s="88"/>
      <c r="Q1521" s="88"/>
      <c r="R1521" s="88"/>
      <c r="S1521" s="88"/>
      <c r="T1521" s="88"/>
      <c r="U1521" s="88"/>
      <c r="V1521" s="88"/>
      <c r="W1521" s="88"/>
      <c r="X1521" s="88"/>
      <c r="Y1521" s="88"/>
      <c r="Z1521" s="88"/>
    </row>
    <row r="1522" ht="17.25" customHeight="1">
      <c r="A1522" s="88"/>
      <c r="B1522" s="88"/>
      <c r="C1522" s="88"/>
      <c r="D1522" s="88"/>
      <c r="E1522" s="88"/>
      <c r="F1522" s="89"/>
      <c r="G1522" s="89"/>
      <c r="H1522" s="89"/>
      <c r="I1522" s="88"/>
      <c r="J1522" s="88"/>
      <c r="K1522" s="88"/>
      <c r="L1522" s="88"/>
      <c r="M1522" s="88"/>
      <c r="N1522" s="88"/>
      <c r="O1522" s="88"/>
      <c r="P1522" s="88"/>
      <c r="Q1522" s="88"/>
      <c r="R1522" s="88"/>
      <c r="S1522" s="88"/>
      <c r="T1522" s="88"/>
      <c r="U1522" s="88"/>
      <c r="V1522" s="88"/>
      <c r="W1522" s="88"/>
      <c r="X1522" s="88"/>
      <c r="Y1522" s="88"/>
      <c r="Z1522" s="88"/>
    </row>
    <row r="1523" ht="17.25" customHeight="1">
      <c r="A1523" s="88"/>
      <c r="B1523" s="88"/>
      <c r="C1523" s="88"/>
      <c r="D1523" s="88"/>
      <c r="E1523" s="88"/>
      <c r="F1523" s="89"/>
      <c r="G1523" s="89"/>
      <c r="H1523" s="89"/>
      <c r="I1523" s="88"/>
      <c r="J1523" s="88"/>
      <c r="K1523" s="88"/>
      <c r="L1523" s="88"/>
      <c r="M1523" s="88"/>
      <c r="N1523" s="88"/>
      <c r="O1523" s="88"/>
      <c r="P1523" s="88"/>
      <c r="Q1523" s="88"/>
      <c r="R1523" s="88"/>
      <c r="S1523" s="88"/>
      <c r="T1523" s="88"/>
      <c r="U1523" s="88"/>
      <c r="V1523" s="88"/>
      <c r="W1523" s="88"/>
      <c r="X1523" s="88"/>
      <c r="Y1523" s="88"/>
      <c r="Z1523" s="88"/>
    </row>
    <row r="1524" ht="17.25" customHeight="1">
      <c r="A1524" s="88"/>
      <c r="B1524" s="88"/>
      <c r="C1524" s="88"/>
      <c r="D1524" s="88"/>
      <c r="E1524" s="88"/>
      <c r="F1524" s="89"/>
      <c r="G1524" s="89"/>
      <c r="H1524" s="89"/>
      <c r="I1524" s="88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U1524" s="88"/>
      <c r="V1524" s="88"/>
      <c r="W1524" s="88"/>
      <c r="X1524" s="88"/>
      <c r="Y1524" s="88"/>
      <c r="Z1524" s="88"/>
    </row>
    <row r="1525" ht="17.25" customHeight="1">
      <c r="A1525" s="88"/>
      <c r="B1525" s="88"/>
      <c r="C1525" s="88"/>
      <c r="D1525" s="88"/>
      <c r="E1525" s="88"/>
      <c r="F1525" s="89"/>
      <c r="G1525" s="89"/>
      <c r="H1525" s="89"/>
      <c r="I1525" s="88"/>
      <c r="J1525" s="88"/>
      <c r="K1525" s="88"/>
      <c r="L1525" s="88"/>
      <c r="M1525" s="88"/>
      <c r="N1525" s="88"/>
      <c r="O1525" s="88"/>
      <c r="P1525" s="88"/>
      <c r="Q1525" s="88"/>
      <c r="R1525" s="88"/>
      <c r="S1525" s="88"/>
      <c r="T1525" s="88"/>
      <c r="U1525" s="88"/>
      <c r="V1525" s="88"/>
      <c r="W1525" s="88"/>
      <c r="X1525" s="88"/>
      <c r="Y1525" s="88"/>
      <c r="Z1525" s="88"/>
    </row>
    <row r="1526" ht="17.25" customHeight="1">
      <c r="A1526" s="88"/>
      <c r="B1526" s="88"/>
      <c r="C1526" s="88"/>
      <c r="D1526" s="88"/>
      <c r="E1526" s="88"/>
      <c r="F1526" s="89"/>
      <c r="G1526" s="89"/>
      <c r="H1526" s="89"/>
      <c r="I1526" s="88"/>
      <c r="J1526" s="88"/>
      <c r="K1526" s="88"/>
      <c r="L1526" s="88"/>
      <c r="M1526" s="88"/>
      <c r="N1526" s="88"/>
      <c r="O1526" s="88"/>
      <c r="P1526" s="88"/>
      <c r="Q1526" s="88"/>
      <c r="R1526" s="88"/>
      <c r="S1526" s="88"/>
      <c r="T1526" s="88"/>
      <c r="U1526" s="88"/>
      <c r="V1526" s="88"/>
      <c r="W1526" s="88"/>
      <c r="X1526" s="88"/>
      <c r="Y1526" s="88"/>
      <c r="Z1526" s="88"/>
    </row>
    <row r="1527" ht="17.25" customHeight="1">
      <c r="A1527" s="88"/>
      <c r="B1527" s="88"/>
      <c r="C1527" s="88"/>
      <c r="D1527" s="88"/>
      <c r="E1527" s="88"/>
      <c r="F1527" s="89"/>
      <c r="G1527" s="89"/>
      <c r="H1527" s="89"/>
      <c r="I1527" s="88"/>
      <c r="J1527" s="88"/>
      <c r="K1527" s="88"/>
      <c r="L1527" s="88"/>
      <c r="M1527" s="88"/>
      <c r="N1527" s="88"/>
      <c r="O1527" s="88"/>
      <c r="P1527" s="88"/>
      <c r="Q1527" s="88"/>
      <c r="R1527" s="88"/>
      <c r="S1527" s="88"/>
      <c r="T1527" s="88"/>
      <c r="U1527" s="88"/>
      <c r="V1527" s="88"/>
      <c r="W1527" s="88"/>
      <c r="X1527" s="88"/>
      <c r="Y1527" s="88"/>
      <c r="Z1527" s="88"/>
    </row>
    <row r="1528" ht="17.25" customHeight="1">
      <c r="A1528" s="88"/>
      <c r="B1528" s="88"/>
      <c r="C1528" s="88"/>
      <c r="D1528" s="88"/>
      <c r="E1528" s="88"/>
      <c r="F1528" s="89"/>
      <c r="G1528" s="89"/>
      <c r="H1528" s="89"/>
      <c r="I1528" s="88"/>
      <c r="J1528" s="88"/>
      <c r="K1528" s="88"/>
      <c r="L1528" s="88"/>
      <c r="M1528" s="88"/>
      <c r="N1528" s="88"/>
      <c r="O1528" s="88"/>
      <c r="P1528" s="88"/>
      <c r="Q1528" s="88"/>
      <c r="R1528" s="88"/>
      <c r="S1528" s="88"/>
      <c r="T1528" s="88"/>
      <c r="U1528" s="88"/>
      <c r="V1528" s="88"/>
      <c r="W1528" s="88"/>
      <c r="X1528" s="88"/>
      <c r="Y1528" s="88"/>
      <c r="Z1528" s="88"/>
    </row>
    <row r="1529" ht="17.25" customHeight="1">
      <c r="A1529" s="88"/>
      <c r="B1529" s="88"/>
      <c r="C1529" s="88"/>
      <c r="D1529" s="88"/>
      <c r="E1529" s="88"/>
      <c r="F1529" s="89"/>
      <c r="G1529" s="89"/>
      <c r="H1529" s="89"/>
      <c r="I1529" s="88"/>
      <c r="J1529" s="88"/>
      <c r="K1529" s="88"/>
      <c r="L1529" s="88"/>
      <c r="M1529" s="88"/>
      <c r="N1529" s="88"/>
      <c r="O1529" s="88"/>
      <c r="P1529" s="88"/>
      <c r="Q1529" s="88"/>
      <c r="R1529" s="88"/>
      <c r="S1529" s="88"/>
      <c r="T1529" s="88"/>
      <c r="U1529" s="88"/>
      <c r="V1529" s="88"/>
      <c r="W1529" s="88"/>
      <c r="X1529" s="88"/>
      <c r="Y1529" s="88"/>
      <c r="Z1529" s="88"/>
    </row>
    <row r="1530" ht="17.25" customHeight="1">
      <c r="A1530" s="88"/>
      <c r="B1530" s="88"/>
      <c r="C1530" s="88"/>
      <c r="D1530" s="88"/>
      <c r="E1530" s="88"/>
      <c r="F1530" s="89"/>
      <c r="G1530" s="89"/>
      <c r="H1530" s="89"/>
      <c r="I1530" s="88"/>
      <c r="J1530" s="88"/>
      <c r="K1530" s="88"/>
      <c r="L1530" s="88"/>
      <c r="M1530" s="88"/>
      <c r="N1530" s="88"/>
      <c r="O1530" s="88"/>
      <c r="P1530" s="88"/>
      <c r="Q1530" s="88"/>
      <c r="R1530" s="88"/>
      <c r="S1530" s="88"/>
      <c r="T1530" s="88"/>
      <c r="U1530" s="88"/>
      <c r="V1530" s="88"/>
      <c r="W1530" s="88"/>
      <c r="X1530" s="88"/>
      <c r="Y1530" s="88"/>
      <c r="Z1530" s="88"/>
    </row>
    <row r="1531" ht="17.25" customHeight="1">
      <c r="A1531" s="88"/>
      <c r="B1531" s="88"/>
      <c r="C1531" s="88"/>
      <c r="D1531" s="88"/>
      <c r="E1531" s="88"/>
      <c r="F1531" s="89"/>
      <c r="G1531" s="89"/>
      <c r="H1531" s="89"/>
      <c r="I1531" s="88"/>
      <c r="J1531" s="88"/>
      <c r="K1531" s="88"/>
      <c r="L1531" s="88"/>
      <c r="M1531" s="88"/>
      <c r="N1531" s="88"/>
      <c r="O1531" s="88"/>
      <c r="P1531" s="88"/>
      <c r="Q1531" s="88"/>
      <c r="R1531" s="88"/>
      <c r="S1531" s="88"/>
      <c r="T1531" s="88"/>
      <c r="U1531" s="88"/>
      <c r="V1531" s="88"/>
      <c r="W1531" s="88"/>
      <c r="X1531" s="88"/>
      <c r="Y1531" s="88"/>
      <c r="Z1531" s="88"/>
    </row>
    <row r="1532" ht="17.25" customHeight="1">
      <c r="A1532" s="88"/>
      <c r="B1532" s="88"/>
      <c r="C1532" s="88"/>
      <c r="D1532" s="88"/>
      <c r="E1532" s="88"/>
      <c r="F1532" s="89"/>
      <c r="G1532" s="89"/>
      <c r="H1532" s="89"/>
      <c r="I1532" s="88"/>
      <c r="J1532" s="88"/>
      <c r="K1532" s="88"/>
      <c r="L1532" s="88"/>
      <c r="M1532" s="88"/>
      <c r="N1532" s="88"/>
      <c r="O1532" s="88"/>
      <c r="P1532" s="88"/>
      <c r="Q1532" s="88"/>
      <c r="R1532" s="88"/>
      <c r="S1532" s="88"/>
      <c r="T1532" s="88"/>
      <c r="U1532" s="88"/>
      <c r="V1532" s="88"/>
      <c r="W1532" s="88"/>
      <c r="X1532" s="88"/>
      <c r="Y1532" s="88"/>
      <c r="Z1532" s="88"/>
    </row>
    <row r="1533" ht="17.25" customHeight="1">
      <c r="A1533" s="88"/>
      <c r="B1533" s="88"/>
      <c r="C1533" s="88"/>
      <c r="D1533" s="88"/>
      <c r="E1533" s="88"/>
      <c r="F1533" s="89"/>
      <c r="G1533" s="89"/>
      <c r="H1533" s="89"/>
      <c r="I1533" s="88"/>
      <c r="J1533" s="88"/>
      <c r="K1533" s="88"/>
      <c r="L1533" s="88"/>
      <c r="M1533" s="88"/>
      <c r="N1533" s="88"/>
      <c r="O1533" s="88"/>
      <c r="P1533" s="88"/>
      <c r="Q1533" s="88"/>
      <c r="R1533" s="88"/>
      <c r="S1533" s="88"/>
      <c r="T1533" s="88"/>
      <c r="U1533" s="88"/>
      <c r="V1533" s="88"/>
      <c r="W1533" s="88"/>
      <c r="X1533" s="88"/>
      <c r="Y1533" s="88"/>
      <c r="Z1533" s="88"/>
    </row>
    <row r="1534" ht="17.25" customHeight="1">
      <c r="A1534" s="88"/>
      <c r="B1534" s="88"/>
      <c r="C1534" s="88"/>
      <c r="D1534" s="88"/>
      <c r="E1534" s="88"/>
      <c r="F1534" s="89"/>
      <c r="G1534" s="89"/>
      <c r="H1534" s="89"/>
      <c r="I1534" s="88"/>
      <c r="J1534" s="88"/>
      <c r="K1534" s="88"/>
      <c r="L1534" s="88"/>
      <c r="M1534" s="88"/>
      <c r="N1534" s="88"/>
      <c r="O1534" s="88"/>
      <c r="P1534" s="88"/>
      <c r="Q1534" s="88"/>
      <c r="R1534" s="88"/>
      <c r="S1534" s="88"/>
      <c r="T1534" s="88"/>
      <c r="U1534" s="88"/>
      <c r="V1534" s="88"/>
      <c r="W1534" s="88"/>
      <c r="X1534" s="88"/>
      <c r="Y1534" s="88"/>
      <c r="Z1534" s="88"/>
    </row>
    <row r="1535" ht="17.25" customHeight="1">
      <c r="A1535" s="88"/>
      <c r="B1535" s="88"/>
      <c r="C1535" s="88"/>
      <c r="D1535" s="88"/>
      <c r="E1535" s="88"/>
      <c r="F1535" s="89"/>
      <c r="G1535" s="89"/>
      <c r="H1535" s="89"/>
      <c r="I1535" s="88"/>
      <c r="J1535" s="88"/>
      <c r="K1535" s="88"/>
      <c r="L1535" s="88"/>
      <c r="M1535" s="88"/>
      <c r="N1535" s="88"/>
      <c r="O1535" s="88"/>
      <c r="P1535" s="88"/>
      <c r="Q1535" s="88"/>
      <c r="R1535" s="88"/>
      <c r="S1535" s="88"/>
      <c r="T1535" s="88"/>
      <c r="U1535" s="88"/>
      <c r="V1535" s="88"/>
      <c r="W1535" s="88"/>
      <c r="X1535" s="88"/>
      <c r="Y1535" s="88"/>
      <c r="Z1535" s="88"/>
    </row>
    <row r="1536" ht="17.25" customHeight="1">
      <c r="A1536" s="88"/>
      <c r="B1536" s="88"/>
      <c r="C1536" s="88"/>
      <c r="D1536" s="88"/>
      <c r="E1536" s="88"/>
      <c r="F1536" s="89"/>
      <c r="G1536" s="89"/>
      <c r="H1536" s="89"/>
      <c r="I1536" s="88"/>
      <c r="J1536" s="88"/>
      <c r="K1536" s="88"/>
      <c r="L1536" s="88"/>
      <c r="M1536" s="88"/>
      <c r="N1536" s="88"/>
      <c r="O1536" s="88"/>
      <c r="P1536" s="88"/>
      <c r="Q1536" s="88"/>
      <c r="R1536" s="88"/>
      <c r="S1536" s="88"/>
      <c r="T1536" s="88"/>
      <c r="U1536" s="88"/>
      <c r="V1536" s="88"/>
      <c r="W1536" s="88"/>
      <c r="X1536" s="88"/>
      <c r="Y1536" s="88"/>
      <c r="Z1536" s="88"/>
    </row>
    <row r="1537" ht="17.25" customHeight="1">
      <c r="A1537" s="88"/>
      <c r="B1537" s="88"/>
      <c r="C1537" s="88"/>
      <c r="D1537" s="88"/>
      <c r="E1537" s="88"/>
      <c r="F1537" s="89"/>
      <c r="G1537" s="89"/>
      <c r="H1537" s="89"/>
      <c r="I1537" s="88"/>
      <c r="J1537" s="88"/>
      <c r="K1537" s="88"/>
      <c r="L1537" s="88"/>
      <c r="M1537" s="88"/>
      <c r="N1537" s="88"/>
      <c r="O1537" s="88"/>
      <c r="P1537" s="88"/>
      <c r="Q1537" s="88"/>
      <c r="R1537" s="88"/>
      <c r="S1537" s="88"/>
      <c r="T1537" s="88"/>
      <c r="U1537" s="88"/>
      <c r="V1537" s="88"/>
      <c r="W1537" s="88"/>
      <c r="X1537" s="88"/>
      <c r="Y1537" s="88"/>
      <c r="Z1537" s="88"/>
    </row>
    <row r="1538" ht="17.25" customHeight="1">
      <c r="A1538" s="88"/>
      <c r="B1538" s="88"/>
      <c r="C1538" s="88"/>
      <c r="D1538" s="88"/>
      <c r="E1538" s="88"/>
      <c r="F1538" s="89"/>
      <c r="G1538" s="89"/>
      <c r="H1538" s="89"/>
      <c r="I1538" s="88"/>
      <c r="J1538" s="88"/>
      <c r="K1538" s="88"/>
      <c r="L1538" s="88"/>
      <c r="M1538" s="88"/>
      <c r="N1538" s="88"/>
      <c r="O1538" s="88"/>
      <c r="P1538" s="88"/>
      <c r="Q1538" s="88"/>
      <c r="R1538" s="88"/>
      <c r="S1538" s="88"/>
      <c r="T1538" s="88"/>
      <c r="U1538" s="88"/>
      <c r="V1538" s="88"/>
      <c r="W1538" s="88"/>
      <c r="X1538" s="88"/>
      <c r="Y1538" s="88"/>
      <c r="Z1538" s="88"/>
    </row>
    <row r="1539" ht="17.25" customHeight="1">
      <c r="A1539" s="88"/>
      <c r="B1539" s="88"/>
      <c r="C1539" s="88"/>
      <c r="D1539" s="88"/>
      <c r="E1539" s="88"/>
      <c r="F1539" s="89"/>
      <c r="G1539" s="89"/>
      <c r="H1539" s="89"/>
      <c r="I1539" s="88"/>
      <c r="J1539" s="88"/>
      <c r="K1539" s="88"/>
      <c r="L1539" s="88"/>
      <c r="M1539" s="88"/>
      <c r="N1539" s="88"/>
      <c r="O1539" s="88"/>
      <c r="P1539" s="88"/>
      <c r="Q1539" s="88"/>
      <c r="R1539" s="88"/>
      <c r="S1539" s="88"/>
      <c r="T1539" s="88"/>
      <c r="U1539" s="88"/>
      <c r="V1539" s="88"/>
      <c r="W1539" s="88"/>
      <c r="X1539" s="88"/>
      <c r="Y1539" s="88"/>
      <c r="Z1539" s="88"/>
    </row>
    <row r="1540" ht="17.25" customHeight="1">
      <c r="A1540" s="88"/>
      <c r="B1540" s="88"/>
      <c r="C1540" s="88"/>
      <c r="D1540" s="88"/>
      <c r="E1540" s="88"/>
      <c r="F1540" s="89"/>
      <c r="G1540" s="89"/>
      <c r="H1540" s="89"/>
      <c r="I1540" s="88"/>
      <c r="J1540" s="88"/>
      <c r="K1540" s="88"/>
      <c r="L1540" s="88"/>
      <c r="M1540" s="88"/>
      <c r="N1540" s="88"/>
      <c r="O1540" s="88"/>
      <c r="P1540" s="88"/>
      <c r="Q1540" s="88"/>
      <c r="R1540" s="88"/>
      <c r="S1540" s="88"/>
      <c r="T1540" s="88"/>
      <c r="U1540" s="88"/>
      <c r="V1540" s="88"/>
      <c r="W1540" s="88"/>
      <c r="X1540" s="88"/>
      <c r="Y1540" s="88"/>
      <c r="Z1540" s="88"/>
    </row>
    <row r="1541" ht="17.25" customHeight="1">
      <c r="A1541" s="88"/>
      <c r="B1541" s="88"/>
      <c r="C1541" s="88"/>
      <c r="D1541" s="88"/>
      <c r="E1541" s="88"/>
      <c r="F1541" s="89"/>
      <c r="G1541" s="89"/>
      <c r="H1541" s="89"/>
      <c r="I1541" s="88"/>
      <c r="J1541" s="88"/>
      <c r="K1541" s="88"/>
      <c r="L1541" s="88"/>
      <c r="M1541" s="88"/>
      <c r="N1541" s="88"/>
      <c r="O1541" s="88"/>
      <c r="P1541" s="88"/>
      <c r="Q1541" s="88"/>
      <c r="R1541" s="88"/>
      <c r="S1541" s="88"/>
      <c r="T1541" s="88"/>
      <c r="U1541" s="88"/>
      <c r="V1541" s="88"/>
      <c r="W1541" s="88"/>
      <c r="X1541" s="88"/>
      <c r="Y1541" s="88"/>
      <c r="Z1541" s="88"/>
    </row>
    <row r="1542" ht="17.25" customHeight="1">
      <c r="A1542" s="88"/>
      <c r="B1542" s="88"/>
      <c r="C1542" s="88"/>
      <c r="D1542" s="88"/>
      <c r="E1542" s="88"/>
      <c r="F1542" s="89"/>
      <c r="G1542" s="89"/>
      <c r="H1542" s="89"/>
      <c r="I1542" s="88"/>
      <c r="J1542" s="88"/>
      <c r="K1542" s="88"/>
      <c r="L1542" s="88"/>
      <c r="M1542" s="88"/>
      <c r="N1542" s="88"/>
      <c r="O1542" s="88"/>
      <c r="P1542" s="88"/>
      <c r="Q1542" s="88"/>
      <c r="R1542" s="88"/>
      <c r="S1542" s="88"/>
      <c r="T1542" s="88"/>
      <c r="U1542" s="88"/>
      <c r="V1542" s="88"/>
      <c r="W1542" s="88"/>
      <c r="X1542" s="88"/>
      <c r="Y1542" s="88"/>
      <c r="Z1542" s="88"/>
    </row>
    <row r="1543" ht="17.25" customHeight="1">
      <c r="A1543" s="88"/>
      <c r="B1543" s="88"/>
      <c r="C1543" s="88"/>
      <c r="D1543" s="88"/>
      <c r="E1543" s="88"/>
      <c r="F1543" s="89"/>
      <c r="G1543" s="89"/>
      <c r="H1543" s="89"/>
      <c r="I1543" s="88"/>
      <c r="J1543" s="88"/>
      <c r="K1543" s="88"/>
      <c r="L1543" s="88"/>
      <c r="M1543" s="88"/>
      <c r="N1543" s="88"/>
      <c r="O1543" s="88"/>
      <c r="P1543" s="88"/>
      <c r="Q1543" s="88"/>
      <c r="R1543" s="88"/>
      <c r="S1543" s="88"/>
      <c r="T1543" s="88"/>
      <c r="U1543" s="88"/>
      <c r="V1543" s="88"/>
      <c r="W1543" s="88"/>
      <c r="X1543" s="88"/>
      <c r="Y1543" s="88"/>
      <c r="Z1543" s="88"/>
    </row>
    <row r="1544" ht="17.25" customHeight="1">
      <c r="A1544" s="88"/>
      <c r="B1544" s="88"/>
      <c r="C1544" s="88"/>
      <c r="D1544" s="88"/>
      <c r="E1544" s="88"/>
      <c r="F1544" s="89"/>
      <c r="G1544" s="89"/>
      <c r="H1544" s="89"/>
      <c r="I1544" s="88"/>
      <c r="J1544" s="88"/>
      <c r="K1544" s="88"/>
      <c r="L1544" s="88"/>
      <c r="M1544" s="88"/>
      <c r="N1544" s="88"/>
      <c r="O1544" s="88"/>
      <c r="P1544" s="88"/>
      <c r="Q1544" s="88"/>
      <c r="R1544" s="88"/>
      <c r="S1544" s="88"/>
      <c r="T1544" s="88"/>
      <c r="U1544" s="88"/>
      <c r="V1544" s="88"/>
      <c r="W1544" s="88"/>
      <c r="X1544" s="88"/>
      <c r="Y1544" s="88"/>
      <c r="Z1544" s="88"/>
    </row>
    <row r="1545" ht="17.25" customHeight="1">
      <c r="A1545" s="88"/>
      <c r="B1545" s="88"/>
      <c r="C1545" s="88"/>
      <c r="D1545" s="88"/>
      <c r="E1545" s="88"/>
      <c r="F1545" s="89"/>
      <c r="G1545" s="89"/>
      <c r="H1545" s="89"/>
      <c r="I1545" s="88"/>
      <c r="J1545" s="88"/>
      <c r="K1545" s="88"/>
      <c r="L1545" s="88"/>
      <c r="M1545" s="88"/>
      <c r="N1545" s="88"/>
      <c r="O1545" s="88"/>
      <c r="P1545" s="88"/>
      <c r="Q1545" s="88"/>
      <c r="R1545" s="88"/>
      <c r="S1545" s="88"/>
      <c r="T1545" s="88"/>
      <c r="U1545" s="88"/>
      <c r="V1545" s="88"/>
      <c r="W1545" s="88"/>
      <c r="X1545" s="88"/>
      <c r="Y1545" s="88"/>
      <c r="Z1545" s="88"/>
    </row>
    <row r="1546" ht="17.25" customHeight="1">
      <c r="A1546" s="88"/>
      <c r="B1546" s="88"/>
      <c r="C1546" s="88"/>
      <c r="D1546" s="88"/>
      <c r="E1546" s="88"/>
      <c r="F1546" s="89"/>
      <c r="G1546" s="89"/>
      <c r="H1546" s="89"/>
      <c r="I1546" s="88"/>
      <c r="J1546" s="88"/>
      <c r="K1546" s="88"/>
      <c r="L1546" s="88"/>
      <c r="M1546" s="88"/>
      <c r="N1546" s="88"/>
      <c r="O1546" s="88"/>
      <c r="P1546" s="88"/>
      <c r="Q1546" s="88"/>
      <c r="R1546" s="88"/>
      <c r="S1546" s="88"/>
      <c r="T1546" s="88"/>
      <c r="U1546" s="88"/>
      <c r="V1546" s="88"/>
      <c r="W1546" s="88"/>
      <c r="X1546" s="88"/>
      <c r="Y1546" s="88"/>
      <c r="Z1546" s="88"/>
    </row>
    <row r="1547" ht="17.25" customHeight="1">
      <c r="A1547" s="88"/>
      <c r="B1547" s="88"/>
      <c r="C1547" s="88"/>
      <c r="D1547" s="88"/>
      <c r="E1547" s="88"/>
      <c r="F1547" s="89"/>
      <c r="G1547" s="89"/>
      <c r="H1547" s="89"/>
      <c r="I1547" s="88"/>
      <c r="J1547" s="88"/>
      <c r="K1547" s="88"/>
      <c r="L1547" s="88"/>
      <c r="M1547" s="88"/>
      <c r="N1547" s="88"/>
      <c r="O1547" s="88"/>
      <c r="P1547" s="88"/>
      <c r="Q1547" s="88"/>
      <c r="R1547" s="88"/>
      <c r="S1547" s="88"/>
      <c r="T1547" s="88"/>
      <c r="U1547" s="88"/>
      <c r="V1547" s="88"/>
      <c r="W1547" s="88"/>
      <c r="X1547" s="88"/>
      <c r="Y1547" s="88"/>
      <c r="Z1547" s="88"/>
    </row>
    <row r="1548" ht="17.25" customHeight="1">
      <c r="A1548" s="88"/>
      <c r="B1548" s="88"/>
      <c r="C1548" s="88"/>
      <c r="D1548" s="88"/>
      <c r="E1548" s="88"/>
      <c r="F1548" s="89"/>
      <c r="G1548" s="89"/>
      <c r="H1548" s="89"/>
      <c r="I1548" s="88"/>
      <c r="J1548" s="88"/>
      <c r="K1548" s="88"/>
      <c r="L1548" s="88"/>
      <c r="M1548" s="88"/>
      <c r="N1548" s="88"/>
      <c r="O1548" s="88"/>
      <c r="P1548" s="88"/>
      <c r="Q1548" s="88"/>
      <c r="R1548" s="88"/>
      <c r="S1548" s="88"/>
      <c r="T1548" s="88"/>
      <c r="U1548" s="88"/>
      <c r="V1548" s="88"/>
      <c r="W1548" s="88"/>
      <c r="X1548" s="88"/>
      <c r="Y1548" s="88"/>
      <c r="Z1548" s="88"/>
    </row>
    <row r="1549" ht="17.25" customHeight="1">
      <c r="A1549" s="88"/>
      <c r="B1549" s="88"/>
      <c r="C1549" s="88"/>
      <c r="D1549" s="88"/>
      <c r="E1549" s="88"/>
      <c r="F1549" s="89"/>
      <c r="G1549" s="89"/>
      <c r="H1549" s="89"/>
      <c r="I1549" s="88"/>
      <c r="J1549" s="88"/>
      <c r="K1549" s="88"/>
      <c r="L1549" s="88"/>
      <c r="M1549" s="88"/>
      <c r="N1549" s="88"/>
      <c r="O1549" s="88"/>
      <c r="P1549" s="88"/>
      <c r="Q1549" s="88"/>
      <c r="R1549" s="88"/>
      <c r="S1549" s="88"/>
      <c r="T1549" s="88"/>
      <c r="U1549" s="88"/>
      <c r="V1549" s="88"/>
      <c r="W1549" s="88"/>
      <c r="X1549" s="88"/>
      <c r="Y1549" s="88"/>
      <c r="Z1549" s="88"/>
    </row>
    <row r="1550" ht="17.25" customHeight="1">
      <c r="A1550" s="88"/>
      <c r="B1550" s="88"/>
      <c r="C1550" s="88"/>
      <c r="D1550" s="88"/>
      <c r="E1550" s="88"/>
      <c r="F1550" s="89"/>
      <c r="G1550" s="89"/>
      <c r="H1550" s="89"/>
      <c r="I1550" s="88"/>
      <c r="J1550" s="88"/>
      <c r="K1550" s="88"/>
      <c r="L1550" s="88"/>
      <c r="M1550" s="88"/>
      <c r="N1550" s="88"/>
      <c r="O1550" s="88"/>
      <c r="P1550" s="88"/>
      <c r="Q1550" s="88"/>
      <c r="R1550" s="88"/>
      <c r="S1550" s="88"/>
      <c r="T1550" s="88"/>
      <c r="U1550" s="88"/>
      <c r="V1550" s="88"/>
      <c r="W1550" s="88"/>
      <c r="X1550" s="88"/>
      <c r="Y1550" s="88"/>
      <c r="Z1550" s="88"/>
    </row>
    <row r="1551" ht="17.25" customHeight="1">
      <c r="A1551" s="88"/>
      <c r="B1551" s="88"/>
      <c r="C1551" s="88"/>
      <c r="D1551" s="88"/>
      <c r="E1551" s="88"/>
      <c r="F1551" s="89"/>
      <c r="G1551" s="89"/>
      <c r="H1551" s="89"/>
      <c r="I1551" s="88"/>
      <c r="J1551" s="88"/>
      <c r="K1551" s="88"/>
      <c r="L1551" s="88"/>
      <c r="M1551" s="88"/>
      <c r="N1551" s="88"/>
      <c r="O1551" s="88"/>
      <c r="P1551" s="88"/>
      <c r="Q1551" s="88"/>
      <c r="R1551" s="88"/>
      <c r="S1551" s="88"/>
      <c r="T1551" s="88"/>
      <c r="U1551" s="88"/>
      <c r="V1551" s="88"/>
      <c r="W1551" s="88"/>
      <c r="X1551" s="88"/>
      <c r="Y1551" s="88"/>
      <c r="Z1551" s="88"/>
    </row>
    <row r="1552" ht="17.25" customHeight="1">
      <c r="A1552" s="88"/>
      <c r="B1552" s="88"/>
      <c r="C1552" s="88"/>
      <c r="D1552" s="88"/>
      <c r="E1552" s="88"/>
      <c r="F1552" s="89"/>
      <c r="G1552" s="89"/>
      <c r="H1552" s="89"/>
      <c r="I1552" s="88"/>
      <c r="J1552" s="88"/>
      <c r="K1552" s="88"/>
      <c r="L1552" s="88"/>
      <c r="M1552" s="88"/>
      <c r="N1552" s="88"/>
      <c r="O1552" s="88"/>
      <c r="P1552" s="88"/>
      <c r="Q1552" s="88"/>
      <c r="R1552" s="88"/>
      <c r="S1552" s="88"/>
      <c r="T1552" s="88"/>
      <c r="U1552" s="88"/>
      <c r="V1552" s="88"/>
      <c r="W1552" s="88"/>
      <c r="X1552" s="88"/>
      <c r="Y1552" s="88"/>
      <c r="Z1552" s="88"/>
    </row>
    <row r="1553" ht="17.25" customHeight="1">
      <c r="A1553" s="88"/>
      <c r="B1553" s="88"/>
      <c r="C1553" s="88"/>
      <c r="D1553" s="88"/>
      <c r="E1553" s="88"/>
      <c r="F1553" s="89"/>
      <c r="G1553" s="89"/>
      <c r="H1553" s="89"/>
      <c r="I1553" s="88"/>
      <c r="J1553" s="88"/>
      <c r="K1553" s="88"/>
      <c r="L1553" s="88"/>
      <c r="M1553" s="88"/>
      <c r="N1553" s="88"/>
      <c r="O1553" s="88"/>
      <c r="P1553" s="88"/>
      <c r="Q1553" s="88"/>
      <c r="R1553" s="88"/>
      <c r="S1553" s="88"/>
      <c r="T1553" s="88"/>
      <c r="U1553" s="88"/>
      <c r="V1553" s="88"/>
      <c r="W1553" s="88"/>
      <c r="X1553" s="88"/>
      <c r="Y1553" s="88"/>
      <c r="Z1553" s="88"/>
    </row>
    <row r="1554" ht="17.25" customHeight="1">
      <c r="A1554" s="88"/>
      <c r="B1554" s="88"/>
      <c r="C1554" s="88"/>
      <c r="D1554" s="88"/>
      <c r="E1554" s="88"/>
      <c r="F1554" s="89"/>
      <c r="G1554" s="89"/>
      <c r="H1554" s="89"/>
      <c r="I1554" s="88"/>
      <c r="J1554" s="88"/>
      <c r="K1554" s="88"/>
      <c r="L1554" s="88"/>
      <c r="M1554" s="88"/>
      <c r="N1554" s="88"/>
      <c r="O1554" s="88"/>
      <c r="P1554" s="88"/>
      <c r="Q1554" s="88"/>
      <c r="R1554" s="88"/>
      <c r="S1554" s="88"/>
      <c r="T1554" s="88"/>
      <c r="U1554" s="88"/>
      <c r="V1554" s="88"/>
      <c r="W1554" s="88"/>
      <c r="X1554" s="88"/>
      <c r="Y1554" s="88"/>
      <c r="Z1554" s="88"/>
    </row>
    <row r="1555" ht="17.25" customHeight="1">
      <c r="A1555" s="88"/>
      <c r="B1555" s="88"/>
      <c r="C1555" s="88"/>
      <c r="D1555" s="88"/>
      <c r="E1555" s="88"/>
      <c r="F1555" s="89"/>
      <c r="G1555" s="89"/>
      <c r="H1555" s="89"/>
      <c r="I1555" s="88"/>
      <c r="J1555" s="88"/>
      <c r="K1555" s="88"/>
      <c r="L1555" s="88"/>
      <c r="M1555" s="88"/>
      <c r="N1555" s="88"/>
      <c r="O1555" s="88"/>
      <c r="P1555" s="88"/>
      <c r="Q1555" s="88"/>
      <c r="R1555" s="88"/>
      <c r="S1555" s="88"/>
      <c r="T1555" s="88"/>
      <c r="U1555" s="88"/>
      <c r="V1555" s="88"/>
      <c r="W1555" s="88"/>
      <c r="X1555" s="88"/>
      <c r="Y1555" s="88"/>
      <c r="Z1555" s="88"/>
    </row>
    <row r="1556" ht="17.25" customHeight="1">
      <c r="A1556" s="88"/>
      <c r="B1556" s="88"/>
      <c r="C1556" s="88"/>
      <c r="D1556" s="88"/>
      <c r="E1556" s="88"/>
      <c r="F1556" s="89"/>
      <c r="G1556" s="89"/>
      <c r="H1556" s="89"/>
      <c r="I1556" s="88"/>
      <c r="J1556" s="88"/>
      <c r="K1556" s="88"/>
      <c r="L1556" s="88"/>
      <c r="M1556" s="88"/>
      <c r="N1556" s="88"/>
      <c r="O1556" s="88"/>
      <c r="P1556" s="88"/>
      <c r="Q1556" s="88"/>
      <c r="R1556" s="88"/>
      <c r="S1556" s="88"/>
      <c r="T1556" s="88"/>
      <c r="U1556" s="88"/>
      <c r="V1556" s="88"/>
      <c r="W1556" s="88"/>
      <c r="X1556" s="88"/>
      <c r="Y1556" s="88"/>
      <c r="Z1556" s="88"/>
    </row>
    <row r="1557" ht="17.25" customHeight="1">
      <c r="A1557" s="88"/>
      <c r="B1557" s="88"/>
      <c r="C1557" s="88"/>
      <c r="D1557" s="88"/>
      <c r="E1557" s="88"/>
      <c r="F1557" s="89"/>
      <c r="G1557" s="89"/>
      <c r="H1557" s="89"/>
      <c r="I1557" s="88"/>
      <c r="J1557" s="88"/>
      <c r="K1557" s="88"/>
      <c r="L1557" s="88"/>
      <c r="M1557" s="88"/>
      <c r="N1557" s="88"/>
      <c r="O1557" s="88"/>
      <c r="P1557" s="88"/>
      <c r="Q1557" s="88"/>
      <c r="R1557" s="88"/>
      <c r="S1557" s="88"/>
      <c r="T1557" s="88"/>
      <c r="U1557" s="88"/>
      <c r="V1557" s="88"/>
      <c r="W1557" s="88"/>
      <c r="X1557" s="88"/>
      <c r="Y1557" s="88"/>
      <c r="Z1557" s="88"/>
    </row>
    <row r="1558" ht="17.25" customHeight="1">
      <c r="A1558" s="88"/>
      <c r="B1558" s="88"/>
      <c r="C1558" s="88"/>
      <c r="D1558" s="88"/>
      <c r="E1558" s="88"/>
      <c r="F1558" s="89"/>
      <c r="G1558" s="89"/>
      <c r="H1558" s="89"/>
      <c r="I1558" s="88"/>
      <c r="J1558" s="88"/>
      <c r="K1558" s="88"/>
      <c r="L1558" s="88"/>
      <c r="M1558" s="88"/>
      <c r="N1558" s="88"/>
      <c r="O1558" s="88"/>
      <c r="P1558" s="88"/>
      <c r="Q1558" s="88"/>
      <c r="R1558" s="88"/>
      <c r="S1558" s="88"/>
      <c r="T1558" s="88"/>
      <c r="U1558" s="88"/>
      <c r="V1558" s="88"/>
      <c r="W1558" s="88"/>
      <c r="X1558" s="88"/>
      <c r="Y1558" s="88"/>
      <c r="Z1558" s="88"/>
    </row>
    <row r="1559" ht="17.25" customHeight="1">
      <c r="A1559" s="88"/>
      <c r="B1559" s="88"/>
      <c r="C1559" s="88"/>
      <c r="D1559" s="88"/>
      <c r="E1559" s="88"/>
      <c r="F1559" s="89"/>
      <c r="G1559" s="89"/>
      <c r="H1559" s="89"/>
      <c r="I1559" s="88"/>
      <c r="J1559" s="88"/>
      <c r="K1559" s="88"/>
      <c r="L1559" s="88"/>
      <c r="M1559" s="88"/>
      <c r="N1559" s="88"/>
      <c r="O1559" s="88"/>
      <c r="P1559" s="88"/>
      <c r="Q1559" s="88"/>
      <c r="R1559" s="88"/>
      <c r="S1559" s="88"/>
      <c r="T1559" s="88"/>
      <c r="U1559" s="88"/>
      <c r="V1559" s="88"/>
      <c r="W1559" s="88"/>
      <c r="X1559" s="88"/>
      <c r="Y1559" s="88"/>
      <c r="Z1559" s="88"/>
    </row>
    <row r="1560" ht="17.25" customHeight="1">
      <c r="A1560" s="88"/>
      <c r="B1560" s="88"/>
      <c r="C1560" s="88"/>
      <c r="D1560" s="88"/>
      <c r="E1560" s="88"/>
      <c r="F1560" s="89"/>
      <c r="G1560" s="89"/>
      <c r="H1560" s="89"/>
      <c r="I1560" s="88"/>
      <c r="J1560" s="88"/>
      <c r="K1560" s="88"/>
      <c r="L1560" s="88"/>
      <c r="M1560" s="88"/>
      <c r="N1560" s="88"/>
      <c r="O1560" s="88"/>
      <c r="P1560" s="88"/>
      <c r="Q1560" s="88"/>
      <c r="R1560" s="88"/>
      <c r="S1560" s="88"/>
      <c r="T1560" s="88"/>
      <c r="U1560" s="88"/>
      <c r="V1560" s="88"/>
      <c r="W1560" s="88"/>
      <c r="X1560" s="88"/>
      <c r="Y1560" s="88"/>
      <c r="Z1560" s="88"/>
    </row>
    <row r="1561" ht="17.25" customHeight="1">
      <c r="A1561" s="88"/>
      <c r="B1561" s="88"/>
      <c r="C1561" s="88"/>
      <c r="D1561" s="88"/>
      <c r="E1561" s="88"/>
      <c r="F1561" s="89"/>
      <c r="G1561" s="89"/>
      <c r="H1561" s="89"/>
      <c r="I1561" s="88"/>
      <c r="J1561" s="88"/>
      <c r="K1561" s="88"/>
      <c r="L1561" s="88"/>
      <c r="M1561" s="88"/>
      <c r="N1561" s="88"/>
      <c r="O1561" s="88"/>
      <c r="P1561" s="88"/>
      <c r="Q1561" s="88"/>
      <c r="R1561" s="88"/>
      <c r="S1561" s="88"/>
      <c r="T1561" s="88"/>
      <c r="U1561" s="88"/>
      <c r="V1561" s="88"/>
      <c r="W1561" s="88"/>
      <c r="X1561" s="88"/>
      <c r="Y1561" s="88"/>
      <c r="Z1561" s="88"/>
    </row>
    <row r="1562" ht="17.25" customHeight="1">
      <c r="A1562" s="88"/>
      <c r="B1562" s="88"/>
      <c r="C1562" s="88"/>
      <c r="D1562" s="88"/>
      <c r="E1562" s="88"/>
      <c r="F1562" s="89"/>
      <c r="G1562" s="89"/>
      <c r="H1562" s="89"/>
      <c r="I1562" s="88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U1562" s="88"/>
      <c r="V1562" s="88"/>
      <c r="W1562" s="88"/>
      <c r="X1562" s="88"/>
      <c r="Y1562" s="88"/>
      <c r="Z1562" s="88"/>
    </row>
    <row r="1563" ht="17.25" customHeight="1">
      <c r="A1563" s="88"/>
      <c r="B1563" s="88"/>
      <c r="C1563" s="88"/>
      <c r="D1563" s="88"/>
      <c r="E1563" s="88"/>
      <c r="F1563" s="89"/>
      <c r="G1563" s="89"/>
      <c r="H1563" s="89"/>
      <c r="I1563" s="88"/>
      <c r="J1563" s="88"/>
      <c r="K1563" s="88"/>
      <c r="L1563" s="88"/>
      <c r="M1563" s="88"/>
      <c r="N1563" s="88"/>
      <c r="O1563" s="88"/>
      <c r="P1563" s="88"/>
      <c r="Q1563" s="88"/>
      <c r="R1563" s="88"/>
      <c r="S1563" s="88"/>
      <c r="T1563" s="88"/>
      <c r="U1563" s="88"/>
      <c r="V1563" s="88"/>
      <c r="W1563" s="88"/>
      <c r="X1563" s="88"/>
      <c r="Y1563" s="88"/>
      <c r="Z1563" s="88"/>
    </row>
    <row r="1564" ht="17.25" customHeight="1">
      <c r="A1564" s="88"/>
      <c r="B1564" s="88"/>
      <c r="C1564" s="88"/>
      <c r="D1564" s="88"/>
      <c r="E1564" s="88"/>
      <c r="F1564" s="89"/>
      <c r="G1564" s="89"/>
      <c r="H1564" s="89"/>
      <c r="I1564" s="88"/>
      <c r="J1564" s="88"/>
      <c r="K1564" s="88"/>
      <c r="L1564" s="88"/>
      <c r="M1564" s="88"/>
      <c r="N1564" s="88"/>
      <c r="O1564" s="88"/>
      <c r="P1564" s="88"/>
      <c r="Q1564" s="88"/>
      <c r="R1564" s="88"/>
      <c r="S1564" s="88"/>
      <c r="T1564" s="88"/>
      <c r="U1564" s="88"/>
      <c r="V1564" s="88"/>
      <c r="W1564" s="88"/>
      <c r="X1564" s="88"/>
      <c r="Y1564" s="88"/>
      <c r="Z1564" s="88"/>
    </row>
    <row r="1565" ht="17.25" customHeight="1">
      <c r="A1565" s="88"/>
      <c r="B1565" s="88"/>
      <c r="C1565" s="88"/>
      <c r="D1565" s="88"/>
      <c r="E1565" s="88"/>
      <c r="F1565" s="89"/>
      <c r="G1565" s="89"/>
      <c r="H1565" s="89"/>
      <c r="I1565" s="88"/>
      <c r="J1565" s="88"/>
      <c r="K1565" s="88"/>
      <c r="L1565" s="88"/>
      <c r="M1565" s="88"/>
      <c r="N1565" s="88"/>
      <c r="O1565" s="88"/>
      <c r="P1565" s="88"/>
      <c r="Q1565" s="88"/>
      <c r="R1565" s="88"/>
      <c r="S1565" s="88"/>
      <c r="T1565" s="88"/>
      <c r="U1565" s="88"/>
      <c r="V1565" s="88"/>
      <c r="W1565" s="88"/>
      <c r="X1565" s="88"/>
      <c r="Y1565" s="88"/>
      <c r="Z1565" s="88"/>
    </row>
    <row r="1566" ht="17.25" customHeight="1">
      <c r="A1566" s="88"/>
      <c r="B1566" s="88"/>
      <c r="C1566" s="88"/>
      <c r="D1566" s="88"/>
      <c r="E1566" s="88"/>
      <c r="F1566" s="89"/>
      <c r="G1566" s="89"/>
      <c r="H1566" s="89"/>
      <c r="I1566" s="88"/>
      <c r="J1566" s="88"/>
      <c r="K1566" s="88"/>
      <c r="L1566" s="88"/>
      <c r="M1566" s="88"/>
      <c r="N1566" s="88"/>
      <c r="O1566" s="88"/>
      <c r="P1566" s="88"/>
      <c r="Q1566" s="88"/>
      <c r="R1566" s="88"/>
      <c r="S1566" s="88"/>
      <c r="T1566" s="88"/>
      <c r="U1566" s="88"/>
      <c r="V1566" s="88"/>
      <c r="W1566" s="88"/>
      <c r="X1566" s="88"/>
      <c r="Y1566" s="88"/>
      <c r="Z1566" s="88"/>
    </row>
    <row r="1567" ht="17.25" customHeight="1">
      <c r="A1567" s="88"/>
      <c r="B1567" s="88"/>
      <c r="C1567" s="88"/>
      <c r="D1567" s="88"/>
      <c r="E1567" s="88"/>
      <c r="F1567" s="89"/>
      <c r="G1567" s="89"/>
      <c r="H1567" s="89"/>
      <c r="I1567" s="88"/>
      <c r="J1567" s="88"/>
      <c r="K1567" s="88"/>
      <c r="L1567" s="88"/>
      <c r="M1567" s="88"/>
      <c r="N1567" s="88"/>
      <c r="O1567" s="88"/>
      <c r="P1567" s="88"/>
      <c r="Q1567" s="88"/>
      <c r="R1567" s="88"/>
      <c r="S1567" s="88"/>
      <c r="T1567" s="88"/>
      <c r="U1567" s="88"/>
      <c r="V1567" s="88"/>
      <c r="W1567" s="88"/>
      <c r="X1567" s="88"/>
      <c r="Y1567" s="88"/>
      <c r="Z1567" s="88"/>
    </row>
    <row r="1568" ht="17.25" customHeight="1">
      <c r="A1568" s="88"/>
      <c r="B1568" s="88"/>
      <c r="C1568" s="88"/>
      <c r="D1568" s="88"/>
      <c r="E1568" s="88"/>
      <c r="F1568" s="89"/>
      <c r="G1568" s="89"/>
      <c r="H1568" s="89"/>
      <c r="I1568" s="88"/>
      <c r="J1568" s="88"/>
      <c r="K1568" s="88"/>
      <c r="L1568" s="88"/>
      <c r="M1568" s="88"/>
      <c r="N1568" s="88"/>
      <c r="O1568" s="88"/>
      <c r="P1568" s="88"/>
      <c r="Q1568" s="88"/>
      <c r="R1568" s="88"/>
      <c r="S1568" s="88"/>
      <c r="T1568" s="88"/>
      <c r="U1568" s="88"/>
      <c r="V1568" s="88"/>
      <c r="W1568" s="88"/>
      <c r="X1568" s="88"/>
      <c r="Y1568" s="88"/>
      <c r="Z1568" s="88"/>
    </row>
    <row r="1569" ht="17.25" customHeight="1">
      <c r="A1569" s="88"/>
      <c r="B1569" s="88"/>
      <c r="C1569" s="88"/>
      <c r="D1569" s="88"/>
      <c r="E1569" s="88"/>
      <c r="F1569" s="89"/>
      <c r="G1569" s="89"/>
      <c r="H1569" s="89"/>
      <c r="I1569" s="88"/>
      <c r="J1569" s="88"/>
      <c r="K1569" s="88"/>
      <c r="L1569" s="88"/>
      <c r="M1569" s="88"/>
      <c r="N1569" s="88"/>
      <c r="O1569" s="88"/>
      <c r="P1569" s="88"/>
      <c r="Q1569" s="88"/>
      <c r="R1569" s="88"/>
      <c r="S1569" s="88"/>
      <c r="T1569" s="88"/>
      <c r="U1569" s="88"/>
      <c r="V1569" s="88"/>
      <c r="W1569" s="88"/>
      <c r="X1569" s="88"/>
      <c r="Y1569" s="88"/>
      <c r="Z1569" s="88"/>
    </row>
    <row r="1570" ht="17.25" customHeight="1">
      <c r="A1570" s="88"/>
      <c r="B1570" s="88"/>
      <c r="C1570" s="88"/>
      <c r="D1570" s="88"/>
      <c r="E1570" s="88"/>
      <c r="F1570" s="89"/>
      <c r="G1570" s="89"/>
      <c r="H1570" s="89"/>
      <c r="I1570" s="88"/>
      <c r="J1570" s="88"/>
      <c r="K1570" s="88"/>
      <c r="L1570" s="88"/>
      <c r="M1570" s="88"/>
      <c r="N1570" s="88"/>
      <c r="O1570" s="88"/>
      <c r="P1570" s="88"/>
      <c r="Q1570" s="88"/>
      <c r="R1570" s="88"/>
      <c r="S1570" s="88"/>
      <c r="T1570" s="88"/>
      <c r="U1570" s="88"/>
      <c r="V1570" s="88"/>
      <c r="W1570" s="88"/>
      <c r="X1570" s="88"/>
      <c r="Y1570" s="88"/>
      <c r="Z1570" s="88"/>
    </row>
    <row r="1571" ht="17.25" customHeight="1">
      <c r="A1571" s="88"/>
      <c r="B1571" s="88"/>
      <c r="C1571" s="88"/>
      <c r="D1571" s="88"/>
      <c r="E1571" s="88"/>
      <c r="F1571" s="89"/>
      <c r="G1571" s="89"/>
      <c r="H1571" s="89"/>
      <c r="I1571" s="88"/>
      <c r="J1571" s="88"/>
      <c r="K1571" s="88"/>
      <c r="L1571" s="88"/>
      <c r="M1571" s="88"/>
      <c r="N1571" s="88"/>
      <c r="O1571" s="88"/>
      <c r="P1571" s="88"/>
      <c r="Q1571" s="88"/>
      <c r="R1571" s="88"/>
      <c r="S1571" s="88"/>
      <c r="T1571" s="88"/>
      <c r="U1571" s="88"/>
      <c r="V1571" s="88"/>
      <c r="W1571" s="88"/>
      <c r="X1571" s="88"/>
      <c r="Y1571" s="88"/>
      <c r="Z1571" s="88"/>
    </row>
    <row r="1572" ht="17.25" customHeight="1">
      <c r="A1572" s="88"/>
      <c r="B1572" s="88"/>
      <c r="C1572" s="88"/>
      <c r="D1572" s="88"/>
      <c r="E1572" s="88"/>
      <c r="F1572" s="89"/>
      <c r="G1572" s="89"/>
      <c r="H1572" s="89"/>
      <c r="I1572" s="88"/>
      <c r="J1572" s="88"/>
      <c r="K1572" s="88"/>
      <c r="L1572" s="88"/>
      <c r="M1572" s="88"/>
      <c r="N1572" s="88"/>
      <c r="O1572" s="88"/>
      <c r="P1572" s="88"/>
      <c r="Q1572" s="88"/>
      <c r="R1572" s="88"/>
      <c r="S1572" s="88"/>
      <c r="T1572" s="88"/>
      <c r="U1572" s="88"/>
      <c r="V1572" s="88"/>
      <c r="W1572" s="88"/>
      <c r="X1572" s="88"/>
      <c r="Y1572" s="88"/>
      <c r="Z1572" s="88"/>
    </row>
    <row r="1573" ht="17.25" customHeight="1">
      <c r="A1573" s="88"/>
      <c r="B1573" s="88"/>
      <c r="C1573" s="88"/>
      <c r="D1573" s="88"/>
      <c r="E1573" s="88"/>
      <c r="F1573" s="89"/>
      <c r="G1573" s="89"/>
      <c r="H1573" s="89"/>
      <c r="I1573" s="88"/>
      <c r="J1573" s="88"/>
      <c r="K1573" s="88"/>
      <c r="L1573" s="88"/>
      <c r="M1573" s="88"/>
      <c r="N1573" s="88"/>
      <c r="O1573" s="88"/>
      <c r="P1573" s="88"/>
      <c r="Q1573" s="88"/>
      <c r="R1573" s="88"/>
      <c r="S1573" s="88"/>
      <c r="T1573" s="88"/>
      <c r="U1573" s="88"/>
      <c r="V1573" s="88"/>
      <c r="W1573" s="88"/>
      <c r="X1573" s="88"/>
      <c r="Y1573" s="88"/>
      <c r="Z1573" s="88"/>
    </row>
    <row r="1574" ht="17.25" customHeight="1">
      <c r="A1574" s="88"/>
      <c r="B1574" s="88"/>
      <c r="C1574" s="88"/>
      <c r="D1574" s="88"/>
      <c r="E1574" s="88"/>
      <c r="F1574" s="89"/>
      <c r="G1574" s="89"/>
      <c r="H1574" s="89"/>
      <c r="I1574" s="88"/>
      <c r="J1574" s="88"/>
      <c r="K1574" s="88"/>
      <c r="L1574" s="88"/>
      <c r="M1574" s="88"/>
      <c r="N1574" s="88"/>
      <c r="O1574" s="88"/>
      <c r="P1574" s="88"/>
      <c r="Q1574" s="88"/>
      <c r="R1574" s="88"/>
      <c r="S1574" s="88"/>
      <c r="T1574" s="88"/>
      <c r="U1574" s="88"/>
      <c r="V1574" s="88"/>
      <c r="W1574" s="88"/>
      <c r="X1574" s="88"/>
      <c r="Y1574" s="88"/>
      <c r="Z1574" s="88"/>
    </row>
    <row r="1575" ht="17.25" customHeight="1">
      <c r="A1575" s="88"/>
      <c r="B1575" s="88"/>
      <c r="C1575" s="88"/>
      <c r="D1575" s="88"/>
      <c r="E1575" s="88"/>
      <c r="F1575" s="89"/>
      <c r="G1575" s="89"/>
      <c r="H1575" s="89"/>
      <c r="I1575" s="88"/>
      <c r="J1575" s="88"/>
      <c r="K1575" s="88"/>
      <c r="L1575" s="88"/>
      <c r="M1575" s="88"/>
      <c r="N1575" s="88"/>
      <c r="O1575" s="88"/>
      <c r="P1575" s="88"/>
      <c r="Q1575" s="88"/>
      <c r="R1575" s="88"/>
      <c r="S1575" s="88"/>
      <c r="T1575" s="88"/>
      <c r="U1575" s="88"/>
      <c r="V1575" s="88"/>
      <c r="W1575" s="88"/>
      <c r="X1575" s="88"/>
      <c r="Y1575" s="88"/>
      <c r="Z1575" s="88"/>
    </row>
    <row r="1576" ht="17.25" customHeight="1">
      <c r="A1576" s="88"/>
      <c r="B1576" s="88"/>
      <c r="C1576" s="88"/>
      <c r="D1576" s="88"/>
      <c r="E1576" s="88"/>
      <c r="F1576" s="89"/>
      <c r="G1576" s="89"/>
      <c r="H1576" s="89"/>
      <c r="I1576" s="88"/>
      <c r="J1576" s="88"/>
      <c r="K1576" s="88"/>
      <c r="L1576" s="88"/>
      <c r="M1576" s="88"/>
      <c r="N1576" s="88"/>
      <c r="O1576" s="88"/>
      <c r="P1576" s="88"/>
      <c r="Q1576" s="88"/>
      <c r="R1576" s="88"/>
      <c r="S1576" s="88"/>
      <c r="T1576" s="88"/>
      <c r="U1576" s="88"/>
      <c r="V1576" s="88"/>
      <c r="W1576" s="88"/>
      <c r="X1576" s="88"/>
      <c r="Y1576" s="88"/>
      <c r="Z1576" s="88"/>
    </row>
    <row r="1577" ht="17.25" customHeight="1">
      <c r="A1577" s="88"/>
      <c r="B1577" s="88"/>
      <c r="C1577" s="88"/>
      <c r="D1577" s="88"/>
      <c r="E1577" s="88"/>
      <c r="F1577" s="89"/>
      <c r="G1577" s="89"/>
      <c r="H1577" s="89"/>
      <c r="I1577" s="88"/>
      <c r="J1577" s="88"/>
      <c r="K1577" s="88"/>
      <c r="L1577" s="88"/>
      <c r="M1577" s="88"/>
      <c r="N1577" s="88"/>
      <c r="O1577" s="88"/>
      <c r="P1577" s="88"/>
      <c r="Q1577" s="88"/>
      <c r="R1577" s="88"/>
      <c r="S1577" s="88"/>
      <c r="T1577" s="88"/>
      <c r="U1577" s="88"/>
      <c r="V1577" s="88"/>
      <c r="W1577" s="88"/>
      <c r="X1577" s="88"/>
      <c r="Y1577" s="88"/>
      <c r="Z1577" s="88"/>
    </row>
    <row r="1578" ht="17.25" customHeight="1">
      <c r="A1578" s="88"/>
      <c r="B1578" s="88"/>
      <c r="C1578" s="88"/>
      <c r="D1578" s="88"/>
      <c r="E1578" s="88"/>
      <c r="F1578" s="89"/>
      <c r="G1578" s="89"/>
      <c r="H1578" s="89"/>
      <c r="I1578" s="88"/>
      <c r="J1578" s="88"/>
      <c r="K1578" s="88"/>
      <c r="L1578" s="88"/>
      <c r="M1578" s="88"/>
      <c r="N1578" s="88"/>
      <c r="O1578" s="88"/>
      <c r="P1578" s="88"/>
      <c r="Q1578" s="88"/>
      <c r="R1578" s="88"/>
      <c r="S1578" s="88"/>
      <c r="T1578" s="88"/>
      <c r="U1578" s="88"/>
      <c r="V1578" s="88"/>
      <c r="W1578" s="88"/>
      <c r="X1578" s="88"/>
      <c r="Y1578" s="88"/>
      <c r="Z1578" s="88"/>
    </row>
    <row r="1579" ht="17.25" customHeight="1">
      <c r="A1579" s="88"/>
      <c r="B1579" s="88"/>
      <c r="C1579" s="88"/>
      <c r="D1579" s="88"/>
      <c r="E1579" s="88"/>
      <c r="F1579" s="89"/>
      <c r="G1579" s="89"/>
      <c r="H1579" s="89"/>
      <c r="I1579" s="88"/>
      <c r="J1579" s="88"/>
      <c r="K1579" s="88"/>
      <c r="L1579" s="88"/>
      <c r="M1579" s="88"/>
      <c r="N1579" s="88"/>
      <c r="O1579" s="88"/>
      <c r="P1579" s="88"/>
      <c r="Q1579" s="88"/>
      <c r="R1579" s="88"/>
      <c r="S1579" s="88"/>
      <c r="T1579" s="88"/>
      <c r="U1579" s="88"/>
      <c r="V1579" s="88"/>
      <c r="W1579" s="88"/>
      <c r="X1579" s="88"/>
      <c r="Y1579" s="88"/>
      <c r="Z1579" s="88"/>
    </row>
    <row r="1580" ht="17.25" customHeight="1">
      <c r="A1580" s="88"/>
      <c r="B1580" s="88"/>
      <c r="C1580" s="88"/>
      <c r="D1580" s="88"/>
      <c r="E1580" s="88"/>
      <c r="F1580" s="89"/>
      <c r="G1580" s="89"/>
      <c r="H1580" s="89"/>
      <c r="I1580" s="88"/>
      <c r="J1580" s="88"/>
      <c r="K1580" s="88"/>
      <c r="L1580" s="88"/>
      <c r="M1580" s="88"/>
      <c r="N1580" s="88"/>
      <c r="O1580" s="88"/>
      <c r="P1580" s="88"/>
      <c r="Q1580" s="88"/>
      <c r="R1580" s="88"/>
      <c r="S1580" s="88"/>
      <c r="T1580" s="88"/>
      <c r="U1580" s="88"/>
      <c r="V1580" s="88"/>
      <c r="W1580" s="88"/>
      <c r="X1580" s="88"/>
      <c r="Y1580" s="88"/>
      <c r="Z1580" s="88"/>
    </row>
    <row r="1581" ht="17.25" customHeight="1">
      <c r="A1581" s="88"/>
      <c r="B1581" s="88"/>
      <c r="C1581" s="88"/>
      <c r="D1581" s="88"/>
      <c r="E1581" s="88"/>
      <c r="F1581" s="89"/>
      <c r="G1581" s="89"/>
      <c r="H1581" s="89"/>
      <c r="I1581" s="88"/>
      <c r="J1581" s="88"/>
      <c r="K1581" s="88"/>
      <c r="L1581" s="88"/>
      <c r="M1581" s="88"/>
      <c r="N1581" s="88"/>
      <c r="O1581" s="88"/>
      <c r="P1581" s="88"/>
      <c r="Q1581" s="88"/>
      <c r="R1581" s="88"/>
      <c r="S1581" s="88"/>
      <c r="T1581" s="88"/>
      <c r="U1581" s="88"/>
      <c r="V1581" s="88"/>
      <c r="W1581" s="88"/>
      <c r="X1581" s="88"/>
      <c r="Y1581" s="88"/>
      <c r="Z1581" s="88"/>
    </row>
    <row r="1582" ht="17.25" customHeight="1">
      <c r="A1582" s="88"/>
      <c r="B1582" s="88"/>
      <c r="C1582" s="88"/>
      <c r="D1582" s="88"/>
      <c r="E1582" s="88"/>
      <c r="F1582" s="89"/>
      <c r="G1582" s="89"/>
      <c r="H1582" s="89"/>
      <c r="I1582" s="88"/>
      <c r="J1582" s="88"/>
      <c r="K1582" s="88"/>
      <c r="L1582" s="88"/>
      <c r="M1582" s="88"/>
      <c r="N1582" s="88"/>
      <c r="O1582" s="88"/>
      <c r="P1582" s="88"/>
      <c r="Q1582" s="88"/>
      <c r="R1582" s="88"/>
      <c r="S1582" s="88"/>
      <c r="T1582" s="88"/>
      <c r="U1582" s="88"/>
      <c r="V1582" s="88"/>
      <c r="W1582" s="88"/>
      <c r="X1582" s="88"/>
      <c r="Y1582" s="88"/>
      <c r="Z1582" s="88"/>
    </row>
    <row r="1583" ht="17.25" customHeight="1">
      <c r="A1583" s="88"/>
      <c r="B1583" s="88"/>
      <c r="C1583" s="88"/>
      <c r="D1583" s="88"/>
      <c r="E1583" s="88"/>
      <c r="F1583" s="89"/>
      <c r="G1583" s="89"/>
      <c r="H1583" s="89"/>
      <c r="I1583" s="88"/>
      <c r="J1583" s="88"/>
      <c r="K1583" s="88"/>
      <c r="L1583" s="88"/>
      <c r="M1583" s="88"/>
      <c r="N1583" s="88"/>
      <c r="O1583" s="88"/>
      <c r="P1583" s="88"/>
      <c r="Q1583" s="88"/>
      <c r="R1583" s="88"/>
      <c r="S1583" s="88"/>
      <c r="T1583" s="88"/>
      <c r="U1583" s="88"/>
      <c r="V1583" s="88"/>
      <c r="W1583" s="88"/>
      <c r="X1583" s="88"/>
      <c r="Y1583" s="88"/>
      <c r="Z1583" s="88"/>
    </row>
    <row r="1584" ht="17.25" customHeight="1">
      <c r="A1584" s="88"/>
      <c r="B1584" s="88"/>
      <c r="C1584" s="88"/>
      <c r="D1584" s="88"/>
      <c r="E1584" s="88"/>
      <c r="F1584" s="89"/>
      <c r="G1584" s="89"/>
      <c r="H1584" s="89"/>
      <c r="I1584" s="88"/>
      <c r="J1584" s="88"/>
      <c r="K1584" s="88"/>
      <c r="L1584" s="88"/>
      <c r="M1584" s="88"/>
      <c r="N1584" s="88"/>
      <c r="O1584" s="88"/>
      <c r="P1584" s="88"/>
      <c r="Q1584" s="88"/>
      <c r="R1584" s="88"/>
      <c r="S1584" s="88"/>
      <c r="T1584" s="88"/>
      <c r="U1584" s="88"/>
      <c r="V1584" s="88"/>
      <c r="W1584" s="88"/>
      <c r="X1584" s="88"/>
      <c r="Y1584" s="88"/>
      <c r="Z1584" s="88"/>
    </row>
    <row r="1585" ht="17.25" customHeight="1">
      <c r="A1585" s="88"/>
      <c r="B1585" s="88"/>
      <c r="C1585" s="88"/>
      <c r="D1585" s="88"/>
      <c r="E1585" s="88"/>
      <c r="F1585" s="89"/>
      <c r="G1585" s="89"/>
      <c r="H1585" s="89"/>
      <c r="I1585" s="88"/>
      <c r="J1585" s="88"/>
      <c r="K1585" s="88"/>
      <c r="L1585" s="88"/>
      <c r="M1585" s="88"/>
      <c r="N1585" s="88"/>
      <c r="O1585" s="88"/>
      <c r="P1585" s="88"/>
      <c r="Q1585" s="88"/>
      <c r="R1585" s="88"/>
      <c r="S1585" s="88"/>
      <c r="T1585" s="88"/>
      <c r="U1585" s="88"/>
      <c r="V1585" s="88"/>
      <c r="W1585" s="88"/>
      <c r="X1585" s="88"/>
      <c r="Y1585" s="88"/>
      <c r="Z1585" s="88"/>
    </row>
    <row r="1586" ht="17.25" customHeight="1">
      <c r="A1586" s="88"/>
      <c r="B1586" s="88"/>
      <c r="C1586" s="88"/>
      <c r="D1586" s="88"/>
      <c r="E1586" s="88"/>
      <c r="F1586" s="89"/>
      <c r="G1586" s="89"/>
      <c r="H1586" s="89"/>
      <c r="I1586" s="88"/>
      <c r="J1586" s="88"/>
      <c r="K1586" s="88"/>
      <c r="L1586" s="88"/>
      <c r="M1586" s="88"/>
      <c r="N1586" s="88"/>
      <c r="O1586" s="88"/>
      <c r="P1586" s="88"/>
      <c r="Q1586" s="88"/>
      <c r="R1586" s="88"/>
      <c r="S1586" s="88"/>
      <c r="T1586" s="88"/>
      <c r="U1586" s="88"/>
      <c r="V1586" s="88"/>
      <c r="W1586" s="88"/>
      <c r="X1586" s="88"/>
      <c r="Y1586" s="88"/>
      <c r="Z1586" s="88"/>
    </row>
    <row r="1587" ht="17.25" customHeight="1">
      <c r="A1587" s="88"/>
      <c r="B1587" s="88"/>
      <c r="C1587" s="88"/>
      <c r="D1587" s="88"/>
      <c r="E1587" s="88"/>
      <c r="F1587" s="89"/>
      <c r="G1587" s="89"/>
      <c r="H1587" s="89"/>
      <c r="I1587" s="88"/>
      <c r="J1587" s="88"/>
      <c r="K1587" s="88"/>
      <c r="L1587" s="88"/>
      <c r="M1587" s="88"/>
      <c r="N1587" s="88"/>
      <c r="O1587" s="88"/>
      <c r="P1587" s="88"/>
      <c r="Q1587" s="88"/>
      <c r="R1587" s="88"/>
      <c r="S1587" s="88"/>
      <c r="T1587" s="88"/>
      <c r="U1587" s="88"/>
      <c r="V1587" s="88"/>
      <c r="W1587" s="88"/>
      <c r="X1587" s="88"/>
      <c r="Y1587" s="88"/>
      <c r="Z1587" s="88"/>
    </row>
    <row r="1588" ht="17.25" customHeight="1">
      <c r="A1588" s="88"/>
      <c r="B1588" s="88"/>
      <c r="C1588" s="88"/>
      <c r="D1588" s="88"/>
      <c r="E1588" s="88"/>
      <c r="F1588" s="89"/>
      <c r="G1588" s="89"/>
      <c r="H1588" s="89"/>
      <c r="I1588" s="88"/>
      <c r="J1588" s="88"/>
      <c r="K1588" s="88"/>
      <c r="L1588" s="88"/>
      <c r="M1588" s="88"/>
      <c r="N1588" s="88"/>
      <c r="O1588" s="88"/>
      <c r="P1588" s="88"/>
      <c r="Q1588" s="88"/>
      <c r="R1588" s="88"/>
      <c r="S1588" s="88"/>
      <c r="T1588" s="88"/>
      <c r="U1588" s="88"/>
      <c r="V1588" s="88"/>
      <c r="W1588" s="88"/>
      <c r="X1588" s="88"/>
      <c r="Y1588" s="88"/>
      <c r="Z1588" s="88"/>
    </row>
    <row r="1589" ht="17.25" customHeight="1">
      <c r="A1589" s="88"/>
      <c r="B1589" s="88"/>
      <c r="C1589" s="88"/>
      <c r="D1589" s="88"/>
      <c r="E1589" s="88"/>
      <c r="F1589" s="89"/>
      <c r="G1589" s="89"/>
      <c r="H1589" s="89"/>
      <c r="I1589" s="88"/>
      <c r="J1589" s="88"/>
      <c r="K1589" s="88"/>
      <c r="L1589" s="88"/>
      <c r="M1589" s="88"/>
      <c r="N1589" s="88"/>
      <c r="O1589" s="88"/>
      <c r="P1589" s="88"/>
      <c r="Q1589" s="88"/>
      <c r="R1589" s="88"/>
      <c r="S1589" s="88"/>
      <c r="T1589" s="88"/>
      <c r="U1589" s="88"/>
      <c r="V1589" s="88"/>
      <c r="W1589" s="88"/>
      <c r="X1589" s="88"/>
      <c r="Y1589" s="88"/>
      <c r="Z1589" s="88"/>
    </row>
    <row r="1590" ht="17.25" customHeight="1">
      <c r="A1590" s="88"/>
      <c r="B1590" s="88"/>
      <c r="C1590" s="88"/>
      <c r="D1590" s="88"/>
      <c r="E1590" s="88"/>
      <c r="F1590" s="89"/>
      <c r="G1590" s="89"/>
      <c r="H1590" s="89"/>
      <c r="I1590" s="88"/>
      <c r="J1590" s="88"/>
      <c r="K1590" s="88"/>
      <c r="L1590" s="88"/>
      <c r="M1590" s="88"/>
      <c r="N1590" s="88"/>
      <c r="O1590" s="88"/>
      <c r="P1590" s="88"/>
      <c r="Q1590" s="88"/>
      <c r="R1590" s="88"/>
      <c r="S1590" s="88"/>
      <c r="T1590" s="88"/>
      <c r="U1590" s="88"/>
      <c r="V1590" s="88"/>
      <c r="W1590" s="88"/>
      <c r="X1590" s="88"/>
      <c r="Y1590" s="88"/>
      <c r="Z1590" s="88"/>
    </row>
    <row r="1591" ht="17.25" customHeight="1">
      <c r="A1591" s="88"/>
      <c r="B1591" s="88"/>
      <c r="C1591" s="88"/>
      <c r="D1591" s="88"/>
      <c r="E1591" s="88"/>
      <c r="F1591" s="89"/>
      <c r="G1591" s="89"/>
      <c r="H1591" s="89"/>
      <c r="I1591" s="88"/>
      <c r="J1591" s="88"/>
      <c r="K1591" s="88"/>
      <c r="L1591" s="88"/>
      <c r="M1591" s="88"/>
      <c r="N1591" s="88"/>
      <c r="O1591" s="88"/>
      <c r="P1591" s="88"/>
      <c r="Q1591" s="88"/>
      <c r="R1591" s="88"/>
      <c r="S1591" s="88"/>
      <c r="T1591" s="88"/>
      <c r="U1591" s="88"/>
      <c r="V1591" s="88"/>
      <c r="W1591" s="88"/>
      <c r="X1591" s="88"/>
      <c r="Y1591" s="88"/>
      <c r="Z1591" s="88"/>
    </row>
    <row r="1592" ht="17.25" customHeight="1">
      <c r="A1592" s="88"/>
      <c r="B1592" s="88"/>
      <c r="C1592" s="88"/>
      <c r="D1592" s="88"/>
      <c r="E1592" s="88"/>
      <c r="F1592" s="89"/>
      <c r="G1592" s="89"/>
      <c r="H1592" s="89"/>
      <c r="I1592" s="88"/>
      <c r="J1592" s="88"/>
      <c r="K1592" s="88"/>
      <c r="L1592" s="88"/>
      <c r="M1592" s="88"/>
      <c r="N1592" s="88"/>
      <c r="O1592" s="88"/>
      <c r="P1592" s="88"/>
      <c r="Q1592" s="88"/>
      <c r="R1592" s="88"/>
      <c r="S1592" s="88"/>
      <c r="T1592" s="88"/>
      <c r="U1592" s="88"/>
      <c r="V1592" s="88"/>
      <c r="W1592" s="88"/>
      <c r="X1592" s="88"/>
      <c r="Y1592" s="88"/>
      <c r="Z1592" s="88"/>
    </row>
    <row r="1593" ht="17.25" customHeight="1">
      <c r="A1593" s="88"/>
      <c r="B1593" s="88"/>
      <c r="C1593" s="88"/>
      <c r="D1593" s="88"/>
      <c r="E1593" s="88"/>
      <c r="F1593" s="89"/>
      <c r="G1593" s="89"/>
      <c r="H1593" s="89"/>
      <c r="I1593" s="88"/>
      <c r="J1593" s="88"/>
      <c r="K1593" s="88"/>
      <c r="L1593" s="88"/>
      <c r="M1593" s="88"/>
      <c r="N1593" s="88"/>
      <c r="O1593" s="88"/>
      <c r="P1593" s="88"/>
      <c r="Q1593" s="88"/>
      <c r="R1593" s="88"/>
      <c r="S1593" s="88"/>
      <c r="T1593" s="88"/>
      <c r="U1593" s="88"/>
      <c r="V1593" s="88"/>
      <c r="W1593" s="88"/>
      <c r="X1593" s="88"/>
      <c r="Y1593" s="88"/>
      <c r="Z1593" s="88"/>
    </row>
    <row r="1594" ht="17.25" customHeight="1">
      <c r="A1594" s="88"/>
      <c r="B1594" s="88"/>
      <c r="C1594" s="88"/>
      <c r="D1594" s="88"/>
      <c r="E1594" s="88"/>
      <c r="F1594" s="89"/>
      <c r="G1594" s="89"/>
      <c r="H1594" s="89"/>
      <c r="I1594" s="88"/>
      <c r="J1594" s="88"/>
      <c r="K1594" s="88"/>
      <c r="L1594" s="88"/>
      <c r="M1594" s="88"/>
      <c r="N1594" s="88"/>
      <c r="O1594" s="88"/>
      <c r="P1594" s="88"/>
      <c r="Q1594" s="88"/>
      <c r="R1594" s="88"/>
      <c r="S1594" s="88"/>
      <c r="T1594" s="88"/>
      <c r="U1594" s="88"/>
      <c r="V1594" s="88"/>
      <c r="W1594" s="88"/>
      <c r="X1594" s="88"/>
      <c r="Y1594" s="88"/>
      <c r="Z1594" s="88"/>
    </row>
    <row r="1595" ht="17.25" customHeight="1">
      <c r="A1595" s="88"/>
      <c r="B1595" s="88"/>
      <c r="C1595" s="88"/>
      <c r="D1595" s="88"/>
      <c r="E1595" s="88"/>
      <c r="F1595" s="89"/>
      <c r="G1595" s="89"/>
      <c r="H1595" s="89"/>
      <c r="I1595" s="88"/>
      <c r="J1595" s="88"/>
      <c r="K1595" s="88"/>
      <c r="L1595" s="88"/>
      <c r="M1595" s="88"/>
      <c r="N1595" s="88"/>
      <c r="O1595" s="88"/>
      <c r="P1595" s="88"/>
      <c r="Q1595" s="88"/>
      <c r="R1595" s="88"/>
      <c r="S1595" s="88"/>
      <c r="T1595" s="88"/>
      <c r="U1595" s="88"/>
      <c r="V1595" s="88"/>
      <c r="W1595" s="88"/>
      <c r="X1595" s="88"/>
      <c r="Y1595" s="88"/>
      <c r="Z1595" s="88"/>
    </row>
    <row r="1596" ht="17.25" customHeight="1">
      <c r="A1596" s="88"/>
      <c r="B1596" s="88"/>
      <c r="C1596" s="88"/>
      <c r="D1596" s="88"/>
      <c r="E1596" s="88"/>
      <c r="F1596" s="89"/>
      <c r="G1596" s="89"/>
      <c r="H1596" s="89"/>
      <c r="I1596" s="88"/>
      <c r="J1596" s="88"/>
      <c r="K1596" s="88"/>
      <c r="L1596" s="88"/>
      <c r="M1596" s="88"/>
      <c r="N1596" s="88"/>
      <c r="O1596" s="88"/>
      <c r="P1596" s="88"/>
      <c r="Q1596" s="88"/>
      <c r="R1596" s="88"/>
      <c r="S1596" s="88"/>
      <c r="T1596" s="88"/>
      <c r="U1596" s="88"/>
      <c r="V1596" s="88"/>
      <c r="W1596" s="88"/>
      <c r="X1596" s="88"/>
      <c r="Y1596" s="88"/>
      <c r="Z1596" s="88"/>
    </row>
    <row r="1597" ht="17.25" customHeight="1">
      <c r="A1597" s="88"/>
      <c r="B1597" s="88"/>
      <c r="C1597" s="88"/>
      <c r="D1597" s="88"/>
      <c r="E1597" s="88"/>
      <c r="F1597" s="89"/>
      <c r="G1597" s="89"/>
      <c r="H1597" s="89"/>
      <c r="I1597" s="88"/>
      <c r="J1597" s="88"/>
      <c r="K1597" s="88"/>
      <c r="L1597" s="88"/>
      <c r="M1597" s="88"/>
      <c r="N1597" s="88"/>
      <c r="O1597" s="88"/>
      <c r="P1597" s="88"/>
      <c r="Q1597" s="88"/>
      <c r="R1597" s="88"/>
      <c r="S1597" s="88"/>
      <c r="T1597" s="88"/>
      <c r="U1597" s="88"/>
      <c r="V1597" s="88"/>
      <c r="W1597" s="88"/>
      <c r="X1597" s="88"/>
      <c r="Y1597" s="88"/>
      <c r="Z1597" s="88"/>
    </row>
    <row r="1598" ht="17.25" customHeight="1">
      <c r="A1598" s="88"/>
      <c r="B1598" s="88"/>
      <c r="C1598" s="88"/>
      <c r="D1598" s="88"/>
      <c r="E1598" s="88"/>
      <c r="F1598" s="89"/>
      <c r="G1598" s="89"/>
      <c r="H1598" s="89"/>
      <c r="I1598" s="88"/>
      <c r="J1598" s="88"/>
      <c r="K1598" s="88"/>
      <c r="L1598" s="88"/>
      <c r="M1598" s="88"/>
      <c r="N1598" s="88"/>
      <c r="O1598" s="88"/>
      <c r="P1598" s="88"/>
      <c r="Q1598" s="88"/>
      <c r="R1598" s="88"/>
      <c r="S1598" s="88"/>
      <c r="T1598" s="88"/>
      <c r="U1598" s="88"/>
      <c r="V1598" s="88"/>
      <c r="W1598" s="88"/>
      <c r="X1598" s="88"/>
      <c r="Y1598" s="88"/>
      <c r="Z1598" s="88"/>
    </row>
    <row r="1599" ht="17.25" customHeight="1">
      <c r="A1599" s="88"/>
      <c r="B1599" s="88"/>
      <c r="C1599" s="88"/>
      <c r="D1599" s="88"/>
      <c r="E1599" s="88"/>
      <c r="F1599" s="89"/>
      <c r="G1599" s="89"/>
      <c r="H1599" s="89"/>
      <c r="I1599" s="88"/>
      <c r="J1599" s="88"/>
      <c r="K1599" s="88"/>
      <c r="L1599" s="88"/>
      <c r="M1599" s="88"/>
      <c r="N1599" s="88"/>
      <c r="O1599" s="88"/>
      <c r="P1599" s="88"/>
      <c r="Q1599" s="88"/>
      <c r="R1599" s="88"/>
      <c r="S1599" s="88"/>
      <c r="T1599" s="88"/>
      <c r="U1599" s="88"/>
      <c r="V1599" s="88"/>
      <c r="W1599" s="88"/>
      <c r="X1599" s="88"/>
      <c r="Y1599" s="88"/>
      <c r="Z1599" s="88"/>
    </row>
    <row r="1600" ht="17.25" customHeight="1">
      <c r="A1600" s="88"/>
      <c r="B1600" s="88"/>
      <c r="C1600" s="88"/>
      <c r="D1600" s="88"/>
      <c r="E1600" s="88"/>
      <c r="F1600" s="89"/>
      <c r="G1600" s="89"/>
      <c r="H1600" s="89"/>
      <c r="I1600" s="88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U1600" s="88"/>
      <c r="V1600" s="88"/>
      <c r="W1600" s="88"/>
      <c r="X1600" s="88"/>
      <c r="Y1600" s="88"/>
      <c r="Z1600" s="88"/>
    </row>
    <row r="1601" ht="17.25" customHeight="1">
      <c r="A1601" s="88"/>
      <c r="B1601" s="88"/>
      <c r="C1601" s="88"/>
      <c r="D1601" s="88"/>
      <c r="E1601" s="88"/>
      <c r="F1601" s="89"/>
      <c r="G1601" s="89"/>
      <c r="H1601" s="89"/>
      <c r="I1601" s="88"/>
      <c r="J1601" s="88"/>
      <c r="K1601" s="88"/>
      <c r="L1601" s="88"/>
      <c r="M1601" s="88"/>
      <c r="N1601" s="88"/>
      <c r="O1601" s="88"/>
      <c r="P1601" s="88"/>
      <c r="Q1601" s="88"/>
      <c r="R1601" s="88"/>
      <c r="S1601" s="88"/>
      <c r="T1601" s="88"/>
      <c r="U1601" s="88"/>
      <c r="V1601" s="88"/>
      <c r="W1601" s="88"/>
      <c r="X1601" s="88"/>
      <c r="Y1601" s="88"/>
      <c r="Z1601" s="88"/>
    </row>
    <row r="1602" ht="17.25" customHeight="1">
      <c r="A1602" s="88"/>
      <c r="B1602" s="88"/>
      <c r="C1602" s="88"/>
      <c r="D1602" s="88"/>
      <c r="E1602" s="88"/>
      <c r="F1602" s="89"/>
      <c r="G1602" s="89"/>
      <c r="H1602" s="89"/>
      <c r="I1602" s="88"/>
      <c r="J1602" s="88"/>
      <c r="K1602" s="88"/>
      <c r="L1602" s="88"/>
      <c r="M1602" s="88"/>
      <c r="N1602" s="88"/>
      <c r="O1602" s="88"/>
      <c r="P1602" s="88"/>
      <c r="Q1602" s="88"/>
      <c r="R1602" s="88"/>
      <c r="S1602" s="88"/>
      <c r="T1602" s="88"/>
      <c r="U1602" s="88"/>
      <c r="V1602" s="88"/>
      <c r="W1602" s="88"/>
      <c r="X1602" s="88"/>
      <c r="Y1602" s="88"/>
      <c r="Z1602" s="88"/>
    </row>
    <row r="1603" ht="17.25" customHeight="1">
      <c r="A1603" s="88"/>
      <c r="B1603" s="88"/>
      <c r="C1603" s="88"/>
      <c r="D1603" s="88"/>
      <c r="E1603" s="88"/>
      <c r="F1603" s="89"/>
      <c r="G1603" s="89"/>
      <c r="H1603" s="89"/>
      <c r="I1603" s="88"/>
      <c r="J1603" s="88"/>
      <c r="K1603" s="88"/>
      <c r="L1603" s="88"/>
      <c r="M1603" s="88"/>
      <c r="N1603" s="88"/>
      <c r="O1603" s="88"/>
      <c r="P1603" s="88"/>
      <c r="Q1603" s="88"/>
      <c r="R1603" s="88"/>
      <c r="S1603" s="88"/>
      <c r="T1603" s="88"/>
      <c r="U1603" s="88"/>
      <c r="V1603" s="88"/>
      <c r="W1603" s="88"/>
      <c r="X1603" s="88"/>
      <c r="Y1603" s="88"/>
      <c r="Z1603" s="88"/>
    </row>
    <row r="1604" ht="17.25" customHeight="1">
      <c r="A1604" s="88"/>
      <c r="B1604" s="88"/>
      <c r="C1604" s="88"/>
      <c r="D1604" s="88"/>
      <c r="E1604" s="88"/>
      <c r="F1604" s="89"/>
      <c r="G1604" s="89"/>
      <c r="H1604" s="89"/>
      <c r="I1604" s="88"/>
      <c r="J1604" s="88"/>
      <c r="K1604" s="88"/>
      <c r="L1604" s="88"/>
      <c r="M1604" s="88"/>
      <c r="N1604" s="88"/>
      <c r="O1604" s="88"/>
      <c r="P1604" s="88"/>
      <c r="Q1604" s="88"/>
      <c r="R1604" s="88"/>
      <c r="S1604" s="88"/>
      <c r="T1604" s="88"/>
      <c r="U1604" s="88"/>
      <c r="V1604" s="88"/>
      <c r="W1604" s="88"/>
      <c r="X1604" s="88"/>
      <c r="Y1604" s="88"/>
      <c r="Z1604" s="88"/>
    </row>
    <row r="1605" ht="17.25" customHeight="1">
      <c r="A1605" s="88"/>
      <c r="B1605" s="88"/>
      <c r="C1605" s="88"/>
      <c r="D1605" s="88"/>
      <c r="E1605" s="88"/>
      <c r="F1605" s="89"/>
      <c r="G1605" s="89"/>
      <c r="H1605" s="89"/>
      <c r="I1605" s="88"/>
      <c r="J1605" s="88"/>
      <c r="K1605" s="88"/>
      <c r="L1605" s="88"/>
      <c r="M1605" s="88"/>
      <c r="N1605" s="88"/>
      <c r="O1605" s="88"/>
      <c r="P1605" s="88"/>
      <c r="Q1605" s="88"/>
      <c r="R1605" s="88"/>
      <c r="S1605" s="88"/>
      <c r="T1605" s="88"/>
      <c r="U1605" s="88"/>
      <c r="V1605" s="88"/>
      <c r="W1605" s="88"/>
      <c r="X1605" s="88"/>
      <c r="Y1605" s="88"/>
      <c r="Z1605" s="88"/>
    </row>
    <row r="1606" ht="17.25" customHeight="1">
      <c r="A1606" s="88"/>
      <c r="B1606" s="88"/>
      <c r="C1606" s="88"/>
      <c r="D1606" s="88"/>
      <c r="E1606" s="88"/>
      <c r="F1606" s="89"/>
      <c r="G1606" s="89"/>
      <c r="H1606" s="89"/>
      <c r="I1606" s="88"/>
      <c r="J1606" s="88"/>
      <c r="K1606" s="88"/>
      <c r="L1606" s="88"/>
      <c r="M1606" s="88"/>
      <c r="N1606" s="88"/>
      <c r="O1606" s="88"/>
      <c r="P1606" s="88"/>
      <c r="Q1606" s="88"/>
      <c r="R1606" s="88"/>
      <c r="S1606" s="88"/>
      <c r="T1606" s="88"/>
      <c r="U1606" s="88"/>
      <c r="V1606" s="88"/>
      <c r="W1606" s="88"/>
      <c r="X1606" s="88"/>
      <c r="Y1606" s="88"/>
      <c r="Z1606" s="88"/>
    </row>
    <row r="1607" ht="17.25" customHeight="1">
      <c r="A1607" s="88"/>
      <c r="B1607" s="88"/>
      <c r="C1607" s="88"/>
      <c r="D1607" s="88"/>
      <c r="E1607" s="88"/>
      <c r="F1607" s="89"/>
      <c r="G1607" s="89"/>
      <c r="H1607" s="89"/>
      <c r="I1607" s="88"/>
      <c r="J1607" s="88"/>
      <c r="K1607" s="88"/>
      <c r="L1607" s="88"/>
      <c r="M1607" s="88"/>
      <c r="N1607" s="88"/>
      <c r="O1607" s="88"/>
      <c r="P1607" s="88"/>
      <c r="Q1607" s="88"/>
      <c r="R1607" s="88"/>
      <c r="S1607" s="88"/>
      <c r="T1607" s="88"/>
      <c r="U1607" s="88"/>
      <c r="V1607" s="88"/>
      <c r="W1607" s="88"/>
      <c r="X1607" s="88"/>
      <c r="Y1607" s="88"/>
      <c r="Z1607" s="88"/>
    </row>
    <row r="1608" ht="17.25" customHeight="1">
      <c r="A1608" s="88"/>
      <c r="B1608" s="88"/>
      <c r="C1608" s="88"/>
      <c r="D1608" s="88"/>
      <c r="E1608" s="88"/>
      <c r="F1608" s="89"/>
      <c r="G1608" s="89"/>
      <c r="H1608" s="89"/>
      <c r="I1608" s="88"/>
      <c r="J1608" s="88"/>
      <c r="K1608" s="88"/>
      <c r="L1608" s="88"/>
      <c r="M1608" s="88"/>
      <c r="N1608" s="88"/>
      <c r="O1608" s="88"/>
      <c r="P1608" s="88"/>
      <c r="Q1608" s="88"/>
      <c r="R1608" s="88"/>
      <c r="S1608" s="88"/>
      <c r="T1608" s="88"/>
      <c r="U1608" s="88"/>
      <c r="V1608" s="88"/>
      <c r="W1608" s="88"/>
      <c r="X1608" s="88"/>
      <c r="Y1608" s="88"/>
      <c r="Z1608" s="88"/>
    </row>
    <row r="1609" ht="17.25" customHeight="1">
      <c r="A1609" s="88"/>
      <c r="B1609" s="88"/>
      <c r="C1609" s="88"/>
      <c r="D1609" s="88"/>
      <c r="E1609" s="88"/>
      <c r="F1609" s="89"/>
      <c r="G1609" s="89"/>
      <c r="H1609" s="89"/>
      <c r="I1609" s="88"/>
      <c r="J1609" s="88"/>
      <c r="K1609" s="88"/>
      <c r="L1609" s="88"/>
      <c r="M1609" s="88"/>
      <c r="N1609" s="88"/>
      <c r="O1609" s="88"/>
      <c r="P1609" s="88"/>
      <c r="Q1609" s="88"/>
      <c r="R1609" s="88"/>
      <c r="S1609" s="88"/>
      <c r="T1609" s="88"/>
      <c r="U1609" s="88"/>
      <c r="V1609" s="88"/>
      <c r="W1609" s="88"/>
      <c r="X1609" s="88"/>
      <c r="Y1609" s="88"/>
      <c r="Z1609" s="88"/>
    </row>
    <row r="1610" ht="17.25" customHeight="1">
      <c r="A1610" s="88"/>
      <c r="B1610" s="88"/>
      <c r="C1610" s="88"/>
      <c r="D1610" s="88"/>
      <c r="E1610" s="88"/>
      <c r="F1610" s="89"/>
      <c r="G1610" s="89"/>
      <c r="H1610" s="89"/>
      <c r="I1610" s="88"/>
      <c r="J1610" s="88"/>
      <c r="K1610" s="88"/>
      <c r="L1610" s="88"/>
      <c r="M1610" s="88"/>
      <c r="N1610" s="88"/>
      <c r="O1610" s="88"/>
      <c r="P1610" s="88"/>
      <c r="Q1610" s="88"/>
      <c r="R1610" s="88"/>
      <c r="S1610" s="88"/>
      <c r="T1610" s="88"/>
      <c r="U1610" s="88"/>
      <c r="V1610" s="88"/>
      <c r="W1610" s="88"/>
      <c r="X1610" s="88"/>
      <c r="Y1610" s="88"/>
      <c r="Z1610" s="88"/>
    </row>
    <row r="1611" ht="17.25" customHeight="1">
      <c r="A1611" s="88"/>
      <c r="B1611" s="88"/>
      <c r="C1611" s="88"/>
      <c r="D1611" s="88"/>
      <c r="E1611" s="88"/>
      <c r="F1611" s="89"/>
      <c r="G1611" s="89"/>
      <c r="H1611" s="89"/>
      <c r="I1611" s="88"/>
      <c r="J1611" s="88"/>
      <c r="K1611" s="88"/>
      <c r="L1611" s="88"/>
      <c r="M1611" s="88"/>
      <c r="N1611" s="88"/>
      <c r="O1611" s="88"/>
      <c r="P1611" s="88"/>
      <c r="Q1611" s="88"/>
      <c r="R1611" s="88"/>
      <c r="S1611" s="88"/>
      <c r="T1611" s="88"/>
      <c r="U1611" s="88"/>
      <c r="V1611" s="88"/>
      <c r="W1611" s="88"/>
      <c r="X1611" s="88"/>
      <c r="Y1611" s="88"/>
      <c r="Z1611" s="88"/>
    </row>
    <row r="1612" ht="17.25" customHeight="1">
      <c r="A1612" s="88"/>
      <c r="B1612" s="88"/>
      <c r="C1612" s="88"/>
      <c r="D1612" s="88"/>
      <c r="E1612" s="88"/>
      <c r="F1612" s="89"/>
      <c r="G1612" s="89"/>
      <c r="H1612" s="89"/>
      <c r="I1612" s="88"/>
      <c r="J1612" s="88"/>
      <c r="K1612" s="88"/>
      <c r="L1612" s="88"/>
      <c r="M1612" s="88"/>
      <c r="N1612" s="88"/>
      <c r="O1612" s="88"/>
      <c r="P1612" s="88"/>
      <c r="Q1612" s="88"/>
      <c r="R1612" s="88"/>
      <c r="S1612" s="88"/>
      <c r="T1612" s="88"/>
      <c r="U1612" s="88"/>
      <c r="V1612" s="88"/>
      <c r="W1612" s="88"/>
      <c r="X1612" s="88"/>
      <c r="Y1612" s="88"/>
      <c r="Z1612" s="88"/>
    </row>
    <row r="1613" ht="17.25" customHeight="1">
      <c r="A1613" s="88"/>
      <c r="B1613" s="88"/>
      <c r="C1613" s="88"/>
      <c r="D1613" s="88"/>
      <c r="E1613" s="88"/>
      <c r="F1613" s="89"/>
      <c r="G1613" s="89"/>
      <c r="H1613" s="89"/>
      <c r="I1613" s="88"/>
      <c r="J1613" s="88"/>
      <c r="K1613" s="88"/>
      <c r="L1613" s="88"/>
      <c r="M1613" s="88"/>
      <c r="N1613" s="88"/>
      <c r="O1613" s="88"/>
      <c r="P1613" s="88"/>
      <c r="Q1613" s="88"/>
      <c r="R1613" s="88"/>
      <c r="S1613" s="88"/>
      <c r="T1613" s="88"/>
      <c r="U1613" s="88"/>
      <c r="V1613" s="88"/>
      <c r="W1613" s="88"/>
      <c r="X1613" s="88"/>
      <c r="Y1613" s="88"/>
      <c r="Z1613" s="88"/>
    </row>
    <row r="1614" ht="17.25" customHeight="1">
      <c r="A1614" s="88"/>
      <c r="B1614" s="88"/>
      <c r="C1614" s="88"/>
      <c r="D1614" s="88"/>
      <c r="E1614" s="88"/>
      <c r="F1614" s="89"/>
      <c r="G1614" s="89"/>
      <c r="H1614" s="89"/>
      <c r="I1614" s="88"/>
      <c r="J1614" s="88"/>
      <c r="K1614" s="88"/>
      <c r="L1614" s="88"/>
      <c r="M1614" s="88"/>
      <c r="N1614" s="88"/>
      <c r="O1614" s="88"/>
      <c r="P1614" s="88"/>
      <c r="Q1614" s="88"/>
      <c r="R1614" s="88"/>
      <c r="S1614" s="88"/>
      <c r="T1614" s="88"/>
      <c r="U1614" s="88"/>
      <c r="V1614" s="88"/>
      <c r="W1614" s="88"/>
      <c r="X1614" s="88"/>
      <c r="Y1614" s="88"/>
      <c r="Z1614" s="88"/>
    </row>
    <row r="1615" ht="17.25" customHeight="1">
      <c r="A1615" s="88"/>
      <c r="B1615" s="88"/>
      <c r="C1615" s="88"/>
      <c r="D1615" s="88"/>
      <c r="E1615" s="88"/>
      <c r="F1615" s="89"/>
      <c r="G1615" s="89"/>
      <c r="H1615" s="89"/>
      <c r="I1615" s="88"/>
      <c r="J1615" s="88"/>
      <c r="K1615" s="88"/>
      <c r="L1615" s="88"/>
      <c r="M1615" s="88"/>
      <c r="N1615" s="88"/>
      <c r="O1615" s="88"/>
      <c r="P1615" s="88"/>
      <c r="Q1615" s="88"/>
      <c r="R1615" s="88"/>
      <c r="S1615" s="88"/>
      <c r="T1615" s="88"/>
      <c r="U1615" s="88"/>
      <c r="V1615" s="88"/>
      <c r="W1615" s="88"/>
      <c r="X1615" s="88"/>
      <c r="Y1615" s="88"/>
      <c r="Z1615" s="88"/>
    </row>
    <row r="1616" ht="17.25" customHeight="1">
      <c r="A1616" s="88"/>
      <c r="B1616" s="88"/>
      <c r="C1616" s="88"/>
      <c r="D1616" s="88"/>
      <c r="E1616" s="88"/>
      <c r="F1616" s="89"/>
      <c r="G1616" s="89"/>
      <c r="H1616" s="89"/>
      <c r="I1616" s="88"/>
      <c r="J1616" s="88"/>
      <c r="K1616" s="88"/>
      <c r="L1616" s="88"/>
      <c r="M1616" s="88"/>
      <c r="N1616" s="88"/>
      <c r="O1616" s="88"/>
      <c r="P1616" s="88"/>
      <c r="Q1616" s="88"/>
      <c r="R1616" s="88"/>
      <c r="S1616" s="88"/>
      <c r="T1616" s="88"/>
      <c r="U1616" s="88"/>
      <c r="V1616" s="88"/>
      <c r="W1616" s="88"/>
      <c r="X1616" s="88"/>
      <c r="Y1616" s="88"/>
      <c r="Z1616" s="88"/>
    </row>
    <row r="1617" ht="17.25" customHeight="1">
      <c r="A1617" s="88"/>
      <c r="B1617" s="88"/>
      <c r="C1617" s="88"/>
      <c r="D1617" s="88"/>
      <c r="E1617" s="88"/>
      <c r="F1617" s="89"/>
      <c r="G1617" s="89"/>
      <c r="H1617" s="89"/>
      <c r="I1617" s="88"/>
      <c r="J1617" s="88"/>
      <c r="K1617" s="88"/>
      <c r="L1617" s="88"/>
      <c r="M1617" s="88"/>
      <c r="N1617" s="88"/>
      <c r="O1617" s="88"/>
      <c r="P1617" s="88"/>
      <c r="Q1617" s="88"/>
      <c r="R1617" s="88"/>
      <c r="S1617" s="88"/>
      <c r="T1617" s="88"/>
      <c r="U1617" s="88"/>
      <c r="V1617" s="88"/>
      <c r="W1617" s="88"/>
      <c r="X1617" s="88"/>
      <c r="Y1617" s="88"/>
      <c r="Z1617" s="88"/>
    </row>
    <row r="1618" ht="17.25" customHeight="1">
      <c r="A1618" s="88"/>
      <c r="B1618" s="88"/>
      <c r="C1618" s="88"/>
      <c r="D1618" s="88"/>
      <c r="E1618" s="88"/>
      <c r="F1618" s="89"/>
      <c r="G1618" s="89"/>
      <c r="H1618" s="89"/>
      <c r="I1618" s="88"/>
      <c r="J1618" s="88"/>
      <c r="K1618" s="88"/>
      <c r="L1618" s="88"/>
      <c r="M1618" s="88"/>
      <c r="N1618" s="88"/>
      <c r="O1618" s="88"/>
      <c r="P1618" s="88"/>
      <c r="Q1618" s="88"/>
      <c r="R1618" s="88"/>
      <c r="S1618" s="88"/>
      <c r="T1618" s="88"/>
      <c r="U1618" s="88"/>
      <c r="V1618" s="88"/>
      <c r="W1618" s="88"/>
      <c r="X1618" s="88"/>
      <c r="Y1618" s="88"/>
      <c r="Z1618" s="88"/>
    </row>
    <row r="1619" ht="17.25" customHeight="1">
      <c r="A1619" s="88"/>
      <c r="B1619" s="88"/>
      <c r="C1619" s="88"/>
      <c r="D1619" s="88"/>
      <c r="E1619" s="88"/>
      <c r="F1619" s="89"/>
      <c r="G1619" s="89"/>
      <c r="H1619" s="89"/>
      <c r="I1619" s="88"/>
      <c r="J1619" s="88"/>
      <c r="K1619" s="88"/>
      <c r="L1619" s="88"/>
      <c r="M1619" s="88"/>
      <c r="N1619" s="88"/>
      <c r="O1619" s="88"/>
      <c r="P1619" s="88"/>
      <c r="Q1619" s="88"/>
      <c r="R1619" s="88"/>
      <c r="S1619" s="88"/>
      <c r="T1619" s="88"/>
      <c r="U1619" s="88"/>
      <c r="V1619" s="88"/>
      <c r="W1619" s="88"/>
      <c r="X1619" s="88"/>
      <c r="Y1619" s="88"/>
      <c r="Z1619" s="88"/>
    </row>
    <row r="1620" ht="17.25" customHeight="1">
      <c r="A1620" s="88"/>
      <c r="B1620" s="88"/>
      <c r="C1620" s="88"/>
      <c r="D1620" s="88"/>
      <c r="E1620" s="88"/>
      <c r="F1620" s="89"/>
      <c r="G1620" s="89"/>
      <c r="H1620" s="89"/>
      <c r="I1620" s="88"/>
      <c r="J1620" s="88"/>
      <c r="K1620" s="88"/>
      <c r="L1620" s="88"/>
      <c r="M1620" s="88"/>
      <c r="N1620" s="88"/>
      <c r="O1620" s="88"/>
      <c r="P1620" s="88"/>
      <c r="Q1620" s="88"/>
      <c r="R1620" s="88"/>
      <c r="S1620" s="88"/>
      <c r="T1620" s="88"/>
      <c r="U1620" s="88"/>
      <c r="V1620" s="88"/>
      <c r="W1620" s="88"/>
      <c r="X1620" s="88"/>
      <c r="Y1620" s="88"/>
      <c r="Z1620" s="88"/>
    </row>
    <row r="1621" ht="17.25" customHeight="1">
      <c r="A1621" s="88"/>
      <c r="B1621" s="88"/>
      <c r="C1621" s="88"/>
      <c r="D1621" s="88"/>
      <c r="E1621" s="88"/>
      <c r="F1621" s="89"/>
      <c r="G1621" s="89"/>
      <c r="H1621" s="89"/>
      <c r="I1621" s="88"/>
      <c r="J1621" s="88"/>
      <c r="K1621" s="88"/>
      <c r="L1621" s="88"/>
      <c r="M1621" s="88"/>
      <c r="N1621" s="88"/>
      <c r="O1621" s="88"/>
      <c r="P1621" s="88"/>
      <c r="Q1621" s="88"/>
      <c r="R1621" s="88"/>
      <c r="S1621" s="88"/>
      <c r="T1621" s="88"/>
      <c r="U1621" s="88"/>
      <c r="V1621" s="88"/>
      <c r="W1621" s="88"/>
      <c r="X1621" s="88"/>
      <c r="Y1621" s="88"/>
      <c r="Z1621" s="88"/>
    </row>
    <row r="1622" ht="17.25" customHeight="1">
      <c r="A1622" s="88"/>
      <c r="B1622" s="88"/>
      <c r="C1622" s="88"/>
      <c r="D1622" s="88"/>
      <c r="E1622" s="88"/>
      <c r="F1622" s="89"/>
      <c r="G1622" s="89"/>
      <c r="H1622" s="89"/>
      <c r="I1622" s="88"/>
      <c r="J1622" s="88"/>
      <c r="K1622" s="88"/>
      <c r="L1622" s="88"/>
      <c r="M1622" s="88"/>
      <c r="N1622" s="88"/>
      <c r="O1622" s="88"/>
      <c r="P1622" s="88"/>
      <c r="Q1622" s="88"/>
      <c r="R1622" s="88"/>
      <c r="S1622" s="88"/>
      <c r="T1622" s="88"/>
      <c r="U1622" s="88"/>
      <c r="V1622" s="88"/>
      <c r="W1622" s="88"/>
      <c r="X1622" s="88"/>
      <c r="Y1622" s="88"/>
      <c r="Z1622" s="88"/>
    </row>
    <row r="1623" ht="17.25" customHeight="1">
      <c r="A1623" s="88"/>
      <c r="B1623" s="88"/>
      <c r="C1623" s="88"/>
      <c r="D1623" s="88"/>
      <c r="E1623" s="88"/>
      <c r="F1623" s="89"/>
      <c r="G1623" s="89"/>
      <c r="H1623" s="89"/>
      <c r="I1623" s="88"/>
      <c r="J1623" s="88"/>
      <c r="K1623" s="88"/>
      <c r="L1623" s="88"/>
      <c r="M1623" s="88"/>
      <c r="N1623" s="88"/>
      <c r="O1623" s="88"/>
      <c r="P1623" s="88"/>
      <c r="Q1623" s="88"/>
      <c r="R1623" s="88"/>
      <c r="S1623" s="88"/>
      <c r="T1623" s="88"/>
      <c r="U1623" s="88"/>
      <c r="V1623" s="88"/>
      <c r="W1623" s="88"/>
      <c r="X1623" s="88"/>
      <c r="Y1623" s="88"/>
      <c r="Z1623" s="88"/>
    </row>
    <row r="1624" ht="17.25" customHeight="1">
      <c r="A1624" s="88"/>
      <c r="B1624" s="88"/>
      <c r="C1624" s="88"/>
      <c r="D1624" s="88"/>
      <c r="E1624" s="88"/>
      <c r="F1624" s="89"/>
      <c r="G1624" s="89"/>
      <c r="H1624" s="89"/>
      <c r="I1624" s="88"/>
      <c r="J1624" s="88"/>
      <c r="K1624" s="88"/>
      <c r="L1624" s="88"/>
      <c r="M1624" s="88"/>
      <c r="N1624" s="88"/>
      <c r="O1624" s="88"/>
      <c r="P1624" s="88"/>
      <c r="Q1624" s="88"/>
      <c r="R1624" s="88"/>
      <c r="S1624" s="88"/>
      <c r="T1624" s="88"/>
      <c r="U1624" s="88"/>
      <c r="V1624" s="88"/>
      <c r="W1624" s="88"/>
      <c r="X1624" s="88"/>
      <c r="Y1624" s="88"/>
      <c r="Z1624" s="88"/>
    </row>
    <row r="1625" ht="17.25" customHeight="1">
      <c r="A1625" s="88"/>
      <c r="B1625" s="88"/>
      <c r="C1625" s="88"/>
      <c r="D1625" s="88"/>
      <c r="E1625" s="88"/>
      <c r="F1625" s="89"/>
      <c r="G1625" s="89"/>
      <c r="H1625" s="89"/>
      <c r="I1625" s="88"/>
      <c r="J1625" s="88"/>
      <c r="K1625" s="88"/>
      <c r="L1625" s="88"/>
      <c r="M1625" s="88"/>
      <c r="N1625" s="88"/>
      <c r="O1625" s="88"/>
      <c r="P1625" s="88"/>
      <c r="Q1625" s="88"/>
      <c r="R1625" s="88"/>
      <c r="S1625" s="88"/>
      <c r="T1625" s="88"/>
      <c r="U1625" s="88"/>
      <c r="V1625" s="88"/>
      <c r="W1625" s="88"/>
      <c r="X1625" s="88"/>
      <c r="Y1625" s="88"/>
      <c r="Z1625" s="88"/>
    </row>
    <row r="1626" ht="17.25" customHeight="1">
      <c r="A1626" s="88"/>
      <c r="B1626" s="88"/>
      <c r="C1626" s="88"/>
      <c r="D1626" s="88"/>
      <c r="E1626" s="88"/>
      <c r="F1626" s="89"/>
      <c r="G1626" s="89"/>
      <c r="H1626" s="89"/>
      <c r="I1626" s="88"/>
      <c r="J1626" s="88"/>
      <c r="K1626" s="88"/>
      <c r="L1626" s="88"/>
      <c r="M1626" s="88"/>
      <c r="N1626" s="88"/>
      <c r="O1626" s="88"/>
      <c r="P1626" s="88"/>
      <c r="Q1626" s="88"/>
      <c r="R1626" s="88"/>
      <c r="S1626" s="88"/>
      <c r="T1626" s="88"/>
      <c r="U1626" s="88"/>
      <c r="V1626" s="88"/>
      <c r="W1626" s="88"/>
      <c r="X1626" s="88"/>
      <c r="Y1626" s="88"/>
      <c r="Z1626" s="88"/>
    </row>
    <row r="1627" ht="17.25" customHeight="1">
      <c r="A1627" s="88"/>
      <c r="B1627" s="88"/>
      <c r="C1627" s="88"/>
      <c r="D1627" s="88"/>
      <c r="E1627" s="88"/>
      <c r="F1627" s="89"/>
      <c r="G1627" s="89"/>
      <c r="H1627" s="89"/>
      <c r="I1627" s="88"/>
      <c r="J1627" s="88"/>
      <c r="K1627" s="88"/>
      <c r="L1627" s="88"/>
      <c r="M1627" s="88"/>
      <c r="N1627" s="88"/>
      <c r="O1627" s="88"/>
      <c r="P1627" s="88"/>
      <c r="Q1627" s="88"/>
      <c r="R1627" s="88"/>
      <c r="S1627" s="88"/>
      <c r="T1627" s="88"/>
      <c r="U1627" s="88"/>
      <c r="V1627" s="88"/>
      <c r="W1627" s="88"/>
      <c r="X1627" s="88"/>
      <c r="Y1627" s="88"/>
      <c r="Z1627" s="88"/>
    </row>
    <row r="1628" ht="17.25" customHeight="1">
      <c r="A1628" s="88"/>
      <c r="B1628" s="88"/>
      <c r="C1628" s="88"/>
      <c r="D1628" s="88"/>
      <c r="E1628" s="88"/>
      <c r="F1628" s="89"/>
      <c r="G1628" s="89"/>
      <c r="H1628" s="89"/>
      <c r="I1628" s="88"/>
      <c r="J1628" s="88"/>
      <c r="K1628" s="88"/>
      <c r="L1628" s="88"/>
      <c r="M1628" s="88"/>
      <c r="N1628" s="88"/>
      <c r="O1628" s="88"/>
      <c r="P1628" s="88"/>
      <c r="Q1628" s="88"/>
      <c r="R1628" s="88"/>
      <c r="S1628" s="88"/>
      <c r="T1628" s="88"/>
      <c r="U1628" s="88"/>
      <c r="V1628" s="88"/>
      <c r="W1628" s="88"/>
      <c r="X1628" s="88"/>
      <c r="Y1628" s="88"/>
      <c r="Z1628" s="88"/>
    </row>
    <row r="1629" ht="17.25" customHeight="1">
      <c r="A1629" s="88"/>
      <c r="B1629" s="88"/>
      <c r="C1629" s="88"/>
      <c r="D1629" s="88"/>
      <c r="E1629" s="88"/>
      <c r="F1629" s="89"/>
      <c r="G1629" s="89"/>
      <c r="H1629" s="89"/>
      <c r="I1629" s="88"/>
      <c r="J1629" s="88"/>
      <c r="K1629" s="88"/>
      <c r="L1629" s="88"/>
      <c r="M1629" s="88"/>
      <c r="N1629" s="88"/>
      <c r="O1629" s="88"/>
      <c r="P1629" s="88"/>
      <c r="Q1629" s="88"/>
      <c r="R1629" s="88"/>
      <c r="S1629" s="88"/>
      <c r="T1629" s="88"/>
      <c r="U1629" s="88"/>
      <c r="V1629" s="88"/>
      <c r="W1629" s="88"/>
      <c r="X1629" s="88"/>
      <c r="Y1629" s="88"/>
      <c r="Z1629" s="88"/>
    </row>
    <row r="1630" ht="17.25" customHeight="1">
      <c r="A1630" s="88"/>
      <c r="B1630" s="88"/>
      <c r="C1630" s="88"/>
      <c r="D1630" s="88"/>
      <c r="E1630" s="88"/>
      <c r="F1630" s="89"/>
      <c r="G1630" s="89"/>
      <c r="H1630" s="89"/>
      <c r="I1630" s="88"/>
      <c r="J1630" s="88"/>
      <c r="K1630" s="88"/>
      <c r="L1630" s="88"/>
      <c r="M1630" s="88"/>
      <c r="N1630" s="88"/>
      <c r="O1630" s="88"/>
      <c r="P1630" s="88"/>
      <c r="Q1630" s="88"/>
      <c r="R1630" s="88"/>
      <c r="S1630" s="88"/>
      <c r="T1630" s="88"/>
      <c r="U1630" s="88"/>
      <c r="V1630" s="88"/>
      <c r="W1630" s="88"/>
      <c r="X1630" s="88"/>
      <c r="Y1630" s="88"/>
      <c r="Z1630" s="88"/>
    </row>
    <row r="1631" ht="17.25" customHeight="1">
      <c r="A1631" s="88"/>
      <c r="B1631" s="88"/>
      <c r="C1631" s="88"/>
      <c r="D1631" s="88"/>
      <c r="E1631" s="88"/>
      <c r="F1631" s="89"/>
      <c r="G1631" s="89"/>
      <c r="H1631" s="89"/>
      <c r="I1631" s="88"/>
      <c r="J1631" s="88"/>
      <c r="K1631" s="88"/>
      <c r="L1631" s="88"/>
      <c r="M1631" s="88"/>
      <c r="N1631" s="88"/>
      <c r="O1631" s="88"/>
      <c r="P1631" s="88"/>
      <c r="Q1631" s="88"/>
      <c r="R1631" s="88"/>
      <c r="S1631" s="88"/>
      <c r="T1631" s="88"/>
      <c r="U1631" s="88"/>
      <c r="V1631" s="88"/>
      <c r="W1631" s="88"/>
      <c r="X1631" s="88"/>
      <c r="Y1631" s="88"/>
      <c r="Z1631" s="88"/>
    </row>
    <row r="1632" ht="17.25" customHeight="1">
      <c r="A1632" s="88"/>
      <c r="B1632" s="88"/>
      <c r="C1632" s="88"/>
      <c r="D1632" s="88"/>
      <c r="E1632" s="88"/>
      <c r="F1632" s="89"/>
      <c r="G1632" s="89"/>
      <c r="H1632" s="89"/>
      <c r="I1632" s="88"/>
      <c r="J1632" s="88"/>
      <c r="K1632" s="88"/>
      <c r="L1632" s="88"/>
      <c r="M1632" s="88"/>
      <c r="N1632" s="88"/>
      <c r="O1632" s="88"/>
      <c r="P1632" s="88"/>
      <c r="Q1632" s="88"/>
      <c r="R1632" s="88"/>
      <c r="S1632" s="88"/>
      <c r="T1632" s="88"/>
      <c r="U1632" s="88"/>
      <c r="V1632" s="88"/>
      <c r="W1632" s="88"/>
      <c r="X1632" s="88"/>
      <c r="Y1632" s="88"/>
      <c r="Z1632" s="88"/>
    </row>
    <row r="1633" ht="17.25" customHeight="1">
      <c r="A1633" s="88"/>
      <c r="B1633" s="88"/>
      <c r="C1633" s="88"/>
      <c r="D1633" s="88"/>
      <c r="E1633" s="88"/>
      <c r="F1633" s="89"/>
      <c r="G1633" s="89"/>
      <c r="H1633" s="89"/>
      <c r="I1633" s="88"/>
      <c r="J1633" s="88"/>
      <c r="K1633" s="88"/>
      <c r="L1633" s="88"/>
      <c r="M1633" s="88"/>
      <c r="N1633" s="88"/>
      <c r="O1633" s="88"/>
      <c r="P1633" s="88"/>
      <c r="Q1633" s="88"/>
      <c r="R1633" s="88"/>
      <c r="S1633" s="88"/>
      <c r="T1633" s="88"/>
      <c r="U1633" s="88"/>
      <c r="V1633" s="88"/>
      <c r="W1633" s="88"/>
      <c r="X1633" s="88"/>
      <c r="Y1633" s="88"/>
      <c r="Z1633" s="88"/>
    </row>
    <row r="1634" ht="17.25" customHeight="1">
      <c r="A1634" s="88"/>
      <c r="B1634" s="88"/>
      <c r="C1634" s="88"/>
      <c r="D1634" s="88"/>
      <c r="E1634" s="88"/>
      <c r="F1634" s="89"/>
      <c r="G1634" s="89"/>
      <c r="H1634" s="89"/>
      <c r="I1634" s="88"/>
      <c r="J1634" s="88"/>
      <c r="K1634" s="88"/>
      <c r="L1634" s="88"/>
      <c r="M1634" s="88"/>
      <c r="N1634" s="88"/>
      <c r="O1634" s="88"/>
      <c r="P1634" s="88"/>
      <c r="Q1634" s="88"/>
      <c r="R1634" s="88"/>
      <c r="S1634" s="88"/>
      <c r="T1634" s="88"/>
      <c r="U1634" s="88"/>
      <c r="V1634" s="88"/>
      <c r="W1634" s="88"/>
      <c r="X1634" s="88"/>
      <c r="Y1634" s="88"/>
      <c r="Z1634" s="88"/>
    </row>
    <row r="1635" ht="17.25" customHeight="1">
      <c r="A1635" s="88"/>
      <c r="B1635" s="88"/>
      <c r="C1635" s="88"/>
      <c r="D1635" s="88"/>
      <c r="E1635" s="88"/>
      <c r="F1635" s="89"/>
      <c r="G1635" s="89"/>
      <c r="H1635" s="89"/>
      <c r="I1635" s="88"/>
      <c r="J1635" s="88"/>
      <c r="K1635" s="88"/>
      <c r="L1635" s="88"/>
      <c r="M1635" s="88"/>
      <c r="N1635" s="88"/>
      <c r="O1635" s="88"/>
      <c r="P1635" s="88"/>
      <c r="Q1635" s="88"/>
      <c r="R1635" s="88"/>
      <c r="S1635" s="88"/>
      <c r="T1635" s="88"/>
      <c r="U1635" s="88"/>
      <c r="V1635" s="88"/>
      <c r="W1635" s="88"/>
      <c r="X1635" s="88"/>
      <c r="Y1635" s="88"/>
      <c r="Z1635" s="88"/>
    </row>
    <row r="1636" ht="17.25" customHeight="1">
      <c r="A1636" s="88"/>
      <c r="B1636" s="88"/>
      <c r="C1636" s="88"/>
      <c r="D1636" s="88"/>
      <c r="E1636" s="88"/>
      <c r="F1636" s="89"/>
      <c r="G1636" s="89"/>
      <c r="H1636" s="89"/>
      <c r="I1636" s="88"/>
      <c r="J1636" s="88"/>
      <c r="K1636" s="88"/>
      <c r="L1636" s="88"/>
      <c r="M1636" s="88"/>
      <c r="N1636" s="88"/>
      <c r="O1636" s="88"/>
      <c r="P1636" s="88"/>
      <c r="Q1636" s="88"/>
      <c r="R1636" s="88"/>
      <c r="S1636" s="88"/>
      <c r="T1636" s="88"/>
      <c r="U1636" s="88"/>
      <c r="V1636" s="88"/>
      <c r="W1636" s="88"/>
      <c r="X1636" s="88"/>
      <c r="Y1636" s="88"/>
      <c r="Z1636" s="88"/>
    </row>
    <row r="1637" ht="17.25" customHeight="1">
      <c r="A1637" s="88"/>
      <c r="B1637" s="88"/>
      <c r="C1637" s="88"/>
      <c r="D1637" s="88"/>
      <c r="E1637" s="88"/>
      <c r="F1637" s="89"/>
      <c r="G1637" s="89"/>
      <c r="H1637" s="89"/>
      <c r="I1637" s="88"/>
      <c r="J1637" s="88"/>
      <c r="K1637" s="88"/>
      <c r="L1637" s="88"/>
      <c r="M1637" s="88"/>
      <c r="N1637" s="88"/>
      <c r="O1637" s="88"/>
      <c r="P1637" s="88"/>
      <c r="Q1637" s="88"/>
      <c r="R1637" s="88"/>
      <c r="S1637" s="88"/>
      <c r="T1637" s="88"/>
      <c r="U1637" s="88"/>
      <c r="V1637" s="88"/>
      <c r="W1637" s="88"/>
      <c r="X1637" s="88"/>
      <c r="Y1637" s="88"/>
      <c r="Z1637" s="88"/>
    </row>
    <row r="1638" ht="17.25" customHeight="1">
      <c r="A1638" s="88"/>
      <c r="B1638" s="88"/>
      <c r="C1638" s="88"/>
      <c r="D1638" s="88"/>
      <c r="E1638" s="88"/>
      <c r="F1638" s="89"/>
      <c r="G1638" s="89"/>
      <c r="H1638" s="89"/>
      <c r="I1638" s="88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U1638" s="88"/>
      <c r="V1638" s="88"/>
      <c r="W1638" s="88"/>
      <c r="X1638" s="88"/>
      <c r="Y1638" s="88"/>
      <c r="Z1638" s="88"/>
    </row>
    <row r="1639" ht="17.25" customHeight="1">
      <c r="A1639" s="88"/>
      <c r="B1639" s="88"/>
      <c r="C1639" s="88"/>
      <c r="D1639" s="88"/>
      <c r="E1639" s="88"/>
      <c r="F1639" s="89"/>
      <c r="G1639" s="89"/>
      <c r="H1639" s="89"/>
      <c r="I1639" s="88"/>
      <c r="J1639" s="88"/>
      <c r="K1639" s="88"/>
      <c r="L1639" s="88"/>
      <c r="M1639" s="88"/>
      <c r="N1639" s="88"/>
      <c r="O1639" s="88"/>
      <c r="P1639" s="88"/>
      <c r="Q1639" s="88"/>
      <c r="R1639" s="88"/>
      <c r="S1639" s="88"/>
      <c r="T1639" s="88"/>
      <c r="U1639" s="88"/>
      <c r="V1639" s="88"/>
      <c r="W1639" s="88"/>
      <c r="X1639" s="88"/>
      <c r="Y1639" s="88"/>
      <c r="Z1639" s="88"/>
    </row>
    <row r="1640" ht="17.25" customHeight="1">
      <c r="A1640" s="88"/>
      <c r="B1640" s="88"/>
      <c r="C1640" s="88"/>
      <c r="D1640" s="88"/>
      <c r="E1640" s="88"/>
      <c r="F1640" s="89"/>
      <c r="G1640" s="89"/>
      <c r="H1640" s="89"/>
      <c r="I1640" s="88"/>
      <c r="J1640" s="88"/>
      <c r="K1640" s="88"/>
      <c r="L1640" s="88"/>
      <c r="M1640" s="88"/>
      <c r="N1640" s="88"/>
      <c r="O1640" s="88"/>
      <c r="P1640" s="88"/>
      <c r="Q1640" s="88"/>
      <c r="R1640" s="88"/>
      <c r="S1640" s="88"/>
      <c r="T1640" s="88"/>
      <c r="U1640" s="88"/>
      <c r="V1640" s="88"/>
      <c r="W1640" s="88"/>
      <c r="X1640" s="88"/>
      <c r="Y1640" s="88"/>
      <c r="Z1640" s="88"/>
    </row>
    <row r="1641" ht="17.25" customHeight="1">
      <c r="A1641" s="88"/>
      <c r="B1641" s="88"/>
      <c r="C1641" s="88"/>
      <c r="D1641" s="88"/>
      <c r="E1641" s="88"/>
      <c r="F1641" s="89"/>
      <c r="G1641" s="89"/>
      <c r="H1641" s="89"/>
      <c r="I1641" s="88"/>
      <c r="J1641" s="88"/>
      <c r="K1641" s="88"/>
      <c r="L1641" s="88"/>
      <c r="M1641" s="88"/>
      <c r="N1641" s="88"/>
      <c r="O1641" s="88"/>
      <c r="P1641" s="88"/>
      <c r="Q1641" s="88"/>
      <c r="R1641" s="88"/>
      <c r="S1641" s="88"/>
      <c r="T1641" s="88"/>
      <c r="U1641" s="88"/>
      <c r="V1641" s="88"/>
      <c r="W1641" s="88"/>
      <c r="X1641" s="88"/>
      <c r="Y1641" s="88"/>
      <c r="Z1641" s="88"/>
    </row>
    <row r="1642" ht="17.25" customHeight="1">
      <c r="A1642" s="88"/>
      <c r="B1642" s="88"/>
      <c r="C1642" s="88"/>
      <c r="D1642" s="88"/>
      <c r="E1642" s="88"/>
      <c r="F1642" s="89"/>
      <c r="G1642" s="89"/>
      <c r="H1642" s="89"/>
      <c r="I1642" s="88"/>
      <c r="J1642" s="88"/>
      <c r="K1642" s="88"/>
      <c r="L1642" s="88"/>
      <c r="M1642" s="88"/>
      <c r="N1642" s="88"/>
      <c r="O1642" s="88"/>
      <c r="P1642" s="88"/>
      <c r="Q1642" s="88"/>
      <c r="R1642" s="88"/>
      <c r="S1642" s="88"/>
      <c r="T1642" s="88"/>
      <c r="U1642" s="88"/>
      <c r="V1642" s="88"/>
      <c r="W1642" s="88"/>
      <c r="X1642" s="88"/>
      <c r="Y1642" s="88"/>
      <c r="Z1642" s="88"/>
    </row>
    <row r="1643" ht="17.25" customHeight="1">
      <c r="A1643" s="88"/>
      <c r="B1643" s="88"/>
      <c r="C1643" s="88"/>
      <c r="D1643" s="88"/>
      <c r="E1643" s="88"/>
      <c r="F1643" s="89"/>
      <c r="G1643" s="89"/>
      <c r="H1643" s="89"/>
      <c r="I1643" s="88"/>
      <c r="J1643" s="88"/>
      <c r="K1643" s="88"/>
      <c r="L1643" s="88"/>
      <c r="M1643" s="88"/>
      <c r="N1643" s="88"/>
      <c r="O1643" s="88"/>
      <c r="P1643" s="88"/>
      <c r="Q1643" s="88"/>
      <c r="R1643" s="88"/>
      <c r="S1643" s="88"/>
      <c r="T1643" s="88"/>
      <c r="U1643" s="88"/>
      <c r="V1643" s="88"/>
      <c r="W1643" s="88"/>
      <c r="X1643" s="88"/>
      <c r="Y1643" s="88"/>
      <c r="Z1643" s="88"/>
    </row>
    <row r="1644" ht="17.25" customHeight="1">
      <c r="A1644" s="88"/>
      <c r="B1644" s="88"/>
      <c r="C1644" s="88"/>
      <c r="D1644" s="88"/>
      <c r="E1644" s="88"/>
      <c r="F1644" s="89"/>
      <c r="G1644" s="89"/>
      <c r="H1644" s="89"/>
      <c r="I1644" s="88"/>
      <c r="J1644" s="88"/>
      <c r="K1644" s="88"/>
      <c r="L1644" s="88"/>
      <c r="M1644" s="88"/>
      <c r="N1644" s="88"/>
      <c r="O1644" s="88"/>
      <c r="P1644" s="88"/>
      <c r="Q1644" s="88"/>
      <c r="R1644" s="88"/>
      <c r="S1644" s="88"/>
      <c r="T1644" s="88"/>
      <c r="U1644" s="88"/>
      <c r="V1644" s="88"/>
      <c r="W1644" s="88"/>
      <c r="X1644" s="88"/>
      <c r="Y1644" s="88"/>
      <c r="Z1644" s="88"/>
    </row>
    <row r="1645" ht="17.25" customHeight="1">
      <c r="A1645" s="88"/>
      <c r="B1645" s="88"/>
      <c r="C1645" s="88"/>
      <c r="D1645" s="88"/>
      <c r="E1645" s="88"/>
      <c r="F1645" s="89"/>
      <c r="G1645" s="89"/>
      <c r="H1645" s="89"/>
      <c r="I1645" s="88"/>
      <c r="J1645" s="88"/>
      <c r="K1645" s="88"/>
      <c r="L1645" s="88"/>
      <c r="M1645" s="88"/>
      <c r="N1645" s="88"/>
      <c r="O1645" s="88"/>
      <c r="P1645" s="88"/>
      <c r="Q1645" s="88"/>
      <c r="R1645" s="88"/>
      <c r="S1645" s="88"/>
      <c r="T1645" s="88"/>
      <c r="U1645" s="88"/>
      <c r="V1645" s="88"/>
      <c r="W1645" s="88"/>
      <c r="X1645" s="88"/>
      <c r="Y1645" s="88"/>
      <c r="Z1645" s="88"/>
    </row>
    <row r="1646" ht="17.25" customHeight="1">
      <c r="A1646" s="88"/>
      <c r="B1646" s="88"/>
      <c r="C1646" s="88"/>
      <c r="D1646" s="88"/>
      <c r="E1646" s="88"/>
      <c r="F1646" s="89"/>
      <c r="G1646" s="89"/>
      <c r="H1646" s="89"/>
      <c r="I1646" s="88"/>
      <c r="J1646" s="88"/>
      <c r="K1646" s="88"/>
      <c r="L1646" s="88"/>
      <c r="M1646" s="88"/>
      <c r="N1646" s="88"/>
      <c r="O1646" s="88"/>
      <c r="P1646" s="88"/>
      <c r="Q1646" s="88"/>
      <c r="R1646" s="88"/>
      <c r="S1646" s="88"/>
      <c r="T1646" s="88"/>
      <c r="U1646" s="88"/>
      <c r="V1646" s="88"/>
      <c r="W1646" s="88"/>
      <c r="X1646" s="88"/>
      <c r="Y1646" s="88"/>
      <c r="Z1646" s="88"/>
    </row>
    <row r="1647" ht="17.25" customHeight="1">
      <c r="A1647" s="88"/>
      <c r="B1647" s="88"/>
      <c r="C1647" s="88"/>
      <c r="D1647" s="88"/>
      <c r="E1647" s="88"/>
      <c r="F1647" s="89"/>
      <c r="G1647" s="89"/>
      <c r="H1647" s="89"/>
      <c r="I1647" s="88"/>
      <c r="J1647" s="88"/>
      <c r="K1647" s="88"/>
      <c r="L1647" s="88"/>
      <c r="M1647" s="88"/>
      <c r="N1647" s="88"/>
      <c r="O1647" s="88"/>
      <c r="P1647" s="88"/>
      <c r="Q1647" s="88"/>
      <c r="R1647" s="88"/>
      <c r="S1647" s="88"/>
      <c r="T1647" s="88"/>
      <c r="U1647" s="88"/>
      <c r="V1647" s="88"/>
      <c r="W1647" s="88"/>
      <c r="X1647" s="88"/>
      <c r="Y1647" s="88"/>
      <c r="Z1647" s="88"/>
    </row>
    <row r="1648" ht="17.25" customHeight="1">
      <c r="A1648" s="88"/>
      <c r="B1648" s="88"/>
      <c r="C1648" s="88"/>
      <c r="D1648" s="88"/>
      <c r="E1648" s="88"/>
      <c r="F1648" s="89"/>
      <c r="G1648" s="89"/>
      <c r="H1648" s="89"/>
      <c r="I1648" s="88"/>
      <c r="J1648" s="88"/>
      <c r="K1648" s="88"/>
      <c r="L1648" s="88"/>
      <c r="M1648" s="88"/>
      <c r="N1648" s="88"/>
      <c r="O1648" s="88"/>
      <c r="P1648" s="88"/>
      <c r="Q1648" s="88"/>
      <c r="R1648" s="88"/>
      <c r="S1648" s="88"/>
      <c r="T1648" s="88"/>
      <c r="U1648" s="88"/>
      <c r="V1648" s="88"/>
      <c r="W1648" s="88"/>
      <c r="X1648" s="88"/>
      <c r="Y1648" s="88"/>
      <c r="Z1648" s="88"/>
    </row>
    <row r="1649" ht="17.25" customHeight="1">
      <c r="A1649" s="88"/>
      <c r="B1649" s="88"/>
      <c r="C1649" s="88"/>
      <c r="D1649" s="88"/>
      <c r="E1649" s="88"/>
      <c r="F1649" s="89"/>
      <c r="G1649" s="89"/>
      <c r="H1649" s="89"/>
      <c r="I1649" s="88"/>
      <c r="J1649" s="88"/>
      <c r="K1649" s="88"/>
      <c r="L1649" s="88"/>
      <c r="M1649" s="88"/>
      <c r="N1649" s="88"/>
      <c r="O1649" s="88"/>
      <c r="P1649" s="88"/>
      <c r="Q1649" s="88"/>
      <c r="R1649" s="88"/>
      <c r="S1649" s="88"/>
      <c r="T1649" s="88"/>
      <c r="U1649" s="88"/>
      <c r="V1649" s="88"/>
      <c r="W1649" s="88"/>
      <c r="X1649" s="88"/>
      <c r="Y1649" s="88"/>
      <c r="Z1649" s="88"/>
    </row>
    <row r="1650" ht="17.25" customHeight="1">
      <c r="A1650" s="88"/>
      <c r="B1650" s="88"/>
      <c r="C1650" s="88"/>
      <c r="D1650" s="88"/>
      <c r="E1650" s="88"/>
      <c r="F1650" s="89"/>
      <c r="G1650" s="89"/>
      <c r="H1650" s="89"/>
      <c r="I1650" s="88"/>
      <c r="J1650" s="88"/>
      <c r="K1650" s="88"/>
      <c r="L1650" s="88"/>
      <c r="M1650" s="88"/>
      <c r="N1650" s="88"/>
      <c r="O1650" s="88"/>
      <c r="P1650" s="88"/>
      <c r="Q1650" s="88"/>
      <c r="R1650" s="88"/>
      <c r="S1650" s="88"/>
      <c r="T1650" s="88"/>
      <c r="U1650" s="88"/>
      <c r="V1650" s="88"/>
      <c r="W1650" s="88"/>
      <c r="X1650" s="88"/>
      <c r="Y1650" s="88"/>
      <c r="Z1650" s="88"/>
    </row>
    <row r="1651" ht="17.25" customHeight="1">
      <c r="A1651" s="88"/>
      <c r="B1651" s="88"/>
      <c r="C1651" s="88"/>
      <c r="D1651" s="88"/>
      <c r="E1651" s="88"/>
      <c r="F1651" s="89"/>
      <c r="G1651" s="89"/>
      <c r="H1651" s="89"/>
      <c r="I1651" s="88"/>
      <c r="J1651" s="88"/>
      <c r="K1651" s="88"/>
      <c r="L1651" s="88"/>
      <c r="M1651" s="88"/>
      <c r="N1651" s="88"/>
      <c r="O1651" s="88"/>
      <c r="P1651" s="88"/>
      <c r="Q1651" s="88"/>
      <c r="R1651" s="88"/>
      <c r="S1651" s="88"/>
      <c r="T1651" s="88"/>
      <c r="U1651" s="88"/>
      <c r="V1651" s="88"/>
      <c r="W1651" s="88"/>
      <c r="X1651" s="88"/>
      <c r="Y1651" s="88"/>
      <c r="Z1651" s="88"/>
    </row>
    <row r="1652" ht="17.25" customHeight="1">
      <c r="A1652" s="88"/>
      <c r="B1652" s="88"/>
      <c r="C1652" s="88"/>
      <c r="D1652" s="88"/>
      <c r="E1652" s="88"/>
      <c r="F1652" s="89"/>
      <c r="G1652" s="89"/>
      <c r="H1652" s="89"/>
      <c r="I1652" s="88"/>
      <c r="J1652" s="88"/>
      <c r="K1652" s="88"/>
      <c r="L1652" s="88"/>
      <c r="M1652" s="88"/>
      <c r="N1652" s="88"/>
      <c r="O1652" s="88"/>
      <c r="P1652" s="88"/>
      <c r="Q1652" s="88"/>
      <c r="R1652" s="88"/>
      <c r="S1652" s="88"/>
      <c r="T1652" s="88"/>
      <c r="U1652" s="88"/>
      <c r="V1652" s="88"/>
      <c r="W1652" s="88"/>
      <c r="X1652" s="88"/>
      <c r="Y1652" s="88"/>
      <c r="Z1652" s="88"/>
    </row>
    <row r="1653" ht="17.25" customHeight="1">
      <c r="A1653" s="88"/>
      <c r="B1653" s="88"/>
      <c r="C1653" s="88"/>
      <c r="D1653" s="88"/>
      <c r="E1653" s="88"/>
      <c r="F1653" s="89"/>
      <c r="G1653" s="89"/>
      <c r="H1653" s="89"/>
      <c r="I1653" s="88"/>
      <c r="J1653" s="88"/>
      <c r="K1653" s="88"/>
      <c r="L1653" s="88"/>
      <c r="M1653" s="88"/>
      <c r="N1653" s="88"/>
      <c r="O1653" s="88"/>
      <c r="P1653" s="88"/>
      <c r="Q1653" s="88"/>
      <c r="R1653" s="88"/>
      <c r="S1653" s="88"/>
      <c r="T1653" s="88"/>
      <c r="U1653" s="88"/>
      <c r="V1653" s="88"/>
      <c r="W1653" s="88"/>
      <c r="X1653" s="88"/>
      <c r="Y1653" s="88"/>
      <c r="Z1653" s="88"/>
    </row>
    <row r="1654" ht="17.25" customHeight="1">
      <c r="A1654" s="88"/>
      <c r="B1654" s="88"/>
      <c r="C1654" s="88"/>
      <c r="D1654" s="88"/>
      <c r="E1654" s="88"/>
      <c r="F1654" s="89"/>
      <c r="G1654" s="89"/>
      <c r="H1654" s="89"/>
      <c r="I1654" s="88"/>
      <c r="J1654" s="88"/>
      <c r="K1654" s="88"/>
      <c r="L1654" s="88"/>
      <c r="M1654" s="88"/>
      <c r="N1654" s="88"/>
      <c r="O1654" s="88"/>
      <c r="P1654" s="88"/>
      <c r="Q1654" s="88"/>
      <c r="R1654" s="88"/>
      <c r="S1654" s="88"/>
      <c r="T1654" s="88"/>
      <c r="U1654" s="88"/>
      <c r="V1654" s="88"/>
      <c r="W1654" s="88"/>
      <c r="X1654" s="88"/>
      <c r="Y1654" s="88"/>
      <c r="Z1654" s="88"/>
    </row>
    <row r="1655" ht="17.25" customHeight="1">
      <c r="A1655" s="88"/>
      <c r="B1655" s="88"/>
      <c r="C1655" s="88"/>
      <c r="D1655" s="88"/>
      <c r="E1655" s="88"/>
      <c r="F1655" s="89"/>
      <c r="G1655" s="89"/>
      <c r="H1655" s="89"/>
      <c r="I1655" s="88"/>
      <c r="J1655" s="88"/>
      <c r="K1655" s="88"/>
      <c r="L1655" s="88"/>
      <c r="M1655" s="88"/>
      <c r="N1655" s="88"/>
      <c r="O1655" s="88"/>
      <c r="P1655" s="88"/>
      <c r="Q1655" s="88"/>
      <c r="R1655" s="88"/>
      <c r="S1655" s="88"/>
      <c r="T1655" s="88"/>
      <c r="U1655" s="88"/>
      <c r="V1655" s="88"/>
      <c r="W1655" s="88"/>
      <c r="X1655" s="88"/>
      <c r="Y1655" s="88"/>
      <c r="Z1655" s="88"/>
    </row>
    <row r="1656" ht="17.25" customHeight="1">
      <c r="A1656" s="88"/>
      <c r="B1656" s="88"/>
      <c r="C1656" s="88"/>
      <c r="D1656" s="88"/>
      <c r="E1656" s="88"/>
      <c r="F1656" s="89"/>
      <c r="G1656" s="89"/>
      <c r="H1656" s="89"/>
      <c r="I1656" s="88"/>
      <c r="J1656" s="88"/>
      <c r="K1656" s="88"/>
      <c r="L1656" s="88"/>
      <c r="M1656" s="88"/>
      <c r="N1656" s="88"/>
      <c r="O1656" s="88"/>
      <c r="P1656" s="88"/>
      <c r="Q1656" s="88"/>
      <c r="R1656" s="88"/>
      <c r="S1656" s="88"/>
      <c r="T1656" s="88"/>
      <c r="U1656" s="88"/>
      <c r="V1656" s="88"/>
      <c r="W1656" s="88"/>
      <c r="X1656" s="88"/>
      <c r="Y1656" s="88"/>
      <c r="Z1656" s="88"/>
    </row>
    <row r="1657" ht="17.25" customHeight="1">
      <c r="A1657" s="88"/>
      <c r="B1657" s="88"/>
      <c r="C1657" s="88"/>
      <c r="D1657" s="88"/>
      <c r="E1657" s="88"/>
      <c r="F1657" s="89"/>
      <c r="G1657" s="89"/>
      <c r="H1657" s="89"/>
      <c r="I1657" s="88"/>
      <c r="J1657" s="88"/>
      <c r="K1657" s="88"/>
      <c r="L1657" s="88"/>
      <c r="M1657" s="88"/>
      <c r="N1657" s="88"/>
      <c r="O1657" s="88"/>
      <c r="P1657" s="88"/>
      <c r="Q1657" s="88"/>
      <c r="R1657" s="88"/>
      <c r="S1657" s="88"/>
      <c r="T1657" s="88"/>
      <c r="U1657" s="88"/>
      <c r="V1657" s="88"/>
      <c r="W1657" s="88"/>
      <c r="X1657" s="88"/>
      <c r="Y1657" s="88"/>
      <c r="Z1657" s="88"/>
    </row>
    <row r="1658" ht="17.25" customHeight="1">
      <c r="A1658" s="88"/>
      <c r="B1658" s="88"/>
      <c r="C1658" s="88"/>
      <c r="D1658" s="88"/>
      <c r="E1658" s="88"/>
      <c r="F1658" s="89"/>
      <c r="G1658" s="89"/>
      <c r="H1658" s="89"/>
      <c r="I1658" s="88"/>
      <c r="J1658" s="88"/>
      <c r="K1658" s="88"/>
      <c r="L1658" s="88"/>
      <c r="M1658" s="88"/>
      <c r="N1658" s="88"/>
      <c r="O1658" s="88"/>
      <c r="P1658" s="88"/>
      <c r="Q1658" s="88"/>
      <c r="R1658" s="88"/>
      <c r="S1658" s="88"/>
      <c r="T1658" s="88"/>
      <c r="U1658" s="88"/>
      <c r="V1658" s="88"/>
      <c r="W1658" s="88"/>
      <c r="X1658" s="88"/>
      <c r="Y1658" s="88"/>
      <c r="Z1658" s="88"/>
    </row>
    <row r="1659" ht="17.25" customHeight="1">
      <c r="A1659" s="88"/>
      <c r="B1659" s="88"/>
      <c r="C1659" s="88"/>
      <c r="D1659" s="88"/>
      <c r="E1659" s="88"/>
      <c r="F1659" s="89"/>
      <c r="G1659" s="89"/>
      <c r="H1659" s="89"/>
      <c r="I1659" s="88"/>
      <c r="J1659" s="88"/>
      <c r="K1659" s="88"/>
      <c r="L1659" s="88"/>
      <c r="M1659" s="88"/>
      <c r="N1659" s="88"/>
      <c r="O1659" s="88"/>
      <c r="P1659" s="88"/>
      <c r="Q1659" s="88"/>
      <c r="R1659" s="88"/>
      <c r="S1659" s="88"/>
      <c r="T1659" s="88"/>
      <c r="U1659" s="88"/>
      <c r="V1659" s="88"/>
      <c r="W1659" s="88"/>
      <c r="X1659" s="88"/>
      <c r="Y1659" s="88"/>
      <c r="Z1659" s="88"/>
    </row>
    <row r="1660" ht="17.25" customHeight="1">
      <c r="A1660" s="88"/>
      <c r="B1660" s="88"/>
      <c r="C1660" s="88"/>
      <c r="D1660" s="88"/>
      <c r="E1660" s="88"/>
      <c r="F1660" s="89"/>
      <c r="G1660" s="89"/>
      <c r="H1660" s="89"/>
      <c r="I1660" s="88"/>
      <c r="J1660" s="88"/>
      <c r="K1660" s="88"/>
      <c r="L1660" s="88"/>
      <c r="M1660" s="88"/>
      <c r="N1660" s="88"/>
      <c r="O1660" s="88"/>
      <c r="P1660" s="88"/>
      <c r="Q1660" s="88"/>
      <c r="R1660" s="88"/>
      <c r="S1660" s="88"/>
      <c r="T1660" s="88"/>
      <c r="U1660" s="88"/>
      <c r="V1660" s="88"/>
      <c r="W1660" s="88"/>
      <c r="X1660" s="88"/>
      <c r="Y1660" s="88"/>
      <c r="Z1660" s="88"/>
    </row>
    <row r="1661" ht="17.25" customHeight="1">
      <c r="A1661" s="88"/>
      <c r="B1661" s="88"/>
      <c r="C1661" s="88"/>
      <c r="D1661" s="88"/>
      <c r="E1661" s="88"/>
      <c r="F1661" s="89"/>
      <c r="G1661" s="89"/>
      <c r="H1661" s="89"/>
      <c r="I1661" s="88"/>
      <c r="J1661" s="88"/>
      <c r="K1661" s="88"/>
      <c r="L1661" s="88"/>
      <c r="M1661" s="88"/>
      <c r="N1661" s="88"/>
      <c r="O1661" s="88"/>
      <c r="P1661" s="88"/>
      <c r="Q1661" s="88"/>
      <c r="R1661" s="88"/>
      <c r="S1661" s="88"/>
      <c r="T1661" s="88"/>
      <c r="U1661" s="88"/>
      <c r="V1661" s="88"/>
      <c r="W1661" s="88"/>
      <c r="X1661" s="88"/>
      <c r="Y1661" s="88"/>
      <c r="Z1661" s="88"/>
    </row>
    <row r="1662" ht="17.25" customHeight="1">
      <c r="A1662" s="88"/>
      <c r="B1662" s="88"/>
      <c r="C1662" s="88"/>
      <c r="D1662" s="88"/>
      <c r="E1662" s="88"/>
      <c r="F1662" s="89"/>
      <c r="G1662" s="89"/>
      <c r="H1662" s="89"/>
      <c r="I1662" s="88"/>
      <c r="J1662" s="88"/>
      <c r="K1662" s="88"/>
      <c r="L1662" s="88"/>
      <c r="M1662" s="88"/>
      <c r="N1662" s="88"/>
      <c r="O1662" s="88"/>
      <c r="P1662" s="88"/>
      <c r="Q1662" s="88"/>
      <c r="R1662" s="88"/>
      <c r="S1662" s="88"/>
      <c r="T1662" s="88"/>
      <c r="U1662" s="88"/>
      <c r="V1662" s="88"/>
      <c r="W1662" s="88"/>
      <c r="X1662" s="88"/>
      <c r="Y1662" s="88"/>
      <c r="Z1662" s="88"/>
    </row>
    <row r="1663" ht="17.25" customHeight="1">
      <c r="A1663" s="88"/>
      <c r="B1663" s="88"/>
      <c r="C1663" s="88"/>
      <c r="D1663" s="88"/>
      <c r="E1663" s="88"/>
      <c r="F1663" s="89"/>
      <c r="G1663" s="89"/>
      <c r="H1663" s="89"/>
      <c r="I1663" s="88"/>
      <c r="J1663" s="88"/>
      <c r="K1663" s="88"/>
      <c r="L1663" s="88"/>
      <c r="M1663" s="88"/>
      <c r="N1663" s="88"/>
      <c r="O1663" s="88"/>
      <c r="P1663" s="88"/>
      <c r="Q1663" s="88"/>
      <c r="R1663" s="88"/>
      <c r="S1663" s="88"/>
      <c r="T1663" s="88"/>
      <c r="U1663" s="88"/>
      <c r="V1663" s="88"/>
      <c r="W1663" s="88"/>
      <c r="X1663" s="88"/>
      <c r="Y1663" s="88"/>
      <c r="Z1663" s="88"/>
    </row>
    <row r="1664" ht="17.25" customHeight="1">
      <c r="A1664" s="88"/>
      <c r="B1664" s="88"/>
      <c r="C1664" s="88"/>
      <c r="D1664" s="88"/>
      <c r="E1664" s="88"/>
      <c r="F1664" s="89"/>
      <c r="G1664" s="89"/>
      <c r="H1664" s="89"/>
      <c r="I1664" s="88"/>
      <c r="J1664" s="88"/>
      <c r="K1664" s="88"/>
      <c r="L1664" s="88"/>
      <c r="M1664" s="88"/>
      <c r="N1664" s="88"/>
      <c r="O1664" s="88"/>
      <c r="P1664" s="88"/>
      <c r="Q1664" s="88"/>
      <c r="R1664" s="88"/>
      <c r="S1664" s="88"/>
      <c r="T1664" s="88"/>
      <c r="U1664" s="88"/>
      <c r="V1664" s="88"/>
      <c r="W1664" s="88"/>
      <c r="X1664" s="88"/>
      <c r="Y1664" s="88"/>
      <c r="Z1664" s="88"/>
    </row>
    <row r="1665" ht="17.25" customHeight="1">
      <c r="A1665" s="88"/>
      <c r="B1665" s="88"/>
      <c r="C1665" s="88"/>
      <c r="D1665" s="88"/>
      <c r="E1665" s="88"/>
      <c r="F1665" s="89"/>
      <c r="G1665" s="89"/>
      <c r="H1665" s="89"/>
      <c r="I1665" s="88"/>
      <c r="J1665" s="88"/>
      <c r="K1665" s="88"/>
      <c r="L1665" s="88"/>
      <c r="M1665" s="88"/>
      <c r="N1665" s="88"/>
      <c r="O1665" s="88"/>
      <c r="P1665" s="88"/>
      <c r="Q1665" s="88"/>
      <c r="R1665" s="88"/>
      <c r="S1665" s="88"/>
      <c r="T1665" s="88"/>
      <c r="U1665" s="88"/>
      <c r="V1665" s="88"/>
      <c r="W1665" s="88"/>
      <c r="X1665" s="88"/>
      <c r="Y1665" s="88"/>
      <c r="Z1665" s="88"/>
    </row>
    <row r="1666" ht="17.25" customHeight="1">
      <c r="A1666" s="88"/>
      <c r="B1666" s="88"/>
      <c r="C1666" s="88"/>
      <c r="D1666" s="88"/>
      <c r="E1666" s="88"/>
      <c r="F1666" s="89"/>
      <c r="G1666" s="89"/>
      <c r="H1666" s="89"/>
      <c r="I1666" s="88"/>
      <c r="J1666" s="88"/>
      <c r="K1666" s="88"/>
      <c r="L1666" s="88"/>
      <c r="M1666" s="88"/>
      <c r="N1666" s="88"/>
      <c r="O1666" s="88"/>
      <c r="P1666" s="88"/>
      <c r="Q1666" s="88"/>
      <c r="R1666" s="88"/>
      <c r="S1666" s="88"/>
      <c r="T1666" s="88"/>
      <c r="U1666" s="88"/>
      <c r="V1666" s="88"/>
      <c r="W1666" s="88"/>
      <c r="X1666" s="88"/>
      <c r="Y1666" s="88"/>
      <c r="Z1666" s="88"/>
    </row>
    <row r="1667" ht="17.25" customHeight="1">
      <c r="A1667" s="88"/>
      <c r="B1667" s="88"/>
      <c r="C1667" s="88"/>
      <c r="D1667" s="88"/>
      <c r="E1667" s="88"/>
      <c r="F1667" s="89"/>
      <c r="G1667" s="89"/>
      <c r="H1667" s="89"/>
      <c r="I1667" s="88"/>
      <c r="J1667" s="88"/>
      <c r="K1667" s="88"/>
      <c r="L1667" s="88"/>
      <c r="M1667" s="88"/>
      <c r="N1667" s="88"/>
      <c r="O1667" s="88"/>
      <c r="P1667" s="88"/>
      <c r="Q1667" s="88"/>
      <c r="R1667" s="88"/>
      <c r="S1667" s="88"/>
      <c r="T1667" s="88"/>
      <c r="U1667" s="88"/>
      <c r="V1667" s="88"/>
      <c r="W1667" s="88"/>
      <c r="X1667" s="88"/>
      <c r="Y1667" s="88"/>
      <c r="Z1667" s="88"/>
    </row>
    <row r="1668" ht="17.25" customHeight="1">
      <c r="A1668" s="88"/>
      <c r="B1668" s="88"/>
      <c r="C1668" s="88"/>
      <c r="D1668" s="88"/>
      <c r="E1668" s="88"/>
      <c r="F1668" s="89"/>
      <c r="G1668" s="89"/>
      <c r="H1668" s="89"/>
      <c r="I1668" s="88"/>
      <c r="J1668" s="88"/>
      <c r="K1668" s="88"/>
      <c r="L1668" s="88"/>
      <c r="M1668" s="88"/>
      <c r="N1668" s="88"/>
      <c r="O1668" s="88"/>
      <c r="P1668" s="88"/>
      <c r="Q1668" s="88"/>
      <c r="R1668" s="88"/>
      <c r="S1668" s="88"/>
      <c r="T1668" s="88"/>
      <c r="U1668" s="88"/>
      <c r="V1668" s="88"/>
      <c r="W1668" s="88"/>
      <c r="X1668" s="88"/>
      <c r="Y1668" s="88"/>
      <c r="Z1668" s="88"/>
    </row>
    <row r="1669" ht="17.25" customHeight="1">
      <c r="A1669" s="88"/>
      <c r="B1669" s="88"/>
      <c r="C1669" s="88"/>
      <c r="D1669" s="88"/>
      <c r="E1669" s="88"/>
      <c r="F1669" s="89"/>
      <c r="G1669" s="89"/>
      <c r="H1669" s="89"/>
      <c r="I1669" s="88"/>
      <c r="J1669" s="88"/>
      <c r="K1669" s="88"/>
      <c r="L1669" s="88"/>
      <c r="M1669" s="88"/>
      <c r="N1669" s="88"/>
      <c r="O1669" s="88"/>
      <c r="P1669" s="88"/>
      <c r="Q1669" s="88"/>
      <c r="R1669" s="88"/>
      <c r="S1669" s="88"/>
      <c r="T1669" s="88"/>
      <c r="U1669" s="88"/>
      <c r="V1669" s="88"/>
      <c r="W1669" s="88"/>
      <c r="X1669" s="88"/>
      <c r="Y1669" s="88"/>
      <c r="Z1669" s="88"/>
    </row>
    <row r="1670" ht="17.25" customHeight="1">
      <c r="A1670" s="88"/>
      <c r="B1670" s="88"/>
      <c r="C1670" s="88"/>
      <c r="D1670" s="88"/>
      <c r="E1670" s="88"/>
      <c r="F1670" s="89"/>
      <c r="G1670" s="89"/>
      <c r="H1670" s="89"/>
      <c r="I1670" s="88"/>
      <c r="J1670" s="88"/>
      <c r="K1670" s="88"/>
      <c r="L1670" s="88"/>
      <c r="M1670" s="88"/>
      <c r="N1670" s="88"/>
      <c r="O1670" s="88"/>
      <c r="P1670" s="88"/>
      <c r="Q1670" s="88"/>
      <c r="R1670" s="88"/>
      <c r="S1670" s="88"/>
      <c r="T1670" s="88"/>
      <c r="U1670" s="88"/>
      <c r="V1670" s="88"/>
      <c r="W1670" s="88"/>
      <c r="X1670" s="88"/>
      <c r="Y1670" s="88"/>
      <c r="Z1670" s="88"/>
    </row>
    <row r="1671" ht="17.25" customHeight="1">
      <c r="A1671" s="88"/>
      <c r="B1671" s="88"/>
      <c r="C1671" s="88"/>
      <c r="D1671" s="88"/>
      <c r="E1671" s="88"/>
      <c r="F1671" s="89"/>
      <c r="G1671" s="89"/>
      <c r="H1671" s="89"/>
      <c r="I1671" s="88"/>
      <c r="J1671" s="88"/>
      <c r="K1671" s="88"/>
      <c r="L1671" s="88"/>
      <c r="M1671" s="88"/>
      <c r="N1671" s="88"/>
      <c r="O1671" s="88"/>
      <c r="P1671" s="88"/>
      <c r="Q1671" s="88"/>
      <c r="R1671" s="88"/>
      <c r="S1671" s="88"/>
      <c r="T1671" s="88"/>
      <c r="U1671" s="88"/>
      <c r="V1671" s="88"/>
      <c r="W1671" s="88"/>
      <c r="X1671" s="88"/>
      <c r="Y1671" s="88"/>
      <c r="Z1671" s="88"/>
    </row>
    <row r="1672" ht="17.25" customHeight="1">
      <c r="A1672" s="88"/>
      <c r="B1672" s="88"/>
      <c r="C1672" s="88"/>
      <c r="D1672" s="88"/>
      <c r="E1672" s="88"/>
      <c r="F1672" s="89"/>
      <c r="G1672" s="89"/>
      <c r="H1672" s="89"/>
      <c r="I1672" s="88"/>
      <c r="J1672" s="88"/>
      <c r="K1672" s="88"/>
      <c r="L1672" s="88"/>
      <c r="M1672" s="88"/>
      <c r="N1672" s="88"/>
      <c r="O1672" s="88"/>
      <c r="P1672" s="88"/>
      <c r="Q1672" s="88"/>
      <c r="R1672" s="88"/>
      <c r="S1672" s="88"/>
      <c r="T1672" s="88"/>
      <c r="U1672" s="88"/>
      <c r="V1672" s="88"/>
      <c r="W1672" s="88"/>
      <c r="X1672" s="88"/>
      <c r="Y1672" s="88"/>
      <c r="Z1672" s="88"/>
    </row>
    <row r="1673" ht="17.25" customHeight="1">
      <c r="A1673" s="88"/>
      <c r="B1673" s="88"/>
      <c r="C1673" s="88"/>
      <c r="D1673" s="88"/>
      <c r="E1673" s="88"/>
      <c r="F1673" s="89"/>
      <c r="G1673" s="89"/>
      <c r="H1673" s="89"/>
      <c r="I1673" s="88"/>
      <c r="J1673" s="88"/>
      <c r="K1673" s="88"/>
      <c r="L1673" s="88"/>
      <c r="M1673" s="88"/>
      <c r="N1673" s="88"/>
      <c r="O1673" s="88"/>
      <c r="P1673" s="88"/>
      <c r="Q1673" s="88"/>
      <c r="R1673" s="88"/>
      <c r="S1673" s="88"/>
      <c r="T1673" s="88"/>
      <c r="U1673" s="88"/>
      <c r="V1673" s="88"/>
      <c r="W1673" s="88"/>
      <c r="X1673" s="88"/>
      <c r="Y1673" s="88"/>
      <c r="Z1673" s="88"/>
    </row>
    <row r="1674" ht="17.25" customHeight="1">
      <c r="A1674" s="88"/>
      <c r="B1674" s="88"/>
      <c r="C1674" s="88"/>
      <c r="D1674" s="88"/>
      <c r="E1674" s="88"/>
      <c r="F1674" s="89"/>
      <c r="G1674" s="89"/>
      <c r="H1674" s="89"/>
      <c r="I1674" s="88"/>
      <c r="J1674" s="88"/>
      <c r="K1674" s="88"/>
      <c r="L1674" s="88"/>
      <c r="M1674" s="88"/>
      <c r="N1674" s="88"/>
      <c r="O1674" s="88"/>
      <c r="P1674" s="88"/>
      <c r="Q1674" s="88"/>
      <c r="R1674" s="88"/>
      <c r="S1674" s="88"/>
      <c r="T1674" s="88"/>
      <c r="U1674" s="88"/>
      <c r="V1674" s="88"/>
      <c r="W1674" s="88"/>
      <c r="X1674" s="88"/>
      <c r="Y1674" s="88"/>
      <c r="Z1674" s="88"/>
    </row>
    <row r="1675" ht="17.25" customHeight="1">
      <c r="A1675" s="88"/>
      <c r="B1675" s="88"/>
      <c r="C1675" s="88"/>
      <c r="D1675" s="88"/>
      <c r="E1675" s="88"/>
      <c r="F1675" s="89"/>
      <c r="G1675" s="89"/>
      <c r="H1675" s="89"/>
      <c r="I1675" s="88"/>
      <c r="J1675" s="88"/>
      <c r="K1675" s="88"/>
      <c r="L1675" s="88"/>
      <c r="M1675" s="88"/>
      <c r="N1675" s="88"/>
      <c r="O1675" s="88"/>
      <c r="P1675" s="88"/>
      <c r="Q1675" s="88"/>
      <c r="R1675" s="88"/>
      <c r="S1675" s="88"/>
      <c r="T1675" s="88"/>
      <c r="U1675" s="88"/>
      <c r="V1675" s="88"/>
      <c r="W1675" s="88"/>
      <c r="X1675" s="88"/>
      <c r="Y1675" s="88"/>
      <c r="Z1675" s="88"/>
    </row>
    <row r="1676" ht="17.25" customHeight="1">
      <c r="A1676" s="88"/>
      <c r="B1676" s="88"/>
      <c r="C1676" s="88"/>
      <c r="D1676" s="88"/>
      <c r="E1676" s="88"/>
      <c r="F1676" s="89"/>
      <c r="G1676" s="89"/>
      <c r="H1676" s="89"/>
      <c r="I1676" s="88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U1676" s="88"/>
      <c r="V1676" s="88"/>
      <c r="W1676" s="88"/>
      <c r="X1676" s="88"/>
      <c r="Y1676" s="88"/>
      <c r="Z1676" s="88"/>
    </row>
    <row r="1677" ht="17.25" customHeight="1">
      <c r="A1677" s="88"/>
      <c r="B1677" s="88"/>
      <c r="C1677" s="88"/>
      <c r="D1677" s="88"/>
      <c r="E1677" s="88"/>
      <c r="F1677" s="89"/>
      <c r="G1677" s="89"/>
      <c r="H1677" s="89"/>
      <c r="I1677" s="88"/>
      <c r="J1677" s="88"/>
      <c r="K1677" s="88"/>
      <c r="L1677" s="88"/>
      <c r="M1677" s="88"/>
      <c r="N1677" s="88"/>
      <c r="O1677" s="88"/>
      <c r="P1677" s="88"/>
      <c r="Q1677" s="88"/>
      <c r="R1677" s="88"/>
      <c r="S1677" s="88"/>
      <c r="T1677" s="88"/>
      <c r="U1677" s="88"/>
      <c r="V1677" s="88"/>
      <c r="W1677" s="88"/>
      <c r="X1677" s="88"/>
      <c r="Y1677" s="88"/>
      <c r="Z1677" s="88"/>
    </row>
    <row r="1678" ht="17.25" customHeight="1">
      <c r="A1678" s="88"/>
      <c r="B1678" s="88"/>
      <c r="C1678" s="88"/>
      <c r="D1678" s="88"/>
      <c r="E1678" s="88"/>
      <c r="F1678" s="89"/>
      <c r="G1678" s="89"/>
      <c r="H1678" s="89"/>
      <c r="I1678" s="88"/>
      <c r="J1678" s="88"/>
      <c r="K1678" s="88"/>
      <c r="L1678" s="88"/>
      <c r="M1678" s="88"/>
      <c r="N1678" s="88"/>
      <c r="O1678" s="88"/>
      <c r="P1678" s="88"/>
      <c r="Q1678" s="88"/>
      <c r="R1678" s="88"/>
      <c r="S1678" s="88"/>
      <c r="T1678" s="88"/>
      <c r="U1678" s="88"/>
      <c r="V1678" s="88"/>
      <c r="W1678" s="88"/>
      <c r="X1678" s="88"/>
      <c r="Y1678" s="88"/>
      <c r="Z1678" s="88"/>
    </row>
    <row r="1679" ht="17.25" customHeight="1">
      <c r="A1679" s="88"/>
      <c r="B1679" s="88"/>
      <c r="C1679" s="88"/>
      <c r="D1679" s="88"/>
      <c r="E1679" s="88"/>
      <c r="F1679" s="89"/>
      <c r="G1679" s="89"/>
      <c r="H1679" s="89"/>
      <c r="I1679" s="88"/>
      <c r="J1679" s="88"/>
      <c r="K1679" s="88"/>
      <c r="L1679" s="88"/>
      <c r="M1679" s="88"/>
      <c r="N1679" s="88"/>
      <c r="O1679" s="88"/>
      <c r="P1679" s="88"/>
      <c r="Q1679" s="88"/>
      <c r="R1679" s="88"/>
      <c r="S1679" s="88"/>
      <c r="T1679" s="88"/>
      <c r="U1679" s="88"/>
      <c r="V1679" s="88"/>
      <c r="W1679" s="88"/>
      <c r="X1679" s="88"/>
      <c r="Y1679" s="88"/>
      <c r="Z1679" s="88"/>
    </row>
    <row r="1680" ht="17.25" customHeight="1">
      <c r="A1680" s="88"/>
      <c r="B1680" s="88"/>
      <c r="C1680" s="88"/>
      <c r="D1680" s="88"/>
      <c r="E1680" s="88"/>
      <c r="F1680" s="89"/>
      <c r="G1680" s="89"/>
      <c r="H1680" s="89"/>
      <c r="I1680" s="88"/>
      <c r="J1680" s="88"/>
      <c r="K1680" s="88"/>
      <c r="L1680" s="88"/>
      <c r="M1680" s="88"/>
      <c r="N1680" s="88"/>
      <c r="O1680" s="88"/>
      <c r="P1680" s="88"/>
      <c r="Q1680" s="88"/>
      <c r="R1680" s="88"/>
      <c r="S1680" s="88"/>
      <c r="T1680" s="88"/>
      <c r="U1680" s="88"/>
      <c r="V1680" s="88"/>
      <c r="W1680" s="88"/>
      <c r="X1680" s="88"/>
      <c r="Y1680" s="88"/>
      <c r="Z1680" s="88"/>
    </row>
    <row r="1681" ht="17.25" customHeight="1">
      <c r="A1681" s="88"/>
      <c r="B1681" s="88"/>
      <c r="C1681" s="88"/>
      <c r="D1681" s="88"/>
      <c r="E1681" s="88"/>
      <c r="F1681" s="89"/>
      <c r="G1681" s="89"/>
      <c r="H1681" s="89"/>
      <c r="I1681" s="88"/>
      <c r="J1681" s="88"/>
      <c r="K1681" s="88"/>
      <c r="L1681" s="88"/>
      <c r="M1681" s="88"/>
      <c r="N1681" s="88"/>
      <c r="O1681" s="88"/>
      <c r="P1681" s="88"/>
      <c r="Q1681" s="88"/>
      <c r="R1681" s="88"/>
      <c r="S1681" s="88"/>
      <c r="T1681" s="88"/>
      <c r="U1681" s="88"/>
      <c r="V1681" s="88"/>
      <c r="W1681" s="88"/>
      <c r="X1681" s="88"/>
      <c r="Y1681" s="88"/>
      <c r="Z1681" s="88"/>
    </row>
    <row r="1682" ht="17.25" customHeight="1">
      <c r="A1682" s="88"/>
      <c r="B1682" s="88"/>
      <c r="C1682" s="88"/>
      <c r="D1682" s="88"/>
      <c r="E1682" s="88"/>
      <c r="F1682" s="89"/>
      <c r="G1682" s="89"/>
      <c r="H1682" s="89"/>
      <c r="I1682" s="88"/>
      <c r="J1682" s="88"/>
      <c r="K1682" s="88"/>
      <c r="L1682" s="88"/>
      <c r="M1682" s="88"/>
      <c r="N1682" s="88"/>
      <c r="O1682" s="88"/>
      <c r="P1682" s="88"/>
      <c r="Q1682" s="88"/>
      <c r="R1682" s="88"/>
      <c r="S1682" s="88"/>
      <c r="T1682" s="88"/>
      <c r="U1682" s="88"/>
      <c r="V1682" s="88"/>
      <c r="W1682" s="88"/>
      <c r="X1682" s="88"/>
      <c r="Y1682" s="88"/>
      <c r="Z1682" s="88"/>
    </row>
    <row r="1683" ht="17.25" customHeight="1">
      <c r="A1683" s="88"/>
      <c r="B1683" s="88"/>
      <c r="C1683" s="88"/>
      <c r="D1683" s="88"/>
      <c r="E1683" s="88"/>
      <c r="F1683" s="89"/>
      <c r="G1683" s="89"/>
      <c r="H1683" s="89"/>
      <c r="I1683" s="88"/>
      <c r="J1683" s="88"/>
      <c r="K1683" s="88"/>
      <c r="L1683" s="88"/>
      <c r="M1683" s="88"/>
      <c r="N1683" s="88"/>
      <c r="O1683" s="88"/>
      <c r="P1683" s="88"/>
      <c r="Q1683" s="88"/>
      <c r="R1683" s="88"/>
      <c r="S1683" s="88"/>
      <c r="T1683" s="88"/>
      <c r="U1683" s="88"/>
      <c r="V1683" s="88"/>
      <c r="W1683" s="88"/>
      <c r="X1683" s="88"/>
      <c r="Y1683" s="88"/>
      <c r="Z1683" s="88"/>
    </row>
    <row r="1684" ht="17.25" customHeight="1">
      <c r="A1684" s="88"/>
      <c r="B1684" s="88"/>
      <c r="C1684" s="88"/>
      <c r="D1684" s="88"/>
      <c r="E1684" s="88"/>
      <c r="F1684" s="89"/>
      <c r="G1684" s="89"/>
      <c r="H1684" s="89"/>
      <c r="I1684" s="88"/>
      <c r="J1684" s="88"/>
      <c r="K1684" s="88"/>
      <c r="L1684" s="88"/>
      <c r="M1684" s="88"/>
      <c r="N1684" s="88"/>
      <c r="O1684" s="88"/>
      <c r="P1684" s="88"/>
      <c r="Q1684" s="88"/>
      <c r="R1684" s="88"/>
      <c r="S1684" s="88"/>
      <c r="T1684" s="88"/>
      <c r="U1684" s="88"/>
      <c r="V1684" s="88"/>
      <c r="W1684" s="88"/>
      <c r="X1684" s="88"/>
      <c r="Y1684" s="88"/>
      <c r="Z1684" s="88"/>
    </row>
    <row r="1685" ht="17.25" customHeight="1">
      <c r="A1685" s="88"/>
      <c r="B1685" s="88"/>
      <c r="C1685" s="88"/>
      <c r="D1685" s="88"/>
      <c r="E1685" s="88"/>
      <c r="F1685" s="89"/>
      <c r="G1685" s="89"/>
      <c r="H1685" s="89"/>
      <c r="I1685" s="88"/>
      <c r="J1685" s="88"/>
      <c r="K1685" s="88"/>
      <c r="L1685" s="88"/>
      <c r="M1685" s="88"/>
      <c r="N1685" s="88"/>
      <c r="O1685" s="88"/>
      <c r="P1685" s="88"/>
      <c r="Q1685" s="88"/>
      <c r="R1685" s="88"/>
      <c r="S1685" s="88"/>
      <c r="T1685" s="88"/>
      <c r="U1685" s="88"/>
      <c r="V1685" s="88"/>
      <c r="W1685" s="88"/>
      <c r="X1685" s="88"/>
      <c r="Y1685" s="88"/>
      <c r="Z1685" s="88"/>
    </row>
    <row r="1686" ht="17.25" customHeight="1">
      <c r="A1686" s="88"/>
      <c r="B1686" s="88"/>
      <c r="C1686" s="88"/>
      <c r="D1686" s="88"/>
      <c r="E1686" s="88"/>
      <c r="F1686" s="89"/>
      <c r="G1686" s="89"/>
      <c r="H1686" s="89"/>
      <c r="I1686" s="88"/>
      <c r="J1686" s="88"/>
      <c r="K1686" s="88"/>
      <c r="L1686" s="88"/>
      <c r="M1686" s="88"/>
      <c r="N1686" s="88"/>
      <c r="O1686" s="88"/>
      <c r="P1686" s="88"/>
      <c r="Q1686" s="88"/>
      <c r="R1686" s="88"/>
      <c r="S1686" s="88"/>
      <c r="T1686" s="88"/>
      <c r="U1686" s="88"/>
      <c r="V1686" s="88"/>
      <c r="W1686" s="88"/>
      <c r="X1686" s="88"/>
      <c r="Y1686" s="88"/>
      <c r="Z1686" s="88"/>
    </row>
    <row r="1687" ht="17.25" customHeight="1">
      <c r="A1687" s="88"/>
      <c r="B1687" s="88"/>
      <c r="C1687" s="88"/>
      <c r="D1687" s="88"/>
      <c r="E1687" s="88"/>
      <c r="F1687" s="89"/>
      <c r="G1687" s="89"/>
      <c r="H1687" s="89"/>
      <c r="I1687" s="88"/>
      <c r="J1687" s="88"/>
      <c r="K1687" s="88"/>
      <c r="L1687" s="88"/>
      <c r="M1687" s="88"/>
      <c r="N1687" s="88"/>
      <c r="O1687" s="88"/>
      <c r="P1687" s="88"/>
      <c r="Q1687" s="88"/>
      <c r="R1687" s="88"/>
      <c r="S1687" s="88"/>
      <c r="T1687" s="88"/>
      <c r="U1687" s="88"/>
      <c r="V1687" s="88"/>
      <c r="W1687" s="88"/>
      <c r="X1687" s="88"/>
      <c r="Y1687" s="88"/>
      <c r="Z1687" s="88"/>
    </row>
    <row r="1688" ht="17.25" customHeight="1">
      <c r="A1688" s="88"/>
      <c r="B1688" s="88"/>
      <c r="C1688" s="88"/>
      <c r="D1688" s="88"/>
      <c r="E1688" s="88"/>
      <c r="F1688" s="89"/>
      <c r="G1688" s="89"/>
      <c r="H1688" s="89"/>
      <c r="I1688" s="88"/>
      <c r="J1688" s="88"/>
      <c r="K1688" s="88"/>
      <c r="L1688" s="88"/>
      <c r="M1688" s="88"/>
      <c r="N1688" s="88"/>
      <c r="O1688" s="88"/>
      <c r="P1688" s="88"/>
      <c r="Q1688" s="88"/>
      <c r="R1688" s="88"/>
      <c r="S1688" s="88"/>
      <c r="T1688" s="88"/>
      <c r="U1688" s="88"/>
      <c r="V1688" s="88"/>
      <c r="W1688" s="88"/>
      <c r="X1688" s="88"/>
      <c r="Y1688" s="88"/>
      <c r="Z1688" s="88"/>
    </row>
    <row r="1689" ht="17.25" customHeight="1">
      <c r="A1689" s="88"/>
      <c r="B1689" s="88"/>
      <c r="C1689" s="88"/>
      <c r="D1689" s="88"/>
      <c r="E1689" s="88"/>
      <c r="F1689" s="89"/>
      <c r="G1689" s="89"/>
      <c r="H1689" s="89"/>
      <c r="I1689" s="88"/>
      <c r="J1689" s="88"/>
      <c r="K1689" s="88"/>
      <c r="L1689" s="88"/>
      <c r="M1689" s="88"/>
      <c r="N1689" s="88"/>
      <c r="O1689" s="88"/>
      <c r="P1689" s="88"/>
      <c r="Q1689" s="88"/>
      <c r="R1689" s="88"/>
      <c r="S1689" s="88"/>
      <c r="T1689" s="88"/>
      <c r="U1689" s="88"/>
      <c r="V1689" s="88"/>
      <c r="W1689" s="88"/>
      <c r="X1689" s="88"/>
      <c r="Y1689" s="88"/>
      <c r="Z1689" s="88"/>
    </row>
    <row r="1690" ht="17.25" customHeight="1">
      <c r="A1690" s="88"/>
      <c r="B1690" s="88"/>
      <c r="C1690" s="88"/>
      <c r="D1690" s="88"/>
      <c r="E1690" s="88"/>
      <c r="F1690" s="89"/>
      <c r="G1690" s="89"/>
      <c r="H1690" s="89"/>
      <c r="I1690" s="88"/>
      <c r="J1690" s="88"/>
      <c r="K1690" s="88"/>
      <c r="L1690" s="88"/>
      <c r="M1690" s="88"/>
      <c r="N1690" s="88"/>
      <c r="O1690" s="88"/>
      <c r="P1690" s="88"/>
      <c r="Q1690" s="88"/>
      <c r="R1690" s="88"/>
      <c r="S1690" s="88"/>
      <c r="T1690" s="88"/>
      <c r="U1690" s="88"/>
      <c r="V1690" s="88"/>
      <c r="W1690" s="88"/>
      <c r="X1690" s="88"/>
      <c r="Y1690" s="88"/>
      <c r="Z1690" s="88"/>
    </row>
    <row r="1691" ht="17.25" customHeight="1">
      <c r="A1691" s="88"/>
      <c r="B1691" s="88"/>
      <c r="C1691" s="88"/>
      <c r="D1691" s="88"/>
      <c r="E1691" s="88"/>
      <c r="F1691" s="89"/>
      <c r="G1691" s="89"/>
      <c r="H1691" s="89"/>
      <c r="I1691" s="88"/>
      <c r="J1691" s="88"/>
      <c r="K1691" s="88"/>
      <c r="L1691" s="88"/>
      <c r="M1691" s="88"/>
      <c r="N1691" s="88"/>
      <c r="O1691" s="88"/>
      <c r="P1691" s="88"/>
      <c r="Q1691" s="88"/>
      <c r="R1691" s="88"/>
      <c r="S1691" s="88"/>
      <c r="T1691" s="88"/>
      <c r="U1691" s="88"/>
      <c r="V1691" s="88"/>
      <c r="W1691" s="88"/>
      <c r="X1691" s="88"/>
      <c r="Y1691" s="88"/>
      <c r="Z1691" s="88"/>
    </row>
    <row r="1692" ht="17.25" customHeight="1">
      <c r="A1692" s="88"/>
      <c r="B1692" s="88"/>
      <c r="C1692" s="88"/>
      <c r="D1692" s="88"/>
      <c r="E1692" s="88"/>
      <c r="F1692" s="89"/>
      <c r="G1692" s="89"/>
      <c r="H1692" s="89"/>
      <c r="I1692" s="88"/>
      <c r="J1692" s="88"/>
      <c r="K1692" s="88"/>
      <c r="L1692" s="88"/>
      <c r="M1692" s="88"/>
      <c r="N1692" s="88"/>
      <c r="O1692" s="88"/>
      <c r="P1692" s="88"/>
      <c r="Q1692" s="88"/>
      <c r="R1692" s="88"/>
      <c r="S1692" s="88"/>
      <c r="T1692" s="88"/>
      <c r="U1692" s="88"/>
      <c r="V1692" s="88"/>
      <c r="W1692" s="88"/>
      <c r="X1692" s="88"/>
      <c r="Y1692" s="88"/>
      <c r="Z1692" s="88"/>
    </row>
    <row r="1693" ht="17.25" customHeight="1">
      <c r="A1693" s="88"/>
      <c r="B1693" s="88"/>
      <c r="C1693" s="88"/>
      <c r="D1693" s="88"/>
      <c r="E1693" s="88"/>
      <c r="F1693" s="89"/>
      <c r="G1693" s="89"/>
      <c r="H1693" s="89"/>
      <c r="I1693" s="88"/>
      <c r="J1693" s="88"/>
      <c r="K1693" s="88"/>
      <c r="L1693" s="88"/>
      <c r="M1693" s="88"/>
      <c r="N1693" s="88"/>
      <c r="O1693" s="88"/>
      <c r="P1693" s="88"/>
      <c r="Q1693" s="88"/>
      <c r="R1693" s="88"/>
      <c r="S1693" s="88"/>
      <c r="T1693" s="88"/>
      <c r="U1693" s="88"/>
      <c r="V1693" s="88"/>
      <c r="W1693" s="88"/>
      <c r="X1693" s="88"/>
      <c r="Y1693" s="88"/>
      <c r="Z1693" s="88"/>
    </row>
    <row r="1694" ht="17.25" customHeight="1">
      <c r="A1694" s="88"/>
      <c r="B1694" s="88"/>
      <c r="C1694" s="88"/>
      <c r="D1694" s="88"/>
      <c r="E1694" s="88"/>
      <c r="F1694" s="89"/>
      <c r="G1694" s="89"/>
      <c r="H1694" s="89"/>
      <c r="I1694" s="88"/>
      <c r="J1694" s="88"/>
      <c r="K1694" s="88"/>
      <c r="L1694" s="88"/>
      <c r="M1694" s="88"/>
      <c r="N1694" s="88"/>
      <c r="O1694" s="88"/>
      <c r="P1694" s="88"/>
      <c r="Q1694" s="88"/>
      <c r="R1694" s="88"/>
      <c r="S1694" s="88"/>
      <c r="T1694" s="88"/>
      <c r="U1694" s="88"/>
      <c r="V1694" s="88"/>
      <c r="W1694" s="88"/>
      <c r="X1694" s="88"/>
      <c r="Y1694" s="88"/>
      <c r="Z1694" s="88"/>
    </row>
    <row r="1695" ht="17.25" customHeight="1">
      <c r="A1695" s="88"/>
      <c r="B1695" s="88"/>
      <c r="C1695" s="88"/>
      <c r="D1695" s="88"/>
      <c r="E1695" s="88"/>
      <c r="F1695" s="89"/>
      <c r="G1695" s="89"/>
      <c r="H1695" s="89"/>
      <c r="I1695" s="88"/>
      <c r="J1695" s="88"/>
      <c r="K1695" s="88"/>
      <c r="L1695" s="88"/>
      <c r="M1695" s="88"/>
      <c r="N1695" s="88"/>
      <c r="O1695" s="88"/>
      <c r="P1695" s="88"/>
      <c r="Q1695" s="88"/>
      <c r="R1695" s="88"/>
      <c r="S1695" s="88"/>
      <c r="T1695" s="88"/>
      <c r="U1695" s="88"/>
      <c r="V1695" s="88"/>
      <c r="W1695" s="88"/>
      <c r="X1695" s="88"/>
      <c r="Y1695" s="88"/>
      <c r="Z1695" s="88"/>
    </row>
    <row r="1696" ht="17.25" customHeight="1">
      <c r="A1696" s="88"/>
      <c r="B1696" s="88"/>
      <c r="C1696" s="88"/>
      <c r="D1696" s="88"/>
      <c r="E1696" s="88"/>
      <c r="F1696" s="89"/>
      <c r="G1696" s="89"/>
      <c r="H1696" s="89"/>
      <c r="I1696" s="88"/>
      <c r="J1696" s="88"/>
      <c r="K1696" s="88"/>
      <c r="L1696" s="88"/>
      <c r="M1696" s="88"/>
      <c r="N1696" s="88"/>
      <c r="O1696" s="88"/>
      <c r="P1696" s="88"/>
      <c r="Q1696" s="88"/>
      <c r="R1696" s="88"/>
      <c r="S1696" s="88"/>
      <c r="T1696" s="88"/>
      <c r="U1696" s="88"/>
      <c r="V1696" s="88"/>
      <c r="W1696" s="88"/>
      <c r="X1696" s="88"/>
      <c r="Y1696" s="88"/>
      <c r="Z1696" s="88"/>
    </row>
    <row r="1697" ht="17.25" customHeight="1">
      <c r="A1697" s="88"/>
      <c r="B1697" s="88"/>
      <c r="C1697" s="88"/>
      <c r="D1697" s="88"/>
      <c r="E1697" s="88"/>
      <c r="F1697" s="89"/>
      <c r="G1697" s="89"/>
      <c r="H1697" s="89"/>
      <c r="I1697" s="88"/>
      <c r="J1697" s="88"/>
      <c r="K1697" s="88"/>
      <c r="L1697" s="88"/>
      <c r="M1697" s="88"/>
      <c r="N1697" s="88"/>
      <c r="O1697" s="88"/>
      <c r="P1697" s="88"/>
      <c r="Q1697" s="88"/>
      <c r="R1697" s="88"/>
      <c r="S1697" s="88"/>
      <c r="T1697" s="88"/>
      <c r="U1697" s="88"/>
      <c r="V1697" s="88"/>
      <c r="W1697" s="88"/>
      <c r="X1697" s="88"/>
      <c r="Y1697" s="88"/>
      <c r="Z1697" s="88"/>
    </row>
    <row r="1698" ht="17.25" customHeight="1">
      <c r="A1698" s="88"/>
      <c r="B1698" s="88"/>
      <c r="C1698" s="88"/>
      <c r="D1698" s="88"/>
      <c r="E1698" s="88"/>
      <c r="F1698" s="89"/>
      <c r="G1698" s="89"/>
      <c r="H1698" s="89"/>
      <c r="I1698" s="88"/>
      <c r="J1698" s="88"/>
      <c r="K1698" s="88"/>
      <c r="L1698" s="88"/>
      <c r="M1698" s="88"/>
      <c r="N1698" s="88"/>
      <c r="O1698" s="88"/>
      <c r="P1698" s="88"/>
      <c r="Q1698" s="88"/>
      <c r="R1698" s="88"/>
      <c r="S1698" s="88"/>
      <c r="T1698" s="88"/>
      <c r="U1698" s="88"/>
      <c r="V1698" s="88"/>
      <c r="W1698" s="88"/>
      <c r="X1698" s="88"/>
      <c r="Y1698" s="88"/>
      <c r="Z1698" s="88"/>
    </row>
    <row r="1699" ht="17.25" customHeight="1">
      <c r="A1699" s="88"/>
      <c r="B1699" s="88"/>
      <c r="C1699" s="88"/>
      <c r="D1699" s="88"/>
      <c r="E1699" s="88"/>
      <c r="F1699" s="89"/>
      <c r="G1699" s="89"/>
      <c r="H1699" s="89"/>
      <c r="I1699" s="88"/>
      <c r="J1699" s="88"/>
      <c r="K1699" s="88"/>
      <c r="L1699" s="88"/>
      <c r="M1699" s="88"/>
      <c r="N1699" s="88"/>
      <c r="O1699" s="88"/>
      <c r="P1699" s="88"/>
      <c r="Q1699" s="88"/>
      <c r="R1699" s="88"/>
      <c r="S1699" s="88"/>
      <c r="T1699" s="88"/>
      <c r="U1699" s="88"/>
      <c r="V1699" s="88"/>
      <c r="W1699" s="88"/>
      <c r="X1699" s="88"/>
      <c r="Y1699" s="88"/>
      <c r="Z1699" s="88"/>
    </row>
    <row r="1700" ht="17.25" customHeight="1">
      <c r="A1700" s="88"/>
      <c r="B1700" s="88"/>
      <c r="C1700" s="88"/>
      <c r="D1700" s="88"/>
      <c r="E1700" s="88"/>
      <c r="F1700" s="89"/>
      <c r="G1700" s="89"/>
      <c r="H1700" s="89"/>
      <c r="I1700" s="88"/>
      <c r="J1700" s="88"/>
      <c r="K1700" s="88"/>
      <c r="L1700" s="88"/>
      <c r="M1700" s="88"/>
      <c r="N1700" s="88"/>
      <c r="O1700" s="88"/>
      <c r="P1700" s="88"/>
      <c r="Q1700" s="88"/>
      <c r="R1700" s="88"/>
      <c r="S1700" s="88"/>
      <c r="T1700" s="88"/>
      <c r="U1700" s="88"/>
      <c r="V1700" s="88"/>
      <c r="W1700" s="88"/>
      <c r="X1700" s="88"/>
      <c r="Y1700" s="88"/>
      <c r="Z1700" s="88"/>
    </row>
    <row r="1701" ht="17.25" customHeight="1">
      <c r="A1701" s="88"/>
      <c r="B1701" s="88"/>
      <c r="C1701" s="88"/>
      <c r="D1701" s="88"/>
      <c r="E1701" s="88"/>
      <c r="F1701" s="89"/>
      <c r="G1701" s="89"/>
      <c r="H1701" s="89"/>
      <c r="I1701" s="88"/>
      <c r="J1701" s="88"/>
      <c r="K1701" s="88"/>
      <c r="L1701" s="88"/>
      <c r="M1701" s="88"/>
      <c r="N1701" s="88"/>
      <c r="O1701" s="88"/>
      <c r="P1701" s="88"/>
      <c r="Q1701" s="88"/>
      <c r="R1701" s="88"/>
      <c r="S1701" s="88"/>
      <c r="T1701" s="88"/>
      <c r="U1701" s="88"/>
      <c r="V1701" s="88"/>
      <c r="W1701" s="88"/>
      <c r="X1701" s="88"/>
      <c r="Y1701" s="88"/>
      <c r="Z1701" s="88"/>
    </row>
    <row r="1702" ht="17.25" customHeight="1">
      <c r="A1702" s="88"/>
      <c r="B1702" s="88"/>
      <c r="C1702" s="88"/>
      <c r="D1702" s="88"/>
      <c r="E1702" s="88"/>
      <c r="F1702" s="89"/>
      <c r="G1702" s="89"/>
      <c r="H1702" s="89"/>
      <c r="I1702" s="88"/>
      <c r="J1702" s="88"/>
      <c r="K1702" s="88"/>
      <c r="L1702" s="88"/>
      <c r="M1702" s="88"/>
      <c r="N1702" s="88"/>
      <c r="O1702" s="88"/>
      <c r="P1702" s="88"/>
      <c r="Q1702" s="88"/>
      <c r="R1702" s="88"/>
      <c r="S1702" s="88"/>
      <c r="T1702" s="88"/>
      <c r="U1702" s="88"/>
      <c r="V1702" s="88"/>
      <c r="W1702" s="88"/>
      <c r="X1702" s="88"/>
      <c r="Y1702" s="88"/>
      <c r="Z1702" s="88"/>
    </row>
    <row r="1703" ht="17.25" customHeight="1">
      <c r="A1703" s="88"/>
      <c r="B1703" s="88"/>
      <c r="C1703" s="88"/>
      <c r="D1703" s="88"/>
      <c r="E1703" s="88"/>
      <c r="F1703" s="89"/>
      <c r="G1703" s="89"/>
      <c r="H1703" s="89"/>
      <c r="I1703" s="88"/>
      <c r="J1703" s="88"/>
      <c r="K1703" s="88"/>
      <c r="L1703" s="88"/>
      <c r="M1703" s="88"/>
      <c r="N1703" s="88"/>
      <c r="O1703" s="88"/>
      <c r="P1703" s="88"/>
      <c r="Q1703" s="88"/>
      <c r="R1703" s="88"/>
      <c r="S1703" s="88"/>
      <c r="T1703" s="88"/>
      <c r="U1703" s="88"/>
      <c r="V1703" s="88"/>
      <c r="W1703" s="88"/>
      <c r="X1703" s="88"/>
      <c r="Y1703" s="88"/>
      <c r="Z1703" s="88"/>
    </row>
    <row r="1704" ht="17.25" customHeight="1">
      <c r="A1704" s="88"/>
      <c r="B1704" s="88"/>
      <c r="C1704" s="88"/>
      <c r="D1704" s="88"/>
      <c r="E1704" s="88"/>
      <c r="F1704" s="89"/>
      <c r="G1704" s="89"/>
      <c r="H1704" s="89"/>
      <c r="I1704" s="88"/>
      <c r="J1704" s="88"/>
      <c r="K1704" s="88"/>
      <c r="L1704" s="88"/>
      <c r="M1704" s="88"/>
      <c r="N1704" s="88"/>
      <c r="O1704" s="88"/>
      <c r="P1704" s="88"/>
      <c r="Q1704" s="88"/>
      <c r="R1704" s="88"/>
      <c r="S1704" s="88"/>
      <c r="T1704" s="88"/>
      <c r="U1704" s="88"/>
      <c r="V1704" s="88"/>
      <c r="W1704" s="88"/>
      <c r="X1704" s="88"/>
      <c r="Y1704" s="88"/>
      <c r="Z1704" s="88"/>
    </row>
    <row r="1705" ht="17.25" customHeight="1">
      <c r="A1705" s="88"/>
      <c r="B1705" s="88"/>
      <c r="C1705" s="88"/>
      <c r="D1705" s="88"/>
      <c r="E1705" s="88"/>
      <c r="F1705" s="89"/>
      <c r="G1705" s="89"/>
      <c r="H1705" s="89"/>
      <c r="I1705" s="88"/>
      <c r="J1705" s="88"/>
      <c r="K1705" s="88"/>
      <c r="L1705" s="88"/>
      <c r="M1705" s="88"/>
      <c r="N1705" s="88"/>
      <c r="O1705" s="88"/>
      <c r="P1705" s="88"/>
      <c r="Q1705" s="88"/>
      <c r="R1705" s="88"/>
      <c r="S1705" s="88"/>
      <c r="T1705" s="88"/>
      <c r="U1705" s="88"/>
      <c r="V1705" s="88"/>
      <c r="W1705" s="88"/>
      <c r="X1705" s="88"/>
      <c r="Y1705" s="88"/>
      <c r="Z1705" s="88"/>
    </row>
    <row r="1706" ht="17.25" customHeight="1">
      <c r="A1706" s="88"/>
      <c r="B1706" s="88"/>
      <c r="C1706" s="88"/>
      <c r="D1706" s="88"/>
      <c r="E1706" s="88"/>
      <c r="F1706" s="89"/>
      <c r="G1706" s="89"/>
      <c r="H1706" s="89"/>
      <c r="I1706" s="88"/>
      <c r="J1706" s="88"/>
      <c r="K1706" s="88"/>
      <c r="L1706" s="88"/>
      <c r="M1706" s="88"/>
      <c r="N1706" s="88"/>
      <c r="O1706" s="88"/>
      <c r="P1706" s="88"/>
      <c r="Q1706" s="88"/>
      <c r="R1706" s="88"/>
      <c r="S1706" s="88"/>
      <c r="T1706" s="88"/>
      <c r="U1706" s="88"/>
      <c r="V1706" s="88"/>
      <c r="W1706" s="88"/>
      <c r="X1706" s="88"/>
      <c r="Y1706" s="88"/>
      <c r="Z1706" s="88"/>
    </row>
    <row r="1707" ht="17.25" customHeight="1">
      <c r="A1707" s="88"/>
      <c r="B1707" s="88"/>
      <c r="C1707" s="88"/>
      <c r="D1707" s="88"/>
      <c r="E1707" s="88"/>
      <c r="F1707" s="89"/>
      <c r="G1707" s="89"/>
      <c r="H1707" s="89"/>
      <c r="I1707" s="88"/>
      <c r="J1707" s="88"/>
      <c r="K1707" s="88"/>
      <c r="L1707" s="88"/>
      <c r="M1707" s="88"/>
      <c r="N1707" s="88"/>
      <c r="O1707" s="88"/>
      <c r="P1707" s="88"/>
      <c r="Q1707" s="88"/>
      <c r="R1707" s="88"/>
      <c r="S1707" s="88"/>
      <c r="T1707" s="88"/>
      <c r="U1707" s="88"/>
      <c r="V1707" s="88"/>
      <c r="W1707" s="88"/>
      <c r="X1707" s="88"/>
      <c r="Y1707" s="88"/>
      <c r="Z1707" s="88"/>
    </row>
    <row r="1708" ht="17.25" customHeight="1">
      <c r="A1708" s="88"/>
      <c r="B1708" s="88"/>
      <c r="C1708" s="88"/>
      <c r="D1708" s="88"/>
      <c r="E1708" s="88"/>
      <c r="F1708" s="89"/>
      <c r="G1708" s="89"/>
      <c r="H1708" s="89"/>
      <c r="I1708" s="88"/>
      <c r="J1708" s="88"/>
      <c r="K1708" s="88"/>
      <c r="L1708" s="88"/>
      <c r="M1708" s="88"/>
      <c r="N1708" s="88"/>
      <c r="O1708" s="88"/>
      <c r="P1708" s="88"/>
      <c r="Q1708" s="88"/>
      <c r="R1708" s="88"/>
      <c r="S1708" s="88"/>
      <c r="T1708" s="88"/>
      <c r="U1708" s="88"/>
      <c r="V1708" s="88"/>
      <c r="W1708" s="88"/>
      <c r="X1708" s="88"/>
      <c r="Y1708" s="88"/>
      <c r="Z1708" s="88"/>
    </row>
    <row r="1709" ht="17.25" customHeight="1">
      <c r="A1709" s="88"/>
      <c r="B1709" s="88"/>
      <c r="C1709" s="88"/>
      <c r="D1709" s="88"/>
      <c r="E1709" s="88"/>
      <c r="F1709" s="89"/>
      <c r="G1709" s="89"/>
      <c r="H1709" s="89"/>
      <c r="I1709" s="88"/>
      <c r="J1709" s="88"/>
      <c r="K1709" s="88"/>
      <c r="L1709" s="88"/>
      <c r="M1709" s="88"/>
      <c r="N1709" s="88"/>
      <c r="O1709" s="88"/>
      <c r="P1709" s="88"/>
      <c r="Q1709" s="88"/>
      <c r="R1709" s="88"/>
      <c r="S1709" s="88"/>
      <c r="T1709" s="88"/>
      <c r="U1709" s="88"/>
      <c r="V1709" s="88"/>
      <c r="W1709" s="88"/>
      <c r="X1709" s="88"/>
      <c r="Y1709" s="88"/>
      <c r="Z1709" s="88"/>
    </row>
    <row r="1710" ht="17.25" customHeight="1">
      <c r="A1710" s="88"/>
      <c r="B1710" s="88"/>
      <c r="C1710" s="88"/>
      <c r="D1710" s="88"/>
      <c r="E1710" s="88"/>
      <c r="F1710" s="89"/>
      <c r="G1710" s="89"/>
      <c r="H1710" s="89"/>
      <c r="I1710" s="88"/>
      <c r="J1710" s="88"/>
      <c r="K1710" s="88"/>
      <c r="L1710" s="88"/>
      <c r="M1710" s="88"/>
      <c r="N1710" s="88"/>
      <c r="O1710" s="88"/>
      <c r="P1710" s="88"/>
      <c r="Q1710" s="88"/>
      <c r="R1710" s="88"/>
      <c r="S1710" s="88"/>
      <c r="T1710" s="88"/>
      <c r="U1710" s="88"/>
      <c r="V1710" s="88"/>
      <c r="W1710" s="88"/>
      <c r="X1710" s="88"/>
      <c r="Y1710" s="88"/>
      <c r="Z1710" s="88"/>
    </row>
    <row r="1711" ht="17.25" customHeight="1">
      <c r="A1711" s="88"/>
      <c r="B1711" s="88"/>
      <c r="C1711" s="88"/>
      <c r="D1711" s="88"/>
      <c r="E1711" s="88"/>
      <c r="F1711" s="89"/>
      <c r="G1711" s="89"/>
      <c r="H1711" s="89"/>
      <c r="I1711" s="88"/>
      <c r="J1711" s="88"/>
      <c r="K1711" s="88"/>
      <c r="L1711" s="88"/>
      <c r="M1711" s="88"/>
      <c r="N1711" s="88"/>
      <c r="O1711" s="88"/>
      <c r="P1711" s="88"/>
      <c r="Q1711" s="88"/>
      <c r="R1711" s="88"/>
      <c r="S1711" s="88"/>
      <c r="T1711" s="88"/>
      <c r="U1711" s="88"/>
      <c r="V1711" s="88"/>
      <c r="W1711" s="88"/>
      <c r="X1711" s="88"/>
      <c r="Y1711" s="88"/>
      <c r="Z1711" s="88"/>
    </row>
    <row r="1712" ht="17.25" customHeight="1">
      <c r="A1712" s="88"/>
      <c r="B1712" s="88"/>
      <c r="C1712" s="88"/>
      <c r="D1712" s="88"/>
      <c r="E1712" s="88"/>
      <c r="F1712" s="89"/>
      <c r="G1712" s="89"/>
      <c r="H1712" s="89"/>
      <c r="I1712" s="88"/>
      <c r="J1712" s="88"/>
      <c r="K1712" s="88"/>
      <c r="L1712" s="88"/>
      <c r="M1712" s="88"/>
      <c r="N1712" s="88"/>
      <c r="O1712" s="88"/>
      <c r="P1712" s="88"/>
      <c r="Q1712" s="88"/>
      <c r="R1712" s="88"/>
      <c r="S1712" s="88"/>
      <c r="T1712" s="88"/>
      <c r="U1712" s="88"/>
      <c r="V1712" s="88"/>
      <c r="W1712" s="88"/>
      <c r="X1712" s="88"/>
      <c r="Y1712" s="88"/>
      <c r="Z1712" s="88"/>
    </row>
    <row r="1713" ht="17.25" customHeight="1">
      <c r="A1713" s="88"/>
      <c r="B1713" s="88"/>
      <c r="C1713" s="88"/>
      <c r="D1713" s="88"/>
      <c r="E1713" s="88"/>
      <c r="F1713" s="89"/>
      <c r="G1713" s="89"/>
      <c r="H1713" s="89"/>
      <c r="I1713" s="88"/>
      <c r="J1713" s="88"/>
      <c r="K1713" s="88"/>
      <c r="L1713" s="88"/>
      <c r="M1713" s="88"/>
      <c r="N1713" s="88"/>
      <c r="O1713" s="88"/>
      <c r="P1713" s="88"/>
      <c r="Q1713" s="88"/>
      <c r="R1713" s="88"/>
      <c r="S1713" s="88"/>
      <c r="T1713" s="88"/>
      <c r="U1713" s="88"/>
      <c r="V1713" s="88"/>
      <c r="W1713" s="88"/>
      <c r="X1713" s="88"/>
      <c r="Y1713" s="88"/>
      <c r="Z1713" s="88"/>
    </row>
    <row r="1714" ht="17.25" customHeight="1">
      <c r="A1714" s="88"/>
      <c r="B1714" s="88"/>
      <c r="C1714" s="88"/>
      <c r="D1714" s="88"/>
      <c r="E1714" s="88"/>
      <c r="F1714" s="89"/>
      <c r="G1714" s="89"/>
      <c r="H1714" s="89"/>
      <c r="I1714" s="88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U1714" s="88"/>
      <c r="V1714" s="88"/>
      <c r="W1714" s="88"/>
      <c r="X1714" s="88"/>
      <c r="Y1714" s="88"/>
      <c r="Z1714" s="88"/>
    </row>
    <row r="1715" ht="17.25" customHeight="1">
      <c r="A1715" s="88"/>
      <c r="B1715" s="88"/>
      <c r="C1715" s="88"/>
      <c r="D1715" s="88"/>
      <c r="E1715" s="88"/>
      <c r="F1715" s="89"/>
      <c r="G1715" s="89"/>
      <c r="H1715" s="89"/>
      <c r="I1715" s="88"/>
      <c r="J1715" s="88"/>
      <c r="K1715" s="88"/>
      <c r="L1715" s="88"/>
      <c r="M1715" s="88"/>
      <c r="N1715" s="88"/>
      <c r="O1715" s="88"/>
      <c r="P1715" s="88"/>
      <c r="Q1715" s="88"/>
      <c r="R1715" s="88"/>
      <c r="S1715" s="88"/>
      <c r="T1715" s="88"/>
      <c r="U1715" s="88"/>
      <c r="V1715" s="88"/>
      <c r="W1715" s="88"/>
      <c r="X1715" s="88"/>
      <c r="Y1715" s="88"/>
      <c r="Z1715" s="88"/>
    </row>
    <row r="1716" ht="17.25" customHeight="1">
      <c r="A1716" s="88"/>
      <c r="B1716" s="88"/>
      <c r="C1716" s="88"/>
      <c r="D1716" s="88"/>
      <c r="E1716" s="88"/>
      <c r="F1716" s="89"/>
      <c r="G1716" s="89"/>
      <c r="H1716" s="89"/>
      <c r="I1716" s="88"/>
      <c r="J1716" s="88"/>
      <c r="K1716" s="88"/>
      <c r="L1716" s="88"/>
      <c r="M1716" s="88"/>
      <c r="N1716" s="88"/>
      <c r="O1716" s="88"/>
      <c r="P1716" s="88"/>
      <c r="Q1716" s="88"/>
      <c r="R1716" s="88"/>
      <c r="S1716" s="88"/>
      <c r="T1716" s="88"/>
      <c r="U1716" s="88"/>
      <c r="V1716" s="88"/>
      <c r="W1716" s="88"/>
      <c r="X1716" s="88"/>
      <c r="Y1716" s="88"/>
      <c r="Z1716" s="88"/>
    </row>
    <row r="1717" ht="17.25" customHeight="1">
      <c r="A1717" s="88"/>
      <c r="B1717" s="88"/>
      <c r="C1717" s="88"/>
      <c r="D1717" s="88"/>
      <c r="E1717" s="88"/>
      <c r="F1717" s="89"/>
      <c r="G1717" s="89"/>
      <c r="H1717" s="89"/>
      <c r="I1717" s="88"/>
      <c r="J1717" s="88"/>
      <c r="K1717" s="88"/>
      <c r="L1717" s="88"/>
      <c r="M1717" s="88"/>
      <c r="N1717" s="88"/>
      <c r="O1717" s="88"/>
      <c r="P1717" s="88"/>
      <c r="Q1717" s="88"/>
      <c r="R1717" s="88"/>
      <c r="S1717" s="88"/>
      <c r="T1717" s="88"/>
      <c r="U1717" s="88"/>
      <c r="V1717" s="88"/>
      <c r="W1717" s="88"/>
      <c r="X1717" s="88"/>
      <c r="Y1717" s="88"/>
      <c r="Z1717" s="88"/>
    </row>
    <row r="1718" ht="17.25" customHeight="1">
      <c r="A1718" s="88"/>
      <c r="B1718" s="88"/>
      <c r="C1718" s="88"/>
      <c r="D1718" s="88"/>
      <c r="E1718" s="88"/>
      <c r="F1718" s="89"/>
      <c r="G1718" s="89"/>
      <c r="H1718" s="89"/>
      <c r="I1718" s="88"/>
      <c r="J1718" s="88"/>
      <c r="K1718" s="88"/>
      <c r="L1718" s="88"/>
      <c r="M1718" s="88"/>
      <c r="N1718" s="88"/>
      <c r="O1718" s="88"/>
      <c r="P1718" s="88"/>
      <c r="Q1718" s="88"/>
      <c r="R1718" s="88"/>
      <c r="S1718" s="88"/>
      <c r="T1718" s="88"/>
      <c r="U1718" s="88"/>
      <c r="V1718" s="88"/>
      <c r="W1718" s="88"/>
      <c r="X1718" s="88"/>
      <c r="Y1718" s="88"/>
      <c r="Z1718" s="88"/>
    </row>
    <row r="1719" ht="17.25" customHeight="1">
      <c r="A1719" s="88"/>
      <c r="B1719" s="88"/>
      <c r="C1719" s="88"/>
      <c r="D1719" s="88"/>
      <c r="E1719" s="88"/>
      <c r="F1719" s="89"/>
      <c r="G1719" s="89"/>
      <c r="H1719" s="89"/>
      <c r="I1719" s="88"/>
      <c r="J1719" s="88"/>
      <c r="K1719" s="88"/>
      <c r="L1719" s="88"/>
      <c r="M1719" s="88"/>
      <c r="N1719" s="88"/>
      <c r="O1719" s="88"/>
      <c r="P1719" s="88"/>
      <c r="Q1719" s="88"/>
      <c r="R1719" s="88"/>
      <c r="S1719" s="88"/>
      <c r="T1719" s="88"/>
      <c r="U1719" s="88"/>
      <c r="V1719" s="88"/>
      <c r="W1719" s="88"/>
      <c r="X1719" s="88"/>
      <c r="Y1719" s="88"/>
      <c r="Z1719" s="88"/>
    </row>
    <row r="1720" ht="17.25" customHeight="1">
      <c r="A1720" s="88"/>
      <c r="B1720" s="88"/>
      <c r="C1720" s="88"/>
      <c r="D1720" s="88"/>
      <c r="E1720" s="88"/>
      <c r="F1720" s="89"/>
      <c r="G1720" s="89"/>
      <c r="H1720" s="89"/>
      <c r="I1720" s="88"/>
      <c r="J1720" s="88"/>
      <c r="K1720" s="88"/>
      <c r="L1720" s="88"/>
      <c r="M1720" s="88"/>
      <c r="N1720" s="88"/>
      <c r="O1720" s="88"/>
      <c r="P1720" s="88"/>
      <c r="Q1720" s="88"/>
      <c r="R1720" s="88"/>
      <c r="S1720" s="88"/>
      <c r="T1720" s="88"/>
      <c r="U1720" s="88"/>
      <c r="V1720" s="88"/>
      <c r="W1720" s="88"/>
      <c r="X1720" s="88"/>
      <c r="Y1720" s="88"/>
      <c r="Z1720" s="88"/>
    </row>
    <row r="1721" ht="17.25" customHeight="1">
      <c r="A1721" s="88"/>
      <c r="B1721" s="88"/>
      <c r="C1721" s="88"/>
      <c r="D1721" s="88"/>
      <c r="E1721" s="88"/>
      <c r="F1721" s="89"/>
      <c r="G1721" s="89"/>
      <c r="H1721" s="89"/>
      <c r="I1721" s="88"/>
      <c r="J1721" s="88"/>
      <c r="K1721" s="88"/>
      <c r="L1721" s="88"/>
      <c r="M1721" s="88"/>
      <c r="N1721" s="88"/>
      <c r="O1721" s="88"/>
      <c r="P1721" s="88"/>
      <c r="Q1721" s="88"/>
      <c r="R1721" s="88"/>
      <c r="S1721" s="88"/>
      <c r="T1721" s="88"/>
      <c r="U1721" s="88"/>
      <c r="V1721" s="88"/>
      <c r="W1721" s="88"/>
      <c r="X1721" s="88"/>
      <c r="Y1721" s="88"/>
      <c r="Z1721" s="88"/>
    </row>
    <row r="1722" ht="17.25" customHeight="1">
      <c r="A1722" s="88"/>
      <c r="B1722" s="88"/>
      <c r="C1722" s="88"/>
      <c r="D1722" s="88"/>
      <c r="E1722" s="88"/>
      <c r="F1722" s="89"/>
      <c r="G1722" s="89"/>
      <c r="H1722" s="89"/>
      <c r="I1722" s="88"/>
      <c r="J1722" s="88"/>
      <c r="K1722" s="88"/>
      <c r="L1722" s="88"/>
      <c r="M1722" s="88"/>
      <c r="N1722" s="88"/>
      <c r="O1722" s="88"/>
      <c r="P1722" s="88"/>
      <c r="Q1722" s="88"/>
      <c r="R1722" s="88"/>
      <c r="S1722" s="88"/>
      <c r="T1722" s="88"/>
      <c r="U1722" s="88"/>
      <c r="V1722" s="88"/>
      <c r="W1722" s="88"/>
      <c r="X1722" s="88"/>
      <c r="Y1722" s="88"/>
      <c r="Z1722" s="88"/>
    </row>
    <row r="1723" ht="17.25" customHeight="1">
      <c r="A1723" s="88"/>
      <c r="B1723" s="88"/>
      <c r="C1723" s="88"/>
      <c r="D1723" s="88"/>
      <c r="E1723" s="88"/>
      <c r="F1723" s="89"/>
      <c r="G1723" s="89"/>
      <c r="H1723" s="89"/>
      <c r="I1723" s="88"/>
      <c r="J1723" s="88"/>
      <c r="K1723" s="88"/>
      <c r="L1723" s="88"/>
      <c r="M1723" s="88"/>
      <c r="N1723" s="88"/>
      <c r="O1723" s="88"/>
      <c r="P1723" s="88"/>
      <c r="Q1723" s="88"/>
      <c r="R1723" s="88"/>
      <c r="S1723" s="88"/>
      <c r="T1723" s="88"/>
      <c r="U1723" s="88"/>
      <c r="V1723" s="88"/>
      <c r="W1723" s="88"/>
      <c r="X1723" s="88"/>
      <c r="Y1723" s="88"/>
      <c r="Z1723" s="88"/>
    </row>
    <row r="1724" ht="17.25" customHeight="1">
      <c r="A1724" s="88"/>
      <c r="B1724" s="88"/>
      <c r="C1724" s="88"/>
      <c r="D1724" s="88"/>
      <c r="E1724" s="88"/>
      <c r="F1724" s="89"/>
      <c r="G1724" s="89"/>
      <c r="H1724" s="89"/>
      <c r="I1724" s="88"/>
      <c r="J1724" s="88"/>
      <c r="K1724" s="88"/>
      <c r="L1724" s="88"/>
      <c r="M1724" s="88"/>
      <c r="N1724" s="88"/>
      <c r="O1724" s="88"/>
      <c r="P1724" s="88"/>
      <c r="Q1724" s="88"/>
      <c r="R1724" s="88"/>
      <c r="S1724" s="88"/>
      <c r="T1724" s="88"/>
      <c r="U1724" s="88"/>
      <c r="V1724" s="88"/>
      <c r="W1724" s="88"/>
      <c r="X1724" s="88"/>
      <c r="Y1724" s="88"/>
      <c r="Z1724" s="88"/>
    </row>
    <row r="1725" ht="17.25" customHeight="1">
      <c r="A1725" s="88"/>
      <c r="B1725" s="88"/>
      <c r="C1725" s="88"/>
      <c r="D1725" s="88"/>
      <c r="E1725" s="88"/>
      <c r="F1725" s="89"/>
      <c r="G1725" s="89"/>
      <c r="H1725" s="89"/>
      <c r="I1725" s="88"/>
      <c r="J1725" s="88"/>
      <c r="K1725" s="88"/>
      <c r="L1725" s="88"/>
      <c r="M1725" s="88"/>
      <c r="N1725" s="88"/>
      <c r="O1725" s="88"/>
      <c r="P1725" s="88"/>
      <c r="Q1725" s="88"/>
      <c r="R1725" s="88"/>
      <c r="S1725" s="88"/>
      <c r="T1725" s="88"/>
      <c r="U1725" s="88"/>
      <c r="V1725" s="88"/>
      <c r="W1725" s="88"/>
      <c r="X1725" s="88"/>
      <c r="Y1725" s="88"/>
      <c r="Z1725" s="88"/>
    </row>
    <row r="1726" ht="17.25" customHeight="1">
      <c r="A1726" s="88"/>
      <c r="B1726" s="88"/>
      <c r="C1726" s="88"/>
      <c r="D1726" s="88"/>
      <c r="E1726" s="88"/>
      <c r="F1726" s="89"/>
      <c r="G1726" s="89"/>
      <c r="H1726" s="89"/>
      <c r="I1726" s="88"/>
      <c r="J1726" s="88"/>
      <c r="K1726" s="88"/>
      <c r="L1726" s="88"/>
      <c r="M1726" s="88"/>
      <c r="N1726" s="88"/>
      <c r="O1726" s="88"/>
      <c r="P1726" s="88"/>
      <c r="Q1726" s="88"/>
      <c r="R1726" s="88"/>
      <c r="S1726" s="88"/>
      <c r="T1726" s="88"/>
      <c r="U1726" s="88"/>
      <c r="V1726" s="88"/>
      <c r="W1726" s="88"/>
      <c r="X1726" s="88"/>
      <c r="Y1726" s="88"/>
      <c r="Z1726" s="88"/>
    </row>
    <row r="1727" ht="17.25" customHeight="1">
      <c r="A1727" s="88"/>
      <c r="B1727" s="88"/>
      <c r="C1727" s="88"/>
      <c r="D1727" s="88"/>
      <c r="E1727" s="88"/>
      <c r="F1727" s="89"/>
      <c r="G1727" s="89"/>
      <c r="H1727" s="89"/>
      <c r="I1727" s="88"/>
      <c r="J1727" s="88"/>
      <c r="K1727" s="88"/>
      <c r="L1727" s="88"/>
      <c r="M1727" s="88"/>
      <c r="N1727" s="88"/>
      <c r="O1727" s="88"/>
      <c r="P1727" s="88"/>
      <c r="Q1727" s="88"/>
      <c r="R1727" s="88"/>
      <c r="S1727" s="88"/>
      <c r="T1727" s="88"/>
      <c r="U1727" s="88"/>
      <c r="V1727" s="88"/>
      <c r="W1727" s="88"/>
      <c r="X1727" s="88"/>
      <c r="Y1727" s="88"/>
      <c r="Z1727" s="88"/>
    </row>
    <row r="1728" ht="17.25" customHeight="1">
      <c r="A1728" s="88"/>
      <c r="B1728" s="88"/>
      <c r="C1728" s="88"/>
      <c r="D1728" s="88"/>
      <c r="E1728" s="88"/>
      <c r="F1728" s="89"/>
      <c r="G1728" s="89"/>
      <c r="H1728" s="89"/>
      <c r="I1728" s="88"/>
      <c r="J1728" s="88"/>
      <c r="K1728" s="88"/>
      <c r="L1728" s="88"/>
      <c r="M1728" s="88"/>
      <c r="N1728" s="88"/>
      <c r="O1728" s="88"/>
      <c r="P1728" s="88"/>
      <c r="Q1728" s="88"/>
      <c r="R1728" s="88"/>
      <c r="S1728" s="88"/>
      <c r="T1728" s="88"/>
      <c r="U1728" s="88"/>
      <c r="V1728" s="88"/>
      <c r="W1728" s="88"/>
      <c r="X1728" s="88"/>
      <c r="Y1728" s="88"/>
      <c r="Z1728" s="88"/>
    </row>
    <row r="1729" ht="17.25" customHeight="1">
      <c r="A1729" s="88"/>
      <c r="B1729" s="88"/>
      <c r="C1729" s="88"/>
      <c r="D1729" s="88"/>
      <c r="E1729" s="88"/>
      <c r="F1729" s="89"/>
      <c r="G1729" s="89"/>
      <c r="H1729" s="89"/>
      <c r="I1729" s="88"/>
      <c r="J1729" s="88"/>
      <c r="K1729" s="88"/>
      <c r="L1729" s="88"/>
      <c r="M1729" s="88"/>
      <c r="N1729" s="88"/>
      <c r="O1729" s="88"/>
      <c r="P1729" s="88"/>
      <c r="Q1729" s="88"/>
      <c r="R1729" s="88"/>
      <c r="S1729" s="88"/>
      <c r="T1729" s="88"/>
      <c r="U1729" s="88"/>
      <c r="V1729" s="88"/>
      <c r="W1729" s="88"/>
      <c r="X1729" s="88"/>
      <c r="Y1729" s="88"/>
      <c r="Z1729" s="88"/>
    </row>
    <row r="1730" ht="17.25" customHeight="1">
      <c r="A1730" s="88"/>
      <c r="B1730" s="88"/>
      <c r="C1730" s="88"/>
      <c r="D1730" s="88"/>
      <c r="E1730" s="88"/>
      <c r="F1730" s="89"/>
      <c r="G1730" s="89"/>
      <c r="H1730" s="89"/>
      <c r="I1730" s="88"/>
      <c r="J1730" s="88"/>
      <c r="K1730" s="88"/>
      <c r="L1730" s="88"/>
      <c r="M1730" s="88"/>
      <c r="N1730" s="88"/>
      <c r="O1730" s="88"/>
      <c r="P1730" s="88"/>
      <c r="Q1730" s="88"/>
      <c r="R1730" s="88"/>
      <c r="S1730" s="88"/>
      <c r="T1730" s="88"/>
      <c r="U1730" s="88"/>
      <c r="V1730" s="88"/>
      <c r="W1730" s="88"/>
      <c r="X1730" s="88"/>
      <c r="Y1730" s="88"/>
      <c r="Z1730" s="88"/>
    </row>
    <row r="1731" ht="17.25" customHeight="1">
      <c r="A1731" s="88"/>
      <c r="B1731" s="88"/>
      <c r="C1731" s="88"/>
      <c r="D1731" s="88"/>
      <c r="E1731" s="88"/>
      <c r="F1731" s="89"/>
      <c r="G1731" s="89"/>
      <c r="H1731" s="89"/>
      <c r="I1731" s="88"/>
      <c r="J1731" s="88"/>
      <c r="K1731" s="88"/>
      <c r="L1731" s="88"/>
      <c r="M1731" s="88"/>
      <c r="N1731" s="88"/>
      <c r="O1731" s="88"/>
      <c r="P1731" s="88"/>
      <c r="Q1731" s="88"/>
      <c r="R1731" s="88"/>
      <c r="S1731" s="88"/>
      <c r="T1731" s="88"/>
      <c r="U1731" s="88"/>
      <c r="V1731" s="88"/>
      <c r="W1731" s="88"/>
      <c r="X1731" s="88"/>
      <c r="Y1731" s="88"/>
      <c r="Z1731" s="88"/>
    </row>
    <row r="1732" ht="17.25" customHeight="1">
      <c r="A1732" s="88"/>
      <c r="B1732" s="88"/>
      <c r="C1732" s="88"/>
      <c r="D1732" s="88"/>
      <c r="E1732" s="88"/>
      <c r="F1732" s="89"/>
      <c r="G1732" s="89"/>
      <c r="H1732" s="89"/>
      <c r="I1732" s="88"/>
      <c r="J1732" s="88"/>
      <c r="K1732" s="88"/>
      <c r="L1732" s="88"/>
      <c r="M1732" s="88"/>
      <c r="N1732" s="88"/>
      <c r="O1732" s="88"/>
      <c r="P1732" s="88"/>
      <c r="Q1732" s="88"/>
      <c r="R1732" s="88"/>
      <c r="S1732" s="88"/>
      <c r="T1732" s="88"/>
      <c r="U1732" s="88"/>
      <c r="V1732" s="88"/>
      <c r="W1732" s="88"/>
      <c r="X1732" s="88"/>
      <c r="Y1732" s="88"/>
      <c r="Z1732" s="88"/>
    </row>
    <row r="1733" ht="17.25" customHeight="1">
      <c r="A1733" s="88"/>
      <c r="B1733" s="88"/>
      <c r="C1733" s="88"/>
      <c r="D1733" s="88"/>
      <c r="E1733" s="88"/>
      <c r="F1733" s="89"/>
      <c r="G1733" s="89"/>
      <c r="H1733" s="89"/>
      <c r="I1733" s="88"/>
      <c r="J1733" s="88"/>
      <c r="K1733" s="88"/>
      <c r="L1733" s="88"/>
      <c r="M1733" s="88"/>
      <c r="N1733" s="88"/>
      <c r="O1733" s="88"/>
      <c r="P1733" s="88"/>
      <c r="Q1733" s="88"/>
      <c r="R1733" s="88"/>
      <c r="S1733" s="88"/>
      <c r="T1733" s="88"/>
      <c r="U1733" s="88"/>
      <c r="V1733" s="88"/>
      <c r="W1733" s="88"/>
      <c r="X1733" s="88"/>
      <c r="Y1733" s="88"/>
      <c r="Z1733" s="88"/>
    </row>
    <row r="1734" ht="17.25" customHeight="1">
      <c r="A1734" s="88"/>
      <c r="B1734" s="88"/>
      <c r="C1734" s="88"/>
      <c r="D1734" s="88"/>
      <c r="E1734" s="88"/>
      <c r="F1734" s="89"/>
      <c r="G1734" s="89"/>
      <c r="H1734" s="89"/>
      <c r="I1734" s="88"/>
      <c r="J1734" s="88"/>
      <c r="K1734" s="88"/>
      <c r="L1734" s="88"/>
      <c r="M1734" s="88"/>
      <c r="N1734" s="88"/>
      <c r="O1734" s="88"/>
      <c r="P1734" s="88"/>
      <c r="Q1734" s="88"/>
      <c r="R1734" s="88"/>
      <c r="S1734" s="88"/>
      <c r="T1734" s="88"/>
      <c r="U1734" s="88"/>
      <c r="V1734" s="88"/>
      <c r="W1734" s="88"/>
      <c r="X1734" s="88"/>
      <c r="Y1734" s="88"/>
      <c r="Z1734" s="88"/>
    </row>
    <row r="1735" ht="17.25" customHeight="1">
      <c r="A1735" s="88"/>
      <c r="B1735" s="88"/>
      <c r="C1735" s="88"/>
      <c r="D1735" s="88"/>
      <c r="E1735" s="88"/>
      <c r="F1735" s="89"/>
      <c r="G1735" s="89"/>
      <c r="H1735" s="89"/>
      <c r="I1735" s="88"/>
      <c r="J1735" s="88"/>
      <c r="K1735" s="88"/>
      <c r="L1735" s="88"/>
      <c r="M1735" s="88"/>
      <c r="N1735" s="88"/>
      <c r="O1735" s="88"/>
      <c r="P1735" s="88"/>
      <c r="Q1735" s="88"/>
      <c r="R1735" s="88"/>
      <c r="S1735" s="88"/>
      <c r="T1735" s="88"/>
      <c r="U1735" s="88"/>
      <c r="V1735" s="88"/>
      <c r="W1735" s="88"/>
      <c r="X1735" s="88"/>
      <c r="Y1735" s="88"/>
      <c r="Z1735" s="88"/>
    </row>
    <row r="1736" ht="17.25" customHeight="1">
      <c r="A1736" s="88"/>
      <c r="B1736" s="88"/>
      <c r="C1736" s="88"/>
      <c r="D1736" s="88"/>
      <c r="E1736" s="88"/>
      <c r="F1736" s="89"/>
      <c r="G1736" s="89"/>
      <c r="H1736" s="89"/>
      <c r="I1736" s="88"/>
      <c r="J1736" s="88"/>
      <c r="K1736" s="88"/>
      <c r="L1736" s="88"/>
      <c r="M1736" s="88"/>
      <c r="N1736" s="88"/>
      <c r="O1736" s="88"/>
      <c r="P1736" s="88"/>
      <c r="Q1736" s="88"/>
      <c r="R1736" s="88"/>
      <c r="S1736" s="88"/>
      <c r="T1736" s="88"/>
      <c r="U1736" s="88"/>
      <c r="V1736" s="88"/>
      <c r="W1736" s="88"/>
      <c r="X1736" s="88"/>
      <c r="Y1736" s="88"/>
      <c r="Z1736" s="88"/>
    </row>
    <row r="1737" ht="17.25" customHeight="1">
      <c r="A1737" s="88"/>
      <c r="B1737" s="88"/>
      <c r="C1737" s="88"/>
      <c r="D1737" s="88"/>
      <c r="E1737" s="88"/>
      <c r="F1737" s="89"/>
      <c r="G1737" s="89"/>
      <c r="H1737" s="89"/>
      <c r="I1737" s="88"/>
      <c r="J1737" s="88"/>
      <c r="K1737" s="88"/>
      <c r="L1737" s="88"/>
      <c r="M1737" s="88"/>
      <c r="N1737" s="88"/>
      <c r="O1737" s="88"/>
      <c r="P1737" s="88"/>
      <c r="Q1737" s="88"/>
      <c r="R1737" s="88"/>
      <c r="S1737" s="88"/>
      <c r="T1737" s="88"/>
      <c r="U1737" s="88"/>
      <c r="V1737" s="88"/>
      <c r="W1737" s="88"/>
      <c r="X1737" s="88"/>
      <c r="Y1737" s="88"/>
      <c r="Z1737" s="88"/>
    </row>
    <row r="1738" ht="17.25" customHeight="1">
      <c r="A1738" s="88"/>
      <c r="B1738" s="88"/>
      <c r="C1738" s="88"/>
      <c r="D1738" s="88"/>
      <c r="E1738" s="88"/>
      <c r="F1738" s="89"/>
      <c r="G1738" s="89"/>
      <c r="H1738" s="89"/>
      <c r="I1738" s="88"/>
      <c r="J1738" s="88"/>
      <c r="K1738" s="88"/>
      <c r="L1738" s="88"/>
      <c r="M1738" s="88"/>
      <c r="N1738" s="88"/>
      <c r="O1738" s="88"/>
      <c r="P1738" s="88"/>
      <c r="Q1738" s="88"/>
      <c r="R1738" s="88"/>
      <c r="S1738" s="88"/>
      <c r="T1738" s="88"/>
      <c r="U1738" s="88"/>
      <c r="V1738" s="88"/>
      <c r="W1738" s="88"/>
      <c r="X1738" s="88"/>
      <c r="Y1738" s="88"/>
      <c r="Z1738" s="88"/>
    </row>
    <row r="1739" ht="17.25" customHeight="1">
      <c r="A1739" s="88"/>
      <c r="B1739" s="88"/>
      <c r="C1739" s="88"/>
      <c r="D1739" s="88"/>
      <c r="E1739" s="88"/>
      <c r="F1739" s="89"/>
      <c r="G1739" s="89"/>
      <c r="H1739" s="89"/>
      <c r="I1739" s="88"/>
      <c r="J1739" s="88"/>
      <c r="K1739" s="88"/>
      <c r="L1739" s="88"/>
      <c r="M1739" s="88"/>
      <c r="N1739" s="88"/>
      <c r="O1739" s="88"/>
      <c r="P1739" s="88"/>
      <c r="Q1739" s="88"/>
      <c r="R1739" s="88"/>
      <c r="S1739" s="88"/>
      <c r="T1739" s="88"/>
      <c r="U1739" s="88"/>
      <c r="V1739" s="88"/>
      <c r="W1739" s="88"/>
      <c r="X1739" s="88"/>
      <c r="Y1739" s="88"/>
      <c r="Z1739" s="88"/>
    </row>
    <row r="1740" ht="17.25" customHeight="1">
      <c r="A1740" s="88"/>
      <c r="B1740" s="88"/>
      <c r="C1740" s="88"/>
      <c r="D1740" s="88"/>
      <c r="E1740" s="88"/>
      <c r="F1740" s="89"/>
      <c r="G1740" s="89"/>
      <c r="H1740" s="89"/>
      <c r="I1740" s="88"/>
      <c r="J1740" s="88"/>
      <c r="K1740" s="88"/>
      <c r="L1740" s="88"/>
      <c r="M1740" s="88"/>
      <c r="N1740" s="88"/>
      <c r="O1740" s="88"/>
      <c r="P1740" s="88"/>
      <c r="Q1740" s="88"/>
      <c r="R1740" s="88"/>
      <c r="S1740" s="88"/>
      <c r="T1740" s="88"/>
      <c r="U1740" s="88"/>
      <c r="V1740" s="88"/>
      <c r="W1740" s="88"/>
      <c r="X1740" s="88"/>
      <c r="Y1740" s="88"/>
      <c r="Z1740" s="88"/>
    </row>
    <row r="1741" ht="17.25" customHeight="1">
      <c r="A1741" s="88"/>
      <c r="B1741" s="88"/>
      <c r="C1741" s="88"/>
      <c r="D1741" s="88"/>
      <c r="E1741" s="88"/>
      <c r="F1741" s="89"/>
      <c r="G1741" s="89"/>
      <c r="H1741" s="89"/>
      <c r="I1741" s="88"/>
      <c r="J1741" s="88"/>
      <c r="K1741" s="88"/>
      <c r="L1741" s="88"/>
      <c r="M1741" s="88"/>
      <c r="N1741" s="88"/>
      <c r="O1741" s="88"/>
      <c r="P1741" s="88"/>
      <c r="Q1741" s="88"/>
      <c r="R1741" s="88"/>
      <c r="S1741" s="88"/>
      <c r="T1741" s="88"/>
      <c r="U1741" s="88"/>
      <c r="V1741" s="88"/>
      <c r="W1741" s="88"/>
      <c r="X1741" s="88"/>
      <c r="Y1741" s="88"/>
      <c r="Z1741" s="88"/>
    </row>
    <row r="1742" ht="17.25" customHeight="1">
      <c r="A1742" s="88"/>
      <c r="B1742" s="88"/>
      <c r="C1742" s="88"/>
      <c r="D1742" s="88"/>
      <c r="E1742" s="88"/>
      <c r="F1742" s="89"/>
      <c r="G1742" s="89"/>
      <c r="H1742" s="89"/>
      <c r="I1742" s="88"/>
      <c r="J1742" s="88"/>
      <c r="K1742" s="88"/>
      <c r="L1742" s="88"/>
      <c r="M1742" s="88"/>
      <c r="N1742" s="88"/>
      <c r="O1742" s="88"/>
      <c r="P1742" s="88"/>
      <c r="Q1742" s="88"/>
      <c r="R1742" s="88"/>
      <c r="S1742" s="88"/>
      <c r="T1742" s="88"/>
      <c r="U1742" s="88"/>
      <c r="V1742" s="88"/>
      <c r="W1742" s="88"/>
      <c r="X1742" s="88"/>
      <c r="Y1742" s="88"/>
      <c r="Z1742" s="88"/>
    </row>
    <row r="1743" ht="17.25" customHeight="1">
      <c r="A1743" s="88"/>
      <c r="B1743" s="88"/>
      <c r="C1743" s="88"/>
      <c r="D1743" s="88"/>
      <c r="E1743" s="88"/>
      <c r="F1743" s="89"/>
      <c r="G1743" s="89"/>
      <c r="H1743" s="89"/>
      <c r="I1743" s="88"/>
      <c r="J1743" s="88"/>
      <c r="K1743" s="88"/>
      <c r="L1743" s="88"/>
      <c r="M1743" s="88"/>
      <c r="N1743" s="88"/>
      <c r="O1743" s="88"/>
      <c r="P1743" s="88"/>
      <c r="Q1743" s="88"/>
      <c r="R1743" s="88"/>
      <c r="S1743" s="88"/>
      <c r="T1743" s="88"/>
      <c r="U1743" s="88"/>
      <c r="V1743" s="88"/>
      <c r="W1743" s="88"/>
      <c r="X1743" s="88"/>
      <c r="Y1743" s="88"/>
      <c r="Z1743" s="88"/>
    </row>
    <row r="1744" ht="17.25" customHeight="1">
      <c r="A1744" s="88"/>
      <c r="B1744" s="88"/>
      <c r="C1744" s="88"/>
      <c r="D1744" s="88"/>
      <c r="E1744" s="88"/>
      <c r="F1744" s="89"/>
      <c r="G1744" s="89"/>
      <c r="H1744" s="89"/>
      <c r="I1744" s="88"/>
      <c r="J1744" s="88"/>
      <c r="K1744" s="88"/>
      <c r="L1744" s="88"/>
      <c r="M1744" s="88"/>
      <c r="N1744" s="88"/>
      <c r="O1744" s="88"/>
      <c r="P1744" s="88"/>
      <c r="Q1744" s="88"/>
      <c r="R1744" s="88"/>
      <c r="S1744" s="88"/>
      <c r="T1744" s="88"/>
      <c r="U1744" s="88"/>
      <c r="V1744" s="88"/>
      <c r="W1744" s="88"/>
      <c r="X1744" s="88"/>
      <c r="Y1744" s="88"/>
      <c r="Z1744" s="88"/>
    </row>
    <row r="1745" ht="17.25" customHeight="1">
      <c r="A1745" s="88"/>
      <c r="B1745" s="88"/>
      <c r="C1745" s="88"/>
      <c r="D1745" s="88"/>
      <c r="E1745" s="88"/>
      <c r="F1745" s="89"/>
      <c r="G1745" s="89"/>
      <c r="H1745" s="89"/>
      <c r="I1745" s="88"/>
      <c r="J1745" s="88"/>
      <c r="K1745" s="88"/>
      <c r="L1745" s="88"/>
      <c r="M1745" s="88"/>
      <c r="N1745" s="88"/>
      <c r="O1745" s="88"/>
      <c r="P1745" s="88"/>
      <c r="Q1745" s="88"/>
      <c r="R1745" s="88"/>
      <c r="S1745" s="88"/>
      <c r="T1745" s="88"/>
      <c r="U1745" s="88"/>
      <c r="V1745" s="88"/>
      <c r="W1745" s="88"/>
      <c r="X1745" s="88"/>
      <c r="Y1745" s="88"/>
      <c r="Z1745" s="88"/>
    </row>
    <row r="1746" ht="17.25" customHeight="1">
      <c r="A1746" s="88"/>
      <c r="B1746" s="88"/>
      <c r="C1746" s="88"/>
      <c r="D1746" s="88"/>
      <c r="E1746" s="88"/>
      <c r="F1746" s="89"/>
      <c r="G1746" s="89"/>
      <c r="H1746" s="89"/>
      <c r="I1746" s="88"/>
      <c r="J1746" s="88"/>
      <c r="K1746" s="88"/>
      <c r="L1746" s="88"/>
      <c r="M1746" s="88"/>
      <c r="N1746" s="88"/>
      <c r="O1746" s="88"/>
      <c r="P1746" s="88"/>
      <c r="Q1746" s="88"/>
      <c r="R1746" s="88"/>
      <c r="S1746" s="88"/>
      <c r="T1746" s="88"/>
      <c r="U1746" s="88"/>
      <c r="V1746" s="88"/>
      <c r="W1746" s="88"/>
      <c r="X1746" s="88"/>
      <c r="Y1746" s="88"/>
      <c r="Z1746" s="88"/>
    </row>
    <row r="1747" ht="17.25" customHeight="1">
      <c r="A1747" s="88"/>
      <c r="B1747" s="88"/>
      <c r="C1747" s="88"/>
      <c r="D1747" s="88"/>
      <c r="E1747" s="88"/>
      <c r="F1747" s="89"/>
      <c r="G1747" s="89"/>
      <c r="H1747" s="89"/>
      <c r="I1747" s="88"/>
      <c r="J1747" s="88"/>
      <c r="K1747" s="88"/>
      <c r="L1747" s="88"/>
      <c r="M1747" s="88"/>
      <c r="N1747" s="88"/>
      <c r="O1747" s="88"/>
      <c r="P1747" s="88"/>
      <c r="Q1747" s="88"/>
      <c r="R1747" s="88"/>
      <c r="S1747" s="88"/>
      <c r="T1747" s="88"/>
      <c r="U1747" s="88"/>
      <c r="V1747" s="88"/>
      <c r="W1747" s="88"/>
      <c r="X1747" s="88"/>
      <c r="Y1747" s="88"/>
      <c r="Z1747" s="88"/>
    </row>
    <row r="1748" ht="17.25" customHeight="1">
      <c r="A1748" s="88"/>
      <c r="B1748" s="88"/>
      <c r="C1748" s="88"/>
      <c r="D1748" s="88"/>
      <c r="E1748" s="88"/>
      <c r="F1748" s="89"/>
      <c r="G1748" s="89"/>
      <c r="H1748" s="89"/>
      <c r="I1748" s="88"/>
      <c r="J1748" s="88"/>
      <c r="K1748" s="88"/>
      <c r="L1748" s="88"/>
      <c r="M1748" s="88"/>
      <c r="N1748" s="88"/>
      <c r="O1748" s="88"/>
      <c r="P1748" s="88"/>
      <c r="Q1748" s="88"/>
      <c r="R1748" s="88"/>
      <c r="S1748" s="88"/>
      <c r="T1748" s="88"/>
      <c r="U1748" s="88"/>
      <c r="V1748" s="88"/>
      <c r="W1748" s="88"/>
      <c r="X1748" s="88"/>
      <c r="Y1748" s="88"/>
      <c r="Z1748" s="88"/>
    </row>
    <row r="1749" ht="17.25" customHeight="1">
      <c r="A1749" s="88"/>
      <c r="B1749" s="88"/>
      <c r="C1749" s="88"/>
      <c r="D1749" s="88"/>
      <c r="E1749" s="88"/>
      <c r="F1749" s="89"/>
      <c r="G1749" s="89"/>
      <c r="H1749" s="89"/>
      <c r="I1749" s="88"/>
      <c r="J1749" s="88"/>
      <c r="K1749" s="88"/>
      <c r="L1749" s="88"/>
      <c r="M1749" s="88"/>
      <c r="N1749" s="88"/>
      <c r="O1749" s="88"/>
      <c r="P1749" s="88"/>
      <c r="Q1749" s="88"/>
      <c r="R1749" s="88"/>
      <c r="S1749" s="88"/>
      <c r="T1749" s="88"/>
      <c r="U1749" s="88"/>
      <c r="V1749" s="88"/>
      <c r="W1749" s="88"/>
      <c r="X1749" s="88"/>
      <c r="Y1749" s="88"/>
      <c r="Z1749" s="88"/>
    </row>
    <row r="1750" ht="17.25" customHeight="1">
      <c r="A1750" s="88"/>
      <c r="B1750" s="88"/>
      <c r="C1750" s="88"/>
      <c r="D1750" s="88"/>
      <c r="E1750" s="88"/>
      <c r="F1750" s="89"/>
      <c r="G1750" s="89"/>
      <c r="H1750" s="89"/>
      <c r="I1750" s="88"/>
      <c r="J1750" s="88"/>
      <c r="K1750" s="88"/>
      <c r="L1750" s="88"/>
      <c r="M1750" s="88"/>
      <c r="N1750" s="88"/>
      <c r="O1750" s="88"/>
      <c r="P1750" s="88"/>
      <c r="Q1750" s="88"/>
      <c r="R1750" s="88"/>
      <c r="S1750" s="88"/>
      <c r="T1750" s="88"/>
      <c r="U1750" s="88"/>
      <c r="V1750" s="88"/>
      <c r="W1750" s="88"/>
      <c r="X1750" s="88"/>
      <c r="Y1750" s="88"/>
      <c r="Z1750" s="88"/>
    </row>
    <row r="1751" ht="17.25" customHeight="1">
      <c r="A1751" s="88"/>
      <c r="B1751" s="88"/>
      <c r="C1751" s="88"/>
      <c r="D1751" s="88"/>
      <c r="E1751" s="88"/>
      <c r="F1751" s="89"/>
      <c r="G1751" s="89"/>
      <c r="H1751" s="89"/>
      <c r="I1751" s="88"/>
      <c r="J1751" s="88"/>
      <c r="K1751" s="88"/>
      <c r="L1751" s="88"/>
      <c r="M1751" s="88"/>
      <c r="N1751" s="88"/>
      <c r="O1751" s="88"/>
      <c r="P1751" s="88"/>
      <c r="Q1751" s="88"/>
      <c r="R1751" s="88"/>
      <c r="S1751" s="88"/>
      <c r="T1751" s="88"/>
      <c r="U1751" s="88"/>
      <c r="V1751" s="88"/>
      <c r="W1751" s="88"/>
      <c r="X1751" s="88"/>
      <c r="Y1751" s="88"/>
      <c r="Z1751" s="88"/>
    </row>
    <row r="1752" ht="17.25" customHeight="1">
      <c r="A1752" s="88"/>
      <c r="B1752" s="88"/>
      <c r="C1752" s="88"/>
      <c r="D1752" s="88"/>
      <c r="E1752" s="88"/>
      <c r="F1752" s="89"/>
      <c r="G1752" s="89"/>
      <c r="H1752" s="89"/>
      <c r="I1752" s="88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U1752" s="88"/>
      <c r="V1752" s="88"/>
      <c r="W1752" s="88"/>
      <c r="X1752" s="88"/>
      <c r="Y1752" s="88"/>
      <c r="Z1752" s="88"/>
    </row>
    <row r="1753" ht="17.25" customHeight="1">
      <c r="A1753" s="88"/>
      <c r="B1753" s="88"/>
      <c r="C1753" s="88"/>
      <c r="D1753" s="88"/>
      <c r="E1753" s="88"/>
      <c r="F1753" s="89"/>
      <c r="G1753" s="89"/>
      <c r="H1753" s="89"/>
      <c r="I1753" s="88"/>
      <c r="J1753" s="88"/>
      <c r="K1753" s="88"/>
      <c r="L1753" s="88"/>
      <c r="M1753" s="88"/>
      <c r="N1753" s="88"/>
      <c r="O1753" s="88"/>
      <c r="P1753" s="88"/>
      <c r="Q1753" s="88"/>
      <c r="R1753" s="88"/>
      <c r="S1753" s="88"/>
      <c r="T1753" s="88"/>
      <c r="U1753" s="88"/>
      <c r="V1753" s="88"/>
      <c r="W1753" s="88"/>
      <c r="X1753" s="88"/>
      <c r="Y1753" s="88"/>
      <c r="Z1753" s="88"/>
    </row>
    <row r="1754" ht="17.25" customHeight="1">
      <c r="A1754" s="88"/>
      <c r="B1754" s="88"/>
      <c r="C1754" s="88"/>
      <c r="D1754" s="88"/>
      <c r="E1754" s="88"/>
      <c r="F1754" s="89"/>
      <c r="G1754" s="89"/>
      <c r="H1754" s="89"/>
      <c r="I1754" s="88"/>
      <c r="J1754" s="88"/>
      <c r="K1754" s="88"/>
      <c r="L1754" s="88"/>
      <c r="M1754" s="88"/>
      <c r="N1754" s="88"/>
      <c r="O1754" s="88"/>
      <c r="P1754" s="88"/>
      <c r="Q1754" s="88"/>
      <c r="R1754" s="88"/>
      <c r="S1754" s="88"/>
      <c r="T1754" s="88"/>
      <c r="U1754" s="88"/>
      <c r="V1754" s="88"/>
      <c r="W1754" s="88"/>
      <c r="X1754" s="88"/>
      <c r="Y1754" s="88"/>
      <c r="Z1754" s="88"/>
    </row>
    <row r="1755" ht="17.25" customHeight="1">
      <c r="A1755" s="88"/>
      <c r="B1755" s="88"/>
      <c r="C1755" s="88"/>
      <c r="D1755" s="88"/>
      <c r="E1755" s="88"/>
      <c r="F1755" s="89"/>
      <c r="G1755" s="89"/>
      <c r="H1755" s="89"/>
      <c r="I1755" s="88"/>
      <c r="J1755" s="88"/>
      <c r="K1755" s="88"/>
      <c r="L1755" s="88"/>
      <c r="M1755" s="88"/>
      <c r="N1755" s="88"/>
      <c r="O1755" s="88"/>
      <c r="P1755" s="88"/>
      <c r="Q1755" s="88"/>
      <c r="R1755" s="88"/>
      <c r="S1755" s="88"/>
      <c r="T1755" s="88"/>
      <c r="U1755" s="88"/>
      <c r="V1755" s="88"/>
      <c r="W1755" s="88"/>
      <c r="X1755" s="88"/>
      <c r="Y1755" s="88"/>
      <c r="Z1755" s="88"/>
    </row>
    <row r="1756" ht="17.25" customHeight="1">
      <c r="A1756" s="88"/>
      <c r="B1756" s="88"/>
      <c r="C1756" s="88"/>
      <c r="D1756" s="88"/>
      <c r="E1756" s="88"/>
      <c r="F1756" s="89"/>
      <c r="G1756" s="89"/>
      <c r="H1756" s="89"/>
      <c r="I1756" s="88"/>
      <c r="J1756" s="88"/>
      <c r="K1756" s="88"/>
      <c r="L1756" s="88"/>
      <c r="M1756" s="88"/>
      <c r="N1756" s="88"/>
      <c r="O1756" s="88"/>
      <c r="P1756" s="88"/>
      <c r="Q1756" s="88"/>
      <c r="R1756" s="88"/>
      <c r="S1756" s="88"/>
      <c r="T1756" s="88"/>
      <c r="U1756" s="88"/>
      <c r="V1756" s="88"/>
      <c r="W1756" s="88"/>
      <c r="X1756" s="88"/>
      <c r="Y1756" s="88"/>
      <c r="Z1756" s="88"/>
    </row>
    <row r="1757" ht="17.25" customHeight="1">
      <c r="A1757" s="88"/>
      <c r="B1757" s="88"/>
      <c r="C1757" s="88"/>
      <c r="D1757" s="88"/>
      <c r="E1757" s="88"/>
      <c r="F1757" s="89"/>
      <c r="G1757" s="89"/>
      <c r="H1757" s="89"/>
      <c r="I1757" s="88"/>
      <c r="J1757" s="88"/>
      <c r="K1757" s="88"/>
      <c r="L1757" s="88"/>
      <c r="M1757" s="88"/>
      <c r="N1757" s="88"/>
      <c r="O1757" s="88"/>
      <c r="P1757" s="88"/>
      <c r="Q1757" s="88"/>
      <c r="R1757" s="88"/>
      <c r="S1757" s="88"/>
      <c r="T1757" s="88"/>
      <c r="U1757" s="88"/>
      <c r="V1757" s="88"/>
      <c r="W1757" s="88"/>
      <c r="X1757" s="88"/>
      <c r="Y1757" s="88"/>
      <c r="Z1757" s="88"/>
    </row>
    <row r="1758" ht="17.25" customHeight="1">
      <c r="A1758" s="88"/>
      <c r="B1758" s="88"/>
      <c r="C1758" s="88"/>
      <c r="D1758" s="88"/>
      <c r="E1758" s="88"/>
      <c r="F1758" s="89"/>
      <c r="G1758" s="89"/>
      <c r="H1758" s="89"/>
      <c r="I1758" s="88"/>
      <c r="J1758" s="88"/>
      <c r="K1758" s="88"/>
      <c r="L1758" s="88"/>
      <c r="M1758" s="88"/>
      <c r="N1758" s="88"/>
      <c r="O1758" s="88"/>
      <c r="P1758" s="88"/>
      <c r="Q1758" s="88"/>
      <c r="R1758" s="88"/>
      <c r="S1758" s="88"/>
      <c r="T1758" s="88"/>
      <c r="U1758" s="88"/>
      <c r="V1758" s="88"/>
      <c r="W1758" s="88"/>
      <c r="X1758" s="88"/>
      <c r="Y1758" s="88"/>
      <c r="Z1758" s="88"/>
    </row>
    <row r="1759" ht="17.25" customHeight="1">
      <c r="A1759" s="88"/>
      <c r="B1759" s="88"/>
      <c r="C1759" s="88"/>
      <c r="D1759" s="88"/>
      <c r="E1759" s="88"/>
      <c r="F1759" s="89"/>
      <c r="G1759" s="89"/>
      <c r="H1759" s="89"/>
      <c r="I1759" s="88"/>
      <c r="J1759" s="88"/>
      <c r="K1759" s="88"/>
      <c r="L1759" s="88"/>
      <c r="M1759" s="88"/>
      <c r="N1759" s="88"/>
      <c r="O1759" s="88"/>
      <c r="P1759" s="88"/>
      <c r="Q1759" s="88"/>
      <c r="R1759" s="88"/>
      <c r="S1759" s="88"/>
      <c r="T1759" s="88"/>
      <c r="U1759" s="88"/>
      <c r="V1759" s="88"/>
      <c r="W1759" s="88"/>
      <c r="X1759" s="88"/>
      <c r="Y1759" s="88"/>
      <c r="Z1759" s="88"/>
    </row>
    <row r="1760" ht="17.25" customHeight="1">
      <c r="A1760" s="88"/>
      <c r="B1760" s="88"/>
      <c r="C1760" s="88"/>
      <c r="D1760" s="88"/>
      <c r="E1760" s="88"/>
      <c r="F1760" s="89"/>
      <c r="G1760" s="89"/>
      <c r="H1760" s="89"/>
      <c r="I1760" s="88"/>
      <c r="J1760" s="88"/>
      <c r="K1760" s="88"/>
      <c r="L1760" s="88"/>
      <c r="M1760" s="88"/>
      <c r="N1760" s="88"/>
      <c r="O1760" s="88"/>
      <c r="P1760" s="88"/>
      <c r="Q1760" s="88"/>
      <c r="R1760" s="88"/>
      <c r="S1760" s="88"/>
      <c r="T1760" s="88"/>
      <c r="U1760" s="88"/>
      <c r="V1760" s="88"/>
      <c r="W1760" s="88"/>
      <c r="X1760" s="88"/>
      <c r="Y1760" s="88"/>
      <c r="Z1760" s="88"/>
    </row>
    <row r="1761" ht="17.25" customHeight="1">
      <c r="A1761" s="88"/>
      <c r="B1761" s="88"/>
      <c r="C1761" s="88"/>
      <c r="D1761" s="88"/>
      <c r="E1761" s="88"/>
      <c r="F1761" s="89"/>
      <c r="G1761" s="89"/>
      <c r="H1761" s="89"/>
      <c r="I1761" s="88"/>
      <c r="J1761" s="88"/>
      <c r="K1761" s="88"/>
      <c r="L1761" s="88"/>
      <c r="M1761" s="88"/>
      <c r="N1761" s="88"/>
      <c r="O1761" s="88"/>
      <c r="P1761" s="88"/>
      <c r="Q1761" s="88"/>
      <c r="R1761" s="88"/>
      <c r="S1761" s="88"/>
      <c r="T1761" s="88"/>
      <c r="U1761" s="88"/>
      <c r="V1761" s="88"/>
      <c r="W1761" s="88"/>
      <c r="X1761" s="88"/>
      <c r="Y1761" s="88"/>
      <c r="Z1761" s="88"/>
    </row>
    <row r="1762" ht="17.25" customHeight="1">
      <c r="A1762" s="88"/>
      <c r="B1762" s="88"/>
      <c r="C1762" s="88"/>
      <c r="D1762" s="88"/>
      <c r="E1762" s="88"/>
      <c r="F1762" s="89"/>
      <c r="G1762" s="89"/>
      <c r="H1762" s="89"/>
      <c r="I1762" s="88"/>
      <c r="J1762" s="88"/>
      <c r="K1762" s="88"/>
      <c r="L1762" s="88"/>
      <c r="M1762" s="88"/>
      <c r="N1762" s="88"/>
      <c r="O1762" s="88"/>
      <c r="P1762" s="88"/>
      <c r="Q1762" s="88"/>
      <c r="R1762" s="88"/>
      <c r="S1762" s="88"/>
      <c r="T1762" s="88"/>
      <c r="U1762" s="88"/>
      <c r="V1762" s="88"/>
      <c r="W1762" s="88"/>
      <c r="X1762" s="88"/>
      <c r="Y1762" s="88"/>
      <c r="Z1762" s="88"/>
    </row>
    <row r="1763" ht="17.25" customHeight="1">
      <c r="A1763" s="88"/>
      <c r="B1763" s="88"/>
      <c r="C1763" s="88"/>
      <c r="D1763" s="88"/>
      <c r="E1763" s="88"/>
      <c r="F1763" s="89"/>
      <c r="G1763" s="89"/>
      <c r="H1763" s="89"/>
      <c r="I1763" s="88"/>
      <c r="J1763" s="88"/>
      <c r="K1763" s="88"/>
      <c r="L1763" s="88"/>
      <c r="M1763" s="88"/>
      <c r="N1763" s="88"/>
      <c r="O1763" s="88"/>
      <c r="P1763" s="88"/>
      <c r="Q1763" s="88"/>
      <c r="R1763" s="88"/>
      <c r="S1763" s="88"/>
      <c r="T1763" s="88"/>
      <c r="U1763" s="88"/>
      <c r="V1763" s="88"/>
      <c r="W1763" s="88"/>
      <c r="X1763" s="88"/>
      <c r="Y1763" s="88"/>
      <c r="Z1763" s="88"/>
    </row>
    <row r="1764" ht="17.25" customHeight="1">
      <c r="A1764" s="88"/>
      <c r="B1764" s="88"/>
      <c r="C1764" s="88"/>
      <c r="D1764" s="88"/>
      <c r="E1764" s="88"/>
      <c r="F1764" s="89"/>
      <c r="G1764" s="89"/>
      <c r="H1764" s="89"/>
      <c r="I1764" s="88"/>
      <c r="J1764" s="88"/>
      <c r="K1764" s="88"/>
      <c r="L1764" s="88"/>
      <c r="M1764" s="88"/>
      <c r="N1764" s="88"/>
      <c r="O1764" s="88"/>
      <c r="P1764" s="88"/>
      <c r="Q1764" s="88"/>
      <c r="R1764" s="88"/>
      <c r="S1764" s="88"/>
      <c r="T1764" s="88"/>
      <c r="U1764" s="88"/>
      <c r="V1764" s="88"/>
      <c r="W1764" s="88"/>
      <c r="X1764" s="88"/>
      <c r="Y1764" s="88"/>
      <c r="Z1764" s="88"/>
    </row>
    <row r="1765" ht="17.25" customHeight="1">
      <c r="A1765" s="88"/>
      <c r="B1765" s="88"/>
      <c r="C1765" s="88"/>
      <c r="D1765" s="88"/>
      <c r="E1765" s="88"/>
      <c r="F1765" s="89"/>
      <c r="G1765" s="89"/>
      <c r="H1765" s="89"/>
      <c r="I1765" s="88"/>
      <c r="J1765" s="88"/>
      <c r="K1765" s="88"/>
      <c r="L1765" s="88"/>
      <c r="M1765" s="88"/>
      <c r="N1765" s="88"/>
      <c r="O1765" s="88"/>
      <c r="P1765" s="88"/>
      <c r="Q1765" s="88"/>
      <c r="R1765" s="88"/>
      <c r="S1765" s="88"/>
      <c r="T1765" s="88"/>
      <c r="U1765" s="88"/>
      <c r="V1765" s="88"/>
      <c r="W1765" s="88"/>
      <c r="X1765" s="88"/>
      <c r="Y1765" s="88"/>
      <c r="Z1765" s="88"/>
    </row>
    <row r="1766" ht="17.25" customHeight="1">
      <c r="A1766" s="88"/>
      <c r="B1766" s="88"/>
      <c r="C1766" s="88"/>
      <c r="D1766" s="88"/>
      <c r="E1766" s="88"/>
      <c r="F1766" s="89"/>
      <c r="G1766" s="89"/>
      <c r="H1766" s="89"/>
      <c r="I1766" s="88"/>
      <c r="J1766" s="88"/>
      <c r="K1766" s="88"/>
      <c r="L1766" s="88"/>
      <c r="M1766" s="88"/>
      <c r="N1766" s="88"/>
      <c r="O1766" s="88"/>
      <c r="P1766" s="88"/>
      <c r="Q1766" s="88"/>
      <c r="R1766" s="88"/>
      <c r="S1766" s="88"/>
      <c r="T1766" s="88"/>
      <c r="U1766" s="88"/>
      <c r="V1766" s="88"/>
      <c r="W1766" s="88"/>
      <c r="X1766" s="88"/>
      <c r="Y1766" s="88"/>
      <c r="Z1766" s="88"/>
    </row>
    <row r="1767" ht="17.25" customHeight="1">
      <c r="A1767" s="88"/>
      <c r="B1767" s="88"/>
      <c r="C1767" s="88"/>
      <c r="D1767" s="88"/>
      <c r="E1767" s="88"/>
      <c r="F1767" s="89"/>
      <c r="G1767" s="89"/>
      <c r="H1767" s="89"/>
      <c r="I1767" s="88"/>
      <c r="J1767" s="88"/>
      <c r="K1767" s="88"/>
      <c r="L1767" s="88"/>
      <c r="M1767" s="88"/>
      <c r="N1767" s="88"/>
      <c r="O1767" s="88"/>
      <c r="P1767" s="88"/>
      <c r="Q1767" s="88"/>
      <c r="R1767" s="88"/>
      <c r="S1767" s="88"/>
      <c r="T1767" s="88"/>
      <c r="U1767" s="88"/>
      <c r="V1767" s="88"/>
      <c r="W1767" s="88"/>
      <c r="X1767" s="88"/>
      <c r="Y1767" s="88"/>
      <c r="Z1767" s="88"/>
    </row>
    <row r="1768" ht="17.25" customHeight="1">
      <c r="A1768" s="88"/>
      <c r="B1768" s="88"/>
      <c r="C1768" s="88"/>
      <c r="D1768" s="88"/>
      <c r="E1768" s="88"/>
      <c r="F1768" s="89"/>
      <c r="G1768" s="89"/>
      <c r="H1768" s="89"/>
      <c r="I1768" s="88"/>
      <c r="J1768" s="88"/>
      <c r="K1768" s="88"/>
      <c r="L1768" s="88"/>
      <c r="M1768" s="88"/>
      <c r="N1768" s="88"/>
      <c r="O1768" s="88"/>
      <c r="P1768" s="88"/>
      <c r="Q1768" s="88"/>
      <c r="R1768" s="88"/>
      <c r="S1768" s="88"/>
      <c r="T1768" s="88"/>
      <c r="U1768" s="88"/>
      <c r="V1768" s="88"/>
      <c r="W1768" s="88"/>
      <c r="X1768" s="88"/>
      <c r="Y1768" s="88"/>
      <c r="Z1768" s="88"/>
    </row>
    <row r="1769" ht="17.25" customHeight="1">
      <c r="A1769" s="88"/>
      <c r="B1769" s="88"/>
      <c r="C1769" s="88"/>
      <c r="D1769" s="88"/>
      <c r="E1769" s="88"/>
      <c r="F1769" s="89"/>
      <c r="G1769" s="89"/>
      <c r="H1769" s="89"/>
      <c r="I1769" s="88"/>
      <c r="J1769" s="88"/>
      <c r="K1769" s="88"/>
      <c r="L1769" s="88"/>
      <c r="M1769" s="88"/>
      <c r="N1769" s="88"/>
      <c r="O1769" s="88"/>
      <c r="P1769" s="88"/>
      <c r="Q1769" s="88"/>
      <c r="R1769" s="88"/>
      <c r="S1769" s="88"/>
      <c r="T1769" s="88"/>
      <c r="U1769" s="88"/>
      <c r="V1769" s="88"/>
      <c r="W1769" s="88"/>
      <c r="X1769" s="88"/>
      <c r="Y1769" s="88"/>
      <c r="Z1769" s="88"/>
    </row>
    <row r="1770" ht="17.25" customHeight="1">
      <c r="A1770" s="88"/>
      <c r="B1770" s="88"/>
      <c r="C1770" s="88"/>
      <c r="D1770" s="88"/>
      <c r="E1770" s="88"/>
      <c r="F1770" s="89"/>
      <c r="G1770" s="89"/>
      <c r="H1770" s="89"/>
      <c r="I1770" s="88"/>
      <c r="J1770" s="88"/>
      <c r="K1770" s="88"/>
      <c r="L1770" s="88"/>
      <c r="M1770" s="88"/>
      <c r="N1770" s="88"/>
      <c r="O1770" s="88"/>
      <c r="P1770" s="88"/>
      <c r="Q1770" s="88"/>
      <c r="R1770" s="88"/>
      <c r="S1770" s="88"/>
      <c r="T1770" s="88"/>
      <c r="U1770" s="88"/>
      <c r="V1770" s="88"/>
      <c r="W1770" s="88"/>
      <c r="X1770" s="88"/>
      <c r="Y1770" s="88"/>
      <c r="Z1770" s="88"/>
    </row>
    <row r="1771" ht="17.25" customHeight="1">
      <c r="A1771" s="88"/>
      <c r="B1771" s="88"/>
      <c r="C1771" s="88"/>
      <c r="D1771" s="88"/>
      <c r="E1771" s="88"/>
      <c r="F1771" s="89"/>
      <c r="G1771" s="89"/>
      <c r="H1771" s="89"/>
      <c r="I1771" s="88"/>
      <c r="J1771" s="88"/>
      <c r="K1771" s="88"/>
      <c r="L1771" s="88"/>
      <c r="M1771" s="88"/>
      <c r="N1771" s="88"/>
      <c r="O1771" s="88"/>
      <c r="P1771" s="88"/>
      <c r="Q1771" s="88"/>
      <c r="R1771" s="88"/>
      <c r="S1771" s="88"/>
      <c r="T1771" s="88"/>
      <c r="U1771" s="88"/>
      <c r="V1771" s="88"/>
      <c r="W1771" s="88"/>
      <c r="X1771" s="88"/>
      <c r="Y1771" s="88"/>
      <c r="Z1771" s="88"/>
    </row>
    <row r="1772" ht="17.25" customHeight="1">
      <c r="A1772" s="88"/>
      <c r="B1772" s="88"/>
      <c r="C1772" s="88"/>
      <c r="D1772" s="88"/>
      <c r="E1772" s="88"/>
      <c r="F1772" s="89"/>
      <c r="G1772" s="89"/>
      <c r="H1772" s="89"/>
      <c r="I1772" s="88"/>
      <c r="J1772" s="88"/>
      <c r="K1772" s="88"/>
      <c r="L1772" s="88"/>
      <c r="M1772" s="88"/>
      <c r="N1772" s="88"/>
      <c r="O1772" s="88"/>
      <c r="P1772" s="88"/>
      <c r="Q1772" s="88"/>
      <c r="R1772" s="88"/>
      <c r="S1772" s="88"/>
      <c r="T1772" s="88"/>
      <c r="U1772" s="88"/>
      <c r="V1772" s="88"/>
      <c r="W1772" s="88"/>
      <c r="X1772" s="88"/>
      <c r="Y1772" s="88"/>
      <c r="Z1772" s="88"/>
    </row>
    <row r="1773" ht="17.25" customHeight="1">
      <c r="A1773" s="88"/>
      <c r="B1773" s="88"/>
      <c r="C1773" s="88"/>
      <c r="D1773" s="88"/>
      <c r="E1773" s="88"/>
      <c r="F1773" s="89"/>
      <c r="G1773" s="89"/>
      <c r="H1773" s="89"/>
      <c r="I1773" s="88"/>
      <c r="J1773" s="88"/>
      <c r="K1773" s="88"/>
      <c r="L1773" s="88"/>
      <c r="M1773" s="88"/>
      <c r="N1773" s="88"/>
      <c r="O1773" s="88"/>
      <c r="P1773" s="88"/>
      <c r="Q1773" s="88"/>
      <c r="R1773" s="88"/>
      <c r="S1773" s="88"/>
      <c r="T1773" s="88"/>
      <c r="U1773" s="88"/>
      <c r="V1773" s="88"/>
      <c r="W1773" s="88"/>
      <c r="X1773" s="88"/>
      <c r="Y1773" s="88"/>
      <c r="Z1773" s="88"/>
    </row>
    <row r="1774" ht="17.25" customHeight="1">
      <c r="A1774" s="88"/>
      <c r="B1774" s="88"/>
      <c r="C1774" s="88"/>
      <c r="D1774" s="88"/>
      <c r="E1774" s="88"/>
      <c r="F1774" s="89"/>
      <c r="G1774" s="89"/>
      <c r="H1774" s="89"/>
      <c r="I1774" s="88"/>
      <c r="J1774" s="88"/>
      <c r="K1774" s="88"/>
      <c r="L1774" s="88"/>
      <c r="M1774" s="88"/>
      <c r="N1774" s="88"/>
      <c r="O1774" s="88"/>
      <c r="P1774" s="88"/>
      <c r="Q1774" s="88"/>
      <c r="R1774" s="88"/>
      <c r="S1774" s="88"/>
      <c r="T1774" s="88"/>
      <c r="U1774" s="88"/>
      <c r="V1774" s="88"/>
      <c r="W1774" s="88"/>
      <c r="X1774" s="88"/>
      <c r="Y1774" s="88"/>
      <c r="Z1774" s="88"/>
    </row>
    <row r="1775" ht="17.25" customHeight="1">
      <c r="A1775" s="88"/>
      <c r="B1775" s="88"/>
      <c r="C1775" s="88"/>
      <c r="D1775" s="88"/>
      <c r="E1775" s="88"/>
      <c r="F1775" s="89"/>
      <c r="G1775" s="89"/>
      <c r="H1775" s="89"/>
      <c r="I1775" s="88"/>
      <c r="J1775" s="88"/>
      <c r="K1775" s="88"/>
      <c r="L1775" s="88"/>
      <c r="M1775" s="88"/>
      <c r="N1775" s="88"/>
      <c r="O1775" s="88"/>
      <c r="P1775" s="88"/>
      <c r="Q1775" s="88"/>
      <c r="R1775" s="88"/>
      <c r="S1775" s="88"/>
      <c r="T1775" s="88"/>
      <c r="U1775" s="88"/>
      <c r="V1775" s="88"/>
      <c r="W1775" s="88"/>
      <c r="X1775" s="88"/>
      <c r="Y1775" s="88"/>
      <c r="Z1775" s="88"/>
    </row>
    <row r="1776" ht="17.25" customHeight="1">
      <c r="A1776" s="88"/>
      <c r="B1776" s="88"/>
      <c r="C1776" s="88"/>
      <c r="D1776" s="88"/>
      <c r="E1776" s="88"/>
      <c r="F1776" s="89"/>
      <c r="G1776" s="89"/>
      <c r="H1776" s="89"/>
      <c r="I1776" s="88"/>
      <c r="J1776" s="88"/>
      <c r="K1776" s="88"/>
      <c r="L1776" s="88"/>
      <c r="M1776" s="88"/>
      <c r="N1776" s="88"/>
      <c r="O1776" s="88"/>
      <c r="P1776" s="88"/>
      <c r="Q1776" s="88"/>
      <c r="R1776" s="88"/>
      <c r="S1776" s="88"/>
      <c r="T1776" s="88"/>
      <c r="U1776" s="88"/>
      <c r="V1776" s="88"/>
      <c r="W1776" s="88"/>
      <c r="X1776" s="88"/>
      <c r="Y1776" s="88"/>
      <c r="Z1776" s="88"/>
    </row>
    <row r="1777" ht="17.25" customHeight="1">
      <c r="A1777" s="88"/>
      <c r="B1777" s="88"/>
      <c r="C1777" s="88"/>
      <c r="D1777" s="88"/>
      <c r="E1777" s="88"/>
      <c r="F1777" s="89"/>
      <c r="G1777" s="89"/>
      <c r="H1777" s="89"/>
      <c r="I1777" s="88"/>
      <c r="J1777" s="88"/>
      <c r="K1777" s="88"/>
      <c r="L1777" s="88"/>
      <c r="M1777" s="88"/>
      <c r="N1777" s="88"/>
      <c r="O1777" s="88"/>
      <c r="P1777" s="88"/>
      <c r="Q1777" s="88"/>
      <c r="R1777" s="88"/>
      <c r="S1777" s="88"/>
      <c r="T1777" s="88"/>
      <c r="U1777" s="88"/>
      <c r="V1777" s="88"/>
      <c r="W1777" s="88"/>
      <c r="X1777" s="88"/>
      <c r="Y1777" s="88"/>
      <c r="Z1777" s="88"/>
    </row>
    <row r="1778" ht="17.25" customHeight="1">
      <c r="A1778" s="88"/>
      <c r="B1778" s="88"/>
      <c r="C1778" s="88"/>
      <c r="D1778" s="88"/>
      <c r="E1778" s="88"/>
      <c r="F1778" s="89"/>
      <c r="G1778" s="89"/>
      <c r="H1778" s="89"/>
      <c r="I1778" s="88"/>
      <c r="J1778" s="88"/>
      <c r="K1778" s="88"/>
      <c r="L1778" s="88"/>
      <c r="M1778" s="88"/>
      <c r="N1778" s="88"/>
      <c r="O1778" s="88"/>
      <c r="P1778" s="88"/>
      <c r="Q1778" s="88"/>
      <c r="R1778" s="88"/>
      <c r="S1778" s="88"/>
      <c r="T1778" s="88"/>
      <c r="U1778" s="88"/>
      <c r="V1778" s="88"/>
      <c r="W1778" s="88"/>
      <c r="X1778" s="88"/>
      <c r="Y1778" s="88"/>
      <c r="Z1778" s="88"/>
    </row>
    <row r="1779" ht="17.25" customHeight="1">
      <c r="A1779" s="88"/>
      <c r="B1779" s="88"/>
      <c r="C1779" s="88"/>
      <c r="D1779" s="88"/>
      <c r="E1779" s="88"/>
      <c r="F1779" s="89"/>
      <c r="G1779" s="89"/>
      <c r="H1779" s="89"/>
      <c r="I1779" s="88"/>
      <c r="J1779" s="88"/>
      <c r="K1779" s="88"/>
      <c r="L1779" s="88"/>
      <c r="M1779" s="88"/>
      <c r="N1779" s="88"/>
      <c r="O1779" s="88"/>
      <c r="P1779" s="88"/>
      <c r="Q1779" s="88"/>
      <c r="R1779" s="88"/>
      <c r="S1779" s="88"/>
      <c r="T1779" s="88"/>
      <c r="U1779" s="88"/>
      <c r="V1779" s="88"/>
      <c r="W1779" s="88"/>
      <c r="X1779" s="88"/>
      <c r="Y1779" s="88"/>
      <c r="Z1779" s="88"/>
    </row>
    <row r="1780" ht="17.25" customHeight="1">
      <c r="A1780" s="88"/>
      <c r="B1780" s="88"/>
      <c r="C1780" s="88"/>
      <c r="D1780" s="88"/>
      <c r="E1780" s="88"/>
      <c r="F1780" s="89"/>
      <c r="G1780" s="89"/>
      <c r="H1780" s="89"/>
      <c r="I1780" s="88"/>
      <c r="J1780" s="88"/>
      <c r="K1780" s="88"/>
      <c r="L1780" s="88"/>
      <c r="M1780" s="88"/>
      <c r="N1780" s="88"/>
      <c r="O1780" s="88"/>
      <c r="P1780" s="88"/>
      <c r="Q1780" s="88"/>
      <c r="R1780" s="88"/>
      <c r="S1780" s="88"/>
      <c r="T1780" s="88"/>
      <c r="U1780" s="88"/>
      <c r="V1780" s="88"/>
      <c r="W1780" s="88"/>
      <c r="X1780" s="88"/>
      <c r="Y1780" s="88"/>
      <c r="Z1780" s="88"/>
    </row>
    <row r="1781" ht="17.25" customHeight="1">
      <c r="A1781" s="88"/>
      <c r="B1781" s="88"/>
      <c r="C1781" s="88"/>
      <c r="D1781" s="88"/>
      <c r="E1781" s="88"/>
      <c r="F1781" s="89"/>
      <c r="G1781" s="89"/>
      <c r="H1781" s="89"/>
      <c r="I1781" s="88"/>
      <c r="J1781" s="88"/>
      <c r="K1781" s="88"/>
      <c r="L1781" s="88"/>
      <c r="M1781" s="88"/>
      <c r="N1781" s="88"/>
      <c r="O1781" s="88"/>
      <c r="P1781" s="88"/>
      <c r="Q1781" s="88"/>
      <c r="R1781" s="88"/>
      <c r="S1781" s="88"/>
      <c r="T1781" s="88"/>
      <c r="U1781" s="88"/>
      <c r="V1781" s="88"/>
      <c r="W1781" s="88"/>
      <c r="X1781" s="88"/>
      <c r="Y1781" s="88"/>
      <c r="Z1781" s="88"/>
    </row>
    <row r="1782" ht="17.25" customHeight="1">
      <c r="A1782" s="88"/>
      <c r="B1782" s="88"/>
      <c r="C1782" s="88"/>
      <c r="D1782" s="88"/>
      <c r="E1782" s="88"/>
      <c r="F1782" s="89"/>
      <c r="G1782" s="89"/>
      <c r="H1782" s="89"/>
      <c r="I1782" s="88"/>
      <c r="J1782" s="88"/>
      <c r="K1782" s="88"/>
      <c r="L1782" s="88"/>
      <c r="M1782" s="88"/>
      <c r="N1782" s="88"/>
      <c r="O1782" s="88"/>
      <c r="P1782" s="88"/>
      <c r="Q1782" s="88"/>
      <c r="R1782" s="88"/>
      <c r="S1782" s="88"/>
      <c r="T1782" s="88"/>
      <c r="U1782" s="88"/>
      <c r="V1782" s="88"/>
      <c r="W1782" s="88"/>
      <c r="X1782" s="88"/>
      <c r="Y1782" s="88"/>
      <c r="Z1782" s="88"/>
    </row>
    <row r="1783" ht="17.25" customHeight="1">
      <c r="A1783" s="88"/>
      <c r="B1783" s="88"/>
      <c r="C1783" s="88"/>
      <c r="D1783" s="88"/>
      <c r="E1783" s="88"/>
      <c r="F1783" s="89"/>
      <c r="G1783" s="89"/>
      <c r="H1783" s="89"/>
      <c r="I1783" s="88"/>
      <c r="J1783" s="88"/>
      <c r="K1783" s="88"/>
      <c r="L1783" s="88"/>
      <c r="M1783" s="88"/>
      <c r="N1783" s="88"/>
      <c r="O1783" s="88"/>
      <c r="P1783" s="88"/>
      <c r="Q1783" s="88"/>
      <c r="R1783" s="88"/>
      <c r="S1783" s="88"/>
      <c r="T1783" s="88"/>
      <c r="U1783" s="88"/>
      <c r="V1783" s="88"/>
      <c r="W1783" s="88"/>
      <c r="X1783" s="88"/>
      <c r="Y1783" s="88"/>
      <c r="Z1783" s="88"/>
    </row>
    <row r="1784" ht="17.25" customHeight="1">
      <c r="A1784" s="88"/>
      <c r="B1784" s="88"/>
      <c r="C1784" s="88"/>
      <c r="D1784" s="88"/>
      <c r="E1784" s="88"/>
      <c r="F1784" s="89"/>
      <c r="G1784" s="89"/>
      <c r="H1784" s="89"/>
      <c r="I1784" s="88"/>
      <c r="J1784" s="88"/>
      <c r="K1784" s="88"/>
      <c r="L1784" s="88"/>
      <c r="M1784" s="88"/>
      <c r="N1784" s="88"/>
      <c r="O1784" s="88"/>
      <c r="P1784" s="88"/>
      <c r="Q1784" s="88"/>
      <c r="R1784" s="88"/>
      <c r="S1784" s="88"/>
      <c r="T1784" s="88"/>
      <c r="U1784" s="88"/>
      <c r="V1784" s="88"/>
      <c r="W1784" s="88"/>
      <c r="X1784" s="88"/>
      <c r="Y1784" s="88"/>
      <c r="Z1784" s="88"/>
    </row>
    <row r="1785" ht="17.25" customHeight="1">
      <c r="A1785" s="88"/>
      <c r="B1785" s="88"/>
      <c r="C1785" s="88"/>
      <c r="D1785" s="88"/>
      <c r="E1785" s="88"/>
      <c r="F1785" s="89"/>
      <c r="G1785" s="89"/>
      <c r="H1785" s="89"/>
      <c r="I1785" s="88"/>
      <c r="J1785" s="88"/>
      <c r="K1785" s="88"/>
      <c r="L1785" s="88"/>
      <c r="M1785" s="88"/>
      <c r="N1785" s="88"/>
      <c r="O1785" s="88"/>
      <c r="P1785" s="88"/>
      <c r="Q1785" s="88"/>
      <c r="R1785" s="88"/>
      <c r="S1785" s="88"/>
      <c r="T1785" s="88"/>
      <c r="U1785" s="88"/>
      <c r="V1785" s="88"/>
      <c r="W1785" s="88"/>
      <c r="X1785" s="88"/>
      <c r="Y1785" s="88"/>
      <c r="Z1785" s="88"/>
    </row>
    <row r="1786" ht="17.25" customHeight="1">
      <c r="A1786" s="88"/>
      <c r="B1786" s="88"/>
      <c r="C1786" s="88"/>
      <c r="D1786" s="88"/>
      <c r="E1786" s="88"/>
      <c r="F1786" s="89"/>
      <c r="G1786" s="89"/>
      <c r="H1786" s="89"/>
      <c r="I1786" s="88"/>
      <c r="J1786" s="88"/>
      <c r="K1786" s="88"/>
      <c r="L1786" s="88"/>
      <c r="M1786" s="88"/>
      <c r="N1786" s="88"/>
      <c r="O1786" s="88"/>
      <c r="P1786" s="88"/>
      <c r="Q1786" s="88"/>
      <c r="R1786" s="88"/>
      <c r="S1786" s="88"/>
      <c r="T1786" s="88"/>
      <c r="U1786" s="88"/>
      <c r="V1786" s="88"/>
      <c r="W1786" s="88"/>
      <c r="X1786" s="88"/>
      <c r="Y1786" s="88"/>
      <c r="Z1786" s="88"/>
    </row>
    <row r="1787" ht="17.25" customHeight="1">
      <c r="A1787" s="88"/>
      <c r="B1787" s="88"/>
      <c r="C1787" s="88"/>
      <c r="D1787" s="88"/>
      <c r="E1787" s="88"/>
      <c r="F1787" s="89"/>
      <c r="G1787" s="89"/>
      <c r="H1787" s="89"/>
      <c r="I1787" s="88"/>
      <c r="J1787" s="88"/>
      <c r="K1787" s="88"/>
      <c r="L1787" s="88"/>
      <c r="M1787" s="88"/>
      <c r="N1787" s="88"/>
      <c r="O1787" s="88"/>
      <c r="P1787" s="88"/>
      <c r="Q1787" s="88"/>
      <c r="R1787" s="88"/>
      <c r="S1787" s="88"/>
      <c r="T1787" s="88"/>
      <c r="U1787" s="88"/>
      <c r="V1787" s="88"/>
      <c r="W1787" s="88"/>
      <c r="X1787" s="88"/>
      <c r="Y1787" s="88"/>
      <c r="Z1787" s="88"/>
    </row>
    <row r="1788" ht="17.25" customHeight="1">
      <c r="A1788" s="88"/>
      <c r="B1788" s="88"/>
      <c r="C1788" s="88"/>
      <c r="D1788" s="88"/>
      <c r="E1788" s="88"/>
      <c r="F1788" s="89"/>
      <c r="G1788" s="89"/>
      <c r="H1788" s="89"/>
      <c r="I1788" s="88"/>
      <c r="J1788" s="88"/>
      <c r="K1788" s="88"/>
      <c r="L1788" s="88"/>
      <c r="M1788" s="88"/>
      <c r="N1788" s="88"/>
      <c r="O1788" s="88"/>
      <c r="P1788" s="88"/>
      <c r="Q1788" s="88"/>
      <c r="R1788" s="88"/>
      <c r="S1788" s="88"/>
      <c r="T1788" s="88"/>
      <c r="U1788" s="88"/>
      <c r="V1788" s="88"/>
      <c r="W1788" s="88"/>
      <c r="X1788" s="88"/>
      <c r="Y1788" s="88"/>
      <c r="Z1788" s="88"/>
    </row>
    <row r="1789" ht="17.25" customHeight="1">
      <c r="A1789" s="88"/>
      <c r="B1789" s="88"/>
      <c r="C1789" s="88"/>
      <c r="D1789" s="88"/>
      <c r="E1789" s="88"/>
      <c r="F1789" s="89"/>
      <c r="G1789" s="89"/>
      <c r="H1789" s="89"/>
      <c r="I1789" s="88"/>
      <c r="J1789" s="88"/>
      <c r="K1789" s="88"/>
      <c r="L1789" s="88"/>
      <c r="M1789" s="88"/>
      <c r="N1789" s="88"/>
      <c r="O1789" s="88"/>
      <c r="P1789" s="88"/>
      <c r="Q1789" s="88"/>
      <c r="R1789" s="88"/>
      <c r="S1789" s="88"/>
      <c r="T1789" s="88"/>
      <c r="U1789" s="88"/>
      <c r="V1789" s="88"/>
      <c r="W1789" s="88"/>
      <c r="X1789" s="88"/>
      <c r="Y1789" s="88"/>
      <c r="Z1789" s="88"/>
    </row>
    <row r="1790" ht="17.25" customHeight="1">
      <c r="A1790" s="88"/>
      <c r="B1790" s="88"/>
      <c r="C1790" s="88"/>
      <c r="D1790" s="88"/>
      <c r="E1790" s="88"/>
      <c r="F1790" s="89"/>
      <c r="G1790" s="89"/>
      <c r="H1790" s="89"/>
      <c r="I1790" s="88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U1790" s="88"/>
      <c r="V1790" s="88"/>
      <c r="W1790" s="88"/>
      <c r="X1790" s="88"/>
      <c r="Y1790" s="88"/>
      <c r="Z1790" s="88"/>
    </row>
    <row r="1791" ht="17.25" customHeight="1">
      <c r="A1791" s="88"/>
      <c r="B1791" s="88"/>
      <c r="C1791" s="88"/>
      <c r="D1791" s="88"/>
      <c r="E1791" s="88"/>
      <c r="F1791" s="89"/>
      <c r="G1791" s="89"/>
      <c r="H1791" s="89"/>
      <c r="I1791" s="88"/>
      <c r="J1791" s="88"/>
      <c r="K1791" s="88"/>
      <c r="L1791" s="88"/>
      <c r="M1791" s="88"/>
      <c r="N1791" s="88"/>
      <c r="O1791" s="88"/>
      <c r="P1791" s="88"/>
      <c r="Q1791" s="88"/>
      <c r="R1791" s="88"/>
      <c r="S1791" s="88"/>
      <c r="T1791" s="88"/>
      <c r="U1791" s="88"/>
      <c r="V1791" s="88"/>
      <c r="W1791" s="88"/>
      <c r="X1791" s="88"/>
      <c r="Y1791" s="88"/>
      <c r="Z1791" s="88"/>
    </row>
    <row r="1792" ht="17.25" customHeight="1">
      <c r="A1792" s="88"/>
      <c r="B1792" s="88"/>
      <c r="C1792" s="88"/>
      <c r="D1792" s="88"/>
      <c r="E1792" s="88"/>
      <c r="F1792" s="89"/>
      <c r="G1792" s="89"/>
      <c r="H1792" s="89"/>
      <c r="I1792" s="88"/>
      <c r="J1792" s="88"/>
      <c r="K1792" s="88"/>
      <c r="L1792" s="88"/>
      <c r="M1792" s="88"/>
      <c r="N1792" s="88"/>
      <c r="O1792" s="88"/>
      <c r="P1792" s="88"/>
      <c r="Q1792" s="88"/>
      <c r="R1792" s="88"/>
      <c r="S1792" s="88"/>
      <c r="T1792" s="88"/>
      <c r="U1792" s="88"/>
      <c r="V1792" s="88"/>
      <c r="W1792" s="88"/>
      <c r="X1792" s="88"/>
      <c r="Y1792" s="88"/>
      <c r="Z1792" s="88"/>
    </row>
    <row r="1793" ht="17.25" customHeight="1">
      <c r="A1793" s="88"/>
      <c r="B1793" s="88"/>
      <c r="C1793" s="88"/>
      <c r="D1793" s="88"/>
      <c r="E1793" s="88"/>
      <c r="F1793" s="89"/>
      <c r="G1793" s="89"/>
      <c r="H1793" s="89"/>
      <c r="I1793" s="88"/>
      <c r="J1793" s="88"/>
      <c r="K1793" s="88"/>
      <c r="L1793" s="88"/>
      <c r="M1793" s="88"/>
      <c r="N1793" s="88"/>
      <c r="O1793" s="88"/>
      <c r="P1793" s="88"/>
      <c r="Q1793" s="88"/>
      <c r="R1793" s="88"/>
      <c r="S1793" s="88"/>
      <c r="T1793" s="88"/>
      <c r="U1793" s="88"/>
      <c r="V1793" s="88"/>
      <c r="W1793" s="88"/>
      <c r="X1793" s="88"/>
      <c r="Y1793" s="88"/>
      <c r="Z1793" s="88"/>
    </row>
    <row r="1794" ht="17.25" customHeight="1">
      <c r="A1794" s="88"/>
      <c r="B1794" s="88"/>
      <c r="C1794" s="88"/>
      <c r="D1794" s="88"/>
      <c r="E1794" s="88"/>
      <c r="F1794" s="89"/>
      <c r="G1794" s="89"/>
      <c r="H1794" s="89"/>
      <c r="I1794" s="88"/>
      <c r="J1794" s="88"/>
      <c r="K1794" s="88"/>
      <c r="L1794" s="88"/>
      <c r="M1794" s="88"/>
      <c r="N1794" s="88"/>
      <c r="O1794" s="88"/>
      <c r="P1794" s="88"/>
      <c r="Q1794" s="88"/>
      <c r="R1794" s="88"/>
      <c r="S1794" s="88"/>
      <c r="T1794" s="88"/>
      <c r="U1794" s="88"/>
      <c r="V1794" s="88"/>
      <c r="W1794" s="88"/>
      <c r="X1794" s="88"/>
      <c r="Y1794" s="88"/>
      <c r="Z1794" s="88"/>
    </row>
    <row r="1795" ht="17.25" customHeight="1">
      <c r="A1795" s="88"/>
      <c r="B1795" s="88"/>
      <c r="C1795" s="88"/>
      <c r="D1795" s="88"/>
      <c r="E1795" s="88"/>
      <c r="F1795" s="89"/>
      <c r="G1795" s="89"/>
      <c r="H1795" s="89"/>
      <c r="I1795" s="88"/>
      <c r="J1795" s="88"/>
      <c r="K1795" s="88"/>
      <c r="L1795" s="88"/>
      <c r="M1795" s="88"/>
      <c r="N1795" s="88"/>
      <c r="O1795" s="88"/>
      <c r="P1795" s="88"/>
      <c r="Q1795" s="88"/>
      <c r="R1795" s="88"/>
      <c r="S1795" s="88"/>
      <c r="T1795" s="88"/>
      <c r="U1795" s="88"/>
      <c r="V1795" s="88"/>
      <c r="W1795" s="88"/>
      <c r="X1795" s="88"/>
      <c r="Y1795" s="88"/>
      <c r="Z1795" s="88"/>
    </row>
    <row r="1796" ht="17.25" customHeight="1">
      <c r="A1796" s="88"/>
      <c r="B1796" s="88"/>
      <c r="C1796" s="88"/>
      <c r="D1796" s="88"/>
      <c r="E1796" s="88"/>
      <c r="F1796" s="89"/>
      <c r="G1796" s="89"/>
      <c r="H1796" s="89"/>
      <c r="I1796" s="88"/>
      <c r="J1796" s="88"/>
      <c r="K1796" s="88"/>
      <c r="L1796" s="88"/>
      <c r="M1796" s="88"/>
      <c r="N1796" s="88"/>
      <c r="O1796" s="88"/>
      <c r="P1796" s="88"/>
      <c r="Q1796" s="88"/>
      <c r="R1796" s="88"/>
      <c r="S1796" s="88"/>
      <c r="T1796" s="88"/>
      <c r="U1796" s="88"/>
      <c r="V1796" s="88"/>
      <c r="W1796" s="88"/>
      <c r="X1796" s="88"/>
      <c r="Y1796" s="88"/>
      <c r="Z1796" s="88"/>
    </row>
    <row r="1797" ht="17.25" customHeight="1">
      <c r="A1797" s="88"/>
      <c r="B1797" s="88"/>
      <c r="C1797" s="88"/>
      <c r="D1797" s="88"/>
      <c r="E1797" s="88"/>
      <c r="F1797" s="89"/>
      <c r="G1797" s="89"/>
      <c r="H1797" s="89"/>
      <c r="I1797" s="88"/>
      <c r="J1797" s="88"/>
      <c r="K1797" s="88"/>
      <c r="L1797" s="88"/>
      <c r="M1797" s="88"/>
      <c r="N1797" s="88"/>
      <c r="O1797" s="88"/>
      <c r="P1797" s="88"/>
      <c r="Q1797" s="88"/>
      <c r="R1797" s="88"/>
      <c r="S1797" s="88"/>
      <c r="T1797" s="88"/>
      <c r="U1797" s="88"/>
      <c r="V1797" s="88"/>
      <c r="W1797" s="88"/>
      <c r="X1797" s="88"/>
      <c r="Y1797" s="88"/>
      <c r="Z1797" s="88"/>
    </row>
    <row r="1798" ht="17.25" customHeight="1">
      <c r="A1798" s="88"/>
      <c r="B1798" s="88"/>
      <c r="C1798" s="88"/>
      <c r="D1798" s="88"/>
      <c r="E1798" s="88"/>
      <c r="F1798" s="89"/>
      <c r="G1798" s="89"/>
      <c r="H1798" s="89"/>
      <c r="I1798" s="88"/>
      <c r="J1798" s="88"/>
      <c r="K1798" s="88"/>
      <c r="L1798" s="88"/>
      <c r="M1798" s="88"/>
      <c r="N1798" s="88"/>
      <c r="O1798" s="88"/>
      <c r="P1798" s="88"/>
      <c r="Q1798" s="88"/>
      <c r="R1798" s="88"/>
      <c r="S1798" s="88"/>
      <c r="T1798" s="88"/>
      <c r="U1798" s="88"/>
      <c r="V1798" s="88"/>
      <c r="W1798" s="88"/>
      <c r="X1798" s="88"/>
      <c r="Y1798" s="88"/>
      <c r="Z1798" s="88"/>
    </row>
    <row r="1799" ht="17.25" customHeight="1">
      <c r="A1799" s="88"/>
      <c r="B1799" s="88"/>
      <c r="C1799" s="88"/>
      <c r="D1799" s="88"/>
      <c r="E1799" s="88"/>
      <c r="F1799" s="89"/>
      <c r="G1799" s="89"/>
      <c r="H1799" s="89"/>
      <c r="I1799" s="88"/>
      <c r="J1799" s="88"/>
      <c r="K1799" s="88"/>
      <c r="L1799" s="88"/>
      <c r="M1799" s="88"/>
      <c r="N1799" s="88"/>
      <c r="O1799" s="88"/>
      <c r="P1799" s="88"/>
      <c r="Q1799" s="88"/>
      <c r="R1799" s="88"/>
      <c r="S1799" s="88"/>
      <c r="T1799" s="88"/>
      <c r="U1799" s="88"/>
      <c r="V1799" s="88"/>
      <c r="W1799" s="88"/>
      <c r="X1799" s="88"/>
      <c r="Y1799" s="88"/>
      <c r="Z1799" s="88"/>
    </row>
    <row r="1800" ht="17.25" customHeight="1">
      <c r="A1800" s="88"/>
      <c r="B1800" s="88"/>
      <c r="C1800" s="88"/>
      <c r="D1800" s="88"/>
      <c r="E1800" s="88"/>
      <c r="F1800" s="89"/>
      <c r="G1800" s="89"/>
      <c r="H1800" s="89"/>
      <c r="I1800" s="88"/>
      <c r="J1800" s="88"/>
      <c r="K1800" s="88"/>
      <c r="L1800" s="88"/>
      <c r="M1800" s="88"/>
      <c r="N1800" s="88"/>
      <c r="O1800" s="88"/>
      <c r="P1800" s="88"/>
      <c r="Q1800" s="88"/>
      <c r="R1800" s="88"/>
      <c r="S1800" s="88"/>
      <c r="T1800" s="88"/>
      <c r="U1800" s="88"/>
      <c r="V1800" s="88"/>
      <c r="W1800" s="88"/>
      <c r="X1800" s="88"/>
      <c r="Y1800" s="88"/>
      <c r="Z1800" s="88"/>
    </row>
    <row r="1801" ht="17.25" customHeight="1">
      <c r="A1801" s="88"/>
      <c r="B1801" s="88"/>
      <c r="C1801" s="88"/>
      <c r="D1801" s="88"/>
      <c r="E1801" s="88"/>
      <c r="F1801" s="89"/>
      <c r="G1801" s="89"/>
      <c r="H1801" s="89"/>
      <c r="I1801" s="88"/>
      <c r="J1801" s="88"/>
      <c r="K1801" s="88"/>
      <c r="L1801" s="88"/>
      <c r="M1801" s="88"/>
      <c r="N1801" s="88"/>
      <c r="O1801" s="88"/>
      <c r="P1801" s="88"/>
      <c r="Q1801" s="88"/>
      <c r="R1801" s="88"/>
      <c r="S1801" s="88"/>
      <c r="T1801" s="88"/>
      <c r="U1801" s="88"/>
      <c r="V1801" s="88"/>
      <c r="W1801" s="88"/>
      <c r="X1801" s="88"/>
      <c r="Y1801" s="88"/>
      <c r="Z1801" s="88"/>
    </row>
    <row r="1802" ht="17.25" customHeight="1">
      <c r="A1802" s="88"/>
      <c r="B1802" s="88"/>
      <c r="C1802" s="88"/>
      <c r="D1802" s="88"/>
      <c r="E1802" s="88"/>
      <c r="F1802" s="89"/>
      <c r="G1802" s="89"/>
      <c r="H1802" s="89"/>
      <c r="I1802" s="88"/>
      <c r="J1802" s="88"/>
      <c r="K1802" s="88"/>
      <c r="L1802" s="88"/>
      <c r="M1802" s="88"/>
      <c r="N1802" s="88"/>
      <c r="O1802" s="88"/>
      <c r="P1802" s="88"/>
      <c r="Q1802" s="88"/>
      <c r="R1802" s="88"/>
      <c r="S1802" s="88"/>
      <c r="T1802" s="88"/>
      <c r="U1802" s="88"/>
      <c r="V1802" s="88"/>
      <c r="W1802" s="88"/>
      <c r="X1802" s="88"/>
      <c r="Y1802" s="88"/>
      <c r="Z1802" s="88"/>
    </row>
    <row r="1803" ht="17.25" customHeight="1">
      <c r="A1803" s="88"/>
      <c r="B1803" s="88"/>
      <c r="C1803" s="88"/>
      <c r="D1803" s="88"/>
      <c r="E1803" s="88"/>
      <c r="F1803" s="89"/>
      <c r="G1803" s="89"/>
      <c r="H1803" s="89"/>
      <c r="I1803" s="88"/>
      <c r="J1803" s="88"/>
      <c r="K1803" s="88"/>
      <c r="L1803" s="88"/>
      <c r="M1803" s="88"/>
      <c r="N1803" s="88"/>
      <c r="O1803" s="88"/>
      <c r="P1803" s="88"/>
      <c r="Q1803" s="88"/>
      <c r="R1803" s="88"/>
      <c r="S1803" s="88"/>
      <c r="T1803" s="88"/>
      <c r="U1803" s="88"/>
      <c r="V1803" s="88"/>
      <c r="W1803" s="88"/>
      <c r="X1803" s="88"/>
      <c r="Y1803" s="88"/>
      <c r="Z1803" s="88"/>
    </row>
    <row r="1804" ht="17.25" customHeight="1">
      <c r="A1804" s="88"/>
      <c r="B1804" s="88"/>
      <c r="C1804" s="88"/>
      <c r="D1804" s="88"/>
      <c r="E1804" s="88"/>
      <c r="F1804" s="89"/>
      <c r="G1804" s="89"/>
      <c r="H1804" s="89"/>
      <c r="I1804" s="88"/>
      <c r="J1804" s="88"/>
      <c r="K1804" s="88"/>
      <c r="L1804" s="88"/>
      <c r="M1804" s="88"/>
      <c r="N1804" s="88"/>
      <c r="O1804" s="88"/>
      <c r="P1804" s="88"/>
      <c r="Q1804" s="88"/>
      <c r="R1804" s="88"/>
      <c r="S1804" s="88"/>
      <c r="T1804" s="88"/>
      <c r="U1804" s="88"/>
      <c r="V1804" s="88"/>
      <c r="W1804" s="88"/>
      <c r="X1804" s="88"/>
      <c r="Y1804" s="88"/>
      <c r="Z1804" s="88"/>
    </row>
    <row r="1805" ht="17.25" customHeight="1">
      <c r="A1805" s="88"/>
      <c r="B1805" s="88"/>
      <c r="C1805" s="88"/>
      <c r="D1805" s="88"/>
      <c r="E1805" s="88"/>
      <c r="F1805" s="89"/>
      <c r="G1805" s="89"/>
      <c r="H1805" s="89"/>
      <c r="I1805" s="88"/>
      <c r="J1805" s="88"/>
      <c r="K1805" s="88"/>
      <c r="L1805" s="88"/>
      <c r="M1805" s="88"/>
      <c r="N1805" s="88"/>
      <c r="O1805" s="88"/>
      <c r="P1805" s="88"/>
      <c r="Q1805" s="88"/>
      <c r="R1805" s="88"/>
      <c r="S1805" s="88"/>
      <c r="T1805" s="88"/>
      <c r="U1805" s="88"/>
      <c r="V1805" s="88"/>
      <c r="W1805" s="88"/>
      <c r="X1805" s="88"/>
      <c r="Y1805" s="88"/>
      <c r="Z1805" s="88"/>
    </row>
    <row r="1806" ht="17.25" customHeight="1">
      <c r="A1806" s="88"/>
      <c r="B1806" s="88"/>
      <c r="C1806" s="88"/>
      <c r="D1806" s="88"/>
      <c r="E1806" s="88"/>
      <c r="F1806" s="89"/>
      <c r="G1806" s="89"/>
      <c r="H1806" s="89"/>
      <c r="I1806" s="88"/>
      <c r="J1806" s="88"/>
      <c r="K1806" s="88"/>
      <c r="L1806" s="88"/>
      <c r="M1806" s="88"/>
      <c r="N1806" s="88"/>
      <c r="O1806" s="88"/>
      <c r="P1806" s="88"/>
      <c r="Q1806" s="88"/>
      <c r="R1806" s="88"/>
      <c r="S1806" s="88"/>
      <c r="T1806" s="88"/>
      <c r="U1806" s="88"/>
      <c r="V1806" s="88"/>
      <c r="W1806" s="88"/>
      <c r="X1806" s="88"/>
      <c r="Y1806" s="88"/>
      <c r="Z1806" s="88"/>
    </row>
    <row r="1807" ht="17.25" customHeight="1">
      <c r="A1807" s="88"/>
      <c r="B1807" s="88"/>
      <c r="C1807" s="88"/>
      <c r="D1807" s="88"/>
      <c r="E1807" s="88"/>
      <c r="F1807" s="89"/>
      <c r="G1807" s="89"/>
      <c r="H1807" s="89"/>
      <c r="I1807" s="88"/>
      <c r="J1807" s="88"/>
      <c r="K1807" s="88"/>
      <c r="L1807" s="88"/>
      <c r="M1807" s="88"/>
      <c r="N1807" s="88"/>
      <c r="O1807" s="88"/>
      <c r="P1807" s="88"/>
      <c r="Q1807" s="88"/>
      <c r="R1807" s="88"/>
      <c r="S1807" s="88"/>
      <c r="T1807" s="88"/>
      <c r="U1807" s="88"/>
      <c r="V1807" s="88"/>
      <c r="W1807" s="88"/>
      <c r="X1807" s="88"/>
      <c r="Y1807" s="88"/>
      <c r="Z1807" s="88"/>
    </row>
    <row r="1808" ht="17.25" customHeight="1">
      <c r="A1808" s="88"/>
      <c r="B1808" s="88"/>
      <c r="C1808" s="88"/>
      <c r="D1808" s="88"/>
      <c r="E1808" s="88"/>
      <c r="F1808" s="89"/>
      <c r="G1808" s="89"/>
      <c r="H1808" s="89"/>
      <c r="I1808" s="88"/>
      <c r="J1808" s="88"/>
      <c r="K1808" s="88"/>
      <c r="L1808" s="88"/>
      <c r="M1808" s="88"/>
      <c r="N1808" s="88"/>
      <c r="O1808" s="88"/>
      <c r="P1808" s="88"/>
      <c r="Q1808" s="88"/>
      <c r="R1808" s="88"/>
      <c r="S1808" s="88"/>
      <c r="T1808" s="88"/>
      <c r="U1808" s="88"/>
      <c r="V1808" s="88"/>
      <c r="W1808" s="88"/>
      <c r="X1808" s="88"/>
      <c r="Y1808" s="88"/>
      <c r="Z1808" s="88"/>
    </row>
    <row r="1809" ht="17.25" customHeight="1">
      <c r="A1809" s="88"/>
      <c r="B1809" s="88"/>
      <c r="C1809" s="88"/>
      <c r="D1809" s="88"/>
      <c r="E1809" s="88"/>
      <c r="F1809" s="89"/>
      <c r="G1809" s="89"/>
      <c r="H1809" s="89"/>
      <c r="I1809" s="88"/>
      <c r="J1809" s="88"/>
      <c r="K1809" s="88"/>
      <c r="L1809" s="88"/>
      <c r="M1809" s="88"/>
      <c r="N1809" s="88"/>
      <c r="O1809" s="88"/>
      <c r="P1809" s="88"/>
      <c r="Q1809" s="88"/>
      <c r="R1809" s="88"/>
      <c r="S1809" s="88"/>
      <c r="T1809" s="88"/>
      <c r="U1809" s="88"/>
      <c r="V1809" s="88"/>
      <c r="W1809" s="88"/>
      <c r="X1809" s="88"/>
      <c r="Y1809" s="88"/>
      <c r="Z1809" s="88"/>
    </row>
    <row r="1810" ht="17.25" customHeight="1">
      <c r="A1810" s="88"/>
      <c r="B1810" s="88"/>
      <c r="C1810" s="88"/>
      <c r="D1810" s="88"/>
      <c r="E1810" s="88"/>
      <c r="F1810" s="89"/>
      <c r="G1810" s="89"/>
      <c r="H1810" s="89"/>
      <c r="I1810" s="88"/>
      <c r="J1810" s="88"/>
      <c r="K1810" s="88"/>
      <c r="L1810" s="88"/>
      <c r="M1810" s="88"/>
      <c r="N1810" s="88"/>
      <c r="O1810" s="88"/>
      <c r="P1810" s="88"/>
      <c r="Q1810" s="88"/>
      <c r="R1810" s="88"/>
      <c r="S1810" s="88"/>
      <c r="T1810" s="88"/>
      <c r="U1810" s="88"/>
      <c r="V1810" s="88"/>
      <c r="W1810" s="88"/>
      <c r="X1810" s="88"/>
      <c r="Y1810" s="88"/>
      <c r="Z1810" s="88"/>
    </row>
    <row r="1811" ht="17.25" customHeight="1">
      <c r="A1811" s="88"/>
      <c r="B1811" s="88"/>
      <c r="C1811" s="88"/>
      <c r="D1811" s="88"/>
      <c r="E1811" s="88"/>
      <c r="F1811" s="89"/>
      <c r="G1811" s="89"/>
      <c r="H1811" s="89"/>
      <c r="I1811" s="88"/>
      <c r="J1811" s="88"/>
      <c r="K1811" s="88"/>
      <c r="L1811" s="88"/>
      <c r="M1811" s="88"/>
      <c r="N1811" s="88"/>
      <c r="O1811" s="88"/>
      <c r="P1811" s="88"/>
      <c r="Q1811" s="88"/>
      <c r="R1811" s="88"/>
      <c r="S1811" s="88"/>
      <c r="T1811" s="88"/>
      <c r="U1811" s="88"/>
      <c r="V1811" s="88"/>
      <c r="W1811" s="88"/>
      <c r="X1811" s="88"/>
      <c r="Y1811" s="88"/>
      <c r="Z1811" s="88"/>
    </row>
    <row r="1812" ht="17.25" customHeight="1">
      <c r="A1812" s="88"/>
      <c r="B1812" s="88"/>
      <c r="C1812" s="88"/>
      <c r="D1812" s="88"/>
      <c r="E1812" s="88"/>
      <c r="F1812" s="89"/>
      <c r="G1812" s="89"/>
      <c r="H1812" s="89"/>
      <c r="I1812" s="88"/>
      <c r="J1812" s="88"/>
      <c r="K1812" s="88"/>
      <c r="L1812" s="88"/>
      <c r="M1812" s="88"/>
      <c r="N1812" s="88"/>
      <c r="O1812" s="88"/>
      <c r="P1812" s="88"/>
      <c r="Q1812" s="88"/>
      <c r="R1812" s="88"/>
      <c r="S1812" s="88"/>
      <c r="T1812" s="88"/>
      <c r="U1812" s="88"/>
      <c r="V1812" s="88"/>
      <c r="W1812" s="88"/>
      <c r="X1812" s="88"/>
      <c r="Y1812" s="88"/>
      <c r="Z1812" s="88"/>
    </row>
    <row r="1813" ht="17.25" customHeight="1">
      <c r="A1813" s="88"/>
      <c r="B1813" s="88"/>
      <c r="C1813" s="88"/>
      <c r="D1813" s="88"/>
      <c r="E1813" s="88"/>
      <c r="F1813" s="89"/>
      <c r="G1813" s="89"/>
      <c r="H1813" s="89"/>
      <c r="I1813" s="88"/>
      <c r="J1813" s="88"/>
      <c r="K1813" s="88"/>
      <c r="L1813" s="88"/>
      <c r="M1813" s="88"/>
      <c r="N1813" s="88"/>
      <c r="O1813" s="88"/>
      <c r="P1813" s="88"/>
      <c r="Q1813" s="88"/>
      <c r="R1813" s="88"/>
      <c r="S1813" s="88"/>
      <c r="T1813" s="88"/>
      <c r="U1813" s="88"/>
      <c r="V1813" s="88"/>
      <c r="W1813" s="88"/>
      <c r="X1813" s="88"/>
      <c r="Y1813" s="88"/>
      <c r="Z1813" s="88"/>
    </row>
    <row r="1814" ht="17.25" customHeight="1">
      <c r="A1814" s="88"/>
      <c r="B1814" s="88"/>
      <c r="C1814" s="88"/>
      <c r="D1814" s="88"/>
      <c r="E1814" s="88"/>
      <c r="F1814" s="89"/>
      <c r="G1814" s="89"/>
      <c r="H1814" s="89"/>
      <c r="I1814" s="88"/>
      <c r="J1814" s="88"/>
      <c r="K1814" s="88"/>
      <c r="L1814" s="88"/>
      <c r="M1814" s="88"/>
      <c r="N1814" s="88"/>
      <c r="O1814" s="88"/>
      <c r="P1814" s="88"/>
      <c r="Q1814" s="88"/>
      <c r="R1814" s="88"/>
      <c r="S1814" s="88"/>
      <c r="T1814" s="88"/>
      <c r="U1814" s="88"/>
      <c r="V1814" s="88"/>
      <c r="W1814" s="88"/>
      <c r="X1814" s="88"/>
      <c r="Y1814" s="88"/>
      <c r="Z1814" s="88"/>
    </row>
    <row r="1815" ht="17.25" customHeight="1">
      <c r="A1815" s="88"/>
      <c r="B1815" s="88"/>
      <c r="C1815" s="88"/>
      <c r="D1815" s="88"/>
      <c r="E1815" s="88"/>
      <c r="F1815" s="89"/>
      <c r="G1815" s="89"/>
      <c r="H1815" s="89"/>
      <c r="I1815" s="88"/>
      <c r="J1815" s="88"/>
      <c r="K1815" s="88"/>
      <c r="L1815" s="88"/>
      <c r="M1815" s="88"/>
      <c r="N1815" s="88"/>
      <c r="O1815" s="88"/>
      <c r="P1815" s="88"/>
      <c r="Q1815" s="88"/>
      <c r="R1815" s="88"/>
      <c r="S1815" s="88"/>
      <c r="T1815" s="88"/>
      <c r="U1815" s="88"/>
      <c r="V1815" s="88"/>
      <c r="W1815" s="88"/>
      <c r="X1815" s="88"/>
      <c r="Y1815" s="88"/>
      <c r="Z1815" s="88"/>
    </row>
    <row r="1816" ht="17.25" customHeight="1">
      <c r="A1816" s="88"/>
      <c r="B1816" s="88"/>
      <c r="C1816" s="88"/>
      <c r="D1816" s="88"/>
      <c r="E1816" s="88"/>
      <c r="F1816" s="89"/>
      <c r="G1816" s="89"/>
      <c r="H1816" s="89"/>
      <c r="I1816" s="88"/>
      <c r="J1816" s="88"/>
      <c r="K1816" s="88"/>
      <c r="L1816" s="88"/>
      <c r="M1816" s="88"/>
      <c r="N1816" s="88"/>
      <c r="O1816" s="88"/>
      <c r="P1816" s="88"/>
      <c r="Q1816" s="88"/>
      <c r="R1816" s="88"/>
      <c r="S1816" s="88"/>
      <c r="T1816" s="88"/>
      <c r="U1816" s="88"/>
      <c r="V1816" s="88"/>
      <c r="W1816" s="88"/>
      <c r="X1816" s="88"/>
      <c r="Y1816" s="88"/>
      <c r="Z1816" s="88"/>
    </row>
    <row r="1817" ht="17.25" customHeight="1">
      <c r="A1817" s="88"/>
      <c r="B1817" s="88"/>
      <c r="C1817" s="88"/>
      <c r="D1817" s="88"/>
      <c r="E1817" s="88"/>
      <c r="F1817" s="89"/>
      <c r="G1817" s="89"/>
      <c r="H1817" s="89"/>
      <c r="I1817" s="88"/>
      <c r="J1817" s="88"/>
      <c r="K1817" s="88"/>
      <c r="L1817" s="88"/>
      <c r="M1817" s="88"/>
      <c r="N1817" s="88"/>
      <c r="O1817" s="88"/>
      <c r="P1817" s="88"/>
      <c r="Q1817" s="88"/>
      <c r="R1817" s="88"/>
      <c r="S1817" s="88"/>
      <c r="T1817" s="88"/>
      <c r="U1817" s="88"/>
      <c r="V1817" s="88"/>
      <c r="W1817" s="88"/>
      <c r="X1817" s="88"/>
      <c r="Y1817" s="88"/>
      <c r="Z1817" s="88"/>
    </row>
    <row r="1818" ht="17.25" customHeight="1">
      <c r="A1818" s="88"/>
      <c r="B1818" s="88"/>
      <c r="C1818" s="88"/>
      <c r="D1818" s="88"/>
      <c r="E1818" s="88"/>
      <c r="F1818" s="89"/>
      <c r="G1818" s="89"/>
      <c r="H1818" s="89"/>
      <c r="I1818" s="88"/>
      <c r="J1818" s="88"/>
      <c r="K1818" s="88"/>
      <c r="L1818" s="88"/>
      <c r="M1818" s="88"/>
      <c r="N1818" s="88"/>
      <c r="O1818" s="88"/>
      <c r="P1818" s="88"/>
      <c r="Q1818" s="88"/>
      <c r="R1818" s="88"/>
      <c r="S1818" s="88"/>
      <c r="T1818" s="88"/>
      <c r="U1818" s="88"/>
      <c r="V1818" s="88"/>
      <c r="W1818" s="88"/>
      <c r="X1818" s="88"/>
      <c r="Y1818" s="88"/>
      <c r="Z1818" s="88"/>
    </row>
    <row r="1819" ht="17.25" customHeight="1">
      <c r="A1819" s="88"/>
      <c r="B1819" s="88"/>
      <c r="C1819" s="88"/>
      <c r="D1819" s="88"/>
      <c r="E1819" s="88"/>
      <c r="F1819" s="89"/>
      <c r="G1819" s="89"/>
      <c r="H1819" s="89"/>
      <c r="I1819" s="88"/>
      <c r="J1819" s="88"/>
      <c r="K1819" s="88"/>
      <c r="L1819" s="88"/>
      <c r="M1819" s="88"/>
      <c r="N1819" s="88"/>
      <c r="O1819" s="88"/>
      <c r="P1819" s="88"/>
      <c r="Q1819" s="88"/>
      <c r="R1819" s="88"/>
      <c r="S1819" s="88"/>
      <c r="T1819" s="88"/>
      <c r="U1819" s="88"/>
      <c r="V1819" s="88"/>
      <c r="W1819" s="88"/>
      <c r="X1819" s="88"/>
      <c r="Y1819" s="88"/>
      <c r="Z1819" s="88"/>
    </row>
    <row r="1820" ht="17.25" customHeight="1">
      <c r="A1820" s="88"/>
      <c r="B1820" s="88"/>
      <c r="C1820" s="88"/>
      <c r="D1820" s="88"/>
      <c r="E1820" s="88"/>
      <c r="F1820" s="89"/>
      <c r="G1820" s="89"/>
      <c r="H1820" s="89"/>
      <c r="I1820" s="88"/>
      <c r="J1820" s="88"/>
      <c r="K1820" s="88"/>
      <c r="L1820" s="88"/>
      <c r="M1820" s="88"/>
      <c r="N1820" s="88"/>
      <c r="O1820" s="88"/>
      <c r="P1820" s="88"/>
      <c r="Q1820" s="88"/>
      <c r="R1820" s="88"/>
      <c r="S1820" s="88"/>
      <c r="T1820" s="88"/>
      <c r="U1820" s="88"/>
      <c r="V1820" s="88"/>
      <c r="W1820" s="88"/>
      <c r="X1820" s="88"/>
      <c r="Y1820" s="88"/>
      <c r="Z1820" s="88"/>
    </row>
    <row r="1821" ht="17.25" customHeight="1">
      <c r="A1821" s="88"/>
      <c r="B1821" s="88"/>
      <c r="C1821" s="88"/>
      <c r="D1821" s="88"/>
      <c r="E1821" s="88"/>
      <c r="F1821" s="89"/>
      <c r="G1821" s="89"/>
      <c r="H1821" s="89"/>
      <c r="I1821" s="88"/>
      <c r="J1821" s="88"/>
      <c r="K1821" s="88"/>
      <c r="L1821" s="88"/>
      <c r="M1821" s="88"/>
      <c r="N1821" s="88"/>
      <c r="O1821" s="88"/>
      <c r="P1821" s="88"/>
      <c r="Q1821" s="88"/>
      <c r="R1821" s="88"/>
      <c r="S1821" s="88"/>
      <c r="T1821" s="88"/>
      <c r="U1821" s="88"/>
      <c r="V1821" s="88"/>
      <c r="W1821" s="88"/>
      <c r="X1821" s="88"/>
      <c r="Y1821" s="88"/>
      <c r="Z1821" s="88"/>
    </row>
    <row r="1822" ht="17.25" customHeight="1">
      <c r="A1822" s="88"/>
      <c r="B1822" s="88"/>
      <c r="C1822" s="88"/>
      <c r="D1822" s="88"/>
      <c r="E1822" s="88"/>
      <c r="F1822" s="89"/>
      <c r="G1822" s="89"/>
      <c r="H1822" s="89"/>
      <c r="I1822" s="88"/>
      <c r="J1822" s="88"/>
      <c r="K1822" s="88"/>
      <c r="L1822" s="88"/>
      <c r="M1822" s="88"/>
      <c r="N1822" s="88"/>
      <c r="O1822" s="88"/>
      <c r="P1822" s="88"/>
      <c r="Q1822" s="88"/>
      <c r="R1822" s="88"/>
      <c r="S1822" s="88"/>
      <c r="T1822" s="88"/>
      <c r="U1822" s="88"/>
      <c r="V1822" s="88"/>
      <c r="W1822" s="88"/>
      <c r="X1822" s="88"/>
      <c r="Y1822" s="88"/>
      <c r="Z1822" s="88"/>
    </row>
    <row r="1823" ht="17.25" customHeight="1">
      <c r="A1823" s="88"/>
      <c r="B1823" s="88"/>
      <c r="C1823" s="88"/>
      <c r="D1823" s="88"/>
      <c r="E1823" s="88"/>
      <c r="F1823" s="89"/>
      <c r="G1823" s="89"/>
      <c r="H1823" s="89"/>
      <c r="I1823" s="88"/>
      <c r="J1823" s="88"/>
      <c r="K1823" s="88"/>
      <c r="L1823" s="88"/>
      <c r="M1823" s="88"/>
      <c r="N1823" s="88"/>
      <c r="O1823" s="88"/>
      <c r="P1823" s="88"/>
      <c r="Q1823" s="88"/>
      <c r="R1823" s="88"/>
      <c r="S1823" s="88"/>
      <c r="T1823" s="88"/>
      <c r="U1823" s="88"/>
      <c r="V1823" s="88"/>
      <c r="W1823" s="88"/>
      <c r="X1823" s="88"/>
      <c r="Y1823" s="88"/>
      <c r="Z1823" s="88"/>
    </row>
    <row r="1824" ht="17.25" customHeight="1">
      <c r="A1824" s="88"/>
      <c r="B1824" s="88"/>
      <c r="C1824" s="88"/>
      <c r="D1824" s="88"/>
      <c r="E1824" s="88"/>
      <c r="F1824" s="89"/>
      <c r="G1824" s="89"/>
      <c r="H1824" s="89"/>
      <c r="I1824" s="88"/>
      <c r="J1824" s="88"/>
      <c r="K1824" s="88"/>
      <c r="L1824" s="88"/>
      <c r="M1824" s="88"/>
      <c r="N1824" s="88"/>
      <c r="O1824" s="88"/>
      <c r="P1824" s="88"/>
      <c r="Q1824" s="88"/>
      <c r="R1824" s="88"/>
      <c r="S1824" s="88"/>
      <c r="T1824" s="88"/>
      <c r="U1824" s="88"/>
      <c r="V1824" s="88"/>
      <c r="W1824" s="88"/>
      <c r="X1824" s="88"/>
      <c r="Y1824" s="88"/>
      <c r="Z1824" s="88"/>
    </row>
    <row r="1825" ht="17.25" customHeight="1">
      <c r="A1825" s="88"/>
      <c r="B1825" s="88"/>
      <c r="C1825" s="88"/>
      <c r="D1825" s="88"/>
      <c r="E1825" s="88"/>
      <c r="F1825" s="89"/>
      <c r="G1825" s="89"/>
      <c r="H1825" s="89"/>
      <c r="I1825" s="88"/>
      <c r="J1825" s="88"/>
      <c r="K1825" s="88"/>
      <c r="L1825" s="88"/>
      <c r="M1825" s="88"/>
      <c r="N1825" s="88"/>
      <c r="O1825" s="88"/>
      <c r="P1825" s="88"/>
      <c r="Q1825" s="88"/>
      <c r="R1825" s="88"/>
      <c r="S1825" s="88"/>
      <c r="T1825" s="88"/>
      <c r="U1825" s="88"/>
      <c r="V1825" s="88"/>
      <c r="W1825" s="88"/>
      <c r="X1825" s="88"/>
      <c r="Y1825" s="88"/>
      <c r="Z1825" s="88"/>
    </row>
    <row r="1826" ht="17.25" customHeight="1">
      <c r="A1826" s="88"/>
      <c r="B1826" s="88"/>
      <c r="C1826" s="88"/>
      <c r="D1826" s="88"/>
      <c r="E1826" s="88"/>
      <c r="F1826" s="89"/>
      <c r="G1826" s="89"/>
      <c r="H1826" s="89"/>
      <c r="I1826" s="88"/>
      <c r="J1826" s="88"/>
      <c r="K1826" s="88"/>
      <c r="L1826" s="88"/>
      <c r="M1826" s="88"/>
      <c r="N1826" s="88"/>
      <c r="O1826" s="88"/>
      <c r="P1826" s="88"/>
      <c r="Q1826" s="88"/>
      <c r="R1826" s="88"/>
      <c r="S1826" s="88"/>
      <c r="T1826" s="88"/>
      <c r="U1826" s="88"/>
      <c r="V1826" s="88"/>
      <c r="W1826" s="88"/>
      <c r="X1826" s="88"/>
      <c r="Y1826" s="88"/>
      <c r="Z1826" s="88"/>
    </row>
    <row r="1827" ht="17.25" customHeight="1">
      <c r="A1827" s="88"/>
      <c r="B1827" s="88"/>
      <c r="C1827" s="88"/>
      <c r="D1827" s="88"/>
      <c r="E1827" s="88"/>
      <c r="F1827" s="89"/>
      <c r="G1827" s="89"/>
      <c r="H1827" s="89"/>
      <c r="I1827" s="88"/>
      <c r="J1827" s="88"/>
      <c r="K1827" s="88"/>
      <c r="L1827" s="88"/>
      <c r="M1827" s="88"/>
      <c r="N1827" s="88"/>
      <c r="O1827" s="88"/>
      <c r="P1827" s="88"/>
      <c r="Q1827" s="88"/>
      <c r="R1827" s="88"/>
      <c r="S1827" s="88"/>
      <c r="T1827" s="88"/>
      <c r="U1827" s="88"/>
      <c r="V1827" s="88"/>
      <c r="W1827" s="88"/>
      <c r="X1827" s="88"/>
      <c r="Y1827" s="88"/>
      <c r="Z1827" s="88"/>
    </row>
    <row r="1828" ht="17.25" customHeight="1">
      <c r="A1828" s="88"/>
      <c r="B1828" s="88"/>
      <c r="C1828" s="88"/>
      <c r="D1828" s="88"/>
      <c r="E1828" s="88"/>
      <c r="F1828" s="89"/>
      <c r="G1828" s="89"/>
      <c r="H1828" s="89"/>
      <c r="I1828" s="88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U1828" s="88"/>
      <c r="V1828" s="88"/>
      <c r="W1828" s="88"/>
      <c r="X1828" s="88"/>
      <c r="Y1828" s="88"/>
      <c r="Z1828" s="88"/>
    </row>
    <row r="1829" ht="17.25" customHeight="1">
      <c r="A1829" s="88"/>
      <c r="B1829" s="88"/>
      <c r="C1829" s="88"/>
      <c r="D1829" s="88"/>
      <c r="E1829" s="88"/>
      <c r="F1829" s="89"/>
      <c r="G1829" s="89"/>
      <c r="H1829" s="89"/>
      <c r="I1829" s="88"/>
      <c r="J1829" s="88"/>
      <c r="K1829" s="88"/>
      <c r="L1829" s="88"/>
      <c r="M1829" s="88"/>
      <c r="N1829" s="88"/>
      <c r="O1829" s="88"/>
      <c r="P1829" s="88"/>
      <c r="Q1829" s="88"/>
      <c r="R1829" s="88"/>
      <c r="S1829" s="88"/>
      <c r="T1829" s="88"/>
      <c r="U1829" s="88"/>
      <c r="V1829" s="88"/>
      <c r="W1829" s="88"/>
      <c r="X1829" s="88"/>
      <c r="Y1829" s="88"/>
      <c r="Z1829" s="88"/>
    </row>
    <row r="1830" ht="17.25" customHeight="1">
      <c r="A1830" s="88"/>
      <c r="B1830" s="88"/>
      <c r="C1830" s="88"/>
      <c r="D1830" s="88"/>
      <c r="E1830" s="88"/>
      <c r="F1830" s="89"/>
      <c r="G1830" s="89"/>
      <c r="H1830" s="89"/>
      <c r="I1830" s="88"/>
      <c r="J1830" s="88"/>
      <c r="K1830" s="88"/>
      <c r="L1830" s="88"/>
      <c r="M1830" s="88"/>
      <c r="N1830" s="88"/>
      <c r="O1830" s="88"/>
      <c r="P1830" s="88"/>
      <c r="Q1830" s="88"/>
      <c r="R1830" s="88"/>
      <c r="S1830" s="88"/>
      <c r="T1830" s="88"/>
      <c r="U1830" s="88"/>
      <c r="V1830" s="88"/>
      <c r="W1830" s="88"/>
      <c r="X1830" s="88"/>
      <c r="Y1830" s="88"/>
      <c r="Z1830" s="88"/>
    </row>
    <row r="1831" ht="17.25" customHeight="1">
      <c r="A1831" s="88"/>
      <c r="B1831" s="88"/>
      <c r="C1831" s="88"/>
      <c r="D1831" s="88"/>
      <c r="E1831" s="88"/>
      <c r="F1831" s="89"/>
      <c r="G1831" s="89"/>
      <c r="H1831" s="89"/>
      <c r="I1831" s="88"/>
      <c r="J1831" s="88"/>
      <c r="K1831" s="88"/>
      <c r="L1831" s="88"/>
      <c r="M1831" s="88"/>
      <c r="N1831" s="88"/>
      <c r="O1831" s="88"/>
      <c r="P1831" s="88"/>
      <c r="Q1831" s="88"/>
      <c r="R1831" s="88"/>
      <c r="S1831" s="88"/>
      <c r="T1831" s="88"/>
      <c r="U1831" s="88"/>
      <c r="V1831" s="88"/>
      <c r="W1831" s="88"/>
      <c r="X1831" s="88"/>
      <c r="Y1831" s="88"/>
      <c r="Z1831" s="88"/>
    </row>
    <row r="1832" ht="17.25" customHeight="1">
      <c r="A1832" s="88"/>
      <c r="B1832" s="88"/>
      <c r="C1832" s="88"/>
      <c r="D1832" s="88"/>
      <c r="E1832" s="88"/>
      <c r="F1832" s="89"/>
      <c r="G1832" s="89"/>
      <c r="H1832" s="89"/>
      <c r="I1832" s="88"/>
      <c r="J1832" s="88"/>
      <c r="K1832" s="88"/>
      <c r="L1832" s="88"/>
      <c r="M1832" s="88"/>
      <c r="N1832" s="88"/>
      <c r="O1832" s="88"/>
      <c r="P1832" s="88"/>
      <c r="Q1832" s="88"/>
      <c r="R1832" s="88"/>
      <c r="S1832" s="88"/>
      <c r="T1832" s="88"/>
      <c r="U1832" s="88"/>
      <c r="V1832" s="88"/>
      <c r="W1832" s="88"/>
      <c r="X1832" s="88"/>
      <c r="Y1832" s="88"/>
      <c r="Z1832" s="88"/>
    </row>
    <row r="1833" ht="17.25" customHeight="1">
      <c r="A1833" s="88"/>
      <c r="B1833" s="88"/>
      <c r="C1833" s="88"/>
      <c r="D1833" s="88"/>
      <c r="E1833" s="88"/>
      <c r="F1833" s="89"/>
      <c r="G1833" s="89"/>
      <c r="H1833" s="89"/>
      <c r="I1833" s="88"/>
      <c r="J1833" s="88"/>
      <c r="K1833" s="88"/>
      <c r="L1833" s="88"/>
      <c r="M1833" s="88"/>
      <c r="N1833" s="88"/>
      <c r="O1833" s="88"/>
      <c r="P1833" s="88"/>
      <c r="Q1833" s="88"/>
      <c r="R1833" s="88"/>
      <c r="S1833" s="88"/>
      <c r="T1833" s="88"/>
      <c r="U1833" s="88"/>
      <c r="V1833" s="88"/>
      <c r="W1833" s="88"/>
      <c r="X1833" s="88"/>
      <c r="Y1833" s="88"/>
      <c r="Z1833" s="88"/>
    </row>
    <row r="1834" ht="17.25" customHeight="1">
      <c r="A1834" s="88"/>
      <c r="B1834" s="88"/>
      <c r="C1834" s="88"/>
      <c r="D1834" s="88"/>
      <c r="E1834" s="88"/>
      <c r="F1834" s="89"/>
      <c r="G1834" s="89"/>
      <c r="H1834" s="89"/>
      <c r="I1834" s="88"/>
      <c r="J1834" s="88"/>
      <c r="K1834" s="88"/>
      <c r="L1834" s="88"/>
      <c r="M1834" s="88"/>
      <c r="N1834" s="88"/>
      <c r="O1834" s="88"/>
      <c r="P1834" s="88"/>
      <c r="Q1834" s="88"/>
      <c r="R1834" s="88"/>
      <c r="S1834" s="88"/>
      <c r="T1834" s="88"/>
      <c r="U1834" s="88"/>
      <c r="V1834" s="88"/>
      <c r="W1834" s="88"/>
      <c r="X1834" s="88"/>
      <c r="Y1834" s="88"/>
      <c r="Z1834" s="88"/>
    </row>
    <row r="1835" ht="17.25" customHeight="1">
      <c r="A1835" s="88"/>
      <c r="B1835" s="88"/>
      <c r="C1835" s="88"/>
      <c r="D1835" s="88"/>
      <c r="E1835" s="88"/>
      <c r="F1835" s="89"/>
      <c r="G1835" s="89"/>
      <c r="H1835" s="89"/>
      <c r="I1835" s="88"/>
      <c r="J1835" s="88"/>
      <c r="K1835" s="88"/>
      <c r="L1835" s="88"/>
      <c r="M1835" s="88"/>
      <c r="N1835" s="88"/>
      <c r="O1835" s="88"/>
      <c r="P1835" s="88"/>
      <c r="Q1835" s="88"/>
      <c r="R1835" s="88"/>
      <c r="S1835" s="88"/>
      <c r="T1835" s="88"/>
      <c r="U1835" s="88"/>
      <c r="V1835" s="88"/>
      <c r="W1835" s="88"/>
      <c r="X1835" s="88"/>
      <c r="Y1835" s="88"/>
      <c r="Z1835" s="88"/>
    </row>
    <row r="1836" ht="17.25" customHeight="1">
      <c r="A1836" s="88"/>
      <c r="B1836" s="88"/>
      <c r="C1836" s="88"/>
      <c r="D1836" s="88"/>
      <c r="E1836" s="88"/>
      <c r="F1836" s="89"/>
      <c r="G1836" s="89"/>
      <c r="H1836" s="89"/>
      <c r="I1836" s="88"/>
      <c r="J1836" s="88"/>
      <c r="K1836" s="88"/>
      <c r="L1836" s="88"/>
      <c r="M1836" s="88"/>
      <c r="N1836" s="88"/>
      <c r="O1836" s="88"/>
      <c r="P1836" s="88"/>
      <c r="Q1836" s="88"/>
      <c r="R1836" s="88"/>
      <c r="S1836" s="88"/>
      <c r="T1836" s="88"/>
      <c r="U1836" s="88"/>
      <c r="V1836" s="88"/>
      <c r="W1836" s="88"/>
      <c r="X1836" s="88"/>
      <c r="Y1836" s="88"/>
      <c r="Z1836" s="88"/>
    </row>
    <row r="1837" ht="17.25" customHeight="1">
      <c r="A1837" s="88"/>
      <c r="B1837" s="88"/>
      <c r="C1837" s="88"/>
      <c r="D1837" s="88"/>
      <c r="E1837" s="88"/>
      <c r="F1837" s="89"/>
      <c r="G1837" s="89"/>
      <c r="H1837" s="89"/>
      <c r="I1837" s="88"/>
      <c r="J1837" s="88"/>
      <c r="K1837" s="88"/>
      <c r="L1837" s="88"/>
      <c r="M1837" s="88"/>
      <c r="N1837" s="88"/>
      <c r="O1837" s="88"/>
      <c r="P1837" s="88"/>
      <c r="Q1837" s="88"/>
      <c r="R1837" s="88"/>
      <c r="S1837" s="88"/>
      <c r="T1837" s="88"/>
      <c r="U1837" s="88"/>
      <c r="V1837" s="88"/>
      <c r="W1837" s="88"/>
      <c r="X1837" s="88"/>
      <c r="Y1837" s="88"/>
      <c r="Z1837" s="88"/>
    </row>
    <row r="1838" ht="17.25" customHeight="1">
      <c r="A1838" s="88"/>
      <c r="B1838" s="88"/>
      <c r="C1838" s="88"/>
      <c r="D1838" s="88"/>
      <c r="E1838" s="88"/>
      <c r="F1838" s="89"/>
      <c r="G1838" s="89"/>
      <c r="H1838" s="89"/>
      <c r="I1838" s="88"/>
      <c r="J1838" s="88"/>
      <c r="K1838" s="88"/>
      <c r="L1838" s="88"/>
      <c r="M1838" s="88"/>
      <c r="N1838" s="88"/>
      <c r="O1838" s="88"/>
      <c r="P1838" s="88"/>
      <c r="Q1838" s="88"/>
      <c r="R1838" s="88"/>
      <c r="S1838" s="88"/>
      <c r="T1838" s="88"/>
      <c r="U1838" s="88"/>
      <c r="V1838" s="88"/>
      <c r="W1838" s="88"/>
      <c r="X1838" s="88"/>
      <c r="Y1838" s="88"/>
      <c r="Z1838" s="88"/>
    </row>
    <row r="1839" ht="17.25" customHeight="1">
      <c r="A1839" s="88"/>
      <c r="B1839" s="88"/>
      <c r="C1839" s="88"/>
      <c r="D1839" s="88"/>
      <c r="E1839" s="88"/>
      <c r="F1839" s="89"/>
      <c r="G1839" s="89"/>
      <c r="H1839" s="89"/>
      <c r="I1839" s="88"/>
      <c r="J1839" s="88"/>
      <c r="K1839" s="88"/>
      <c r="L1839" s="88"/>
      <c r="M1839" s="88"/>
      <c r="N1839" s="88"/>
      <c r="O1839" s="88"/>
      <c r="P1839" s="88"/>
      <c r="Q1839" s="88"/>
      <c r="R1839" s="88"/>
      <c r="S1839" s="88"/>
      <c r="T1839" s="88"/>
      <c r="U1839" s="88"/>
      <c r="V1839" s="88"/>
      <c r="W1839" s="88"/>
      <c r="X1839" s="88"/>
      <c r="Y1839" s="88"/>
      <c r="Z1839" s="88"/>
    </row>
    <row r="1840" ht="17.25" customHeight="1">
      <c r="A1840" s="88"/>
      <c r="B1840" s="88"/>
      <c r="C1840" s="88"/>
      <c r="D1840" s="88"/>
      <c r="E1840" s="88"/>
      <c r="F1840" s="89"/>
      <c r="G1840" s="89"/>
      <c r="H1840" s="89"/>
      <c r="I1840" s="88"/>
      <c r="J1840" s="88"/>
      <c r="K1840" s="88"/>
      <c r="L1840" s="88"/>
      <c r="M1840" s="88"/>
      <c r="N1840" s="88"/>
      <c r="O1840" s="88"/>
      <c r="P1840" s="88"/>
      <c r="Q1840" s="88"/>
      <c r="R1840" s="88"/>
      <c r="S1840" s="88"/>
      <c r="T1840" s="88"/>
      <c r="U1840" s="88"/>
      <c r="V1840" s="88"/>
      <c r="W1840" s="88"/>
      <c r="X1840" s="88"/>
      <c r="Y1840" s="88"/>
      <c r="Z1840" s="88"/>
    </row>
    <row r="1841" ht="17.25" customHeight="1">
      <c r="A1841" s="88"/>
      <c r="B1841" s="88"/>
      <c r="C1841" s="88"/>
      <c r="D1841" s="88"/>
      <c r="E1841" s="88"/>
      <c r="F1841" s="89"/>
      <c r="G1841" s="89"/>
      <c r="H1841" s="89"/>
      <c r="I1841" s="88"/>
      <c r="J1841" s="88"/>
      <c r="K1841" s="88"/>
      <c r="L1841" s="88"/>
      <c r="M1841" s="88"/>
      <c r="N1841" s="88"/>
      <c r="O1841" s="88"/>
      <c r="P1841" s="88"/>
      <c r="Q1841" s="88"/>
      <c r="R1841" s="88"/>
      <c r="S1841" s="88"/>
      <c r="T1841" s="88"/>
      <c r="U1841" s="88"/>
      <c r="V1841" s="88"/>
      <c r="W1841" s="88"/>
      <c r="X1841" s="88"/>
      <c r="Y1841" s="88"/>
      <c r="Z1841" s="88"/>
    </row>
    <row r="1842" ht="17.25" customHeight="1">
      <c r="A1842" s="88"/>
      <c r="B1842" s="88"/>
      <c r="C1842" s="88"/>
      <c r="D1842" s="88"/>
      <c r="E1842" s="88"/>
      <c r="F1842" s="89"/>
      <c r="G1842" s="89"/>
      <c r="H1842" s="89"/>
      <c r="I1842" s="88"/>
      <c r="J1842" s="88"/>
      <c r="K1842" s="88"/>
      <c r="L1842" s="88"/>
      <c r="M1842" s="88"/>
      <c r="N1842" s="88"/>
      <c r="O1842" s="88"/>
      <c r="P1842" s="88"/>
      <c r="Q1842" s="88"/>
      <c r="R1842" s="88"/>
      <c r="S1842" s="88"/>
      <c r="T1842" s="88"/>
      <c r="U1842" s="88"/>
      <c r="V1842" s="88"/>
      <c r="W1842" s="88"/>
      <c r="X1842" s="88"/>
      <c r="Y1842" s="88"/>
      <c r="Z1842" s="88"/>
    </row>
    <row r="1843" ht="17.25" customHeight="1">
      <c r="A1843" s="88"/>
      <c r="B1843" s="88"/>
      <c r="C1843" s="88"/>
      <c r="D1843" s="88"/>
      <c r="E1843" s="88"/>
      <c r="F1843" s="89"/>
      <c r="G1843" s="89"/>
      <c r="H1843" s="89"/>
      <c r="I1843" s="88"/>
      <c r="J1843" s="88"/>
      <c r="K1843" s="88"/>
      <c r="L1843" s="88"/>
      <c r="M1843" s="88"/>
      <c r="N1843" s="88"/>
      <c r="O1843" s="88"/>
      <c r="P1843" s="88"/>
      <c r="Q1843" s="88"/>
      <c r="R1843" s="88"/>
      <c r="S1843" s="88"/>
      <c r="T1843" s="88"/>
      <c r="U1843" s="88"/>
      <c r="V1843" s="88"/>
      <c r="W1843" s="88"/>
      <c r="X1843" s="88"/>
      <c r="Y1843" s="88"/>
      <c r="Z1843" s="88"/>
    </row>
    <row r="1844" ht="17.25" customHeight="1">
      <c r="A1844" s="88"/>
      <c r="B1844" s="88"/>
      <c r="C1844" s="88"/>
      <c r="D1844" s="88"/>
      <c r="E1844" s="88"/>
      <c r="F1844" s="89"/>
      <c r="G1844" s="89"/>
      <c r="H1844" s="89"/>
      <c r="I1844" s="88"/>
      <c r="J1844" s="88"/>
      <c r="K1844" s="88"/>
      <c r="L1844" s="88"/>
      <c r="M1844" s="88"/>
      <c r="N1844" s="88"/>
      <c r="O1844" s="88"/>
      <c r="P1844" s="88"/>
      <c r="Q1844" s="88"/>
      <c r="R1844" s="88"/>
      <c r="S1844" s="88"/>
      <c r="T1844" s="88"/>
      <c r="U1844" s="88"/>
      <c r="V1844" s="88"/>
      <c r="W1844" s="88"/>
      <c r="X1844" s="88"/>
      <c r="Y1844" s="88"/>
      <c r="Z1844" s="88"/>
    </row>
    <row r="1845" ht="17.25" customHeight="1">
      <c r="A1845" s="88"/>
      <c r="B1845" s="88"/>
      <c r="C1845" s="88"/>
      <c r="D1845" s="88"/>
      <c r="E1845" s="88"/>
      <c r="F1845" s="89"/>
      <c r="G1845" s="89"/>
      <c r="H1845" s="89"/>
      <c r="I1845" s="88"/>
      <c r="J1845" s="88"/>
      <c r="K1845" s="88"/>
      <c r="L1845" s="88"/>
      <c r="M1845" s="88"/>
      <c r="N1845" s="88"/>
      <c r="O1845" s="88"/>
      <c r="P1845" s="88"/>
      <c r="Q1845" s="88"/>
      <c r="R1845" s="88"/>
      <c r="S1845" s="88"/>
      <c r="T1845" s="88"/>
      <c r="U1845" s="88"/>
      <c r="V1845" s="88"/>
      <c r="W1845" s="88"/>
      <c r="X1845" s="88"/>
      <c r="Y1845" s="88"/>
      <c r="Z1845" s="88"/>
    </row>
    <row r="1846" ht="17.25" customHeight="1">
      <c r="A1846" s="88"/>
      <c r="B1846" s="88"/>
      <c r="C1846" s="88"/>
      <c r="D1846" s="88"/>
      <c r="E1846" s="88"/>
      <c r="F1846" s="89"/>
      <c r="G1846" s="89"/>
      <c r="H1846" s="89"/>
      <c r="I1846" s="88"/>
      <c r="J1846" s="88"/>
      <c r="K1846" s="88"/>
      <c r="L1846" s="88"/>
      <c r="M1846" s="88"/>
      <c r="N1846" s="88"/>
      <c r="O1846" s="88"/>
      <c r="P1846" s="88"/>
      <c r="Q1846" s="88"/>
      <c r="R1846" s="88"/>
      <c r="S1846" s="88"/>
      <c r="T1846" s="88"/>
      <c r="U1846" s="88"/>
      <c r="V1846" s="88"/>
      <c r="W1846" s="88"/>
      <c r="X1846" s="88"/>
      <c r="Y1846" s="88"/>
      <c r="Z1846" s="88"/>
    </row>
    <row r="1847" ht="17.25" customHeight="1">
      <c r="A1847" s="88"/>
      <c r="B1847" s="88"/>
      <c r="C1847" s="88"/>
      <c r="D1847" s="88"/>
      <c r="E1847" s="88"/>
      <c r="F1847" s="89"/>
      <c r="G1847" s="89"/>
      <c r="H1847" s="89"/>
      <c r="I1847" s="88"/>
      <c r="J1847" s="88"/>
      <c r="K1847" s="88"/>
      <c r="L1847" s="88"/>
      <c r="M1847" s="88"/>
      <c r="N1847" s="88"/>
      <c r="O1847" s="88"/>
      <c r="P1847" s="88"/>
      <c r="Q1847" s="88"/>
      <c r="R1847" s="88"/>
      <c r="S1847" s="88"/>
      <c r="T1847" s="88"/>
      <c r="U1847" s="88"/>
      <c r="V1847" s="88"/>
      <c r="W1847" s="88"/>
      <c r="X1847" s="88"/>
      <c r="Y1847" s="88"/>
      <c r="Z1847" s="88"/>
    </row>
    <row r="1848" ht="17.25" customHeight="1">
      <c r="A1848" s="88"/>
      <c r="B1848" s="88"/>
      <c r="C1848" s="88"/>
      <c r="D1848" s="88"/>
      <c r="E1848" s="88"/>
      <c r="F1848" s="89"/>
      <c r="G1848" s="89"/>
      <c r="H1848" s="89"/>
      <c r="I1848" s="88"/>
      <c r="J1848" s="88"/>
      <c r="K1848" s="88"/>
      <c r="L1848" s="88"/>
      <c r="M1848" s="88"/>
      <c r="N1848" s="88"/>
      <c r="O1848" s="88"/>
      <c r="P1848" s="88"/>
      <c r="Q1848" s="88"/>
      <c r="R1848" s="88"/>
      <c r="S1848" s="88"/>
      <c r="T1848" s="88"/>
      <c r="U1848" s="88"/>
      <c r="V1848" s="88"/>
      <c r="W1848" s="88"/>
      <c r="X1848" s="88"/>
      <c r="Y1848" s="88"/>
      <c r="Z1848" s="88"/>
    </row>
    <row r="1849" ht="17.25" customHeight="1">
      <c r="A1849" s="88"/>
      <c r="B1849" s="88"/>
      <c r="C1849" s="88"/>
      <c r="D1849" s="88"/>
      <c r="E1849" s="88"/>
      <c r="F1849" s="89"/>
      <c r="G1849" s="89"/>
      <c r="H1849" s="89"/>
      <c r="I1849" s="88"/>
      <c r="J1849" s="88"/>
      <c r="K1849" s="88"/>
      <c r="L1849" s="88"/>
      <c r="M1849" s="88"/>
      <c r="N1849" s="88"/>
      <c r="O1849" s="88"/>
      <c r="P1849" s="88"/>
      <c r="Q1849" s="88"/>
      <c r="R1849" s="88"/>
      <c r="S1849" s="88"/>
      <c r="T1849" s="88"/>
      <c r="U1849" s="88"/>
      <c r="V1849" s="88"/>
      <c r="W1849" s="88"/>
      <c r="X1849" s="88"/>
      <c r="Y1849" s="88"/>
      <c r="Z1849" s="88"/>
    </row>
    <row r="1850" ht="17.25" customHeight="1">
      <c r="A1850" s="88"/>
      <c r="B1850" s="88"/>
      <c r="C1850" s="88"/>
      <c r="D1850" s="88"/>
      <c r="E1850" s="88"/>
      <c r="F1850" s="89"/>
      <c r="G1850" s="89"/>
      <c r="H1850" s="89"/>
      <c r="I1850" s="88"/>
      <c r="J1850" s="88"/>
      <c r="K1850" s="88"/>
      <c r="L1850" s="88"/>
      <c r="M1850" s="88"/>
      <c r="N1850" s="88"/>
      <c r="O1850" s="88"/>
      <c r="P1850" s="88"/>
      <c r="Q1850" s="88"/>
      <c r="R1850" s="88"/>
      <c r="S1850" s="88"/>
      <c r="T1850" s="88"/>
      <c r="U1850" s="88"/>
      <c r="V1850" s="88"/>
      <c r="W1850" s="88"/>
      <c r="X1850" s="88"/>
      <c r="Y1850" s="88"/>
      <c r="Z1850" s="88"/>
    </row>
    <row r="1851" ht="17.25" customHeight="1">
      <c r="A1851" s="88"/>
      <c r="B1851" s="88"/>
      <c r="C1851" s="88"/>
      <c r="D1851" s="88"/>
      <c r="E1851" s="88"/>
      <c r="F1851" s="89"/>
      <c r="G1851" s="89"/>
      <c r="H1851" s="89"/>
      <c r="I1851" s="88"/>
      <c r="J1851" s="88"/>
      <c r="K1851" s="88"/>
      <c r="L1851" s="88"/>
      <c r="M1851" s="88"/>
      <c r="N1851" s="88"/>
      <c r="O1851" s="88"/>
      <c r="P1851" s="88"/>
      <c r="Q1851" s="88"/>
      <c r="R1851" s="88"/>
      <c r="S1851" s="88"/>
      <c r="T1851" s="88"/>
      <c r="U1851" s="88"/>
      <c r="V1851" s="88"/>
      <c r="W1851" s="88"/>
      <c r="X1851" s="88"/>
      <c r="Y1851" s="88"/>
      <c r="Z1851" s="88"/>
    </row>
    <row r="1852" ht="17.25" customHeight="1">
      <c r="A1852" s="88"/>
      <c r="B1852" s="88"/>
      <c r="C1852" s="88"/>
      <c r="D1852" s="88"/>
      <c r="E1852" s="88"/>
      <c r="F1852" s="89"/>
      <c r="G1852" s="89"/>
      <c r="H1852" s="89"/>
      <c r="I1852" s="88"/>
      <c r="J1852" s="88"/>
      <c r="K1852" s="88"/>
      <c r="L1852" s="88"/>
      <c r="M1852" s="88"/>
      <c r="N1852" s="88"/>
      <c r="O1852" s="88"/>
      <c r="P1852" s="88"/>
      <c r="Q1852" s="88"/>
      <c r="R1852" s="88"/>
      <c r="S1852" s="88"/>
      <c r="T1852" s="88"/>
      <c r="U1852" s="88"/>
      <c r="V1852" s="88"/>
      <c r="W1852" s="88"/>
      <c r="X1852" s="88"/>
      <c r="Y1852" s="88"/>
      <c r="Z1852" s="88"/>
    </row>
    <row r="1853" ht="17.25" customHeight="1">
      <c r="A1853" s="88"/>
      <c r="B1853" s="88"/>
      <c r="C1853" s="88"/>
      <c r="D1853" s="88"/>
      <c r="E1853" s="88"/>
      <c r="F1853" s="89"/>
      <c r="G1853" s="89"/>
      <c r="H1853" s="89"/>
      <c r="I1853" s="88"/>
      <c r="J1853" s="88"/>
      <c r="K1853" s="88"/>
      <c r="L1853" s="88"/>
      <c r="M1853" s="88"/>
      <c r="N1853" s="88"/>
      <c r="O1853" s="88"/>
      <c r="P1853" s="88"/>
      <c r="Q1853" s="88"/>
      <c r="R1853" s="88"/>
      <c r="S1853" s="88"/>
      <c r="T1853" s="88"/>
      <c r="U1853" s="88"/>
      <c r="V1853" s="88"/>
      <c r="W1853" s="88"/>
      <c r="X1853" s="88"/>
      <c r="Y1853" s="88"/>
      <c r="Z1853" s="88"/>
    </row>
    <row r="1854" ht="17.25" customHeight="1">
      <c r="A1854" s="88"/>
      <c r="B1854" s="88"/>
      <c r="C1854" s="88"/>
      <c r="D1854" s="88"/>
      <c r="E1854" s="88"/>
      <c r="F1854" s="89"/>
      <c r="G1854" s="89"/>
      <c r="H1854" s="89"/>
      <c r="I1854" s="88"/>
      <c r="J1854" s="88"/>
      <c r="K1854" s="88"/>
      <c r="L1854" s="88"/>
      <c r="M1854" s="88"/>
      <c r="N1854" s="88"/>
      <c r="O1854" s="88"/>
      <c r="P1854" s="88"/>
      <c r="Q1854" s="88"/>
      <c r="R1854" s="88"/>
      <c r="S1854" s="88"/>
      <c r="T1854" s="88"/>
      <c r="U1854" s="88"/>
      <c r="V1854" s="88"/>
      <c r="W1854" s="88"/>
      <c r="X1854" s="88"/>
      <c r="Y1854" s="88"/>
      <c r="Z1854" s="88"/>
    </row>
    <row r="1855" ht="17.25" customHeight="1">
      <c r="A1855" s="88"/>
      <c r="B1855" s="88"/>
      <c r="C1855" s="88"/>
      <c r="D1855" s="88"/>
      <c r="E1855" s="88"/>
      <c r="F1855" s="89"/>
      <c r="G1855" s="89"/>
      <c r="H1855" s="89"/>
      <c r="I1855" s="88"/>
      <c r="J1855" s="88"/>
      <c r="K1855" s="88"/>
      <c r="L1855" s="88"/>
      <c r="M1855" s="88"/>
      <c r="N1855" s="88"/>
      <c r="O1855" s="88"/>
      <c r="P1855" s="88"/>
      <c r="Q1855" s="88"/>
      <c r="R1855" s="88"/>
      <c r="S1855" s="88"/>
      <c r="T1855" s="88"/>
      <c r="U1855" s="88"/>
      <c r="V1855" s="88"/>
      <c r="W1855" s="88"/>
      <c r="X1855" s="88"/>
      <c r="Y1855" s="88"/>
      <c r="Z1855" s="88"/>
    </row>
    <row r="1856" ht="17.25" customHeight="1">
      <c r="A1856" s="88"/>
      <c r="B1856" s="88"/>
      <c r="C1856" s="88"/>
      <c r="D1856" s="88"/>
      <c r="E1856" s="88"/>
      <c r="F1856" s="89"/>
      <c r="G1856" s="89"/>
      <c r="H1856" s="89"/>
      <c r="I1856" s="88"/>
      <c r="J1856" s="88"/>
      <c r="K1856" s="88"/>
      <c r="L1856" s="88"/>
      <c r="M1856" s="88"/>
      <c r="N1856" s="88"/>
      <c r="O1856" s="88"/>
      <c r="P1856" s="88"/>
      <c r="Q1856" s="88"/>
      <c r="R1856" s="88"/>
      <c r="S1856" s="88"/>
      <c r="T1856" s="88"/>
      <c r="U1856" s="88"/>
      <c r="V1856" s="88"/>
      <c r="W1856" s="88"/>
      <c r="X1856" s="88"/>
      <c r="Y1856" s="88"/>
      <c r="Z1856" s="88"/>
    </row>
    <row r="1857" ht="17.25" customHeight="1">
      <c r="A1857" s="88"/>
      <c r="B1857" s="88"/>
      <c r="C1857" s="88"/>
      <c r="D1857" s="88"/>
      <c r="E1857" s="88"/>
      <c r="F1857" s="89"/>
      <c r="G1857" s="89"/>
      <c r="H1857" s="89"/>
      <c r="I1857" s="88"/>
      <c r="J1857" s="88"/>
      <c r="K1857" s="88"/>
      <c r="L1857" s="88"/>
      <c r="M1857" s="88"/>
      <c r="N1857" s="88"/>
      <c r="O1857" s="88"/>
      <c r="P1857" s="88"/>
      <c r="Q1857" s="88"/>
      <c r="R1857" s="88"/>
      <c r="S1857" s="88"/>
      <c r="T1857" s="88"/>
      <c r="U1857" s="88"/>
      <c r="V1857" s="88"/>
      <c r="W1857" s="88"/>
      <c r="X1857" s="88"/>
      <c r="Y1857" s="88"/>
      <c r="Z1857" s="88"/>
    </row>
    <row r="1858" ht="17.25" customHeight="1">
      <c r="A1858" s="88"/>
      <c r="B1858" s="88"/>
      <c r="C1858" s="88"/>
      <c r="D1858" s="88"/>
      <c r="E1858" s="88"/>
      <c r="F1858" s="89"/>
      <c r="G1858" s="89"/>
      <c r="H1858" s="89"/>
      <c r="I1858" s="88"/>
      <c r="J1858" s="88"/>
      <c r="K1858" s="88"/>
      <c r="L1858" s="88"/>
      <c r="M1858" s="88"/>
      <c r="N1858" s="88"/>
      <c r="O1858" s="88"/>
      <c r="P1858" s="88"/>
      <c r="Q1858" s="88"/>
      <c r="R1858" s="88"/>
      <c r="S1858" s="88"/>
      <c r="T1858" s="88"/>
      <c r="U1858" s="88"/>
      <c r="V1858" s="88"/>
      <c r="W1858" s="88"/>
      <c r="X1858" s="88"/>
      <c r="Y1858" s="88"/>
      <c r="Z1858" s="88"/>
    </row>
    <row r="1859" ht="17.25" customHeight="1">
      <c r="A1859" s="88"/>
      <c r="B1859" s="88"/>
      <c r="C1859" s="88"/>
      <c r="D1859" s="88"/>
      <c r="E1859" s="88"/>
      <c r="F1859" s="89"/>
      <c r="G1859" s="89"/>
      <c r="H1859" s="89"/>
      <c r="I1859" s="88"/>
      <c r="J1859" s="88"/>
      <c r="K1859" s="88"/>
      <c r="L1859" s="88"/>
      <c r="M1859" s="88"/>
      <c r="N1859" s="88"/>
      <c r="O1859" s="88"/>
      <c r="P1859" s="88"/>
      <c r="Q1859" s="88"/>
      <c r="R1859" s="88"/>
      <c r="S1859" s="88"/>
      <c r="T1859" s="88"/>
      <c r="U1859" s="88"/>
      <c r="V1859" s="88"/>
      <c r="W1859" s="88"/>
      <c r="X1859" s="88"/>
      <c r="Y1859" s="88"/>
      <c r="Z1859" s="88"/>
    </row>
    <row r="1860" ht="17.25" customHeight="1">
      <c r="A1860" s="88"/>
      <c r="B1860" s="88"/>
      <c r="C1860" s="88"/>
      <c r="D1860" s="88"/>
      <c r="E1860" s="88"/>
      <c r="F1860" s="89"/>
      <c r="G1860" s="89"/>
      <c r="H1860" s="89"/>
      <c r="I1860" s="88"/>
      <c r="J1860" s="88"/>
      <c r="K1860" s="88"/>
      <c r="L1860" s="88"/>
      <c r="M1860" s="88"/>
      <c r="N1860" s="88"/>
      <c r="O1860" s="88"/>
      <c r="P1860" s="88"/>
      <c r="Q1860" s="88"/>
      <c r="R1860" s="88"/>
      <c r="S1860" s="88"/>
      <c r="T1860" s="88"/>
      <c r="U1860" s="88"/>
      <c r="V1860" s="88"/>
      <c r="W1860" s="88"/>
      <c r="X1860" s="88"/>
      <c r="Y1860" s="88"/>
      <c r="Z1860" s="88"/>
    </row>
    <row r="1861" ht="17.25" customHeight="1">
      <c r="A1861" s="88"/>
      <c r="B1861" s="88"/>
      <c r="C1861" s="88"/>
      <c r="D1861" s="88"/>
      <c r="E1861" s="88"/>
      <c r="F1861" s="89"/>
      <c r="G1861" s="89"/>
      <c r="H1861" s="89"/>
      <c r="I1861" s="88"/>
      <c r="J1861" s="88"/>
      <c r="K1861" s="88"/>
      <c r="L1861" s="88"/>
      <c r="M1861" s="88"/>
      <c r="N1861" s="88"/>
      <c r="O1861" s="88"/>
      <c r="P1861" s="88"/>
      <c r="Q1861" s="88"/>
      <c r="R1861" s="88"/>
      <c r="S1861" s="88"/>
      <c r="T1861" s="88"/>
      <c r="U1861" s="88"/>
      <c r="V1861" s="88"/>
      <c r="W1861" s="88"/>
      <c r="X1861" s="88"/>
      <c r="Y1861" s="88"/>
      <c r="Z1861" s="88"/>
    </row>
    <row r="1862" ht="17.25" customHeight="1">
      <c r="A1862" s="88"/>
      <c r="B1862" s="88"/>
      <c r="C1862" s="88"/>
      <c r="D1862" s="88"/>
      <c r="E1862" s="88"/>
      <c r="F1862" s="89"/>
      <c r="G1862" s="89"/>
      <c r="H1862" s="89"/>
      <c r="I1862" s="88"/>
      <c r="J1862" s="88"/>
      <c r="K1862" s="88"/>
      <c r="L1862" s="88"/>
      <c r="M1862" s="88"/>
      <c r="N1862" s="88"/>
      <c r="O1862" s="88"/>
      <c r="P1862" s="88"/>
      <c r="Q1862" s="88"/>
      <c r="R1862" s="88"/>
      <c r="S1862" s="88"/>
      <c r="T1862" s="88"/>
      <c r="U1862" s="88"/>
      <c r="V1862" s="88"/>
      <c r="W1862" s="88"/>
      <c r="X1862" s="88"/>
      <c r="Y1862" s="88"/>
      <c r="Z1862" s="88"/>
    </row>
    <row r="1863" ht="17.25" customHeight="1">
      <c r="A1863" s="88"/>
      <c r="B1863" s="88"/>
      <c r="C1863" s="88"/>
      <c r="D1863" s="88"/>
      <c r="E1863" s="88"/>
      <c r="F1863" s="89"/>
      <c r="G1863" s="89"/>
      <c r="H1863" s="89"/>
      <c r="I1863" s="88"/>
      <c r="J1863" s="88"/>
      <c r="K1863" s="88"/>
      <c r="L1863" s="88"/>
      <c r="M1863" s="88"/>
      <c r="N1863" s="88"/>
      <c r="O1863" s="88"/>
      <c r="P1863" s="88"/>
      <c r="Q1863" s="88"/>
      <c r="R1863" s="88"/>
      <c r="S1863" s="88"/>
      <c r="T1863" s="88"/>
      <c r="U1863" s="88"/>
      <c r="V1863" s="88"/>
      <c r="W1863" s="88"/>
      <c r="X1863" s="88"/>
      <c r="Y1863" s="88"/>
      <c r="Z1863" s="88"/>
    </row>
    <row r="1864" ht="17.25" customHeight="1">
      <c r="A1864" s="88"/>
      <c r="B1864" s="88"/>
      <c r="C1864" s="88"/>
      <c r="D1864" s="88"/>
      <c r="E1864" s="88"/>
      <c r="F1864" s="89"/>
      <c r="G1864" s="89"/>
      <c r="H1864" s="89"/>
      <c r="I1864" s="88"/>
      <c r="J1864" s="88"/>
      <c r="K1864" s="88"/>
      <c r="L1864" s="88"/>
      <c r="M1864" s="88"/>
      <c r="N1864" s="88"/>
      <c r="O1864" s="88"/>
      <c r="P1864" s="88"/>
      <c r="Q1864" s="88"/>
      <c r="R1864" s="88"/>
      <c r="S1864" s="88"/>
      <c r="T1864" s="88"/>
      <c r="U1864" s="88"/>
      <c r="V1864" s="88"/>
      <c r="W1864" s="88"/>
      <c r="X1864" s="88"/>
      <c r="Y1864" s="88"/>
      <c r="Z1864" s="88"/>
    </row>
    <row r="1865" ht="17.25" customHeight="1">
      <c r="A1865" s="88"/>
      <c r="B1865" s="88"/>
      <c r="C1865" s="88"/>
      <c r="D1865" s="88"/>
      <c r="E1865" s="88"/>
      <c r="F1865" s="89"/>
      <c r="G1865" s="89"/>
      <c r="H1865" s="89"/>
      <c r="I1865" s="88"/>
      <c r="J1865" s="88"/>
      <c r="K1865" s="88"/>
      <c r="L1865" s="88"/>
      <c r="M1865" s="88"/>
      <c r="N1865" s="88"/>
      <c r="O1865" s="88"/>
      <c r="P1865" s="88"/>
      <c r="Q1865" s="88"/>
      <c r="R1865" s="88"/>
      <c r="S1865" s="88"/>
      <c r="T1865" s="88"/>
      <c r="U1865" s="88"/>
      <c r="V1865" s="88"/>
      <c r="W1865" s="88"/>
      <c r="X1865" s="88"/>
      <c r="Y1865" s="88"/>
      <c r="Z1865" s="88"/>
    </row>
    <row r="1866" ht="17.25" customHeight="1">
      <c r="A1866" s="88"/>
      <c r="B1866" s="88"/>
      <c r="C1866" s="88"/>
      <c r="D1866" s="88"/>
      <c r="E1866" s="88"/>
      <c r="F1866" s="89"/>
      <c r="G1866" s="89"/>
      <c r="H1866" s="89"/>
      <c r="I1866" s="88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U1866" s="88"/>
      <c r="V1866" s="88"/>
      <c r="W1866" s="88"/>
      <c r="X1866" s="88"/>
      <c r="Y1866" s="88"/>
      <c r="Z1866" s="88"/>
    </row>
    <row r="1867" ht="17.25" customHeight="1">
      <c r="A1867" s="88"/>
      <c r="B1867" s="88"/>
      <c r="C1867" s="88"/>
      <c r="D1867" s="88"/>
      <c r="E1867" s="88"/>
      <c r="F1867" s="89"/>
      <c r="G1867" s="89"/>
      <c r="H1867" s="89"/>
      <c r="I1867" s="88"/>
      <c r="J1867" s="88"/>
      <c r="K1867" s="88"/>
      <c r="L1867" s="88"/>
      <c r="M1867" s="88"/>
      <c r="N1867" s="88"/>
      <c r="O1867" s="88"/>
      <c r="P1867" s="88"/>
      <c r="Q1867" s="88"/>
      <c r="R1867" s="88"/>
      <c r="S1867" s="88"/>
      <c r="T1867" s="88"/>
      <c r="U1867" s="88"/>
      <c r="V1867" s="88"/>
      <c r="W1867" s="88"/>
      <c r="X1867" s="88"/>
      <c r="Y1867" s="88"/>
      <c r="Z1867" s="88"/>
    </row>
    <row r="1868" ht="17.25" customHeight="1">
      <c r="A1868" s="88"/>
      <c r="B1868" s="88"/>
      <c r="C1868" s="88"/>
      <c r="D1868" s="88"/>
      <c r="E1868" s="88"/>
      <c r="F1868" s="89"/>
      <c r="G1868" s="89"/>
      <c r="H1868" s="89"/>
      <c r="I1868" s="88"/>
      <c r="J1868" s="88"/>
      <c r="K1868" s="88"/>
      <c r="L1868" s="88"/>
      <c r="M1868" s="88"/>
      <c r="N1868" s="88"/>
      <c r="O1868" s="88"/>
      <c r="P1868" s="88"/>
      <c r="Q1868" s="88"/>
      <c r="R1868" s="88"/>
      <c r="S1868" s="88"/>
      <c r="T1868" s="88"/>
      <c r="U1868" s="88"/>
      <c r="V1868" s="88"/>
      <c r="W1868" s="88"/>
      <c r="X1868" s="88"/>
      <c r="Y1868" s="88"/>
      <c r="Z1868" s="88"/>
    </row>
    <row r="1869" ht="17.25" customHeight="1">
      <c r="A1869" s="88"/>
      <c r="B1869" s="88"/>
      <c r="C1869" s="88"/>
      <c r="D1869" s="88"/>
      <c r="E1869" s="88"/>
      <c r="F1869" s="89"/>
      <c r="G1869" s="89"/>
      <c r="H1869" s="89"/>
      <c r="I1869" s="88"/>
      <c r="J1869" s="88"/>
      <c r="K1869" s="88"/>
      <c r="L1869" s="88"/>
      <c r="M1869" s="88"/>
      <c r="N1869" s="88"/>
      <c r="O1869" s="88"/>
      <c r="P1869" s="88"/>
      <c r="Q1869" s="88"/>
      <c r="R1869" s="88"/>
      <c r="S1869" s="88"/>
      <c r="T1869" s="88"/>
      <c r="U1869" s="88"/>
      <c r="V1869" s="88"/>
      <c r="W1869" s="88"/>
      <c r="X1869" s="88"/>
      <c r="Y1869" s="88"/>
      <c r="Z1869" s="88"/>
    </row>
    <row r="1870" ht="17.25" customHeight="1">
      <c r="A1870" s="88"/>
      <c r="B1870" s="88"/>
      <c r="C1870" s="88"/>
      <c r="D1870" s="88"/>
      <c r="E1870" s="88"/>
      <c r="F1870" s="89"/>
      <c r="G1870" s="89"/>
      <c r="H1870" s="89"/>
      <c r="I1870" s="88"/>
      <c r="J1870" s="88"/>
      <c r="K1870" s="88"/>
      <c r="L1870" s="88"/>
      <c r="M1870" s="88"/>
      <c r="N1870" s="88"/>
      <c r="O1870" s="88"/>
      <c r="P1870" s="88"/>
      <c r="Q1870" s="88"/>
      <c r="R1870" s="88"/>
      <c r="S1870" s="88"/>
      <c r="T1870" s="88"/>
      <c r="U1870" s="88"/>
      <c r="V1870" s="88"/>
      <c r="W1870" s="88"/>
      <c r="X1870" s="88"/>
      <c r="Y1870" s="88"/>
      <c r="Z1870" s="88"/>
    </row>
    <row r="1871" ht="17.25" customHeight="1">
      <c r="A1871" s="88"/>
      <c r="B1871" s="88"/>
      <c r="C1871" s="88"/>
      <c r="D1871" s="88"/>
      <c r="E1871" s="88"/>
      <c r="F1871" s="89"/>
      <c r="G1871" s="89"/>
      <c r="H1871" s="89"/>
      <c r="I1871" s="88"/>
      <c r="J1871" s="88"/>
      <c r="K1871" s="88"/>
      <c r="L1871" s="88"/>
      <c r="M1871" s="88"/>
      <c r="N1871" s="88"/>
      <c r="O1871" s="88"/>
      <c r="P1871" s="88"/>
      <c r="Q1871" s="88"/>
      <c r="R1871" s="88"/>
      <c r="S1871" s="88"/>
      <c r="T1871" s="88"/>
      <c r="U1871" s="88"/>
      <c r="V1871" s="88"/>
      <c r="W1871" s="88"/>
      <c r="X1871" s="88"/>
      <c r="Y1871" s="88"/>
      <c r="Z1871" s="88"/>
    </row>
    <row r="1872" ht="17.25" customHeight="1">
      <c r="A1872" s="88"/>
      <c r="B1872" s="88"/>
      <c r="C1872" s="88"/>
      <c r="D1872" s="88"/>
      <c r="E1872" s="88"/>
      <c r="F1872" s="89"/>
      <c r="G1872" s="89"/>
      <c r="H1872" s="89"/>
      <c r="I1872" s="88"/>
      <c r="J1872" s="88"/>
      <c r="K1872" s="88"/>
      <c r="L1872" s="88"/>
      <c r="M1872" s="88"/>
      <c r="N1872" s="88"/>
      <c r="O1872" s="88"/>
      <c r="P1872" s="88"/>
      <c r="Q1872" s="88"/>
      <c r="R1872" s="88"/>
      <c r="S1872" s="88"/>
      <c r="T1872" s="88"/>
      <c r="U1872" s="88"/>
      <c r="V1872" s="88"/>
      <c r="W1872" s="88"/>
      <c r="X1872" s="88"/>
      <c r="Y1872" s="88"/>
      <c r="Z1872" s="88"/>
    </row>
    <row r="1873" ht="17.25" customHeight="1">
      <c r="A1873" s="88"/>
      <c r="B1873" s="88"/>
      <c r="C1873" s="88"/>
      <c r="D1873" s="88"/>
      <c r="E1873" s="88"/>
      <c r="F1873" s="89"/>
      <c r="G1873" s="89"/>
      <c r="H1873" s="89"/>
      <c r="I1873" s="88"/>
      <c r="J1873" s="88"/>
      <c r="K1873" s="88"/>
      <c r="L1873" s="88"/>
      <c r="M1873" s="88"/>
      <c r="N1873" s="88"/>
      <c r="O1873" s="88"/>
      <c r="P1873" s="88"/>
      <c r="Q1873" s="88"/>
      <c r="R1873" s="88"/>
      <c r="S1873" s="88"/>
      <c r="T1873" s="88"/>
      <c r="U1873" s="88"/>
      <c r="V1873" s="88"/>
      <c r="W1873" s="88"/>
      <c r="X1873" s="88"/>
      <c r="Y1873" s="88"/>
      <c r="Z1873" s="88"/>
    </row>
    <row r="1874" ht="17.25" customHeight="1">
      <c r="A1874" s="88"/>
      <c r="B1874" s="88"/>
      <c r="C1874" s="88"/>
      <c r="D1874" s="88"/>
      <c r="E1874" s="88"/>
      <c r="F1874" s="89"/>
      <c r="G1874" s="89"/>
      <c r="H1874" s="89"/>
      <c r="I1874" s="88"/>
      <c r="J1874" s="88"/>
      <c r="K1874" s="88"/>
      <c r="L1874" s="88"/>
      <c r="M1874" s="88"/>
      <c r="N1874" s="88"/>
      <c r="O1874" s="88"/>
      <c r="P1874" s="88"/>
      <c r="Q1874" s="88"/>
      <c r="R1874" s="88"/>
      <c r="S1874" s="88"/>
      <c r="T1874" s="88"/>
      <c r="U1874" s="88"/>
      <c r="V1874" s="88"/>
      <c r="W1874" s="88"/>
      <c r="X1874" s="88"/>
      <c r="Y1874" s="88"/>
      <c r="Z1874" s="88"/>
    </row>
    <row r="1875" ht="17.25" customHeight="1">
      <c r="A1875" s="88"/>
      <c r="B1875" s="88"/>
      <c r="C1875" s="88"/>
      <c r="D1875" s="88"/>
      <c r="E1875" s="88"/>
      <c r="F1875" s="89"/>
      <c r="G1875" s="89"/>
      <c r="H1875" s="89"/>
      <c r="I1875" s="88"/>
      <c r="J1875" s="88"/>
      <c r="K1875" s="88"/>
      <c r="L1875" s="88"/>
      <c r="M1875" s="88"/>
      <c r="N1875" s="88"/>
      <c r="O1875" s="88"/>
      <c r="P1875" s="88"/>
      <c r="Q1875" s="88"/>
      <c r="R1875" s="88"/>
      <c r="S1875" s="88"/>
      <c r="T1875" s="88"/>
      <c r="U1875" s="88"/>
      <c r="V1875" s="88"/>
      <c r="W1875" s="88"/>
      <c r="X1875" s="88"/>
      <c r="Y1875" s="88"/>
      <c r="Z1875" s="88"/>
    </row>
    <row r="1876" ht="17.25" customHeight="1">
      <c r="A1876" s="88"/>
      <c r="B1876" s="88"/>
      <c r="C1876" s="88"/>
      <c r="D1876" s="88"/>
      <c r="E1876" s="88"/>
      <c r="F1876" s="89"/>
      <c r="G1876" s="89"/>
      <c r="H1876" s="89"/>
      <c r="I1876" s="88"/>
      <c r="J1876" s="88"/>
      <c r="K1876" s="88"/>
      <c r="L1876" s="88"/>
      <c r="M1876" s="88"/>
      <c r="N1876" s="88"/>
      <c r="O1876" s="88"/>
      <c r="P1876" s="88"/>
      <c r="Q1876" s="88"/>
      <c r="R1876" s="88"/>
      <c r="S1876" s="88"/>
      <c r="T1876" s="88"/>
      <c r="U1876" s="88"/>
      <c r="V1876" s="88"/>
      <c r="W1876" s="88"/>
      <c r="X1876" s="88"/>
      <c r="Y1876" s="88"/>
      <c r="Z1876" s="88"/>
    </row>
    <row r="1877" ht="17.25" customHeight="1">
      <c r="A1877" s="88"/>
      <c r="B1877" s="88"/>
      <c r="C1877" s="88"/>
      <c r="D1877" s="88"/>
      <c r="E1877" s="88"/>
      <c r="F1877" s="89"/>
      <c r="G1877" s="89"/>
      <c r="H1877" s="89"/>
      <c r="I1877" s="88"/>
      <c r="J1877" s="88"/>
      <c r="K1877" s="88"/>
      <c r="L1877" s="88"/>
      <c r="M1877" s="88"/>
      <c r="N1877" s="88"/>
      <c r="O1877" s="88"/>
      <c r="P1877" s="88"/>
      <c r="Q1877" s="88"/>
      <c r="R1877" s="88"/>
      <c r="S1877" s="88"/>
      <c r="T1877" s="88"/>
      <c r="U1877" s="88"/>
      <c r="V1877" s="88"/>
      <c r="W1877" s="88"/>
      <c r="X1877" s="88"/>
      <c r="Y1877" s="88"/>
      <c r="Z1877" s="88"/>
    </row>
    <row r="1878" ht="17.25" customHeight="1">
      <c r="A1878" s="88"/>
      <c r="B1878" s="88"/>
      <c r="C1878" s="88"/>
      <c r="D1878" s="88"/>
      <c r="E1878" s="88"/>
      <c r="F1878" s="89"/>
      <c r="G1878" s="89"/>
      <c r="H1878" s="89"/>
      <c r="I1878" s="88"/>
      <c r="J1878" s="88"/>
      <c r="K1878" s="88"/>
      <c r="L1878" s="88"/>
      <c r="M1878" s="88"/>
      <c r="N1878" s="88"/>
      <c r="O1878" s="88"/>
      <c r="P1878" s="88"/>
      <c r="Q1878" s="88"/>
      <c r="R1878" s="88"/>
      <c r="S1878" s="88"/>
      <c r="T1878" s="88"/>
      <c r="U1878" s="88"/>
      <c r="V1878" s="88"/>
      <c r="W1878" s="88"/>
      <c r="X1878" s="88"/>
      <c r="Y1878" s="88"/>
      <c r="Z1878" s="88"/>
    </row>
    <row r="1879" ht="17.25" customHeight="1">
      <c r="A1879" s="88"/>
      <c r="B1879" s="88"/>
      <c r="C1879" s="88"/>
      <c r="D1879" s="88"/>
      <c r="E1879" s="88"/>
      <c r="F1879" s="89"/>
      <c r="G1879" s="89"/>
      <c r="H1879" s="89"/>
      <c r="I1879" s="88"/>
      <c r="J1879" s="88"/>
      <c r="K1879" s="88"/>
      <c r="L1879" s="88"/>
      <c r="M1879" s="88"/>
      <c r="N1879" s="88"/>
      <c r="O1879" s="88"/>
      <c r="P1879" s="88"/>
      <c r="Q1879" s="88"/>
      <c r="R1879" s="88"/>
      <c r="S1879" s="88"/>
      <c r="T1879" s="88"/>
      <c r="U1879" s="88"/>
      <c r="V1879" s="88"/>
      <c r="W1879" s="88"/>
      <c r="X1879" s="88"/>
      <c r="Y1879" s="88"/>
      <c r="Z1879" s="88"/>
    </row>
    <row r="1880" ht="17.25" customHeight="1">
      <c r="A1880" s="88"/>
      <c r="B1880" s="88"/>
      <c r="C1880" s="88"/>
      <c r="D1880" s="88"/>
      <c r="E1880" s="88"/>
      <c r="F1880" s="89"/>
      <c r="G1880" s="89"/>
      <c r="H1880" s="89"/>
      <c r="I1880" s="88"/>
      <c r="J1880" s="88"/>
      <c r="K1880" s="88"/>
      <c r="L1880" s="88"/>
      <c r="M1880" s="88"/>
      <c r="N1880" s="88"/>
      <c r="O1880" s="88"/>
      <c r="P1880" s="88"/>
      <c r="Q1880" s="88"/>
      <c r="R1880" s="88"/>
      <c r="S1880" s="88"/>
      <c r="T1880" s="88"/>
      <c r="U1880" s="88"/>
      <c r="V1880" s="88"/>
      <c r="W1880" s="88"/>
      <c r="X1880" s="88"/>
      <c r="Y1880" s="88"/>
      <c r="Z1880" s="88"/>
    </row>
    <row r="1881" ht="17.25" customHeight="1">
      <c r="A1881" s="88"/>
      <c r="B1881" s="88"/>
      <c r="C1881" s="88"/>
      <c r="D1881" s="88"/>
      <c r="E1881" s="88"/>
      <c r="F1881" s="89"/>
      <c r="G1881" s="89"/>
      <c r="H1881" s="89"/>
      <c r="I1881" s="88"/>
      <c r="J1881" s="88"/>
      <c r="K1881" s="88"/>
      <c r="L1881" s="88"/>
      <c r="M1881" s="88"/>
      <c r="N1881" s="88"/>
      <c r="O1881" s="88"/>
      <c r="P1881" s="88"/>
      <c r="Q1881" s="88"/>
      <c r="R1881" s="88"/>
      <c r="S1881" s="88"/>
      <c r="T1881" s="88"/>
      <c r="U1881" s="88"/>
      <c r="V1881" s="88"/>
      <c r="W1881" s="88"/>
      <c r="X1881" s="88"/>
      <c r="Y1881" s="88"/>
      <c r="Z1881" s="88"/>
    </row>
    <row r="1882" ht="17.25" customHeight="1">
      <c r="A1882" s="88"/>
      <c r="B1882" s="88"/>
      <c r="C1882" s="88"/>
      <c r="D1882" s="88"/>
      <c r="E1882" s="88"/>
      <c r="F1882" s="89"/>
      <c r="G1882" s="89"/>
      <c r="H1882" s="89"/>
      <c r="I1882" s="88"/>
      <c r="J1882" s="88"/>
      <c r="K1882" s="88"/>
      <c r="L1882" s="88"/>
      <c r="M1882" s="88"/>
      <c r="N1882" s="88"/>
      <c r="O1882" s="88"/>
      <c r="P1882" s="88"/>
      <c r="Q1882" s="88"/>
      <c r="R1882" s="88"/>
      <c r="S1882" s="88"/>
      <c r="T1882" s="88"/>
      <c r="U1882" s="88"/>
      <c r="V1882" s="88"/>
      <c r="W1882" s="88"/>
      <c r="X1882" s="88"/>
      <c r="Y1882" s="88"/>
      <c r="Z1882" s="88"/>
    </row>
    <row r="1883" ht="17.25" customHeight="1">
      <c r="A1883" s="88"/>
      <c r="B1883" s="88"/>
      <c r="C1883" s="88"/>
      <c r="D1883" s="88"/>
      <c r="E1883" s="88"/>
      <c r="F1883" s="89"/>
      <c r="G1883" s="89"/>
      <c r="H1883" s="89"/>
      <c r="I1883" s="88"/>
      <c r="J1883" s="88"/>
      <c r="K1883" s="88"/>
      <c r="L1883" s="88"/>
      <c r="M1883" s="88"/>
      <c r="N1883" s="88"/>
      <c r="O1883" s="88"/>
      <c r="P1883" s="88"/>
      <c r="Q1883" s="88"/>
      <c r="R1883" s="88"/>
      <c r="S1883" s="88"/>
      <c r="T1883" s="88"/>
      <c r="U1883" s="88"/>
      <c r="V1883" s="88"/>
      <c r="W1883" s="88"/>
      <c r="X1883" s="88"/>
      <c r="Y1883" s="88"/>
      <c r="Z1883" s="88"/>
    </row>
    <row r="1884" ht="17.25" customHeight="1">
      <c r="A1884" s="88"/>
      <c r="B1884" s="88"/>
      <c r="C1884" s="88"/>
      <c r="D1884" s="88"/>
      <c r="E1884" s="88"/>
      <c r="F1884" s="89"/>
      <c r="G1884" s="89"/>
      <c r="H1884" s="89"/>
      <c r="I1884" s="88"/>
      <c r="J1884" s="88"/>
      <c r="K1884" s="88"/>
      <c r="L1884" s="88"/>
      <c r="M1884" s="88"/>
      <c r="N1884" s="88"/>
      <c r="O1884" s="88"/>
      <c r="P1884" s="88"/>
      <c r="Q1884" s="88"/>
      <c r="R1884" s="88"/>
      <c r="S1884" s="88"/>
      <c r="T1884" s="88"/>
      <c r="U1884" s="88"/>
      <c r="V1884" s="88"/>
      <c r="W1884" s="88"/>
      <c r="X1884" s="88"/>
      <c r="Y1884" s="88"/>
      <c r="Z1884" s="88"/>
    </row>
    <row r="1885" ht="17.25" customHeight="1">
      <c r="A1885" s="88"/>
      <c r="B1885" s="88"/>
      <c r="C1885" s="88"/>
      <c r="D1885" s="88"/>
      <c r="E1885" s="88"/>
      <c r="F1885" s="89"/>
      <c r="G1885" s="89"/>
      <c r="H1885" s="89"/>
      <c r="I1885" s="88"/>
      <c r="J1885" s="88"/>
      <c r="K1885" s="88"/>
      <c r="L1885" s="88"/>
      <c r="M1885" s="88"/>
      <c r="N1885" s="88"/>
      <c r="O1885" s="88"/>
      <c r="P1885" s="88"/>
      <c r="Q1885" s="88"/>
      <c r="R1885" s="88"/>
      <c r="S1885" s="88"/>
      <c r="T1885" s="88"/>
      <c r="U1885" s="88"/>
      <c r="V1885" s="88"/>
      <c r="W1885" s="88"/>
      <c r="X1885" s="88"/>
      <c r="Y1885" s="88"/>
      <c r="Z1885" s="88"/>
    </row>
    <row r="1886" ht="17.25" customHeight="1">
      <c r="A1886" s="88"/>
      <c r="B1886" s="88"/>
      <c r="C1886" s="88"/>
      <c r="D1886" s="88"/>
      <c r="E1886" s="88"/>
      <c r="F1886" s="89"/>
      <c r="G1886" s="89"/>
      <c r="H1886" s="89"/>
      <c r="I1886" s="88"/>
      <c r="J1886" s="88"/>
      <c r="K1886" s="88"/>
      <c r="L1886" s="88"/>
      <c r="M1886" s="88"/>
      <c r="N1886" s="88"/>
      <c r="O1886" s="88"/>
      <c r="P1886" s="88"/>
      <c r="Q1886" s="88"/>
      <c r="R1886" s="88"/>
      <c r="S1886" s="88"/>
      <c r="T1886" s="88"/>
      <c r="U1886" s="88"/>
      <c r="V1886" s="88"/>
      <c r="W1886" s="88"/>
      <c r="X1886" s="88"/>
      <c r="Y1886" s="88"/>
      <c r="Z1886" s="88"/>
    </row>
    <row r="1887" ht="17.25" customHeight="1">
      <c r="A1887" s="88"/>
      <c r="B1887" s="88"/>
      <c r="C1887" s="88"/>
      <c r="D1887" s="88"/>
      <c r="E1887" s="88"/>
      <c r="F1887" s="89"/>
      <c r="G1887" s="89"/>
      <c r="H1887" s="89"/>
      <c r="I1887" s="88"/>
      <c r="J1887" s="88"/>
      <c r="K1887" s="88"/>
      <c r="L1887" s="88"/>
      <c r="M1887" s="88"/>
      <c r="N1887" s="88"/>
      <c r="O1887" s="88"/>
      <c r="P1887" s="88"/>
      <c r="Q1887" s="88"/>
      <c r="R1887" s="88"/>
      <c r="S1887" s="88"/>
      <c r="T1887" s="88"/>
      <c r="U1887" s="88"/>
      <c r="V1887" s="88"/>
      <c r="W1887" s="88"/>
      <c r="X1887" s="88"/>
      <c r="Y1887" s="88"/>
      <c r="Z1887" s="88"/>
    </row>
    <row r="1888" ht="17.25" customHeight="1">
      <c r="A1888" s="88"/>
      <c r="B1888" s="88"/>
      <c r="C1888" s="88"/>
      <c r="D1888" s="88"/>
      <c r="E1888" s="88"/>
      <c r="F1888" s="89"/>
      <c r="G1888" s="89"/>
      <c r="H1888" s="89"/>
      <c r="I1888" s="88"/>
      <c r="J1888" s="88"/>
      <c r="K1888" s="88"/>
      <c r="L1888" s="88"/>
      <c r="M1888" s="88"/>
      <c r="N1888" s="88"/>
      <c r="O1888" s="88"/>
      <c r="P1888" s="88"/>
      <c r="Q1888" s="88"/>
      <c r="R1888" s="88"/>
      <c r="S1888" s="88"/>
      <c r="T1888" s="88"/>
      <c r="U1888" s="88"/>
      <c r="V1888" s="88"/>
      <c r="W1888" s="88"/>
      <c r="X1888" s="88"/>
      <c r="Y1888" s="88"/>
      <c r="Z1888" s="88"/>
    </row>
    <row r="1889" ht="17.25" customHeight="1">
      <c r="A1889" s="88"/>
      <c r="B1889" s="88"/>
      <c r="C1889" s="88"/>
      <c r="D1889" s="88"/>
      <c r="E1889" s="88"/>
      <c r="F1889" s="89"/>
      <c r="G1889" s="89"/>
      <c r="H1889" s="89"/>
      <c r="I1889" s="88"/>
      <c r="J1889" s="88"/>
      <c r="K1889" s="88"/>
      <c r="L1889" s="88"/>
      <c r="M1889" s="88"/>
      <c r="N1889" s="88"/>
      <c r="O1889" s="88"/>
      <c r="P1889" s="88"/>
      <c r="Q1889" s="88"/>
      <c r="R1889" s="88"/>
      <c r="S1889" s="88"/>
      <c r="T1889" s="88"/>
      <c r="U1889" s="88"/>
      <c r="V1889" s="88"/>
      <c r="W1889" s="88"/>
      <c r="X1889" s="88"/>
      <c r="Y1889" s="88"/>
      <c r="Z1889" s="88"/>
    </row>
    <row r="1890" ht="17.25" customHeight="1">
      <c r="A1890" s="88"/>
      <c r="B1890" s="88"/>
      <c r="C1890" s="88"/>
      <c r="D1890" s="88"/>
      <c r="E1890" s="88"/>
      <c r="F1890" s="89"/>
      <c r="G1890" s="89"/>
      <c r="H1890" s="89"/>
      <c r="I1890" s="88"/>
      <c r="J1890" s="88"/>
      <c r="K1890" s="88"/>
      <c r="L1890" s="88"/>
      <c r="M1890" s="88"/>
      <c r="N1890" s="88"/>
      <c r="O1890" s="88"/>
      <c r="P1890" s="88"/>
      <c r="Q1890" s="88"/>
      <c r="R1890" s="88"/>
      <c r="S1890" s="88"/>
      <c r="T1890" s="88"/>
      <c r="U1890" s="88"/>
      <c r="V1890" s="88"/>
      <c r="W1890" s="88"/>
      <c r="X1890" s="88"/>
      <c r="Y1890" s="88"/>
      <c r="Z1890" s="88"/>
    </row>
    <row r="1891" ht="17.25" customHeight="1">
      <c r="A1891" s="88"/>
      <c r="B1891" s="88"/>
      <c r="C1891" s="88"/>
      <c r="D1891" s="88"/>
      <c r="E1891" s="88"/>
      <c r="F1891" s="89"/>
      <c r="G1891" s="89"/>
      <c r="H1891" s="89"/>
      <c r="I1891" s="88"/>
      <c r="J1891" s="88"/>
      <c r="K1891" s="88"/>
      <c r="L1891" s="88"/>
      <c r="M1891" s="88"/>
      <c r="N1891" s="88"/>
      <c r="O1891" s="88"/>
      <c r="P1891" s="88"/>
      <c r="Q1891" s="88"/>
      <c r="R1891" s="88"/>
      <c r="S1891" s="88"/>
      <c r="T1891" s="88"/>
      <c r="U1891" s="88"/>
      <c r="V1891" s="88"/>
      <c r="W1891" s="88"/>
      <c r="X1891" s="88"/>
      <c r="Y1891" s="88"/>
      <c r="Z1891" s="88"/>
    </row>
    <row r="1892" ht="17.25" customHeight="1">
      <c r="A1892" s="88"/>
      <c r="B1892" s="88"/>
      <c r="C1892" s="88"/>
      <c r="D1892" s="88"/>
      <c r="E1892" s="88"/>
      <c r="F1892" s="89"/>
      <c r="G1892" s="89"/>
      <c r="H1892" s="89"/>
      <c r="I1892" s="88"/>
      <c r="J1892" s="88"/>
      <c r="K1892" s="88"/>
      <c r="L1892" s="88"/>
      <c r="M1892" s="88"/>
      <c r="N1892" s="88"/>
      <c r="O1892" s="88"/>
      <c r="P1892" s="88"/>
      <c r="Q1892" s="88"/>
      <c r="R1892" s="88"/>
      <c r="S1892" s="88"/>
      <c r="T1892" s="88"/>
      <c r="U1892" s="88"/>
      <c r="V1892" s="88"/>
      <c r="W1892" s="88"/>
      <c r="X1892" s="88"/>
      <c r="Y1892" s="88"/>
      <c r="Z1892" s="88"/>
    </row>
    <row r="1893" ht="17.25" customHeight="1">
      <c r="A1893" s="88"/>
      <c r="B1893" s="88"/>
      <c r="C1893" s="88"/>
      <c r="D1893" s="88"/>
      <c r="E1893" s="88"/>
      <c r="F1893" s="89"/>
      <c r="G1893" s="89"/>
      <c r="H1893" s="89"/>
      <c r="I1893" s="88"/>
      <c r="J1893" s="88"/>
      <c r="K1893" s="88"/>
      <c r="L1893" s="88"/>
      <c r="M1893" s="88"/>
      <c r="N1893" s="88"/>
      <c r="O1893" s="88"/>
      <c r="P1893" s="88"/>
      <c r="Q1893" s="88"/>
      <c r="R1893" s="88"/>
      <c r="S1893" s="88"/>
      <c r="T1893" s="88"/>
      <c r="U1893" s="88"/>
      <c r="V1893" s="88"/>
      <c r="W1893" s="88"/>
      <c r="X1893" s="88"/>
      <c r="Y1893" s="88"/>
      <c r="Z1893" s="88"/>
    </row>
    <row r="1894" ht="17.25" customHeight="1">
      <c r="A1894" s="88"/>
      <c r="B1894" s="88"/>
      <c r="C1894" s="88"/>
      <c r="D1894" s="88"/>
      <c r="E1894" s="88"/>
      <c r="F1894" s="89"/>
      <c r="G1894" s="89"/>
      <c r="H1894" s="89"/>
      <c r="I1894" s="88"/>
      <c r="J1894" s="88"/>
      <c r="K1894" s="88"/>
      <c r="L1894" s="88"/>
      <c r="M1894" s="88"/>
      <c r="N1894" s="88"/>
      <c r="O1894" s="88"/>
      <c r="P1894" s="88"/>
      <c r="Q1894" s="88"/>
      <c r="R1894" s="88"/>
      <c r="S1894" s="88"/>
      <c r="T1894" s="88"/>
      <c r="U1894" s="88"/>
      <c r="V1894" s="88"/>
      <c r="W1894" s="88"/>
      <c r="X1894" s="88"/>
      <c r="Y1894" s="88"/>
      <c r="Z1894" s="88"/>
    </row>
    <row r="1895" ht="17.25" customHeight="1">
      <c r="A1895" s="88"/>
      <c r="B1895" s="88"/>
      <c r="C1895" s="88"/>
      <c r="D1895" s="88"/>
      <c r="E1895" s="88"/>
      <c r="F1895" s="89"/>
      <c r="G1895" s="89"/>
      <c r="H1895" s="89"/>
      <c r="I1895" s="88"/>
      <c r="J1895" s="88"/>
      <c r="K1895" s="88"/>
      <c r="L1895" s="88"/>
      <c r="M1895" s="88"/>
      <c r="N1895" s="88"/>
      <c r="O1895" s="88"/>
      <c r="P1895" s="88"/>
      <c r="Q1895" s="88"/>
      <c r="R1895" s="88"/>
      <c r="S1895" s="88"/>
      <c r="T1895" s="88"/>
      <c r="U1895" s="88"/>
      <c r="V1895" s="88"/>
      <c r="W1895" s="88"/>
      <c r="X1895" s="88"/>
      <c r="Y1895" s="88"/>
      <c r="Z1895" s="88"/>
    </row>
    <row r="1896" ht="17.25" customHeight="1">
      <c r="A1896" s="88"/>
      <c r="B1896" s="88"/>
      <c r="C1896" s="88"/>
      <c r="D1896" s="88"/>
      <c r="E1896" s="88"/>
      <c r="F1896" s="89"/>
      <c r="G1896" s="89"/>
      <c r="H1896" s="89"/>
      <c r="I1896" s="88"/>
      <c r="J1896" s="88"/>
      <c r="K1896" s="88"/>
      <c r="L1896" s="88"/>
      <c r="M1896" s="88"/>
      <c r="N1896" s="88"/>
      <c r="O1896" s="88"/>
      <c r="P1896" s="88"/>
      <c r="Q1896" s="88"/>
      <c r="R1896" s="88"/>
      <c r="S1896" s="88"/>
      <c r="T1896" s="88"/>
      <c r="U1896" s="88"/>
      <c r="V1896" s="88"/>
      <c r="W1896" s="88"/>
      <c r="X1896" s="88"/>
      <c r="Y1896" s="88"/>
      <c r="Z1896" s="88"/>
    </row>
    <row r="1897" ht="17.25" customHeight="1">
      <c r="A1897" s="88"/>
      <c r="B1897" s="88"/>
      <c r="C1897" s="88"/>
      <c r="D1897" s="88"/>
      <c r="E1897" s="88"/>
      <c r="F1897" s="89"/>
      <c r="G1897" s="89"/>
      <c r="H1897" s="89"/>
      <c r="I1897" s="88"/>
      <c r="J1897" s="88"/>
      <c r="K1897" s="88"/>
      <c r="L1897" s="88"/>
      <c r="M1897" s="88"/>
      <c r="N1897" s="88"/>
      <c r="O1897" s="88"/>
      <c r="P1897" s="88"/>
      <c r="Q1897" s="88"/>
      <c r="R1897" s="88"/>
      <c r="S1897" s="88"/>
      <c r="T1897" s="88"/>
      <c r="U1897" s="88"/>
      <c r="V1897" s="88"/>
      <c r="W1897" s="88"/>
      <c r="X1897" s="88"/>
      <c r="Y1897" s="88"/>
      <c r="Z1897" s="88"/>
    </row>
    <row r="1898" ht="17.25" customHeight="1">
      <c r="A1898" s="88"/>
      <c r="B1898" s="88"/>
      <c r="C1898" s="88"/>
      <c r="D1898" s="88"/>
      <c r="E1898" s="88"/>
      <c r="F1898" s="89"/>
      <c r="G1898" s="89"/>
      <c r="H1898" s="89"/>
      <c r="I1898" s="88"/>
      <c r="J1898" s="88"/>
      <c r="K1898" s="88"/>
      <c r="L1898" s="88"/>
      <c r="M1898" s="88"/>
      <c r="N1898" s="88"/>
      <c r="O1898" s="88"/>
      <c r="P1898" s="88"/>
      <c r="Q1898" s="88"/>
      <c r="R1898" s="88"/>
      <c r="S1898" s="88"/>
      <c r="T1898" s="88"/>
      <c r="U1898" s="88"/>
      <c r="V1898" s="88"/>
      <c r="W1898" s="88"/>
      <c r="X1898" s="88"/>
      <c r="Y1898" s="88"/>
      <c r="Z1898" s="88"/>
    </row>
    <row r="1899" ht="17.25" customHeight="1">
      <c r="A1899" s="88"/>
      <c r="B1899" s="88"/>
      <c r="C1899" s="88"/>
      <c r="D1899" s="88"/>
      <c r="E1899" s="88"/>
      <c r="F1899" s="89"/>
      <c r="G1899" s="89"/>
      <c r="H1899" s="89"/>
      <c r="I1899" s="88"/>
      <c r="J1899" s="88"/>
      <c r="K1899" s="88"/>
      <c r="L1899" s="88"/>
      <c r="M1899" s="88"/>
      <c r="N1899" s="88"/>
      <c r="O1899" s="88"/>
      <c r="P1899" s="88"/>
      <c r="Q1899" s="88"/>
      <c r="R1899" s="88"/>
      <c r="S1899" s="88"/>
      <c r="T1899" s="88"/>
      <c r="U1899" s="88"/>
      <c r="V1899" s="88"/>
      <c r="W1899" s="88"/>
      <c r="X1899" s="88"/>
      <c r="Y1899" s="88"/>
      <c r="Z1899" s="88"/>
    </row>
    <row r="1900" ht="17.25" customHeight="1">
      <c r="A1900" s="88"/>
      <c r="B1900" s="88"/>
      <c r="C1900" s="88"/>
      <c r="D1900" s="88"/>
      <c r="E1900" s="88"/>
      <c r="F1900" s="89"/>
      <c r="G1900" s="89"/>
      <c r="H1900" s="89"/>
      <c r="I1900" s="88"/>
      <c r="J1900" s="88"/>
      <c r="K1900" s="88"/>
      <c r="L1900" s="88"/>
      <c r="M1900" s="88"/>
      <c r="N1900" s="88"/>
      <c r="O1900" s="88"/>
      <c r="P1900" s="88"/>
      <c r="Q1900" s="88"/>
      <c r="R1900" s="88"/>
      <c r="S1900" s="88"/>
      <c r="T1900" s="88"/>
      <c r="U1900" s="88"/>
      <c r="V1900" s="88"/>
      <c r="W1900" s="88"/>
      <c r="X1900" s="88"/>
      <c r="Y1900" s="88"/>
      <c r="Z1900" s="88"/>
    </row>
    <row r="1901" ht="17.25" customHeight="1">
      <c r="A1901" s="88"/>
      <c r="B1901" s="88"/>
      <c r="C1901" s="88"/>
      <c r="D1901" s="88"/>
      <c r="E1901" s="88"/>
      <c r="F1901" s="89"/>
      <c r="G1901" s="89"/>
      <c r="H1901" s="89"/>
      <c r="I1901" s="88"/>
      <c r="J1901" s="88"/>
      <c r="K1901" s="88"/>
      <c r="L1901" s="88"/>
      <c r="M1901" s="88"/>
      <c r="N1901" s="88"/>
      <c r="O1901" s="88"/>
      <c r="P1901" s="88"/>
      <c r="Q1901" s="88"/>
      <c r="R1901" s="88"/>
      <c r="S1901" s="88"/>
      <c r="T1901" s="88"/>
      <c r="U1901" s="88"/>
      <c r="V1901" s="88"/>
      <c r="W1901" s="88"/>
      <c r="X1901" s="88"/>
      <c r="Y1901" s="88"/>
      <c r="Z1901" s="88"/>
    </row>
    <row r="1902" ht="17.25" customHeight="1">
      <c r="A1902" s="88"/>
      <c r="B1902" s="88"/>
      <c r="C1902" s="88"/>
      <c r="D1902" s="88"/>
      <c r="E1902" s="88"/>
      <c r="F1902" s="89"/>
      <c r="G1902" s="89"/>
      <c r="H1902" s="89"/>
      <c r="I1902" s="88"/>
      <c r="J1902" s="88"/>
      <c r="K1902" s="88"/>
      <c r="L1902" s="88"/>
      <c r="M1902" s="88"/>
      <c r="N1902" s="88"/>
      <c r="O1902" s="88"/>
      <c r="P1902" s="88"/>
      <c r="Q1902" s="88"/>
      <c r="R1902" s="88"/>
      <c r="S1902" s="88"/>
      <c r="T1902" s="88"/>
      <c r="U1902" s="88"/>
      <c r="V1902" s="88"/>
      <c r="W1902" s="88"/>
      <c r="X1902" s="88"/>
      <c r="Y1902" s="88"/>
      <c r="Z1902" s="88"/>
    </row>
    <row r="1903" ht="17.25" customHeight="1">
      <c r="A1903" s="88"/>
      <c r="B1903" s="88"/>
      <c r="C1903" s="88"/>
      <c r="D1903" s="88"/>
      <c r="E1903" s="88"/>
      <c r="F1903" s="89"/>
      <c r="G1903" s="89"/>
      <c r="H1903" s="89"/>
      <c r="I1903" s="88"/>
      <c r="J1903" s="88"/>
      <c r="K1903" s="88"/>
      <c r="L1903" s="88"/>
      <c r="M1903" s="88"/>
      <c r="N1903" s="88"/>
      <c r="O1903" s="88"/>
      <c r="P1903" s="88"/>
      <c r="Q1903" s="88"/>
      <c r="R1903" s="88"/>
      <c r="S1903" s="88"/>
      <c r="T1903" s="88"/>
      <c r="U1903" s="88"/>
      <c r="V1903" s="88"/>
      <c r="W1903" s="88"/>
      <c r="X1903" s="88"/>
      <c r="Y1903" s="88"/>
      <c r="Z1903" s="88"/>
    </row>
    <row r="1904" ht="17.25" customHeight="1">
      <c r="A1904" s="88"/>
      <c r="B1904" s="88"/>
      <c r="C1904" s="88"/>
      <c r="D1904" s="88"/>
      <c r="E1904" s="88"/>
      <c r="F1904" s="89"/>
      <c r="G1904" s="89"/>
      <c r="H1904" s="89"/>
      <c r="I1904" s="88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U1904" s="88"/>
      <c r="V1904" s="88"/>
      <c r="W1904" s="88"/>
      <c r="X1904" s="88"/>
      <c r="Y1904" s="88"/>
      <c r="Z1904" s="88"/>
    </row>
    <row r="1905" ht="17.25" customHeight="1">
      <c r="A1905" s="88"/>
      <c r="B1905" s="88"/>
      <c r="C1905" s="88"/>
      <c r="D1905" s="88"/>
      <c r="E1905" s="88"/>
      <c r="F1905" s="89"/>
      <c r="G1905" s="89"/>
      <c r="H1905" s="89"/>
      <c r="I1905" s="88"/>
      <c r="J1905" s="88"/>
      <c r="K1905" s="88"/>
      <c r="L1905" s="88"/>
      <c r="M1905" s="88"/>
      <c r="N1905" s="88"/>
      <c r="O1905" s="88"/>
      <c r="P1905" s="88"/>
      <c r="Q1905" s="88"/>
      <c r="R1905" s="88"/>
      <c r="S1905" s="88"/>
      <c r="T1905" s="88"/>
      <c r="U1905" s="88"/>
      <c r="V1905" s="88"/>
      <c r="W1905" s="88"/>
      <c r="X1905" s="88"/>
      <c r="Y1905" s="88"/>
      <c r="Z1905" s="88"/>
    </row>
    <row r="1906" ht="17.25" customHeight="1">
      <c r="A1906" s="88"/>
      <c r="B1906" s="88"/>
      <c r="C1906" s="88"/>
      <c r="D1906" s="88"/>
      <c r="E1906" s="88"/>
      <c r="F1906" s="89"/>
      <c r="G1906" s="89"/>
      <c r="H1906" s="89"/>
      <c r="I1906" s="88"/>
      <c r="J1906" s="88"/>
      <c r="K1906" s="88"/>
      <c r="L1906" s="88"/>
      <c r="M1906" s="88"/>
      <c r="N1906" s="88"/>
      <c r="O1906" s="88"/>
      <c r="P1906" s="88"/>
      <c r="Q1906" s="88"/>
      <c r="R1906" s="88"/>
      <c r="S1906" s="88"/>
      <c r="T1906" s="88"/>
      <c r="U1906" s="88"/>
      <c r="V1906" s="88"/>
      <c r="W1906" s="88"/>
      <c r="X1906" s="88"/>
      <c r="Y1906" s="88"/>
      <c r="Z1906" s="88"/>
    </row>
    <row r="1907" ht="17.25" customHeight="1">
      <c r="A1907" s="88"/>
      <c r="B1907" s="88"/>
      <c r="C1907" s="88"/>
      <c r="D1907" s="88"/>
      <c r="E1907" s="88"/>
      <c r="F1907" s="89"/>
      <c r="G1907" s="89"/>
      <c r="H1907" s="89"/>
      <c r="I1907" s="88"/>
      <c r="J1907" s="88"/>
      <c r="K1907" s="88"/>
      <c r="L1907" s="88"/>
      <c r="M1907" s="88"/>
      <c r="N1907" s="88"/>
      <c r="O1907" s="88"/>
      <c r="P1907" s="88"/>
      <c r="Q1907" s="88"/>
      <c r="R1907" s="88"/>
      <c r="S1907" s="88"/>
      <c r="T1907" s="88"/>
      <c r="U1907" s="88"/>
      <c r="V1907" s="88"/>
      <c r="W1907" s="88"/>
      <c r="X1907" s="88"/>
      <c r="Y1907" s="88"/>
      <c r="Z1907" s="88"/>
    </row>
    <row r="1908" ht="17.25" customHeight="1">
      <c r="A1908" s="88"/>
      <c r="B1908" s="88"/>
      <c r="C1908" s="88"/>
      <c r="D1908" s="88"/>
      <c r="E1908" s="88"/>
      <c r="F1908" s="89"/>
      <c r="G1908" s="89"/>
      <c r="H1908" s="89"/>
      <c r="I1908" s="88"/>
      <c r="J1908" s="88"/>
      <c r="K1908" s="88"/>
      <c r="L1908" s="88"/>
      <c r="M1908" s="88"/>
      <c r="N1908" s="88"/>
      <c r="O1908" s="88"/>
      <c r="P1908" s="88"/>
      <c r="Q1908" s="88"/>
      <c r="R1908" s="88"/>
      <c r="S1908" s="88"/>
      <c r="T1908" s="88"/>
      <c r="U1908" s="88"/>
      <c r="V1908" s="88"/>
      <c r="W1908" s="88"/>
      <c r="X1908" s="88"/>
      <c r="Y1908" s="88"/>
      <c r="Z1908" s="88"/>
    </row>
    <row r="1909" ht="17.25" customHeight="1">
      <c r="A1909" s="88"/>
      <c r="B1909" s="88"/>
      <c r="C1909" s="88"/>
      <c r="D1909" s="88"/>
      <c r="E1909" s="88"/>
      <c r="F1909" s="89"/>
      <c r="G1909" s="89"/>
      <c r="H1909" s="89"/>
      <c r="I1909" s="88"/>
      <c r="J1909" s="88"/>
      <c r="K1909" s="88"/>
      <c r="L1909" s="88"/>
      <c r="M1909" s="88"/>
      <c r="N1909" s="88"/>
      <c r="O1909" s="88"/>
      <c r="P1909" s="88"/>
      <c r="Q1909" s="88"/>
      <c r="R1909" s="88"/>
      <c r="S1909" s="88"/>
      <c r="T1909" s="88"/>
      <c r="U1909" s="88"/>
      <c r="V1909" s="88"/>
      <c r="W1909" s="88"/>
      <c r="X1909" s="88"/>
      <c r="Y1909" s="88"/>
      <c r="Z1909" s="88"/>
    </row>
    <row r="1910" ht="17.25" customHeight="1">
      <c r="A1910" s="88"/>
      <c r="B1910" s="88"/>
      <c r="C1910" s="88"/>
      <c r="D1910" s="88"/>
      <c r="E1910" s="88"/>
      <c r="F1910" s="89"/>
      <c r="G1910" s="89"/>
      <c r="H1910" s="89"/>
      <c r="I1910" s="88"/>
      <c r="J1910" s="88"/>
      <c r="K1910" s="88"/>
      <c r="L1910" s="88"/>
      <c r="M1910" s="88"/>
      <c r="N1910" s="88"/>
      <c r="O1910" s="88"/>
      <c r="P1910" s="88"/>
      <c r="Q1910" s="88"/>
      <c r="R1910" s="88"/>
      <c r="S1910" s="88"/>
      <c r="T1910" s="88"/>
      <c r="U1910" s="88"/>
      <c r="V1910" s="88"/>
      <c r="W1910" s="88"/>
      <c r="X1910" s="88"/>
      <c r="Y1910" s="88"/>
      <c r="Z1910" s="88"/>
    </row>
    <row r="1911" ht="17.25" customHeight="1">
      <c r="A1911" s="88"/>
      <c r="B1911" s="88"/>
      <c r="C1911" s="88"/>
      <c r="D1911" s="88"/>
      <c r="E1911" s="88"/>
      <c r="F1911" s="89"/>
      <c r="G1911" s="89"/>
      <c r="H1911" s="89"/>
      <c r="I1911" s="88"/>
      <c r="J1911" s="88"/>
      <c r="K1911" s="88"/>
      <c r="L1911" s="88"/>
      <c r="M1911" s="88"/>
      <c r="N1911" s="88"/>
      <c r="O1911" s="88"/>
      <c r="P1911" s="88"/>
      <c r="Q1911" s="88"/>
      <c r="R1911" s="88"/>
      <c r="S1911" s="88"/>
      <c r="T1911" s="88"/>
      <c r="U1911" s="88"/>
      <c r="V1911" s="88"/>
      <c r="W1911" s="88"/>
      <c r="X1911" s="88"/>
      <c r="Y1911" s="88"/>
      <c r="Z1911" s="88"/>
    </row>
    <row r="1912" ht="17.25" customHeight="1">
      <c r="A1912" s="88"/>
      <c r="B1912" s="88"/>
      <c r="C1912" s="88"/>
      <c r="D1912" s="88"/>
      <c r="E1912" s="88"/>
      <c r="F1912" s="89"/>
      <c r="G1912" s="89"/>
      <c r="H1912" s="89"/>
      <c r="I1912" s="88"/>
      <c r="J1912" s="88"/>
      <c r="K1912" s="88"/>
      <c r="L1912" s="88"/>
      <c r="M1912" s="88"/>
      <c r="N1912" s="88"/>
      <c r="O1912" s="88"/>
      <c r="P1912" s="88"/>
      <c r="Q1912" s="88"/>
      <c r="R1912" s="88"/>
      <c r="S1912" s="88"/>
      <c r="T1912" s="88"/>
      <c r="U1912" s="88"/>
      <c r="V1912" s="88"/>
      <c r="W1912" s="88"/>
      <c r="X1912" s="88"/>
      <c r="Y1912" s="88"/>
      <c r="Z1912" s="88"/>
    </row>
    <row r="1913" ht="17.25" customHeight="1">
      <c r="A1913" s="88"/>
      <c r="B1913" s="88"/>
      <c r="C1913" s="88"/>
      <c r="D1913" s="88"/>
      <c r="E1913" s="88"/>
      <c r="F1913" s="89"/>
      <c r="G1913" s="89"/>
      <c r="H1913" s="89"/>
      <c r="I1913" s="88"/>
      <c r="J1913" s="88"/>
      <c r="K1913" s="88"/>
      <c r="L1913" s="88"/>
      <c r="M1913" s="88"/>
      <c r="N1913" s="88"/>
      <c r="O1913" s="88"/>
      <c r="P1913" s="88"/>
      <c r="Q1913" s="88"/>
      <c r="R1913" s="88"/>
      <c r="S1913" s="88"/>
      <c r="T1913" s="88"/>
      <c r="U1913" s="88"/>
      <c r="V1913" s="88"/>
      <c r="W1913" s="88"/>
      <c r="X1913" s="88"/>
      <c r="Y1913" s="88"/>
      <c r="Z1913" s="88"/>
    </row>
    <row r="1914" ht="17.25" customHeight="1">
      <c r="A1914" s="88"/>
      <c r="B1914" s="88"/>
      <c r="C1914" s="88"/>
      <c r="D1914" s="88"/>
      <c r="E1914" s="88"/>
      <c r="F1914" s="89"/>
      <c r="G1914" s="89"/>
      <c r="H1914" s="89"/>
      <c r="I1914" s="88"/>
      <c r="J1914" s="88"/>
      <c r="K1914" s="88"/>
      <c r="L1914" s="88"/>
      <c r="M1914" s="88"/>
      <c r="N1914" s="88"/>
      <c r="O1914" s="88"/>
      <c r="P1914" s="88"/>
      <c r="Q1914" s="88"/>
      <c r="R1914" s="88"/>
      <c r="S1914" s="88"/>
      <c r="T1914" s="88"/>
      <c r="U1914" s="88"/>
      <c r="V1914" s="88"/>
      <c r="W1914" s="88"/>
      <c r="X1914" s="88"/>
      <c r="Y1914" s="88"/>
      <c r="Z1914" s="88"/>
    </row>
    <row r="1915" ht="17.25" customHeight="1">
      <c r="A1915" s="88"/>
      <c r="B1915" s="88"/>
      <c r="C1915" s="88"/>
      <c r="D1915" s="88"/>
      <c r="E1915" s="88"/>
      <c r="F1915" s="89"/>
      <c r="G1915" s="89"/>
      <c r="H1915" s="89"/>
      <c r="I1915" s="88"/>
      <c r="J1915" s="88"/>
      <c r="K1915" s="88"/>
      <c r="L1915" s="88"/>
      <c r="M1915" s="88"/>
      <c r="N1915" s="88"/>
      <c r="O1915" s="88"/>
      <c r="P1915" s="88"/>
      <c r="Q1915" s="88"/>
      <c r="R1915" s="88"/>
      <c r="S1915" s="88"/>
      <c r="T1915" s="88"/>
      <c r="U1915" s="88"/>
      <c r="V1915" s="88"/>
      <c r="W1915" s="88"/>
      <c r="X1915" s="88"/>
      <c r="Y1915" s="88"/>
      <c r="Z1915" s="88"/>
    </row>
    <row r="1916" ht="17.25" customHeight="1">
      <c r="A1916" s="88"/>
      <c r="B1916" s="88"/>
      <c r="C1916" s="88"/>
      <c r="D1916" s="88"/>
      <c r="E1916" s="88"/>
      <c r="F1916" s="89"/>
      <c r="G1916" s="89"/>
      <c r="H1916" s="89"/>
      <c r="I1916" s="88"/>
      <c r="J1916" s="88"/>
      <c r="K1916" s="88"/>
      <c r="L1916" s="88"/>
      <c r="M1916" s="88"/>
      <c r="N1916" s="88"/>
      <c r="O1916" s="88"/>
      <c r="P1916" s="88"/>
      <c r="Q1916" s="88"/>
      <c r="R1916" s="88"/>
      <c r="S1916" s="88"/>
      <c r="T1916" s="88"/>
      <c r="U1916" s="88"/>
      <c r="V1916" s="88"/>
      <c r="W1916" s="88"/>
      <c r="X1916" s="88"/>
      <c r="Y1916" s="88"/>
      <c r="Z1916" s="88"/>
    </row>
    <row r="1917" ht="17.25" customHeight="1">
      <c r="A1917" s="88"/>
      <c r="B1917" s="88"/>
      <c r="C1917" s="88"/>
      <c r="D1917" s="88"/>
      <c r="E1917" s="88"/>
      <c r="F1917" s="89"/>
      <c r="G1917" s="89"/>
      <c r="H1917" s="89"/>
      <c r="I1917" s="88"/>
      <c r="J1917" s="88"/>
      <c r="K1917" s="88"/>
      <c r="L1917" s="88"/>
      <c r="M1917" s="88"/>
      <c r="N1917" s="88"/>
      <c r="O1917" s="88"/>
      <c r="P1917" s="88"/>
      <c r="Q1917" s="88"/>
      <c r="R1917" s="88"/>
      <c r="S1917" s="88"/>
      <c r="T1917" s="88"/>
      <c r="U1917" s="88"/>
      <c r="V1917" s="88"/>
      <c r="W1917" s="88"/>
      <c r="X1917" s="88"/>
      <c r="Y1917" s="88"/>
      <c r="Z1917" s="88"/>
    </row>
    <row r="1918" ht="17.25" customHeight="1">
      <c r="A1918" s="88"/>
      <c r="B1918" s="88"/>
      <c r="C1918" s="88"/>
      <c r="D1918" s="88"/>
      <c r="E1918" s="88"/>
      <c r="F1918" s="89"/>
      <c r="G1918" s="89"/>
      <c r="H1918" s="89"/>
      <c r="I1918" s="88"/>
      <c r="J1918" s="88"/>
      <c r="K1918" s="88"/>
      <c r="L1918" s="88"/>
      <c r="M1918" s="88"/>
      <c r="N1918" s="88"/>
      <c r="O1918" s="88"/>
      <c r="P1918" s="88"/>
      <c r="Q1918" s="88"/>
      <c r="R1918" s="88"/>
      <c r="S1918" s="88"/>
      <c r="T1918" s="88"/>
      <c r="U1918" s="88"/>
      <c r="V1918" s="88"/>
      <c r="W1918" s="88"/>
      <c r="X1918" s="88"/>
      <c r="Y1918" s="88"/>
      <c r="Z1918" s="88"/>
    </row>
    <row r="1919" ht="17.25" customHeight="1">
      <c r="A1919" s="88"/>
      <c r="B1919" s="88"/>
      <c r="C1919" s="88"/>
      <c r="D1919" s="88"/>
      <c r="E1919" s="88"/>
      <c r="F1919" s="89"/>
      <c r="G1919" s="89"/>
      <c r="H1919" s="89"/>
      <c r="I1919" s="88"/>
      <c r="J1919" s="88"/>
      <c r="K1919" s="88"/>
      <c r="L1919" s="88"/>
      <c r="M1919" s="88"/>
      <c r="N1919" s="88"/>
      <c r="O1919" s="88"/>
      <c r="P1919" s="88"/>
      <c r="Q1919" s="88"/>
      <c r="R1919" s="88"/>
      <c r="S1919" s="88"/>
      <c r="T1919" s="88"/>
      <c r="U1919" s="88"/>
      <c r="V1919" s="88"/>
      <c r="W1919" s="88"/>
      <c r="X1919" s="88"/>
      <c r="Y1919" s="88"/>
      <c r="Z1919" s="88"/>
    </row>
    <row r="1920" ht="17.25" customHeight="1">
      <c r="A1920" s="88"/>
      <c r="B1920" s="88"/>
      <c r="C1920" s="88"/>
      <c r="D1920" s="88"/>
      <c r="E1920" s="88"/>
      <c r="F1920" s="89"/>
      <c r="G1920" s="89"/>
      <c r="H1920" s="89"/>
      <c r="I1920" s="88"/>
      <c r="J1920" s="88"/>
      <c r="K1920" s="88"/>
      <c r="L1920" s="88"/>
      <c r="M1920" s="88"/>
      <c r="N1920" s="88"/>
      <c r="O1920" s="88"/>
      <c r="P1920" s="88"/>
      <c r="Q1920" s="88"/>
      <c r="R1920" s="88"/>
      <c r="S1920" s="88"/>
      <c r="T1920" s="88"/>
      <c r="U1920" s="88"/>
      <c r="V1920" s="88"/>
      <c r="W1920" s="88"/>
      <c r="X1920" s="88"/>
      <c r="Y1920" s="88"/>
      <c r="Z1920" s="88"/>
    </row>
    <row r="1921" ht="17.25" customHeight="1">
      <c r="A1921" s="88"/>
      <c r="B1921" s="88"/>
      <c r="C1921" s="88"/>
      <c r="D1921" s="88"/>
      <c r="E1921" s="88"/>
      <c r="F1921" s="89"/>
      <c r="G1921" s="89"/>
      <c r="H1921" s="89"/>
      <c r="I1921" s="88"/>
      <c r="J1921" s="88"/>
      <c r="K1921" s="88"/>
      <c r="L1921" s="88"/>
      <c r="M1921" s="88"/>
      <c r="N1921" s="88"/>
      <c r="O1921" s="88"/>
      <c r="P1921" s="88"/>
      <c r="Q1921" s="88"/>
      <c r="R1921" s="88"/>
      <c r="S1921" s="88"/>
      <c r="T1921" s="88"/>
      <c r="U1921" s="88"/>
      <c r="V1921" s="88"/>
      <c r="W1921" s="88"/>
      <c r="X1921" s="88"/>
      <c r="Y1921" s="88"/>
      <c r="Z1921" s="88"/>
    </row>
    <row r="1922" ht="17.25" customHeight="1">
      <c r="A1922" s="88"/>
      <c r="B1922" s="88"/>
      <c r="C1922" s="88"/>
      <c r="D1922" s="88"/>
      <c r="E1922" s="88"/>
      <c r="F1922" s="89"/>
      <c r="G1922" s="89"/>
      <c r="H1922" s="89"/>
      <c r="I1922" s="88"/>
      <c r="J1922" s="88"/>
      <c r="K1922" s="88"/>
      <c r="L1922" s="88"/>
      <c r="M1922" s="88"/>
      <c r="N1922" s="88"/>
      <c r="O1922" s="88"/>
      <c r="P1922" s="88"/>
      <c r="Q1922" s="88"/>
      <c r="R1922" s="88"/>
      <c r="S1922" s="88"/>
      <c r="T1922" s="88"/>
      <c r="U1922" s="88"/>
      <c r="V1922" s="88"/>
      <c r="W1922" s="88"/>
      <c r="X1922" s="88"/>
      <c r="Y1922" s="88"/>
      <c r="Z1922" s="88"/>
    </row>
    <row r="1923" ht="17.25" customHeight="1">
      <c r="A1923" s="88"/>
      <c r="B1923" s="88"/>
      <c r="C1923" s="88"/>
      <c r="D1923" s="88"/>
      <c r="E1923" s="88"/>
      <c r="F1923" s="89"/>
      <c r="G1923" s="89"/>
      <c r="H1923" s="89"/>
      <c r="I1923" s="88"/>
      <c r="J1923" s="88"/>
      <c r="K1923" s="88"/>
      <c r="L1923" s="88"/>
      <c r="M1923" s="88"/>
      <c r="N1923" s="88"/>
      <c r="O1923" s="88"/>
      <c r="P1923" s="88"/>
      <c r="Q1923" s="88"/>
      <c r="R1923" s="88"/>
      <c r="S1923" s="88"/>
      <c r="T1923" s="88"/>
      <c r="U1923" s="88"/>
      <c r="V1923" s="88"/>
      <c r="W1923" s="88"/>
      <c r="X1923" s="88"/>
      <c r="Y1923" s="88"/>
      <c r="Z1923" s="88"/>
    </row>
    <row r="1924" ht="17.25" customHeight="1">
      <c r="A1924" s="88"/>
      <c r="B1924" s="88"/>
      <c r="C1924" s="88"/>
      <c r="D1924" s="88"/>
      <c r="E1924" s="88"/>
      <c r="F1924" s="89"/>
      <c r="G1924" s="89"/>
      <c r="H1924" s="89"/>
      <c r="I1924" s="88"/>
      <c r="J1924" s="88"/>
      <c r="K1924" s="88"/>
      <c r="L1924" s="88"/>
      <c r="M1924" s="88"/>
      <c r="N1924" s="88"/>
      <c r="O1924" s="88"/>
      <c r="P1924" s="88"/>
      <c r="Q1924" s="88"/>
      <c r="R1924" s="88"/>
      <c r="S1924" s="88"/>
      <c r="T1924" s="88"/>
      <c r="U1924" s="88"/>
      <c r="V1924" s="88"/>
      <c r="W1924" s="88"/>
      <c r="X1924" s="88"/>
      <c r="Y1924" s="88"/>
      <c r="Z1924" s="88"/>
    </row>
    <row r="1925" ht="17.25" customHeight="1">
      <c r="A1925" s="88"/>
      <c r="B1925" s="88"/>
      <c r="C1925" s="88"/>
      <c r="D1925" s="88"/>
      <c r="E1925" s="88"/>
      <c r="F1925" s="89"/>
      <c r="G1925" s="89"/>
      <c r="H1925" s="89"/>
      <c r="I1925" s="88"/>
      <c r="J1925" s="88"/>
      <c r="K1925" s="88"/>
      <c r="L1925" s="88"/>
      <c r="M1925" s="88"/>
      <c r="N1925" s="88"/>
      <c r="O1925" s="88"/>
      <c r="P1925" s="88"/>
      <c r="Q1925" s="88"/>
      <c r="R1925" s="88"/>
      <c r="S1925" s="88"/>
      <c r="T1925" s="88"/>
      <c r="U1925" s="88"/>
      <c r="V1925" s="88"/>
      <c r="W1925" s="88"/>
      <c r="X1925" s="88"/>
      <c r="Y1925" s="88"/>
      <c r="Z1925" s="88"/>
    </row>
    <row r="1926" ht="17.25" customHeight="1">
      <c r="A1926" s="88"/>
      <c r="B1926" s="88"/>
      <c r="C1926" s="88"/>
      <c r="D1926" s="88"/>
      <c r="E1926" s="88"/>
      <c r="F1926" s="89"/>
      <c r="G1926" s="89"/>
      <c r="H1926" s="89"/>
      <c r="I1926" s="88"/>
      <c r="J1926" s="88"/>
      <c r="K1926" s="88"/>
      <c r="L1926" s="88"/>
      <c r="M1926" s="88"/>
      <c r="N1926" s="88"/>
      <c r="O1926" s="88"/>
      <c r="P1926" s="88"/>
      <c r="Q1926" s="88"/>
      <c r="R1926" s="88"/>
      <c r="S1926" s="88"/>
      <c r="T1926" s="88"/>
      <c r="U1926" s="88"/>
      <c r="V1926" s="88"/>
      <c r="W1926" s="88"/>
      <c r="X1926" s="88"/>
      <c r="Y1926" s="88"/>
      <c r="Z1926" s="88"/>
    </row>
    <row r="1927" ht="17.25" customHeight="1">
      <c r="A1927" s="88"/>
      <c r="B1927" s="88"/>
      <c r="C1927" s="88"/>
      <c r="D1927" s="88"/>
      <c r="E1927" s="88"/>
      <c r="F1927" s="89"/>
      <c r="G1927" s="89"/>
      <c r="H1927" s="89"/>
      <c r="I1927" s="88"/>
      <c r="J1927" s="88"/>
      <c r="K1927" s="88"/>
      <c r="L1927" s="88"/>
      <c r="M1927" s="88"/>
      <c r="N1927" s="88"/>
      <c r="O1927" s="88"/>
      <c r="P1927" s="88"/>
      <c r="Q1927" s="88"/>
      <c r="R1927" s="88"/>
      <c r="S1927" s="88"/>
      <c r="T1927" s="88"/>
      <c r="U1927" s="88"/>
      <c r="V1927" s="88"/>
      <c r="W1927" s="88"/>
      <c r="X1927" s="88"/>
      <c r="Y1927" s="88"/>
      <c r="Z1927" s="88"/>
    </row>
    <row r="1928" ht="17.25" customHeight="1">
      <c r="A1928" s="88"/>
      <c r="B1928" s="88"/>
      <c r="C1928" s="88"/>
      <c r="D1928" s="88"/>
      <c r="E1928" s="88"/>
      <c r="F1928" s="89"/>
      <c r="G1928" s="89"/>
      <c r="H1928" s="89"/>
      <c r="I1928" s="88"/>
      <c r="J1928" s="88"/>
      <c r="K1928" s="88"/>
      <c r="L1928" s="88"/>
      <c r="M1928" s="88"/>
      <c r="N1928" s="88"/>
      <c r="O1928" s="88"/>
      <c r="P1928" s="88"/>
      <c r="Q1928" s="88"/>
      <c r="R1928" s="88"/>
      <c r="S1928" s="88"/>
      <c r="T1928" s="88"/>
      <c r="U1928" s="88"/>
      <c r="V1928" s="88"/>
      <c r="W1928" s="88"/>
      <c r="X1928" s="88"/>
      <c r="Y1928" s="88"/>
      <c r="Z1928" s="88"/>
    </row>
    <row r="1929" ht="17.25" customHeight="1">
      <c r="A1929" s="88"/>
      <c r="B1929" s="88"/>
      <c r="C1929" s="88"/>
      <c r="D1929" s="88"/>
      <c r="E1929" s="88"/>
      <c r="F1929" s="89"/>
      <c r="G1929" s="89"/>
      <c r="H1929" s="89"/>
      <c r="I1929" s="88"/>
      <c r="J1929" s="88"/>
      <c r="K1929" s="88"/>
      <c r="L1929" s="88"/>
      <c r="M1929" s="88"/>
      <c r="N1929" s="88"/>
      <c r="O1929" s="88"/>
      <c r="P1929" s="88"/>
      <c r="Q1929" s="88"/>
      <c r="R1929" s="88"/>
      <c r="S1929" s="88"/>
      <c r="T1929" s="88"/>
      <c r="U1929" s="88"/>
      <c r="V1929" s="88"/>
      <c r="W1929" s="88"/>
      <c r="X1929" s="88"/>
      <c r="Y1929" s="88"/>
      <c r="Z1929" s="88"/>
    </row>
    <row r="1930" ht="17.25" customHeight="1">
      <c r="A1930" s="88"/>
      <c r="B1930" s="88"/>
      <c r="C1930" s="88"/>
      <c r="D1930" s="88"/>
      <c r="E1930" s="88"/>
      <c r="F1930" s="89"/>
      <c r="G1930" s="89"/>
      <c r="H1930" s="89"/>
      <c r="I1930" s="88"/>
      <c r="J1930" s="88"/>
      <c r="K1930" s="88"/>
      <c r="L1930" s="88"/>
      <c r="M1930" s="88"/>
      <c r="N1930" s="88"/>
      <c r="O1930" s="88"/>
      <c r="P1930" s="88"/>
      <c r="Q1930" s="88"/>
      <c r="R1930" s="88"/>
      <c r="S1930" s="88"/>
      <c r="T1930" s="88"/>
      <c r="U1930" s="88"/>
      <c r="V1930" s="88"/>
      <c r="W1930" s="88"/>
      <c r="X1930" s="88"/>
      <c r="Y1930" s="88"/>
      <c r="Z1930" s="88"/>
    </row>
    <row r="1931" ht="17.25" customHeight="1">
      <c r="A1931" s="88"/>
      <c r="B1931" s="88"/>
      <c r="C1931" s="88"/>
      <c r="D1931" s="88"/>
      <c r="E1931" s="88"/>
      <c r="F1931" s="89"/>
      <c r="G1931" s="89"/>
      <c r="H1931" s="89"/>
      <c r="I1931" s="88"/>
      <c r="J1931" s="88"/>
      <c r="K1931" s="88"/>
      <c r="L1931" s="88"/>
      <c r="M1931" s="88"/>
      <c r="N1931" s="88"/>
      <c r="O1931" s="88"/>
      <c r="P1931" s="88"/>
      <c r="Q1931" s="88"/>
      <c r="R1931" s="88"/>
      <c r="S1931" s="88"/>
      <c r="T1931" s="88"/>
      <c r="U1931" s="88"/>
      <c r="V1931" s="88"/>
      <c r="W1931" s="88"/>
      <c r="X1931" s="88"/>
      <c r="Y1931" s="88"/>
      <c r="Z1931" s="88"/>
    </row>
    <row r="1932" ht="17.25" customHeight="1">
      <c r="A1932" s="88"/>
      <c r="B1932" s="88"/>
      <c r="C1932" s="88"/>
      <c r="D1932" s="88"/>
      <c r="E1932" s="88"/>
      <c r="F1932" s="89"/>
      <c r="G1932" s="89"/>
      <c r="H1932" s="89"/>
      <c r="I1932" s="88"/>
      <c r="J1932" s="88"/>
      <c r="K1932" s="88"/>
      <c r="L1932" s="88"/>
      <c r="M1932" s="88"/>
      <c r="N1932" s="88"/>
      <c r="O1932" s="88"/>
      <c r="P1932" s="88"/>
      <c r="Q1932" s="88"/>
      <c r="R1932" s="88"/>
      <c r="S1932" s="88"/>
      <c r="T1932" s="88"/>
      <c r="U1932" s="88"/>
      <c r="V1932" s="88"/>
      <c r="W1932" s="88"/>
      <c r="X1932" s="88"/>
      <c r="Y1932" s="88"/>
      <c r="Z1932" s="88"/>
    </row>
    <row r="1933" ht="17.25" customHeight="1">
      <c r="A1933" s="88"/>
      <c r="B1933" s="88"/>
      <c r="C1933" s="88"/>
      <c r="D1933" s="88"/>
      <c r="E1933" s="88"/>
      <c r="F1933" s="89"/>
      <c r="G1933" s="89"/>
      <c r="H1933" s="89"/>
      <c r="I1933" s="88"/>
      <c r="J1933" s="88"/>
      <c r="K1933" s="88"/>
      <c r="L1933" s="88"/>
      <c r="M1933" s="88"/>
      <c r="N1933" s="88"/>
      <c r="O1933" s="88"/>
      <c r="P1933" s="88"/>
      <c r="Q1933" s="88"/>
      <c r="R1933" s="88"/>
      <c r="S1933" s="88"/>
      <c r="T1933" s="88"/>
      <c r="U1933" s="88"/>
      <c r="V1933" s="88"/>
      <c r="W1933" s="88"/>
      <c r="X1933" s="88"/>
      <c r="Y1933" s="88"/>
      <c r="Z1933" s="88"/>
    </row>
    <row r="1934" ht="17.25" customHeight="1">
      <c r="A1934" s="88"/>
      <c r="B1934" s="88"/>
      <c r="C1934" s="88"/>
      <c r="D1934" s="88"/>
      <c r="E1934" s="88"/>
      <c r="F1934" s="89"/>
      <c r="G1934" s="89"/>
      <c r="H1934" s="89"/>
      <c r="I1934" s="88"/>
      <c r="J1934" s="88"/>
      <c r="K1934" s="88"/>
      <c r="L1934" s="88"/>
      <c r="M1934" s="88"/>
      <c r="N1934" s="88"/>
      <c r="O1934" s="88"/>
      <c r="P1934" s="88"/>
      <c r="Q1934" s="88"/>
      <c r="R1934" s="88"/>
      <c r="S1934" s="88"/>
      <c r="T1934" s="88"/>
      <c r="U1934" s="88"/>
      <c r="V1934" s="88"/>
      <c r="W1934" s="88"/>
      <c r="X1934" s="88"/>
      <c r="Y1934" s="88"/>
      <c r="Z1934" s="88"/>
    </row>
    <row r="1935" ht="17.25" customHeight="1">
      <c r="A1935" s="88"/>
      <c r="B1935" s="88"/>
      <c r="C1935" s="88"/>
      <c r="D1935" s="88"/>
      <c r="E1935" s="88"/>
      <c r="F1935" s="89"/>
      <c r="G1935" s="89"/>
      <c r="H1935" s="89"/>
      <c r="I1935" s="88"/>
      <c r="J1935" s="88"/>
      <c r="K1935" s="88"/>
      <c r="L1935" s="88"/>
      <c r="M1935" s="88"/>
      <c r="N1935" s="88"/>
      <c r="O1935" s="88"/>
      <c r="P1935" s="88"/>
      <c r="Q1935" s="88"/>
      <c r="R1935" s="88"/>
      <c r="S1935" s="88"/>
      <c r="T1935" s="88"/>
      <c r="U1935" s="88"/>
      <c r="V1935" s="88"/>
      <c r="W1935" s="88"/>
      <c r="X1935" s="88"/>
      <c r="Y1935" s="88"/>
      <c r="Z1935" s="88"/>
    </row>
    <row r="1936" ht="17.25" customHeight="1">
      <c r="A1936" s="88"/>
      <c r="B1936" s="88"/>
      <c r="C1936" s="88"/>
      <c r="D1936" s="88"/>
      <c r="E1936" s="88"/>
      <c r="F1936" s="89"/>
      <c r="G1936" s="89"/>
      <c r="H1936" s="89"/>
      <c r="I1936" s="88"/>
      <c r="J1936" s="88"/>
      <c r="K1936" s="88"/>
      <c r="L1936" s="88"/>
      <c r="M1936" s="88"/>
      <c r="N1936" s="88"/>
      <c r="O1936" s="88"/>
      <c r="P1936" s="88"/>
      <c r="Q1936" s="88"/>
      <c r="R1936" s="88"/>
      <c r="S1936" s="88"/>
      <c r="T1936" s="88"/>
      <c r="U1936" s="88"/>
      <c r="V1936" s="88"/>
      <c r="W1936" s="88"/>
      <c r="X1936" s="88"/>
      <c r="Y1936" s="88"/>
      <c r="Z1936" s="88"/>
    </row>
    <row r="1937" ht="17.25" customHeight="1">
      <c r="A1937" s="88"/>
      <c r="B1937" s="88"/>
      <c r="C1937" s="88"/>
      <c r="D1937" s="88"/>
      <c r="E1937" s="88"/>
      <c r="F1937" s="89"/>
      <c r="G1937" s="89"/>
      <c r="H1937" s="89"/>
      <c r="I1937" s="88"/>
      <c r="J1937" s="88"/>
      <c r="K1937" s="88"/>
      <c r="L1937" s="88"/>
      <c r="M1937" s="88"/>
      <c r="N1937" s="88"/>
      <c r="O1937" s="88"/>
      <c r="P1937" s="88"/>
      <c r="Q1937" s="88"/>
      <c r="R1937" s="88"/>
      <c r="S1937" s="88"/>
      <c r="T1937" s="88"/>
      <c r="U1937" s="88"/>
      <c r="V1937" s="88"/>
      <c r="W1937" s="88"/>
      <c r="X1937" s="88"/>
      <c r="Y1937" s="88"/>
      <c r="Z1937" s="88"/>
    </row>
    <row r="1938" ht="17.25" customHeight="1">
      <c r="A1938" s="88"/>
      <c r="B1938" s="88"/>
      <c r="C1938" s="88"/>
      <c r="D1938" s="88"/>
      <c r="E1938" s="88"/>
      <c r="F1938" s="89"/>
      <c r="G1938" s="89"/>
      <c r="H1938" s="89"/>
      <c r="I1938" s="88"/>
      <c r="J1938" s="88"/>
      <c r="K1938" s="88"/>
      <c r="L1938" s="88"/>
      <c r="M1938" s="88"/>
      <c r="N1938" s="88"/>
      <c r="O1938" s="88"/>
      <c r="P1938" s="88"/>
      <c r="Q1938" s="88"/>
      <c r="R1938" s="88"/>
      <c r="S1938" s="88"/>
      <c r="T1938" s="88"/>
      <c r="U1938" s="88"/>
      <c r="V1938" s="88"/>
      <c r="W1938" s="88"/>
      <c r="X1938" s="88"/>
      <c r="Y1938" s="88"/>
      <c r="Z1938" s="88"/>
    </row>
    <row r="1939" ht="17.25" customHeight="1">
      <c r="A1939" s="88"/>
      <c r="B1939" s="88"/>
      <c r="C1939" s="88"/>
      <c r="D1939" s="88"/>
      <c r="E1939" s="88"/>
      <c r="F1939" s="89"/>
      <c r="G1939" s="89"/>
      <c r="H1939" s="89"/>
      <c r="I1939" s="88"/>
      <c r="J1939" s="88"/>
      <c r="K1939" s="88"/>
      <c r="L1939" s="88"/>
      <c r="M1939" s="88"/>
      <c r="N1939" s="88"/>
      <c r="O1939" s="88"/>
      <c r="P1939" s="88"/>
      <c r="Q1939" s="88"/>
      <c r="R1939" s="88"/>
      <c r="S1939" s="88"/>
      <c r="T1939" s="88"/>
      <c r="U1939" s="88"/>
      <c r="V1939" s="88"/>
      <c r="W1939" s="88"/>
      <c r="X1939" s="88"/>
      <c r="Y1939" s="88"/>
      <c r="Z1939" s="88"/>
    </row>
    <row r="1940" ht="17.25" customHeight="1">
      <c r="A1940" s="88"/>
      <c r="B1940" s="88"/>
      <c r="C1940" s="88"/>
      <c r="D1940" s="88"/>
      <c r="E1940" s="88"/>
      <c r="F1940" s="89"/>
      <c r="G1940" s="89"/>
      <c r="H1940" s="89"/>
      <c r="I1940" s="88"/>
      <c r="J1940" s="88"/>
      <c r="K1940" s="88"/>
      <c r="L1940" s="88"/>
      <c r="M1940" s="88"/>
      <c r="N1940" s="88"/>
      <c r="O1940" s="88"/>
      <c r="P1940" s="88"/>
      <c r="Q1940" s="88"/>
      <c r="R1940" s="88"/>
      <c r="S1940" s="88"/>
      <c r="T1940" s="88"/>
      <c r="U1940" s="88"/>
      <c r="V1940" s="88"/>
      <c r="W1940" s="88"/>
      <c r="X1940" s="88"/>
      <c r="Y1940" s="88"/>
      <c r="Z1940" s="88"/>
    </row>
    <row r="1941" ht="17.25" customHeight="1">
      <c r="A1941" s="88"/>
      <c r="B1941" s="88"/>
      <c r="C1941" s="88"/>
      <c r="D1941" s="88"/>
      <c r="E1941" s="88"/>
      <c r="F1941" s="89"/>
      <c r="G1941" s="89"/>
      <c r="H1941" s="89"/>
      <c r="I1941" s="88"/>
      <c r="J1941" s="88"/>
      <c r="K1941" s="88"/>
      <c r="L1941" s="88"/>
      <c r="M1941" s="88"/>
      <c r="N1941" s="88"/>
      <c r="O1941" s="88"/>
      <c r="P1941" s="88"/>
      <c r="Q1941" s="88"/>
      <c r="R1941" s="88"/>
      <c r="S1941" s="88"/>
      <c r="T1941" s="88"/>
      <c r="U1941" s="88"/>
      <c r="V1941" s="88"/>
      <c r="W1941" s="88"/>
      <c r="X1941" s="88"/>
      <c r="Y1941" s="88"/>
      <c r="Z1941" s="88"/>
    </row>
    <row r="1942" ht="17.25" customHeight="1">
      <c r="A1942" s="88"/>
      <c r="B1942" s="88"/>
      <c r="C1942" s="88"/>
      <c r="D1942" s="88"/>
      <c r="E1942" s="88"/>
      <c r="F1942" s="89"/>
      <c r="G1942" s="89"/>
      <c r="H1942" s="89"/>
      <c r="I1942" s="88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U1942" s="88"/>
      <c r="V1942" s="88"/>
      <c r="W1942" s="88"/>
      <c r="X1942" s="88"/>
      <c r="Y1942" s="88"/>
      <c r="Z1942" s="88"/>
    </row>
    <row r="1943" ht="17.25" customHeight="1">
      <c r="A1943" s="88"/>
      <c r="B1943" s="88"/>
      <c r="C1943" s="88"/>
      <c r="D1943" s="88"/>
      <c r="E1943" s="88"/>
      <c r="F1943" s="89"/>
      <c r="G1943" s="89"/>
      <c r="H1943" s="89"/>
      <c r="I1943" s="88"/>
      <c r="J1943" s="88"/>
      <c r="K1943" s="88"/>
      <c r="L1943" s="88"/>
      <c r="M1943" s="88"/>
      <c r="N1943" s="88"/>
      <c r="O1943" s="88"/>
      <c r="P1943" s="88"/>
      <c r="Q1943" s="88"/>
      <c r="R1943" s="88"/>
      <c r="S1943" s="88"/>
      <c r="T1943" s="88"/>
      <c r="U1943" s="88"/>
      <c r="V1943" s="88"/>
      <c r="W1943" s="88"/>
      <c r="X1943" s="88"/>
      <c r="Y1943" s="88"/>
      <c r="Z1943" s="88"/>
    </row>
    <row r="1944" ht="17.25" customHeight="1">
      <c r="A1944" s="88"/>
      <c r="B1944" s="88"/>
      <c r="C1944" s="88"/>
      <c r="D1944" s="88"/>
      <c r="E1944" s="88"/>
      <c r="F1944" s="89"/>
      <c r="G1944" s="89"/>
      <c r="H1944" s="89"/>
      <c r="I1944" s="88"/>
      <c r="J1944" s="88"/>
      <c r="K1944" s="88"/>
      <c r="L1944" s="88"/>
      <c r="M1944" s="88"/>
      <c r="N1944" s="88"/>
      <c r="O1944" s="88"/>
      <c r="P1944" s="88"/>
      <c r="Q1944" s="88"/>
      <c r="R1944" s="88"/>
      <c r="S1944" s="88"/>
      <c r="T1944" s="88"/>
      <c r="U1944" s="88"/>
      <c r="V1944" s="88"/>
      <c r="W1944" s="88"/>
      <c r="X1944" s="88"/>
      <c r="Y1944" s="88"/>
      <c r="Z1944" s="88"/>
    </row>
    <row r="1945" ht="17.25" customHeight="1">
      <c r="A1945" s="88"/>
      <c r="B1945" s="88"/>
      <c r="C1945" s="88"/>
      <c r="D1945" s="88"/>
      <c r="E1945" s="88"/>
      <c r="F1945" s="89"/>
      <c r="G1945" s="89"/>
      <c r="H1945" s="89"/>
      <c r="I1945" s="88"/>
      <c r="J1945" s="88"/>
      <c r="K1945" s="88"/>
      <c r="L1945" s="88"/>
      <c r="M1945" s="88"/>
      <c r="N1945" s="88"/>
      <c r="O1945" s="88"/>
      <c r="P1945" s="88"/>
      <c r="Q1945" s="88"/>
      <c r="R1945" s="88"/>
      <c r="S1945" s="88"/>
      <c r="T1945" s="88"/>
      <c r="U1945" s="88"/>
      <c r="V1945" s="88"/>
      <c r="W1945" s="88"/>
      <c r="X1945" s="88"/>
      <c r="Y1945" s="88"/>
      <c r="Z1945" s="88"/>
    </row>
    <row r="1946" ht="17.25" customHeight="1">
      <c r="A1946" s="88"/>
      <c r="B1946" s="88"/>
      <c r="C1946" s="88"/>
      <c r="D1946" s="88"/>
      <c r="E1946" s="88"/>
      <c r="F1946" s="89"/>
      <c r="G1946" s="89"/>
      <c r="H1946" s="89"/>
      <c r="I1946" s="88"/>
      <c r="J1946" s="88"/>
      <c r="K1946" s="88"/>
      <c r="L1946" s="88"/>
      <c r="M1946" s="88"/>
      <c r="N1946" s="88"/>
      <c r="O1946" s="88"/>
      <c r="P1946" s="88"/>
      <c r="Q1946" s="88"/>
      <c r="R1946" s="88"/>
      <c r="S1946" s="88"/>
      <c r="T1946" s="88"/>
      <c r="U1946" s="88"/>
      <c r="V1946" s="88"/>
      <c r="W1946" s="88"/>
      <c r="X1946" s="88"/>
      <c r="Y1946" s="88"/>
      <c r="Z1946" s="88"/>
    </row>
    <row r="1947" ht="17.25" customHeight="1">
      <c r="A1947" s="88"/>
      <c r="B1947" s="88"/>
      <c r="C1947" s="88"/>
      <c r="D1947" s="88"/>
      <c r="E1947" s="88"/>
      <c r="F1947" s="89"/>
      <c r="G1947" s="89"/>
      <c r="H1947" s="89"/>
      <c r="I1947" s="88"/>
      <c r="J1947" s="88"/>
      <c r="K1947" s="88"/>
      <c r="L1947" s="88"/>
      <c r="M1947" s="88"/>
      <c r="N1947" s="88"/>
      <c r="O1947" s="88"/>
      <c r="P1947" s="88"/>
      <c r="Q1947" s="88"/>
      <c r="R1947" s="88"/>
      <c r="S1947" s="88"/>
      <c r="T1947" s="88"/>
      <c r="U1947" s="88"/>
      <c r="V1947" s="88"/>
      <c r="W1947" s="88"/>
      <c r="X1947" s="88"/>
      <c r="Y1947" s="88"/>
      <c r="Z1947" s="88"/>
    </row>
    <row r="1948" ht="17.25" customHeight="1">
      <c r="A1948" s="88"/>
      <c r="B1948" s="88"/>
      <c r="C1948" s="88"/>
      <c r="D1948" s="88"/>
      <c r="E1948" s="88"/>
      <c r="F1948" s="89"/>
      <c r="G1948" s="89"/>
      <c r="H1948" s="89"/>
      <c r="I1948" s="88"/>
      <c r="J1948" s="88"/>
      <c r="K1948" s="88"/>
      <c r="L1948" s="88"/>
      <c r="M1948" s="88"/>
      <c r="N1948" s="88"/>
      <c r="O1948" s="88"/>
      <c r="P1948" s="88"/>
      <c r="Q1948" s="88"/>
      <c r="R1948" s="88"/>
      <c r="S1948" s="88"/>
      <c r="T1948" s="88"/>
      <c r="U1948" s="88"/>
      <c r="V1948" s="88"/>
      <c r="W1948" s="88"/>
      <c r="X1948" s="88"/>
      <c r="Y1948" s="88"/>
      <c r="Z1948" s="88"/>
    </row>
    <row r="1949" ht="17.25" customHeight="1">
      <c r="A1949" s="88"/>
      <c r="B1949" s="88"/>
      <c r="C1949" s="88"/>
      <c r="D1949" s="88"/>
      <c r="E1949" s="88"/>
      <c r="F1949" s="89"/>
      <c r="G1949" s="89"/>
      <c r="H1949" s="89"/>
      <c r="I1949" s="88"/>
      <c r="J1949" s="88"/>
      <c r="K1949" s="88"/>
      <c r="L1949" s="88"/>
      <c r="M1949" s="88"/>
      <c r="N1949" s="88"/>
      <c r="O1949" s="88"/>
      <c r="P1949" s="88"/>
      <c r="Q1949" s="88"/>
      <c r="R1949" s="88"/>
      <c r="S1949" s="88"/>
      <c r="T1949" s="88"/>
      <c r="U1949" s="88"/>
      <c r="V1949" s="88"/>
      <c r="W1949" s="88"/>
      <c r="X1949" s="88"/>
      <c r="Y1949" s="88"/>
      <c r="Z1949" s="88"/>
    </row>
    <row r="1950" ht="17.25" customHeight="1">
      <c r="A1950" s="88"/>
      <c r="B1950" s="88"/>
      <c r="C1950" s="88"/>
      <c r="D1950" s="88"/>
      <c r="E1950" s="88"/>
      <c r="F1950" s="89"/>
      <c r="G1950" s="89"/>
      <c r="H1950" s="89"/>
      <c r="I1950" s="88"/>
      <c r="J1950" s="88"/>
      <c r="K1950" s="88"/>
      <c r="L1950" s="88"/>
      <c r="M1950" s="88"/>
      <c r="N1950" s="88"/>
      <c r="O1950" s="88"/>
      <c r="P1950" s="88"/>
      <c r="Q1950" s="88"/>
      <c r="R1950" s="88"/>
      <c r="S1950" s="88"/>
      <c r="T1950" s="88"/>
      <c r="U1950" s="88"/>
      <c r="V1950" s="88"/>
      <c r="W1950" s="88"/>
      <c r="X1950" s="88"/>
      <c r="Y1950" s="88"/>
      <c r="Z1950" s="88"/>
    </row>
    <row r="1951" ht="17.25" customHeight="1">
      <c r="A1951" s="88"/>
      <c r="B1951" s="88"/>
      <c r="C1951" s="88"/>
      <c r="D1951" s="88"/>
      <c r="E1951" s="88"/>
      <c r="F1951" s="89"/>
      <c r="G1951" s="89"/>
      <c r="H1951" s="89"/>
      <c r="I1951" s="88"/>
      <c r="J1951" s="88"/>
      <c r="K1951" s="88"/>
      <c r="L1951" s="88"/>
      <c r="M1951" s="88"/>
      <c r="N1951" s="88"/>
      <c r="O1951" s="88"/>
      <c r="P1951" s="88"/>
      <c r="Q1951" s="88"/>
      <c r="R1951" s="88"/>
      <c r="S1951" s="88"/>
      <c r="T1951" s="88"/>
      <c r="U1951" s="88"/>
      <c r="V1951" s="88"/>
      <c r="W1951" s="88"/>
      <c r="X1951" s="88"/>
      <c r="Y1951" s="88"/>
      <c r="Z1951" s="88"/>
    </row>
    <row r="1952" ht="17.25" customHeight="1">
      <c r="A1952" s="88"/>
      <c r="B1952" s="88"/>
      <c r="C1952" s="88"/>
      <c r="D1952" s="88"/>
      <c r="E1952" s="88"/>
      <c r="F1952" s="89"/>
      <c r="G1952" s="89"/>
      <c r="H1952" s="89"/>
      <c r="I1952" s="88"/>
      <c r="J1952" s="88"/>
      <c r="K1952" s="88"/>
      <c r="L1952" s="88"/>
      <c r="M1952" s="88"/>
      <c r="N1952" s="88"/>
      <c r="O1952" s="88"/>
      <c r="P1952" s="88"/>
      <c r="Q1952" s="88"/>
      <c r="R1952" s="88"/>
      <c r="S1952" s="88"/>
      <c r="T1952" s="88"/>
      <c r="U1952" s="88"/>
      <c r="V1952" s="88"/>
      <c r="W1952" s="88"/>
      <c r="X1952" s="88"/>
      <c r="Y1952" s="88"/>
      <c r="Z1952" s="88"/>
    </row>
    <row r="1953" ht="17.25" customHeight="1">
      <c r="A1953" s="88"/>
      <c r="B1953" s="88"/>
      <c r="C1953" s="88"/>
      <c r="D1953" s="88"/>
      <c r="E1953" s="88"/>
      <c r="F1953" s="89"/>
      <c r="G1953" s="89"/>
      <c r="H1953" s="89"/>
      <c r="I1953" s="88"/>
      <c r="J1953" s="88"/>
      <c r="K1953" s="88"/>
      <c r="L1953" s="88"/>
      <c r="M1953" s="88"/>
      <c r="N1953" s="88"/>
      <c r="O1953" s="88"/>
      <c r="P1953" s="88"/>
      <c r="Q1953" s="88"/>
      <c r="R1953" s="88"/>
      <c r="S1953" s="88"/>
      <c r="T1953" s="88"/>
      <c r="U1953" s="88"/>
      <c r="V1953" s="88"/>
      <c r="W1953" s="88"/>
      <c r="X1953" s="88"/>
      <c r="Y1953" s="88"/>
      <c r="Z1953" s="88"/>
    </row>
    <row r="1954" ht="17.25" customHeight="1">
      <c r="A1954" s="88"/>
      <c r="B1954" s="88"/>
      <c r="C1954" s="88"/>
      <c r="D1954" s="88"/>
      <c r="E1954" s="88"/>
      <c r="F1954" s="89"/>
      <c r="G1954" s="89"/>
      <c r="H1954" s="89"/>
      <c r="I1954" s="88"/>
      <c r="J1954" s="88"/>
      <c r="K1954" s="88"/>
      <c r="L1954" s="88"/>
      <c r="M1954" s="88"/>
      <c r="N1954" s="88"/>
      <c r="O1954" s="88"/>
      <c r="P1954" s="88"/>
      <c r="Q1954" s="88"/>
      <c r="R1954" s="88"/>
      <c r="S1954" s="88"/>
      <c r="T1954" s="88"/>
      <c r="U1954" s="88"/>
      <c r="V1954" s="88"/>
      <c r="W1954" s="88"/>
      <c r="X1954" s="88"/>
      <c r="Y1954" s="88"/>
      <c r="Z1954" s="88"/>
    </row>
    <row r="1955" ht="17.25" customHeight="1">
      <c r="A1955" s="88"/>
      <c r="B1955" s="88"/>
      <c r="C1955" s="88"/>
      <c r="D1955" s="88"/>
      <c r="E1955" s="88"/>
      <c r="F1955" s="89"/>
      <c r="G1955" s="89"/>
      <c r="H1955" s="89"/>
      <c r="I1955" s="88"/>
      <c r="J1955" s="88"/>
      <c r="K1955" s="88"/>
      <c r="L1955" s="88"/>
      <c r="M1955" s="88"/>
      <c r="N1955" s="88"/>
      <c r="O1955" s="88"/>
      <c r="P1955" s="88"/>
      <c r="Q1955" s="88"/>
      <c r="R1955" s="88"/>
      <c r="S1955" s="88"/>
      <c r="T1955" s="88"/>
      <c r="U1955" s="88"/>
      <c r="V1955" s="88"/>
      <c r="W1955" s="88"/>
      <c r="X1955" s="88"/>
      <c r="Y1955" s="88"/>
      <c r="Z1955" s="88"/>
    </row>
    <row r="1956" ht="17.25" customHeight="1">
      <c r="A1956" s="88"/>
      <c r="B1956" s="88"/>
      <c r="C1956" s="88"/>
      <c r="D1956" s="88"/>
      <c r="E1956" s="88"/>
      <c r="F1956" s="89"/>
      <c r="G1956" s="89"/>
      <c r="H1956" s="89"/>
      <c r="I1956" s="88"/>
      <c r="J1956" s="88"/>
      <c r="K1956" s="88"/>
      <c r="L1956" s="88"/>
      <c r="M1956" s="88"/>
      <c r="N1956" s="88"/>
      <c r="O1956" s="88"/>
      <c r="P1956" s="88"/>
      <c r="Q1956" s="88"/>
      <c r="R1956" s="88"/>
      <c r="S1956" s="88"/>
      <c r="T1956" s="88"/>
      <c r="U1956" s="88"/>
      <c r="V1956" s="88"/>
      <c r="W1956" s="88"/>
      <c r="X1956" s="88"/>
      <c r="Y1956" s="88"/>
      <c r="Z1956" s="88"/>
    </row>
    <row r="1957" ht="17.25" customHeight="1">
      <c r="A1957" s="88"/>
      <c r="B1957" s="88"/>
      <c r="C1957" s="88"/>
      <c r="D1957" s="88"/>
      <c r="E1957" s="88"/>
      <c r="F1957" s="89"/>
      <c r="G1957" s="89"/>
      <c r="H1957" s="89"/>
      <c r="I1957" s="88"/>
      <c r="J1957" s="88"/>
      <c r="K1957" s="88"/>
      <c r="L1957" s="88"/>
      <c r="M1957" s="88"/>
      <c r="N1957" s="88"/>
      <c r="O1957" s="88"/>
      <c r="P1957" s="88"/>
      <c r="Q1957" s="88"/>
      <c r="R1957" s="88"/>
      <c r="S1957" s="88"/>
      <c r="T1957" s="88"/>
      <c r="U1957" s="88"/>
      <c r="V1957" s="88"/>
      <c r="W1957" s="88"/>
      <c r="X1957" s="88"/>
      <c r="Y1957" s="88"/>
      <c r="Z1957" s="88"/>
    </row>
    <row r="1958" ht="17.25" customHeight="1">
      <c r="A1958" s="88"/>
      <c r="B1958" s="88"/>
      <c r="C1958" s="88"/>
      <c r="D1958" s="88"/>
      <c r="E1958" s="88"/>
      <c r="F1958" s="89"/>
      <c r="G1958" s="89"/>
      <c r="H1958" s="89"/>
      <c r="I1958" s="88"/>
      <c r="J1958" s="88"/>
      <c r="K1958" s="88"/>
      <c r="L1958" s="88"/>
      <c r="M1958" s="88"/>
      <c r="N1958" s="88"/>
      <c r="O1958" s="88"/>
      <c r="P1958" s="88"/>
      <c r="Q1958" s="88"/>
      <c r="R1958" s="88"/>
      <c r="S1958" s="88"/>
      <c r="T1958" s="88"/>
      <c r="U1958" s="88"/>
      <c r="V1958" s="88"/>
      <c r="W1958" s="88"/>
      <c r="X1958" s="88"/>
      <c r="Y1958" s="88"/>
      <c r="Z1958" s="88"/>
    </row>
    <row r="1959" ht="17.25" customHeight="1">
      <c r="A1959" s="88"/>
      <c r="B1959" s="88"/>
      <c r="C1959" s="88"/>
      <c r="D1959" s="88"/>
      <c r="E1959" s="88"/>
      <c r="F1959" s="89"/>
      <c r="G1959" s="89"/>
      <c r="H1959" s="89"/>
      <c r="I1959" s="88"/>
      <c r="J1959" s="88"/>
      <c r="K1959" s="88"/>
      <c r="L1959" s="88"/>
      <c r="M1959" s="88"/>
      <c r="N1959" s="88"/>
      <c r="O1959" s="88"/>
      <c r="P1959" s="88"/>
      <c r="Q1959" s="88"/>
      <c r="R1959" s="88"/>
      <c r="S1959" s="88"/>
      <c r="T1959" s="88"/>
      <c r="U1959" s="88"/>
      <c r="V1959" s="88"/>
      <c r="W1959" s="88"/>
      <c r="X1959" s="88"/>
      <c r="Y1959" s="88"/>
      <c r="Z1959" s="88"/>
    </row>
    <row r="1960" ht="17.25" customHeight="1">
      <c r="A1960" s="88"/>
      <c r="B1960" s="88"/>
      <c r="C1960" s="88"/>
      <c r="D1960" s="88"/>
      <c r="E1960" s="88"/>
      <c r="F1960" s="89"/>
      <c r="G1960" s="89"/>
      <c r="H1960" s="89"/>
      <c r="I1960" s="88"/>
      <c r="J1960" s="88"/>
      <c r="K1960" s="88"/>
      <c r="L1960" s="88"/>
      <c r="M1960" s="88"/>
      <c r="N1960" s="88"/>
      <c r="O1960" s="88"/>
      <c r="P1960" s="88"/>
      <c r="Q1960" s="88"/>
      <c r="R1960" s="88"/>
      <c r="S1960" s="88"/>
      <c r="T1960" s="88"/>
      <c r="U1960" s="88"/>
      <c r="V1960" s="88"/>
      <c r="W1960" s="88"/>
      <c r="X1960" s="88"/>
      <c r="Y1960" s="88"/>
      <c r="Z1960" s="88"/>
    </row>
    <row r="1961" ht="17.25" customHeight="1">
      <c r="A1961" s="88"/>
      <c r="B1961" s="88"/>
      <c r="C1961" s="88"/>
      <c r="D1961" s="88"/>
      <c r="E1961" s="88"/>
      <c r="F1961" s="89"/>
      <c r="G1961" s="89"/>
      <c r="H1961" s="89"/>
      <c r="I1961" s="88"/>
      <c r="J1961" s="88"/>
      <c r="K1961" s="88"/>
      <c r="L1961" s="88"/>
      <c r="M1961" s="88"/>
      <c r="N1961" s="88"/>
      <c r="O1961" s="88"/>
      <c r="P1961" s="88"/>
      <c r="Q1961" s="88"/>
      <c r="R1961" s="88"/>
      <c r="S1961" s="88"/>
      <c r="T1961" s="88"/>
      <c r="U1961" s="88"/>
      <c r="V1961" s="88"/>
      <c r="W1961" s="88"/>
      <c r="X1961" s="88"/>
      <c r="Y1961" s="88"/>
      <c r="Z1961" s="88"/>
    </row>
    <row r="1962" ht="17.25" customHeight="1">
      <c r="A1962" s="88"/>
      <c r="B1962" s="88"/>
      <c r="C1962" s="88"/>
      <c r="D1962" s="88"/>
      <c r="E1962" s="88"/>
      <c r="F1962" s="89"/>
      <c r="G1962" s="89"/>
      <c r="H1962" s="89"/>
      <c r="I1962" s="88"/>
      <c r="J1962" s="88"/>
      <c r="K1962" s="88"/>
      <c r="L1962" s="88"/>
      <c r="M1962" s="88"/>
      <c r="N1962" s="88"/>
      <c r="O1962" s="88"/>
      <c r="P1962" s="88"/>
      <c r="Q1962" s="88"/>
      <c r="R1962" s="88"/>
      <c r="S1962" s="88"/>
      <c r="T1962" s="88"/>
      <c r="U1962" s="88"/>
      <c r="V1962" s="88"/>
      <c r="W1962" s="88"/>
      <c r="X1962" s="88"/>
      <c r="Y1962" s="88"/>
      <c r="Z1962" s="88"/>
    </row>
    <row r="1963" ht="17.25" customHeight="1">
      <c r="A1963" s="88"/>
      <c r="B1963" s="88"/>
      <c r="C1963" s="88"/>
      <c r="D1963" s="88"/>
      <c r="E1963" s="88"/>
      <c r="F1963" s="89"/>
      <c r="G1963" s="89"/>
      <c r="H1963" s="89"/>
      <c r="I1963" s="88"/>
      <c r="J1963" s="88"/>
      <c r="K1963" s="88"/>
      <c r="L1963" s="88"/>
      <c r="M1963" s="88"/>
      <c r="N1963" s="88"/>
      <c r="O1963" s="88"/>
      <c r="P1963" s="88"/>
      <c r="Q1963" s="88"/>
      <c r="R1963" s="88"/>
      <c r="S1963" s="88"/>
      <c r="T1963" s="88"/>
      <c r="U1963" s="88"/>
      <c r="V1963" s="88"/>
      <c r="W1963" s="88"/>
      <c r="X1963" s="88"/>
      <c r="Y1963" s="88"/>
      <c r="Z1963" s="88"/>
    </row>
    <row r="1964" ht="17.25" customHeight="1">
      <c r="A1964" s="88"/>
      <c r="B1964" s="88"/>
      <c r="C1964" s="88"/>
      <c r="D1964" s="88"/>
      <c r="E1964" s="88"/>
      <c r="F1964" s="89"/>
      <c r="G1964" s="89"/>
      <c r="H1964" s="89"/>
      <c r="I1964" s="88"/>
      <c r="J1964" s="88"/>
      <c r="K1964" s="88"/>
      <c r="L1964" s="88"/>
      <c r="M1964" s="88"/>
      <c r="N1964" s="88"/>
      <c r="O1964" s="88"/>
      <c r="P1964" s="88"/>
      <c r="Q1964" s="88"/>
      <c r="R1964" s="88"/>
      <c r="S1964" s="88"/>
      <c r="T1964" s="88"/>
      <c r="U1964" s="88"/>
      <c r="V1964" s="88"/>
      <c r="W1964" s="88"/>
      <c r="X1964" s="88"/>
      <c r="Y1964" s="88"/>
      <c r="Z1964" s="88"/>
    </row>
    <row r="1965" ht="17.25" customHeight="1">
      <c r="A1965" s="88"/>
      <c r="B1965" s="88"/>
      <c r="C1965" s="88"/>
      <c r="D1965" s="88"/>
      <c r="E1965" s="88"/>
      <c r="F1965" s="89"/>
      <c r="G1965" s="89"/>
      <c r="H1965" s="89"/>
      <c r="I1965" s="88"/>
      <c r="J1965" s="88"/>
      <c r="K1965" s="88"/>
      <c r="L1965" s="88"/>
      <c r="M1965" s="88"/>
      <c r="N1965" s="88"/>
      <c r="O1965" s="88"/>
      <c r="P1965" s="88"/>
      <c r="Q1965" s="88"/>
      <c r="R1965" s="88"/>
      <c r="S1965" s="88"/>
      <c r="T1965" s="88"/>
      <c r="U1965" s="88"/>
      <c r="V1965" s="88"/>
      <c r="W1965" s="88"/>
      <c r="X1965" s="88"/>
      <c r="Y1965" s="88"/>
      <c r="Z1965" s="88"/>
    </row>
    <row r="1966" ht="17.25" customHeight="1">
      <c r="A1966" s="88"/>
      <c r="B1966" s="88"/>
      <c r="C1966" s="88"/>
      <c r="D1966" s="88"/>
      <c r="E1966" s="88"/>
      <c r="F1966" s="89"/>
      <c r="G1966" s="89"/>
      <c r="H1966" s="89"/>
      <c r="I1966" s="88"/>
      <c r="J1966" s="88"/>
      <c r="K1966" s="88"/>
      <c r="L1966" s="88"/>
      <c r="M1966" s="88"/>
      <c r="N1966" s="88"/>
      <c r="O1966" s="88"/>
      <c r="P1966" s="88"/>
      <c r="Q1966" s="88"/>
      <c r="R1966" s="88"/>
      <c r="S1966" s="88"/>
      <c r="T1966" s="88"/>
      <c r="U1966" s="88"/>
      <c r="V1966" s="88"/>
      <c r="W1966" s="88"/>
      <c r="X1966" s="88"/>
      <c r="Y1966" s="88"/>
      <c r="Z1966" s="88"/>
    </row>
    <row r="1967" ht="17.25" customHeight="1">
      <c r="A1967" s="88"/>
      <c r="B1967" s="88"/>
      <c r="C1967" s="88"/>
      <c r="D1967" s="88"/>
      <c r="E1967" s="88"/>
      <c r="F1967" s="89"/>
      <c r="G1967" s="89"/>
      <c r="H1967" s="89"/>
      <c r="I1967" s="88"/>
      <c r="J1967" s="88"/>
      <c r="K1967" s="88"/>
      <c r="L1967" s="88"/>
      <c r="M1967" s="88"/>
      <c r="N1967" s="88"/>
      <c r="O1967" s="88"/>
      <c r="P1967" s="88"/>
      <c r="Q1967" s="88"/>
      <c r="R1967" s="88"/>
      <c r="S1967" s="88"/>
      <c r="T1967" s="88"/>
      <c r="U1967" s="88"/>
      <c r="V1967" s="88"/>
      <c r="W1967" s="88"/>
      <c r="X1967" s="88"/>
      <c r="Y1967" s="88"/>
      <c r="Z1967" s="88"/>
    </row>
    <row r="1968" ht="17.25" customHeight="1">
      <c r="A1968" s="88"/>
      <c r="B1968" s="88"/>
      <c r="C1968" s="88"/>
      <c r="D1968" s="88"/>
      <c r="E1968" s="88"/>
      <c r="F1968" s="89"/>
      <c r="G1968" s="89"/>
      <c r="H1968" s="89"/>
      <c r="I1968" s="88"/>
      <c r="J1968" s="88"/>
      <c r="K1968" s="88"/>
      <c r="L1968" s="88"/>
      <c r="M1968" s="88"/>
      <c r="N1968" s="88"/>
      <c r="O1968" s="88"/>
      <c r="P1968" s="88"/>
      <c r="Q1968" s="88"/>
      <c r="R1968" s="88"/>
      <c r="S1968" s="88"/>
      <c r="T1968" s="88"/>
      <c r="U1968" s="88"/>
      <c r="V1968" s="88"/>
      <c r="W1968" s="88"/>
      <c r="X1968" s="88"/>
      <c r="Y1968" s="88"/>
      <c r="Z1968" s="88"/>
    </row>
    <row r="1969" ht="17.25" customHeight="1">
      <c r="A1969" s="88"/>
      <c r="B1969" s="88"/>
      <c r="C1969" s="88"/>
      <c r="D1969" s="88"/>
      <c r="E1969" s="88"/>
      <c r="F1969" s="89"/>
      <c r="G1969" s="89"/>
      <c r="H1969" s="89"/>
      <c r="I1969" s="88"/>
      <c r="J1969" s="88"/>
      <c r="K1969" s="88"/>
      <c r="L1969" s="88"/>
      <c r="M1969" s="88"/>
      <c r="N1969" s="88"/>
      <c r="O1969" s="88"/>
      <c r="P1969" s="88"/>
      <c r="Q1969" s="88"/>
      <c r="R1969" s="88"/>
      <c r="S1969" s="88"/>
      <c r="T1969" s="88"/>
      <c r="U1969" s="88"/>
      <c r="V1969" s="88"/>
      <c r="W1969" s="88"/>
      <c r="X1969" s="88"/>
      <c r="Y1969" s="88"/>
      <c r="Z1969" s="88"/>
    </row>
    <row r="1970" ht="17.25" customHeight="1">
      <c r="A1970" s="88"/>
      <c r="B1970" s="88"/>
      <c r="C1970" s="88"/>
      <c r="D1970" s="88"/>
      <c r="E1970" s="88"/>
      <c r="F1970" s="89"/>
      <c r="G1970" s="89"/>
      <c r="H1970" s="89"/>
      <c r="I1970" s="88"/>
      <c r="J1970" s="88"/>
      <c r="K1970" s="88"/>
      <c r="L1970" s="88"/>
      <c r="M1970" s="88"/>
      <c r="N1970" s="88"/>
      <c r="O1970" s="88"/>
      <c r="P1970" s="88"/>
      <c r="Q1970" s="88"/>
      <c r="R1970" s="88"/>
      <c r="S1970" s="88"/>
      <c r="T1970" s="88"/>
      <c r="U1970" s="88"/>
      <c r="V1970" s="88"/>
      <c r="W1970" s="88"/>
      <c r="X1970" s="88"/>
      <c r="Y1970" s="88"/>
      <c r="Z1970" s="88"/>
    </row>
    <row r="1971" ht="17.25" customHeight="1">
      <c r="A1971" s="88"/>
      <c r="B1971" s="88"/>
      <c r="C1971" s="88"/>
      <c r="D1971" s="88"/>
      <c r="E1971" s="88"/>
      <c r="F1971" s="89"/>
      <c r="G1971" s="89"/>
      <c r="H1971" s="89"/>
      <c r="I1971" s="88"/>
      <c r="J1971" s="88"/>
      <c r="K1971" s="88"/>
      <c r="L1971" s="88"/>
      <c r="M1971" s="88"/>
      <c r="N1971" s="88"/>
      <c r="O1971" s="88"/>
      <c r="P1971" s="88"/>
      <c r="Q1971" s="88"/>
      <c r="R1971" s="88"/>
      <c r="S1971" s="88"/>
      <c r="T1971" s="88"/>
      <c r="U1971" s="88"/>
      <c r="V1971" s="88"/>
      <c r="W1971" s="88"/>
      <c r="X1971" s="88"/>
      <c r="Y1971" s="88"/>
      <c r="Z1971" s="88"/>
    </row>
    <row r="1972" ht="17.25" customHeight="1">
      <c r="A1972" s="88"/>
      <c r="B1972" s="88"/>
      <c r="C1972" s="88"/>
      <c r="D1972" s="88"/>
      <c r="E1972" s="88"/>
      <c r="F1972" s="89"/>
      <c r="G1972" s="89"/>
      <c r="H1972" s="89"/>
      <c r="I1972" s="88"/>
      <c r="J1972" s="88"/>
      <c r="K1972" s="88"/>
      <c r="L1972" s="88"/>
      <c r="M1972" s="88"/>
      <c r="N1972" s="88"/>
      <c r="O1972" s="88"/>
      <c r="P1972" s="88"/>
      <c r="Q1972" s="88"/>
      <c r="R1972" s="88"/>
      <c r="S1972" s="88"/>
      <c r="T1972" s="88"/>
      <c r="U1972" s="88"/>
      <c r="V1972" s="88"/>
      <c r="W1972" s="88"/>
      <c r="X1972" s="88"/>
      <c r="Y1972" s="88"/>
      <c r="Z1972" s="88"/>
    </row>
    <row r="1973" ht="17.25" customHeight="1">
      <c r="A1973" s="88"/>
      <c r="B1973" s="88"/>
      <c r="C1973" s="88"/>
      <c r="D1973" s="88"/>
      <c r="E1973" s="88"/>
      <c r="F1973" s="89"/>
      <c r="G1973" s="89"/>
      <c r="H1973" s="89"/>
      <c r="I1973" s="88"/>
      <c r="J1973" s="88"/>
      <c r="K1973" s="88"/>
      <c r="L1973" s="88"/>
      <c r="M1973" s="88"/>
      <c r="N1973" s="88"/>
      <c r="O1973" s="88"/>
      <c r="P1973" s="88"/>
      <c r="Q1973" s="88"/>
      <c r="R1973" s="88"/>
      <c r="S1973" s="88"/>
      <c r="T1973" s="88"/>
      <c r="U1973" s="88"/>
      <c r="V1973" s="88"/>
      <c r="W1973" s="88"/>
      <c r="X1973" s="88"/>
      <c r="Y1973" s="88"/>
      <c r="Z1973" s="88"/>
    </row>
    <row r="1974" ht="17.25" customHeight="1">
      <c r="A1974" s="88"/>
      <c r="B1974" s="88"/>
      <c r="C1974" s="88"/>
      <c r="D1974" s="88"/>
      <c r="E1974" s="88"/>
      <c r="F1974" s="89"/>
      <c r="G1974" s="89"/>
      <c r="H1974" s="89"/>
      <c r="I1974" s="88"/>
      <c r="J1974" s="88"/>
      <c r="K1974" s="88"/>
      <c r="L1974" s="88"/>
      <c r="M1974" s="88"/>
      <c r="N1974" s="88"/>
      <c r="O1974" s="88"/>
      <c r="P1974" s="88"/>
      <c r="Q1974" s="88"/>
      <c r="R1974" s="88"/>
      <c r="S1974" s="88"/>
      <c r="T1974" s="88"/>
      <c r="U1974" s="88"/>
      <c r="V1974" s="88"/>
      <c r="W1974" s="88"/>
      <c r="X1974" s="88"/>
      <c r="Y1974" s="88"/>
      <c r="Z1974" s="88"/>
    </row>
    <row r="1975" ht="17.25" customHeight="1">
      <c r="A1975" s="88"/>
      <c r="B1975" s="88"/>
      <c r="C1975" s="88"/>
      <c r="D1975" s="88"/>
      <c r="E1975" s="88"/>
      <c r="F1975" s="89"/>
      <c r="G1975" s="89"/>
      <c r="H1975" s="89"/>
      <c r="I1975" s="88"/>
      <c r="J1975" s="88"/>
      <c r="K1975" s="88"/>
      <c r="L1975" s="88"/>
      <c r="M1975" s="88"/>
      <c r="N1975" s="88"/>
      <c r="O1975" s="88"/>
      <c r="P1975" s="88"/>
      <c r="Q1975" s="88"/>
      <c r="R1975" s="88"/>
      <c r="S1975" s="88"/>
      <c r="T1975" s="88"/>
      <c r="U1975" s="88"/>
      <c r="V1975" s="88"/>
      <c r="W1975" s="88"/>
      <c r="X1975" s="88"/>
      <c r="Y1975" s="88"/>
      <c r="Z1975" s="88"/>
    </row>
    <row r="1976" ht="17.25" customHeight="1">
      <c r="A1976" s="88"/>
      <c r="B1976" s="88"/>
      <c r="C1976" s="88"/>
      <c r="D1976" s="88"/>
      <c r="E1976" s="88"/>
      <c r="F1976" s="89"/>
      <c r="G1976" s="89"/>
      <c r="H1976" s="89"/>
      <c r="I1976" s="88"/>
      <c r="J1976" s="88"/>
      <c r="K1976" s="88"/>
      <c r="L1976" s="88"/>
      <c r="M1976" s="88"/>
      <c r="N1976" s="88"/>
      <c r="O1976" s="88"/>
      <c r="P1976" s="88"/>
      <c r="Q1976" s="88"/>
      <c r="R1976" s="88"/>
      <c r="S1976" s="88"/>
      <c r="T1976" s="88"/>
      <c r="U1976" s="88"/>
      <c r="V1976" s="88"/>
      <c r="W1976" s="88"/>
      <c r="X1976" s="88"/>
      <c r="Y1976" s="88"/>
      <c r="Z1976" s="88"/>
    </row>
    <row r="1977" ht="17.25" customHeight="1">
      <c r="A1977" s="88"/>
      <c r="B1977" s="88"/>
      <c r="C1977" s="88"/>
      <c r="D1977" s="88"/>
      <c r="E1977" s="88"/>
      <c r="F1977" s="89"/>
      <c r="G1977" s="89"/>
      <c r="H1977" s="89"/>
      <c r="I1977" s="88"/>
      <c r="J1977" s="88"/>
      <c r="K1977" s="88"/>
      <c r="L1977" s="88"/>
      <c r="M1977" s="88"/>
      <c r="N1977" s="88"/>
      <c r="O1977" s="88"/>
      <c r="P1977" s="88"/>
      <c r="Q1977" s="88"/>
      <c r="R1977" s="88"/>
      <c r="S1977" s="88"/>
      <c r="T1977" s="88"/>
      <c r="U1977" s="88"/>
      <c r="V1977" s="88"/>
      <c r="W1977" s="88"/>
      <c r="X1977" s="88"/>
      <c r="Y1977" s="88"/>
      <c r="Z1977" s="88"/>
    </row>
    <row r="1978" ht="17.25" customHeight="1">
      <c r="A1978" s="88"/>
      <c r="B1978" s="88"/>
      <c r="C1978" s="88"/>
      <c r="D1978" s="88"/>
      <c r="E1978" s="88"/>
      <c r="F1978" s="89"/>
      <c r="G1978" s="89"/>
      <c r="H1978" s="89"/>
      <c r="I1978" s="88"/>
      <c r="J1978" s="88"/>
      <c r="K1978" s="88"/>
      <c r="L1978" s="88"/>
      <c r="M1978" s="88"/>
      <c r="N1978" s="88"/>
      <c r="O1978" s="88"/>
      <c r="P1978" s="88"/>
      <c r="Q1978" s="88"/>
      <c r="R1978" s="88"/>
      <c r="S1978" s="88"/>
      <c r="T1978" s="88"/>
      <c r="U1978" s="88"/>
      <c r="V1978" s="88"/>
      <c r="W1978" s="88"/>
      <c r="X1978" s="88"/>
      <c r="Y1978" s="88"/>
      <c r="Z1978" s="88"/>
    </row>
    <row r="1979" ht="17.25" customHeight="1">
      <c r="A1979" s="88"/>
      <c r="B1979" s="88"/>
      <c r="C1979" s="88"/>
      <c r="D1979" s="88"/>
      <c r="E1979" s="88"/>
      <c r="F1979" s="89"/>
      <c r="G1979" s="89"/>
      <c r="H1979" s="89"/>
      <c r="I1979" s="88"/>
      <c r="J1979" s="88"/>
      <c r="K1979" s="88"/>
      <c r="L1979" s="88"/>
      <c r="M1979" s="88"/>
      <c r="N1979" s="88"/>
      <c r="O1979" s="88"/>
      <c r="P1979" s="88"/>
      <c r="Q1979" s="88"/>
      <c r="R1979" s="88"/>
      <c r="S1979" s="88"/>
      <c r="T1979" s="88"/>
      <c r="U1979" s="88"/>
      <c r="V1979" s="88"/>
      <c r="W1979" s="88"/>
      <c r="X1979" s="88"/>
      <c r="Y1979" s="88"/>
      <c r="Z1979" s="88"/>
    </row>
    <row r="1980" ht="17.25" customHeight="1">
      <c r="A1980" s="88"/>
      <c r="B1980" s="88"/>
      <c r="C1980" s="88"/>
      <c r="D1980" s="88"/>
      <c r="E1980" s="88"/>
      <c r="F1980" s="89"/>
      <c r="G1980" s="89"/>
      <c r="H1980" s="89"/>
      <c r="I1980" s="88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U1980" s="88"/>
      <c r="V1980" s="88"/>
      <c r="W1980" s="88"/>
      <c r="X1980" s="88"/>
      <c r="Y1980" s="88"/>
      <c r="Z1980" s="88"/>
    </row>
    <row r="1981" ht="17.25" customHeight="1">
      <c r="A1981" s="88"/>
      <c r="B1981" s="88"/>
      <c r="C1981" s="88"/>
      <c r="D1981" s="88"/>
      <c r="E1981" s="88"/>
      <c r="F1981" s="89"/>
      <c r="G1981" s="89"/>
      <c r="H1981" s="89"/>
      <c r="I1981" s="88"/>
      <c r="J1981" s="88"/>
      <c r="K1981" s="88"/>
      <c r="L1981" s="88"/>
      <c r="M1981" s="88"/>
      <c r="N1981" s="88"/>
      <c r="O1981" s="88"/>
      <c r="P1981" s="88"/>
      <c r="Q1981" s="88"/>
      <c r="R1981" s="88"/>
      <c r="S1981" s="88"/>
      <c r="T1981" s="88"/>
      <c r="U1981" s="88"/>
      <c r="V1981" s="88"/>
      <c r="W1981" s="88"/>
      <c r="X1981" s="88"/>
      <c r="Y1981" s="88"/>
      <c r="Z1981" s="88"/>
    </row>
    <row r="1982" ht="17.25" customHeight="1">
      <c r="A1982" s="88"/>
      <c r="B1982" s="88"/>
      <c r="C1982" s="88"/>
      <c r="D1982" s="88"/>
      <c r="E1982" s="88"/>
      <c r="F1982" s="89"/>
      <c r="G1982" s="89"/>
      <c r="H1982" s="89"/>
      <c r="I1982" s="88"/>
      <c r="J1982" s="88"/>
      <c r="K1982" s="88"/>
      <c r="L1982" s="88"/>
      <c r="M1982" s="88"/>
      <c r="N1982" s="88"/>
      <c r="O1982" s="88"/>
      <c r="P1982" s="88"/>
      <c r="Q1982" s="88"/>
      <c r="R1982" s="88"/>
      <c r="S1982" s="88"/>
      <c r="T1982" s="88"/>
      <c r="U1982" s="88"/>
      <c r="V1982" s="88"/>
      <c r="W1982" s="88"/>
      <c r="X1982" s="88"/>
      <c r="Y1982" s="88"/>
      <c r="Z1982" s="88"/>
    </row>
    <row r="1983" ht="17.25" customHeight="1">
      <c r="A1983" s="88"/>
      <c r="B1983" s="88"/>
      <c r="C1983" s="88"/>
      <c r="D1983" s="88"/>
      <c r="E1983" s="88"/>
      <c r="F1983" s="89"/>
      <c r="G1983" s="89"/>
      <c r="H1983" s="89"/>
      <c r="I1983" s="88"/>
      <c r="J1983" s="88"/>
      <c r="K1983" s="88"/>
      <c r="L1983" s="88"/>
      <c r="M1983" s="88"/>
      <c r="N1983" s="88"/>
      <c r="O1983" s="88"/>
      <c r="P1983" s="88"/>
      <c r="Q1983" s="88"/>
      <c r="R1983" s="88"/>
      <c r="S1983" s="88"/>
      <c r="T1983" s="88"/>
      <c r="U1983" s="88"/>
      <c r="V1983" s="88"/>
      <c r="W1983" s="88"/>
      <c r="X1983" s="88"/>
      <c r="Y1983" s="88"/>
      <c r="Z1983" s="88"/>
    </row>
    <row r="1984" ht="17.25" customHeight="1">
      <c r="A1984" s="88"/>
      <c r="B1984" s="88"/>
      <c r="C1984" s="88"/>
      <c r="D1984" s="88"/>
      <c r="E1984" s="88"/>
      <c r="F1984" s="89"/>
      <c r="G1984" s="89"/>
      <c r="H1984" s="89"/>
      <c r="I1984" s="88"/>
      <c r="J1984" s="88"/>
      <c r="K1984" s="88"/>
      <c r="L1984" s="88"/>
      <c r="M1984" s="88"/>
      <c r="N1984" s="88"/>
      <c r="O1984" s="88"/>
      <c r="P1984" s="88"/>
      <c r="Q1984" s="88"/>
      <c r="R1984" s="88"/>
      <c r="S1984" s="88"/>
      <c r="T1984" s="88"/>
      <c r="U1984" s="88"/>
      <c r="V1984" s="88"/>
      <c r="W1984" s="88"/>
      <c r="X1984" s="88"/>
      <c r="Y1984" s="88"/>
      <c r="Z1984" s="88"/>
    </row>
    <row r="1985" ht="17.25" customHeight="1">
      <c r="A1985" s="88"/>
      <c r="B1985" s="88"/>
      <c r="C1985" s="88"/>
      <c r="D1985" s="88"/>
      <c r="E1985" s="88"/>
      <c r="F1985" s="89"/>
      <c r="G1985" s="89"/>
      <c r="H1985" s="89"/>
      <c r="I1985" s="88"/>
      <c r="J1985" s="88"/>
      <c r="K1985" s="88"/>
      <c r="L1985" s="88"/>
      <c r="M1985" s="88"/>
      <c r="N1985" s="88"/>
      <c r="O1985" s="88"/>
      <c r="P1985" s="88"/>
      <c r="Q1985" s="88"/>
      <c r="R1985" s="88"/>
      <c r="S1985" s="88"/>
      <c r="T1985" s="88"/>
      <c r="U1985" s="88"/>
      <c r="V1985" s="88"/>
      <c r="W1985" s="88"/>
      <c r="X1985" s="88"/>
      <c r="Y1985" s="88"/>
      <c r="Z1985" s="88"/>
    </row>
    <row r="1986" ht="17.25" customHeight="1">
      <c r="A1986" s="88"/>
      <c r="B1986" s="88"/>
      <c r="C1986" s="88"/>
      <c r="D1986" s="88"/>
      <c r="E1986" s="88"/>
      <c r="F1986" s="89"/>
      <c r="G1986" s="89"/>
      <c r="H1986" s="89"/>
      <c r="I1986" s="88"/>
      <c r="J1986" s="88"/>
      <c r="K1986" s="88"/>
      <c r="L1986" s="88"/>
      <c r="M1986" s="88"/>
      <c r="N1986" s="88"/>
      <c r="O1986" s="88"/>
      <c r="P1986" s="88"/>
      <c r="Q1986" s="88"/>
      <c r="R1986" s="88"/>
      <c r="S1986" s="88"/>
      <c r="T1986" s="88"/>
      <c r="U1986" s="88"/>
      <c r="V1986" s="88"/>
      <c r="W1986" s="88"/>
      <c r="X1986" s="88"/>
      <c r="Y1986" s="88"/>
      <c r="Z1986" s="88"/>
    </row>
    <row r="1987" ht="17.25" customHeight="1">
      <c r="A1987" s="88"/>
      <c r="B1987" s="88"/>
      <c r="C1987" s="88"/>
      <c r="D1987" s="88"/>
      <c r="E1987" s="88"/>
      <c r="F1987" s="89"/>
      <c r="G1987" s="89"/>
      <c r="H1987" s="89"/>
      <c r="I1987" s="88"/>
      <c r="J1987" s="88"/>
      <c r="K1987" s="88"/>
      <c r="L1987" s="88"/>
      <c r="M1987" s="88"/>
      <c r="N1987" s="88"/>
      <c r="O1987" s="88"/>
      <c r="P1987" s="88"/>
      <c r="Q1987" s="88"/>
      <c r="R1987" s="88"/>
      <c r="S1987" s="88"/>
      <c r="T1987" s="88"/>
      <c r="U1987" s="88"/>
      <c r="V1987" s="88"/>
      <c r="W1987" s="88"/>
      <c r="X1987" s="88"/>
      <c r="Y1987" s="88"/>
      <c r="Z1987" s="88"/>
    </row>
    <row r="1988" ht="17.25" customHeight="1">
      <c r="A1988" s="88"/>
      <c r="B1988" s="88"/>
      <c r="C1988" s="88"/>
      <c r="D1988" s="88"/>
      <c r="E1988" s="88"/>
      <c r="F1988" s="89"/>
      <c r="G1988" s="89"/>
      <c r="H1988" s="89"/>
      <c r="I1988" s="88"/>
      <c r="J1988" s="88"/>
      <c r="K1988" s="88"/>
      <c r="L1988" s="88"/>
      <c r="M1988" s="88"/>
      <c r="N1988" s="88"/>
      <c r="O1988" s="88"/>
      <c r="P1988" s="88"/>
      <c r="Q1988" s="88"/>
      <c r="R1988" s="88"/>
      <c r="S1988" s="88"/>
      <c r="T1988" s="88"/>
      <c r="U1988" s="88"/>
      <c r="V1988" s="88"/>
      <c r="W1988" s="88"/>
      <c r="X1988" s="88"/>
      <c r="Y1988" s="88"/>
      <c r="Z1988" s="88"/>
    </row>
    <row r="1989" ht="17.25" customHeight="1">
      <c r="A1989" s="88"/>
      <c r="B1989" s="88"/>
      <c r="C1989" s="88"/>
      <c r="D1989" s="88"/>
      <c r="E1989" s="88"/>
      <c r="F1989" s="89"/>
      <c r="G1989" s="89"/>
      <c r="H1989" s="89"/>
      <c r="I1989" s="88"/>
      <c r="J1989" s="88"/>
      <c r="K1989" s="88"/>
      <c r="L1989" s="88"/>
      <c r="M1989" s="88"/>
      <c r="N1989" s="88"/>
      <c r="O1989" s="88"/>
      <c r="P1989" s="88"/>
      <c r="Q1989" s="88"/>
      <c r="R1989" s="88"/>
      <c r="S1989" s="88"/>
      <c r="T1989" s="88"/>
      <c r="U1989" s="88"/>
      <c r="V1989" s="88"/>
      <c r="W1989" s="88"/>
      <c r="X1989" s="88"/>
      <c r="Y1989" s="88"/>
      <c r="Z1989" s="88"/>
    </row>
    <row r="1990" ht="17.25" customHeight="1">
      <c r="A1990" s="88"/>
      <c r="B1990" s="88"/>
      <c r="C1990" s="88"/>
      <c r="D1990" s="88"/>
      <c r="E1990" s="88"/>
      <c r="F1990" s="89"/>
      <c r="G1990" s="89"/>
      <c r="H1990" s="89"/>
      <c r="I1990" s="88"/>
      <c r="J1990" s="88"/>
      <c r="K1990" s="88"/>
      <c r="L1990" s="88"/>
      <c r="M1990" s="88"/>
      <c r="N1990" s="88"/>
      <c r="O1990" s="88"/>
      <c r="P1990" s="88"/>
      <c r="Q1990" s="88"/>
      <c r="R1990" s="88"/>
      <c r="S1990" s="88"/>
      <c r="T1990" s="88"/>
      <c r="U1990" s="88"/>
      <c r="V1990" s="88"/>
      <c r="W1990" s="88"/>
      <c r="X1990" s="88"/>
      <c r="Y1990" s="88"/>
      <c r="Z1990" s="88"/>
    </row>
    <row r="1991" ht="17.25" customHeight="1">
      <c r="A1991" s="88"/>
      <c r="B1991" s="88"/>
      <c r="C1991" s="88"/>
      <c r="D1991" s="88"/>
      <c r="E1991" s="88"/>
      <c r="F1991" s="89"/>
      <c r="G1991" s="89"/>
      <c r="H1991" s="89"/>
      <c r="I1991" s="88"/>
      <c r="J1991" s="88"/>
      <c r="K1991" s="88"/>
      <c r="L1991" s="88"/>
      <c r="M1991" s="88"/>
      <c r="N1991" s="88"/>
      <c r="O1991" s="88"/>
      <c r="P1991" s="88"/>
      <c r="Q1991" s="88"/>
      <c r="R1991" s="88"/>
      <c r="S1991" s="88"/>
      <c r="T1991" s="88"/>
      <c r="U1991" s="88"/>
      <c r="V1991" s="88"/>
      <c r="W1991" s="88"/>
      <c r="X1991" s="88"/>
      <c r="Y1991" s="88"/>
      <c r="Z1991" s="88"/>
    </row>
    <row r="1992" ht="17.25" customHeight="1">
      <c r="A1992" s="88"/>
      <c r="B1992" s="88"/>
      <c r="C1992" s="88"/>
      <c r="D1992" s="88"/>
      <c r="E1992" s="88"/>
      <c r="F1992" s="89"/>
      <c r="G1992" s="89"/>
      <c r="H1992" s="89"/>
      <c r="I1992" s="88"/>
      <c r="J1992" s="88"/>
      <c r="K1992" s="88"/>
      <c r="L1992" s="88"/>
      <c r="M1992" s="88"/>
      <c r="N1992" s="88"/>
      <c r="O1992" s="88"/>
      <c r="P1992" s="88"/>
      <c r="Q1992" s="88"/>
      <c r="R1992" s="88"/>
      <c r="S1992" s="88"/>
      <c r="T1992" s="88"/>
      <c r="U1992" s="88"/>
      <c r="V1992" s="88"/>
      <c r="W1992" s="88"/>
      <c r="X1992" s="88"/>
      <c r="Y1992" s="88"/>
      <c r="Z1992" s="88"/>
    </row>
    <row r="1993" ht="17.25" customHeight="1">
      <c r="A1993" s="88"/>
      <c r="B1993" s="88"/>
      <c r="C1993" s="88"/>
      <c r="D1993" s="88"/>
      <c r="E1993" s="88"/>
      <c r="F1993" s="89"/>
      <c r="G1993" s="89"/>
      <c r="H1993" s="89"/>
      <c r="I1993" s="88"/>
      <c r="J1993" s="88"/>
      <c r="K1993" s="88"/>
      <c r="L1993" s="88"/>
      <c r="M1993" s="88"/>
      <c r="N1993" s="88"/>
      <c r="O1993" s="88"/>
      <c r="P1993" s="88"/>
      <c r="Q1993" s="88"/>
      <c r="R1993" s="88"/>
      <c r="S1993" s="88"/>
      <c r="T1993" s="88"/>
      <c r="U1993" s="88"/>
      <c r="V1993" s="88"/>
      <c r="W1993" s="88"/>
      <c r="X1993" s="88"/>
      <c r="Y1993" s="88"/>
      <c r="Z1993" s="88"/>
    </row>
    <row r="1994" ht="17.25" customHeight="1">
      <c r="A1994" s="88"/>
      <c r="B1994" s="88"/>
      <c r="C1994" s="88"/>
      <c r="D1994" s="88"/>
      <c r="E1994" s="88"/>
      <c r="F1994" s="89"/>
      <c r="G1994" s="89"/>
      <c r="H1994" s="89"/>
      <c r="I1994" s="88"/>
      <c r="J1994" s="88"/>
      <c r="K1994" s="88"/>
      <c r="L1994" s="88"/>
      <c r="M1994" s="88"/>
      <c r="N1994" s="88"/>
      <c r="O1994" s="88"/>
      <c r="P1994" s="88"/>
      <c r="Q1994" s="88"/>
      <c r="R1994" s="88"/>
      <c r="S1994" s="88"/>
      <c r="T1994" s="88"/>
      <c r="U1994" s="88"/>
      <c r="V1994" s="88"/>
      <c r="W1994" s="88"/>
      <c r="X1994" s="88"/>
      <c r="Y1994" s="88"/>
      <c r="Z1994" s="88"/>
    </row>
    <row r="1995" ht="17.25" customHeight="1">
      <c r="A1995" s="88"/>
      <c r="B1995" s="88"/>
      <c r="C1995" s="88"/>
      <c r="D1995" s="88"/>
      <c r="E1995" s="88"/>
      <c r="F1995" s="89"/>
      <c r="G1995" s="89"/>
      <c r="H1995" s="89"/>
      <c r="I1995" s="88"/>
      <c r="J1995" s="88"/>
      <c r="K1995" s="88"/>
      <c r="L1995" s="88"/>
      <c r="M1995" s="88"/>
      <c r="N1995" s="88"/>
      <c r="O1995" s="88"/>
      <c r="P1995" s="88"/>
      <c r="Q1995" s="88"/>
      <c r="R1995" s="88"/>
      <c r="S1995" s="88"/>
      <c r="T1995" s="88"/>
      <c r="U1995" s="88"/>
      <c r="V1995" s="88"/>
      <c r="W1995" s="88"/>
      <c r="X1995" s="88"/>
      <c r="Y1995" s="88"/>
      <c r="Z1995" s="88"/>
    </row>
    <row r="1996" ht="17.25" customHeight="1">
      <c r="A1996" s="88"/>
      <c r="B1996" s="88"/>
      <c r="C1996" s="88"/>
      <c r="D1996" s="88"/>
      <c r="E1996" s="88"/>
      <c r="F1996" s="89"/>
      <c r="G1996" s="89"/>
      <c r="H1996" s="89"/>
      <c r="I1996" s="88"/>
      <c r="J1996" s="88"/>
      <c r="K1996" s="88"/>
      <c r="L1996" s="88"/>
      <c r="M1996" s="88"/>
      <c r="N1996" s="88"/>
      <c r="O1996" s="88"/>
      <c r="P1996" s="88"/>
      <c r="Q1996" s="88"/>
      <c r="R1996" s="88"/>
      <c r="S1996" s="88"/>
      <c r="T1996" s="88"/>
      <c r="U1996" s="88"/>
      <c r="V1996" s="88"/>
      <c r="W1996" s="88"/>
      <c r="X1996" s="88"/>
      <c r="Y1996" s="88"/>
      <c r="Z1996" s="88"/>
    </row>
    <row r="1997" ht="17.25" customHeight="1">
      <c r="A1997" s="88"/>
      <c r="B1997" s="88"/>
      <c r="C1997" s="88"/>
      <c r="D1997" s="88"/>
      <c r="E1997" s="88"/>
      <c r="F1997" s="89"/>
      <c r="G1997" s="89"/>
      <c r="H1997" s="89"/>
      <c r="I1997" s="88"/>
      <c r="J1997" s="88"/>
      <c r="K1997" s="88"/>
      <c r="L1997" s="88"/>
      <c r="M1997" s="88"/>
      <c r="N1997" s="88"/>
      <c r="O1997" s="88"/>
      <c r="P1997" s="88"/>
      <c r="Q1997" s="88"/>
      <c r="R1997" s="88"/>
      <c r="S1997" s="88"/>
      <c r="T1997" s="88"/>
      <c r="U1997" s="88"/>
      <c r="V1997" s="88"/>
      <c r="W1997" s="88"/>
      <c r="X1997" s="88"/>
      <c r="Y1997" s="88"/>
      <c r="Z1997" s="88"/>
    </row>
    <row r="1998" ht="17.25" customHeight="1">
      <c r="A1998" s="88"/>
      <c r="B1998" s="88"/>
      <c r="C1998" s="88"/>
      <c r="D1998" s="88"/>
      <c r="E1998" s="88"/>
      <c r="F1998" s="89"/>
      <c r="G1998" s="89"/>
      <c r="H1998" s="89"/>
      <c r="I1998" s="88"/>
      <c r="J1998" s="88"/>
      <c r="K1998" s="88"/>
      <c r="L1998" s="88"/>
      <c r="M1998" s="88"/>
      <c r="N1998" s="88"/>
      <c r="O1998" s="88"/>
      <c r="P1998" s="88"/>
      <c r="Q1998" s="88"/>
      <c r="R1998" s="88"/>
      <c r="S1998" s="88"/>
      <c r="T1998" s="88"/>
      <c r="U1998" s="88"/>
      <c r="V1998" s="88"/>
      <c r="W1998" s="88"/>
      <c r="X1998" s="88"/>
      <c r="Y1998" s="88"/>
      <c r="Z1998" s="88"/>
    </row>
    <row r="1999" ht="17.25" customHeight="1">
      <c r="A1999" s="88"/>
      <c r="B1999" s="88"/>
      <c r="C1999" s="88"/>
      <c r="D1999" s="88"/>
      <c r="E1999" s="88"/>
      <c r="F1999" s="89"/>
      <c r="G1999" s="89"/>
      <c r="H1999" s="89"/>
      <c r="I1999" s="88"/>
      <c r="J1999" s="88"/>
      <c r="K1999" s="88"/>
      <c r="L1999" s="88"/>
      <c r="M1999" s="88"/>
      <c r="N1999" s="88"/>
      <c r="O1999" s="88"/>
      <c r="P1999" s="88"/>
      <c r="Q1999" s="88"/>
      <c r="R1999" s="88"/>
      <c r="S1999" s="88"/>
      <c r="T1999" s="88"/>
      <c r="U1999" s="88"/>
      <c r="V1999" s="88"/>
      <c r="W1999" s="88"/>
      <c r="X1999" s="88"/>
      <c r="Y1999" s="88"/>
      <c r="Z1999" s="88"/>
    </row>
    <row r="2000" ht="17.25" customHeight="1">
      <c r="A2000" s="88"/>
      <c r="B2000" s="88"/>
      <c r="C2000" s="88"/>
      <c r="D2000" s="88"/>
      <c r="E2000" s="88"/>
      <c r="F2000" s="89"/>
      <c r="G2000" s="89"/>
      <c r="H2000" s="89"/>
      <c r="I2000" s="88"/>
      <c r="J2000" s="88"/>
      <c r="K2000" s="88"/>
      <c r="L2000" s="88"/>
      <c r="M2000" s="88"/>
      <c r="N2000" s="88"/>
      <c r="O2000" s="88"/>
      <c r="P2000" s="88"/>
      <c r="Q2000" s="88"/>
      <c r="R2000" s="88"/>
      <c r="S2000" s="88"/>
      <c r="T2000" s="88"/>
      <c r="U2000" s="88"/>
      <c r="V2000" s="88"/>
      <c r="W2000" s="88"/>
      <c r="X2000" s="88"/>
      <c r="Y2000" s="88"/>
      <c r="Z2000" s="88"/>
    </row>
    <row r="2001" ht="17.25" customHeight="1">
      <c r="A2001" s="88"/>
      <c r="B2001" s="88"/>
      <c r="C2001" s="88"/>
      <c r="D2001" s="88"/>
      <c r="E2001" s="88"/>
      <c r="F2001" s="89"/>
      <c r="G2001" s="89"/>
      <c r="H2001" s="89"/>
      <c r="I2001" s="88"/>
      <c r="J2001" s="88"/>
      <c r="K2001" s="88"/>
      <c r="L2001" s="88"/>
      <c r="M2001" s="88"/>
      <c r="N2001" s="88"/>
      <c r="O2001" s="88"/>
      <c r="P2001" s="88"/>
      <c r="Q2001" s="88"/>
      <c r="R2001" s="88"/>
      <c r="S2001" s="88"/>
      <c r="T2001" s="88"/>
      <c r="U2001" s="88"/>
      <c r="V2001" s="88"/>
      <c r="W2001" s="88"/>
      <c r="X2001" s="88"/>
      <c r="Y2001" s="88"/>
      <c r="Z2001" s="88"/>
    </row>
    <row r="2002" ht="17.25" customHeight="1">
      <c r="A2002" s="88"/>
      <c r="B2002" s="88"/>
      <c r="C2002" s="88"/>
      <c r="D2002" s="88"/>
      <c r="E2002" s="88"/>
      <c r="F2002" s="89"/>
      <c r="G2002" s="89"/>
      <c r="H2002" s="89"/>
      <c r="I2002" s="88"/>
      <c r="J2002" s="88"/>
      <c r="K2002" s="88"/>
      <c r="L2002" s="88"/>
      <c r="M2002" s="88"/>
      <c r="N2002" s="88"/>
      <c r="O2002" s="88"/>
      <c r="P2002" s="88"/>
      <c r="Q2002" s="88"/>
      <c r="R2002" s="88"/>
      <c r="S2002" s="88"/>
      <c r="T2002" s="88"/>
      <c r="U2002" s="88"/>
      <c r="V2002" s="88"/>
      <c r="W2002" s="88"/>
      <c r="X2002" s="88"/>
      <c r="Y2002" s="88"/>
      <c r="Z2002" s="88"/>
    </row>
    <row r="2003" ht="17.25" customHeight="1">
      <c r="A2003" s="88"/>
      <c r="B2003" s="88"/>
      <c r="C2003" s="88"/>
      <c r="D2003" s="88"/>
      <c r="E2003" s="88"/>
      <c r="F2003" s="89"/>
      <c r="G2003" s="89"/>
      <c r="H2003" s="89"/>
      <c r="I2003" s="88"/>
      <c r="J2003" s="88"/>
      <c r="K2003" s="88"/>
      <c r="L2003" s="88"/>
      <c r="M2003" s="88"/>
      <c r="N2003" s="88"/>
      <c r="O2003" s="88"/>
      <c r="P2003" s="88"/>
      <c r="Q2003" s="88"/>
      <c r="R2003" s="88"/>
      <c r="S2003" s="88"/>
      <c r="T2003" s="88"/>
      <c r="U2003" s="88"/>
      <c r="V2003" s="88"/>
      <c r="W2003" s="88"/>
      <c r="X2003" s="88"/>
      <c r="Y2003" s="88"/>
      <c r="Z2003" s="88"/>
    </row>
    <row r="2004" ht="17.25" customHeight="1">
      <c r="A2004" s="88"/>
      <c r="B2004" s="88"/>
      <c r="C2004" s="88"/>
      <c r="D2004" s="88"/>
      <c r="E2004" s="88"/>
      <c r="F2004" s="89"/>
      <c r="G2004" s="89"/>
      <c r="H2004" s="89"/>
      <c r="I2004" s="88"/>
      <c r="J2004" s="88"/>
      <c r="K2004" s="88"/>
      <c r="L2004" s="88"/>
      <c r="M2004" s="88"/>
      <c r="N2004" s="88"/>
      <c r="O2004" s="88"/>
      <c r="P2004" s="88"/>
      <c r="Q2004" s="88"/>
      <c r="R2004" s="88"/>
      <c r="S2004" s="88"/>
      <c r="T2004" s="88"/>
      <c r="U2004" s="88"/>
      <c r="V2004" s="88"/>
      <c r="W2004" s="88"/>
      <c r="X2004" s="88"/>
      <c r="Y2004" s="88"/>
      <c r="Z2004" s="88"/>
    </row>
    <row r="2005" ht="17.25" customHeight="1">
      <c r="A2005" s="88"/>
      <c r="B2005" s="88"/>
      <c r="C2005" s="88"/>
      <c r="D2005" s="88"/>
      <c r="E2005" s="88"/>
      <c r="F2005" s="89"/>
      <c r="G2005" s="89"/>
      <c r="H2005" s="89"/>
      <c r="I2005" s="88"/>
      <c r="J2005" s="88"/>
      <c r="K2005" s="88"/>
      <c r="L2005" s="88"/>
      <c r="M2005" s="88"/>
      <c r="N2005" s="88"/>
      <c r="O2005" s="88"/>
      <c r="P2005" s="88"/>
      <c r="Q2005" s="88"/>
      <c r="R2005" s="88"/>
      <c r="S2005" s="88"/>
      <c r="T2005" s="88"/>
      <c r="U2005" s="88"/>
      <c r="V2005" s="88"/>
      <c r="W2005" s="88"/>
      <c r="X2005" s="88"/>
      <c r="Y2005" s="88"/>
      <c r="Z2005" s="88"/>
    </row>
    <row r="2006" ht="17.25" customHeight="1">
      <c r="A2006" s="88"/>
      <c r="B2006" s="88"/>
      <c r="C2006" s="88"/>
      <c r="D2006" s="88"/>
      <c r="E2006" s="88"/>
      <c r="F2006" s="89"/>
      <c r="G2006" s="89"/>
      <c r="H2006" s="89"/>
      <c r="I2006" s="88"/>
      <c r="J2006" s="88"/>
      <c r="K2006" s="88"/>
      <c r="L2006" s="88"/>
      <c r="M2006" s="88"/>
      <c r="N2006" s="88"/>
      <c r="O2006" s="88"/>
      <c r="P2006" s="88"/>
      <c r="Q2006" s="88"/>
      <c r="R2006" s="88"/>
      <c r="S2006" s="88"/>
      <c r="T2006" s="88"/>
      <c r="U2006" s="88"/>
      <c r="V2006" s="88"/>
      <c r="W2006" s="88"/>
      <c r="X2006" s="88"/>
      <c r="Y2006" s="88"/>
      <c r="Z2006" s="88"/>
    </row>
    <row r="2007" ht="17.25" customHeight="1">
      <c r="A2007" s="88"/>
      <c r="B2007" s="88"/>
      <c r="C2007" s="88"/>
      <c r="D2007" s="88"/>
      <c r="E2007" s="88"/>
      <c r="F2007" s="89"/>
      <c r="G2007" s="89"/>
      <c r="H2007" s="89"/>
      <c r="I2007" s="88"/>
      <c r="J2007" s="88"/>
      <c r="K2007" s="88"/>
      <c r="L2007" s="88"/>
      <c r="M2007" s="88"/>
      <c r="N2007" s="88"/>
      <c r="O2007" s="88"/>
      <c r="P2007" s="88"/>
      <c r="Q2007" s="88"/>
      <c r="R2007" s="88"/>
      <c r="S2007" s="88"/>
      <c r="T2007" s="88"/>
      <c r="U2007" s="88"/>
      <c r="V2007" s="88"/>
      <c r="W2007" s="88"/>
      <c r="X2007" s="88"/>
      <c r="Y2007" s="88"/>
      <c r="Z2007" s="88"/>
    </row>
    <row r="2008" ht="17.25" customHeight="1">
      <c r="A2008" s="88"/>
      <c r="B2008" s="88"/>
      <c r="C2008" s="88"/>
      <c r="D2008" s="88"/>
      <c r="E2008" s="88"/>
      <c r="F2008" s="89"/>
      <c r="G2008" s="89"/>
      <c r="H2008" s="89"/>
      <c r="I2008" s="88"/>
      <c r="J2008" s="88"/>
      <c r="K2008" s="88"/>
      <c r="L2008" s="88"/>
      <c r="M2008" s="88"/>
      <c r="N2008" s="88"/>
      <c r="O2008" s="88"/>
      <c r="P2008" s="88"/>
      <c r="Q2008" s="88"/>
      <c r="R2008" s="88"/>
      <c r="S2008" s="88"/>
      <c r="T2008" s="88"/>
      <c r="U2008" s="88"/>
      <c r="V2008" s="88"/>
      <c r="W2008" s="88"/>
      <c r="X2008" s="88"/>
      <c r="Y2008" s="88"/>
      <c r="Z2008" s="88"/>
    </row>
    <row r="2009" ht="17.25" customHeight="1">
      <c r="A2009" s="88"/>
      <c r="B2009" s="88"/>
      <c r="C2009" s="88"/>
      <c r="D2009" s="88"/>
      <c r="E2009" s="88"/>
      <c r="F2009" s="89"/>
      <c r="G2009" s="89"/>
      <c r="H2009" s="89"/>
      <c r="I2009" s="88"/>
      <c r="J2009" s="88"/>
      <c r="K2009" s="88"/>
      <c r="L2009" s="88"/>
      <c r="M2009" s="88"/>
      <c r="N2009" s="88"/>
      <c r="O2009" s="88"/>
      <c r="P2009" s="88"/>
      <c r="Q2009" s="88"/>
      <c r="R2009" s="88"/>
      <c r="S2009" s="88"/>
      <c r="T2009" s="88"/>
      <c r="U2009" s="88"/>
      <c r="V2009" s="88"/>
      <c r="W2009" s="88"/>
      <c r="X2009" s="88"/>
      <c r="Y2009" s="88"/>
      <c r="Z2009" s="88"/>
    </row>
    <row r="2010" ht="17.25" customHeight="1">
      <c r="A2010" s="88"/>
      <c r="B2010" s="88"/>
      <c r="C2010" s="88"/>
      <c r="D2010" s="88"/>
      <c r="E2010" s="88"/>
      <c r="F2010" s="89"/>
      <c r="G2010" s="89"/>
      <c r="H2010" s="89"/>
      <c r="I2010" s="88"/>
      <c r="J2010" s="88"/>
      <c r="K2010" s="88"/>
      <c r="L2010" s="88"/>
      <c r="M2010" s="88"/>
      <c r="N2010" s="88"/>
      <c r="O2010" s="88"/>
      <c r="P2010" s="88"/>
      <c r="Q2010" s="88"/>
      <c r="R2010" s="88"/>
      <c r="S2010" s="88"/>
      <c r="T2010" s="88"/>
      <c r="U2010" s="88"/>
      <c r="V2010" s="88"/>
      <c r="W2010" s="88"/>
      <c r="X2010" s="88"/>
      <c r="Y2010" s="88"/>
      <c r="Z2010" s="88"/>
    </row>
    <row r="2011" ht="17.25" customHeight="1">
      <c r="A2011" s="88"/>
      <c r="B2011" s="88"/>
      <c r="C2011" s="88"/>
      <c r="D2011" s="88"/>
      <c r="E2011" s="88"/>
      <c r="F2011" s="89"/>
      <c r="G2011" s="89"/>
      <c r="H2011" s="89"/>
      <c r="I2011" s="88"/>
      <c r="J2011" s="88"/>
      <c r="K2011" s="88"/>
      <c r="L2011" s="88"/>
      <c r="M2011" s="88"/>
      <c r="N2011" s="88"/>
      <c r="O2011" s="88"/>
      <c r="P2011" s="88"/>
      <c r="Q2011" s="88"/>
      <c r="R2011" s="88"/>
      <c r="S2011" s="88"/>
      <c r="T2011" s="88"/>
      <c r="U2011" s="88"/>
      <c r="V2011" s="88"/>
      <c r="W2011" s="88"/>
      <c r="X2011" s="88"/>
      <c r="Y2011" s="88"/>
      <c r="Z2011" s="88"/>
    </row>
    <row r="2012" ht="17.25" customHeight="1">
      <c r="A2012" s="88"/>
      <c r="B2012" s="88"/>
      <c r="C2012" s="88"/>
      <c r="D2012" s="88"/>
      <c r="E2012" s="88"/>
      <c r="F2012" s="89"/>
      <c r="G2012" s="89"/>
      <c r="H2012" s="89"/>
      <c r="I2012" s="88"/>
      <c r="J2012" s="88"/>
      <c r="K2012" s="88"/>
      <c r="L2012" s="88"/>
      <c r="M2012" s="88"/>
      <c r="N2012" s="88"/>
      <c r="O2012" s="88"/>
      <c r="P2012" s="88"/>
      <c r="Q2012" s="88"/>
      <c r="R2012" s="88"/>
      <c r="S2012" s="88"/>
      <c r="T2012" s="88"/>
      <c r="U2012" s="88"/>
      <c r="V2012" s="88"/>
      <c r="W2012" s="88"/>
      <c r="X2012" s="88"/>
      <c r="Y2012" s="88"/>
      <c r="Z2012" s="88"/>
    </row>
    <row r="2013" ht="17.25" customHeight="1">
      <c r="A2013" s="88"/>
      <c r="B2013" s="88"/>
      <c r="C2013" s="88"/>
      <c r="D2013" s="88"/>
      <c r="E2013" s="88"/>
      <c r="F2013" s="89"/>
      <c r="G2013" s="89"/>
      <c r="H2013" s="89"/>
      <c r="I2013" s="88"/>
      <c r="J2013" s="88"/>
      <c r="K2013" s="88"/>
      <c r="L2013" s="88"/>
      <c r="M2013" s="88"/>
      <c r="N2013" s="88"/>
      <c r="O2013" s="88"/>
      <c r="P2013" s="88"/>
      <c r="Q2013" s="88"/>
      <c r="R2013" s="88"/>
      <c r="S2013" s="88"/>
      <c r="T2013" s="88"/>
      <c r="U2013" s="88"/>
      <c r="V2013" s="88"/>
      <c r="W2013" s="88"/>
      <c r="X2013" s="88"/>
      <c r="Y2013" s="88"/>
      <c r="Z2013" s="88"/>
    </row>
    <row r="2014" ht="17.25" customHeight="1">
      <c r="A2014" s="88"/>
      <c r="B2014" s="88"/>
      <c r="C2014" s="88"/>
      <c r="D2014" s="88"/>
      <c r="E2014" s="88"/>
      <c r="F2014" s="89"/>
      <c r="G2014" s="89"/>
      <c r="H2014" s="89"/>
      <c r="I2014" s="88"/>
      <c r="J2014" s="88"/>
      <c r="K2014" s="88"/>
      <c r="L2014" s="88"/>
      <c r="M2014" s="88"/>
      <c r="N2014" s="88"/>
      <c r="O2014" s="88"/>
      <c r="P2014" s="88"/>
      <c r="Q2014" s="88"/>
      <c r="R2014" s="88"/>
      <c r="S2014" s="88"/>
      <c r="T2014" s="88"/>
      <c r="U2014" s="88"/>
      <c r="V2014" s="88"/>
      <c r="W2014" s="88"/>
      <c r="X2014" s="88"/>
      <c r="Y2014" s="88"/>
      <c r="Z2014" s="88"/>
    </row>
    <row r="2015" ht="17.25" customHeight="1">
      <c r="A2015" s="88"/>
      <c r="B2015" s="88"/>
      <c r="C2015" s="88"/>
      <c r="D2015" s="88"/>
      <c r="E2015" s="88"/>
      <c r="F2015" s="89"/>
      <c r="G2015" s="89"/>
      <c r="H2015" s="89"/>
      <c r="I2015" s="88"/>
      <c r="J2015" s="88"/>
      <c r="K2015" s="88"/>
      <c r="L2015" s="88"/>
      <c r="M2015" s="88"/>
      <c r="N2015" s="88"/>
      <c r="O2015" s="88"/>
      <c r="P2015" s="88"/>
      <c r="Q2015" s="88"/>
      <c r="R2015" s="88"/>
      <c r="S2015" s="88"/>
      <c r="T2015" s="88"/>
      <c r="U2015" s="88"/>
      <c r="V2015" s="88"/>
      <c r="W2015" s="88"/>
      <c r="X2015" s="88"/>
      <c r="Y2015" s="88"/>
      <c r="Z2015" s="88"/>
    </row>
    <row r="2016" ht="17.25" customHeight="1">
      <c r="A2016" s="88"/>
      <c r="B2016" s="88"/>
      <c r="C2016" s="88"/>
      <c r="D2016" s="88"/>
      <c r="E2016" s="88"/>
      <c r="F2016" s="89"/>
      <c r="G2016" s="89"/>
      <c r="H2016" s="89"/>
      <c r="I2016" s="88"/>
      <c r="J2016" s="88"/>
      <c r="K2016" s="88"/>
      <c r="L2016" s="88"/>
      <c r="M2016" s="88"/>
      <c r="N2016" s="88"/>
      <c r="O2016" s="88"/>
      <c r="P2016" s="88"/>
      <c r="Q2016" s="88"/>
      <c r="R2016" s="88"/>
      <c r="S2016" s="88"/>
      <c r="T2016" s="88"/>
      <c r="U2016" s="88"/>
      <c r="V2016" s="88"/>
      <c r="W2016" s="88"/>
      <c r="X2016" s="88"/>
      <c r="Y2016" s="88"/>
      <c r="Z2016" s="88"/>
    </row>
    <row r="2017" ht="17.25" customHeight="1">
      <c r="A2017" s="88"/>
      <c r="B2017" s="88"/>
      <c r="C2017" s="88"/>
      <c r="D2017" s="88"/>
      <c r="E2017" s="88"/>
      <c r="F2017" s="89"/>
      <c r="G2017" s="89"/>
      <c r="H2017" s="89"/>
      <c r="I2017" s="88"/>
      <c r="J2017" s="88"/>
      <c r="K2017" s="88"/>
      <c r="L2017" s="88"/>
      <c r="M2017" s="88"/>
      <c r="N2017" s="88"/>
      <c r="O2017" s="88"/>
      <c r="P2017" s="88"/>
      <c r="Q2017" s="88"/>
      <c r="R2017" s="88"/>
      <c r="S2017" s="88"/>
      <c r="T2017" s="88"/>
      <c r="U2017" s="88"/>
      <c r="V2017" s="88"/>
      <c r="W2017" s="88"/>
      <c r="X2017" s="88"/>
      <c r="Y2017" s="88"/>
      <c r="Z2017" s="88"/>
    </row>
    <row r="2018" ht="17.25" customHeight="1">
      <c r="A2018" s="88"/>
      <c r="B2018" s="88"/>
      <c r="C2018" s="88"/>
      <c r="D2018" s="88"/>
      <c r="E2018" s="88"/>
      <c r="F2018" s="89"/>
      <c r="G2018" s="89"/>
      <c r="H2018" s="89"/>
      <c r="I2018" s="88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U2018" s="88"/>
      <c r="V2018" s="88"/>
      <c r="W2018" s="88"/>
      <c r="X2018" s="88"/>
      <c r="Y2018" s="88"/>
      <c r="Z2018" s="88"/>
    </row>
    <row r="2019" ht="17.25" customHeight="1">
      <c r="A2019" s="88"/>
      <c r="B2019" s="88"/>
      <c r="C2019" s="88"/>
      <c r="D2019" s="88"/>
      <c r="E2019" s="88"/>
      <c r="F2019" s="89"/>
      <c r="G2019" s="89"/>
      <c r="H2019" s="89"/>
      <c r="I2019" s="88"/>
      <c r="J2019" s="88"/>
      <c r="K2019" s="88"/>
      <c r="L2019" s="88"/>
      <c r="M2019" s="88"/>
      <c r="N2019" s="88"/>
      <c r="O2019" s="88"/>
      <c r="P2019" s="88"/>
      <c r="Q2019" s="88"/>
      <c r="R2019" s="88"/>
      <c r="S2019" s="88"/>
      <c r="T2019" s="88"/>
      <c r="U2019" s="88"/>
      <c r="V2019" s="88"/>
      <c r="W2019" s="88"/>
      <c r="X2019" s="88"/>
      <c r="Y2019" s="88"/>
      <c r="Z2019" s="88"/>
    </row>
    <row r="2020" ht="17.25" customHeight="1">
      <c r="A2020" s="88"/>
      <c r="B2020" s="88"/>
      <c r="C2020" s="88"/>
      <c r="D2020" s="88"/>
      <c r="E2020" s="88"/>
      <c r="F2020" s="89"/>
      <c r="G2020" s="89"/>
      <c r="H2020" s="89"/>
      <c r="I2020" s="88"/>
      <c r="J2020" s="88"/>
      <c r="K2020" s="88"/>
      <c r="L2020" s="88"/>
      <c r="M2020" s="88"/>
      <c r="N2020" s="88"/>
      <c r="O2020" s="88"/>
      <c r="P2020" s="88"/>
      <c r="Q2020" s="88"/>
      <c r="R2020" s="88"/>
      <c r="S2020" s="88"/>
      <c r="T2020" s="88"/>
      <c r="U2020" s="88"/>
      <c r="V2020" s="88"/>
      <c r="W2020" s="88"/>
      <c r="X2020" s="88"/>
      <c r="Y2020" s="88"/>
      <c r="Z2020" s="88"/>
    </row>
    <row r="2021" ht="17.25" customHeight="1">
      <c r="A2021" s="88"/>
      <c r="B2021" s="88"/>
      <c r="C2021" s="88"/>
      <c r="D2021" s="88"/>
      <c r="E2021" s="88"/>
      <c r="F2021" s="89"/>
      <c r="G2021" s="89"/>
      <c r="H2021" s="89"/>
      <c r="I2021" s="88"/>
      <c r="J2021" s="88"/>
      <c r="K2021" s="88"/>
      <c r="L2021" s="88"/>
      <c r="M2021" s="88"/>
      <c r="N2021" s="88"/>
      <c r="O2021" s="88"/>
      <c r="P2021" s="88"/>
      <c r="Q2021" s="88"/>
      <c r="R2021" s="88"/>
      <c r="S2021" s="88"/>
      <c r="T2021" s="88"/>
      <c r="U2021" s="88"/>
      <c r="V2021" s="88"/>
      <c r="W2021" s="88"/>
      <c r="X2021" s="88"/>
      <c r="Y2021" s="88"/>
      <c r="Z2021" s="88"/>
    </row>
    <row r="2022" ht="17.25" customHeight="1">
      <c r="A2022" s="88"/>
      <c r="B2022" s="88"/>
      <c r="C2022" s="88"/>
      <c r="D2022" s="88"/>
      <c r="E2022" s="88"/>
      <c r="F2022" s="89"/>
      <c r="G2022" s="89"/>
      <c r="H2022" s="89"/>
      <c r="I2022" s="88"/>
      <c r="J2022" s="88"/>
      <c r="K2022" s="88"/>
      <c r="L2022" s="88"/>
      <c r="M2022" s="88"/>
      <c r="N2022" s="88"/>
      <c r="O2022" s="88"/>
      <c r="P2022" s="88"/>
      <c r="Q2022" s="88"/>
      <c r="R2022" s="88"/>
      <c r="S2022" s="88"/>
      <c r="T2022" s="88"/>
      <c r="U2022" s="88"/>
      <c r="V2022" s="88"/>
      <c r="W2022" s="88"/>
      <c r="X2022" s="88"/>
      <c r="Y2022" s="88"/>
      <c r="Z2022" s="88"/>
    </row>
    <row r="2023" ht="17.25" customHeight="1">
      <c r="A2023" s="88"/>
      <c r="B2023" s="88"/>
      <c r="C2023" s="88"/>
      <c r="D2023" s="88"/>
      <c r="E2023" s="88"/>
      <c r="F2023" s="89"/>
      <c r="G2023" s="89"/>
      <c r="H2023" s="89"/>
      <c r="I2023" s="88"/>
      <c r="J2023" s="88"/>
      <c r="K2023" s="88"/>
      <c r="L2023" s="88"/>
      <c r="M2023" s="88"/>
      <c r="N2023" s="88"/>
      <c r="O2023" s="88"/>
      <c r="P2023" s="88"/>
      <c r="Q2023" s="88"/>
      <c r="R2023" s="88"/>
      <c r="S2023" s="88"/>
      <c r="T2023" s="88"/>
      <c r="U2023" s="88"/>
      <c r="V2023" s="88"/>
      <c r="W2023" s="88"/>
      <c r="X2023" s="88"/>
      <c r="Y2023" s="88"/>
      <c r="Z2023" s="88"/>
    </row>
    <row r="2024" ht="17.25" customHeight="1">
      <c r="A2024" s="88"/>
      <c r="B2024" s="88"/>
      <c r="C2024" s="88"/>
      <c r="D2024" s="88"/>
      <c r="E2024" s="88"/>
      <c r="F2024" s="89"/>
      <c r="G2024" s="89"/>
      <c r="H2024" s="89"/>
      <c r="I2024" s="88"/>
      <c r="J2024" s="88"/>
      <c r="K2024" s="88"/>
      <c r="L2024" s="88"/>
      <c r="M2024" s="88"/>
      <c r="N2024" s="88"/>
      <c r="O2024" s="88"/>
      <c r="P2024" s="88"/>
      <c r="Q2024" s="88"/>
      <c r="R2024" s="88"/>
      <c r="S2024" s="88"/>
      <c r="T2024" s="88"/>
      <c r="U2024" s="88"/>
      <c r="V2024" s="88"/>
      <c r="W2024" s="88"/>
      <c r="X2024" s="88"/>
      <c r="Y2024" s="88"/>
      <c r="Z2024" s="88"/>
    </row>
    <row r="2025" ht="17.25" customHeight="1">
      <c r="A2025" s="88"/>
      <c r="B2025" s="88"/>
      <c r="C2025" s="88"/>
      <c r="D2025" s="88"/>
      <c r="E2025" s="88"/>
      <c r="F2025" s="89"/>
      <c r="G2025" s="89"/>
      <c r="H2025" s="89"/>
      <c r="I2025" s="88"/>
      <c r="J2025" s="88"/>
      <c r="K2025" s="88"/>
      <c r="L2025" s="88"/>
      <c r="M2025" s="88"/>
      <c r="N2025" s="88"/>
      <c r="O2025" s="88"/>
      <c r="P2025" s="88"/>
      <c r="Q2025" s="88"/>
      <c r="R2025" s="88"/>
      <c r="S2025" s="88"/>
      <c r="T2025" s="88"/>
      <c r="U2025" s="88"/>
      <c r="V2025" s="88"/>
      <c r="W2025" s="88"/>
      <c r="X2025" s="88"/>
      <c r="Y2025" s="88"/>
      <c r="Z2025" s="88"/>
    </row>
    <row r="2026" ht="17.25" customHeight="1">
      <c r="A2026" s="88"/>
      <c r="B2026" s="88"/>
      <c r="C2026" s="88"/>
      <c r="D2026" s="88"/>
      <c r="E2026" s="88"/>
      <c r="F2026" s="89"/>
      <c r="G2026" s="89"/>
      <c r="H2026" s="89"/>
      <c r="I2026" s="88"/>
      <c r="J2026" s="88"/>
      <c r="K2026" s="88"/>
      <c r="L2026" s="88"/>
      <c r="M2026" s="88"/>
      <c r="N2026" s="88"/>
      <c r="O2026" s="88"/>
      <c r="P2026" s="88"/>
      <c r="Q2026" s="88"/>
      <c r="R2026" s="88"/>
      <c r="S2026" s="88"/>
      <c r="T2026" s="88"/>
      <c r="U2026" s="88"/>
      <c r="V2026" s="88"/>
      <c r="W2026" s="88"/>
      <c r="X2026" s="88"/>
      <c r="Y2026" s="88"/>
      <c r="Z2026" s="88"/>
    </row>
    <row r="2027" ht="17.25" customHeight="1">
      <c r="A2027" s="88"/>
      <c r="B2027" s="88"/>
      <c r="C2027" s="88"/>
      <c r="D2027" s="88"/>
      <c r="E2027" s="88"/>
      <c r="F2027" s="89"/>
      <c r="G2027" s="89"/>
      <c r="H2027" s="89"/>
      <c r="I2027" s="88"/>
      <c r="J2027" s="88"/>
      <c r="K2027" s="88"/>
      <c r="L2027" s="88"/>
      <c r="M2027" s="88"/>
      <c r="N2027" s="88"/>
      <c r="O2027" s="88"/>
      <c r="P2027" s="88"/>
      <c r="Q2027" s="88"/>
      <c r="R2027" s="88"/>
      <c r="S2027" s="88"/>
      <c r="T2027" s="88"/>
      <c r="U2027" s="88"/>
      <c r="V2027" s="88"/>
      <c r="W2027" s="88"/>
      <c r="X2027" s="88"/>
      <c r="Y2027" s="88"/>
      <c r="Z2027" s="88"/>
    </row>
    <row r="2028" ht="17.25" customHeight="1">
      <c r="A2028" s="88"/>
      <c r="B2028" s="88"/>
      <c r="C2028" s="88"/>
      <c r="D2028" s="88"/>
      <c r="E2028" s="88"/>
      <c r="F2028" s="89"/>
      <c r="G2028" s="89"/>
      <c r="H2028" s="89"/>
      <c r="I2028" s="88"/>
      <c r="J2028" s="88"/>
      <c r="K2028" s="88"/>
      <c r="L2028" s="88"/>
      <c r="M2028" s="88"/>
      <c r="N2028" s="88"/>
      <c r="O2028" s="88"/>
      <c r="P2028" s="88"/>
      <c r="Q2028" s="88"/>
      <c r="R2028" s="88"/>
      <c r="S2028" s="88"/>
      <c r="T2028" s="88"/>
      <c r="U2028" s="88"/>
      <c r="V2028" s="88"/>
      <c r="W2028" s="88"/>
      <c r="X2028" s="88"/>
      <c r="Y2028" s="88"/>
      <c r="Z2028" s="88"/>
    </row>
    <row r="2029" ht="17.25" customHeight="1">
      <c r="A2029" s="88"/>
      <c r="B2029" s="88"/>
      <c r="C2029" s="88"/>
      <c r="D2029" s="88"/>
      <c r="E2029" s="88"/>
      <c r="F2029" s="89"/>
      <c r="G2029" s="89"/>
      <c r="H2029" s="89"/>
      <c r="I2029" s="88"/>
      <c r="J2029" s="88"/>
      <c r="K2029" s="88"/>
      <c r="L2029" s="88"/>
      <c r="M2029" s="88"/>
      <c r="N2029" s="88"/>
      <c r="O2029" s="88"/>
      <c r="P2029" s="88"/>
      <c r="Q2029" s="88"/>
      <c r="R2029" s="88"/>
      <c r="S2029" s="88"/>
      <c r="T2029" s="88"/>
      <c r="U2029" s="88"/>
      <c r="V2029" s="88"/>
      <c r="W2029" s="88"/>
      <c r="X2029" s="88"/>
      <c r="Y2029" s="88"/>
      <c r="Z2029" s="88"/>
    </row>
    <row r="2030" ht="17.25" customHeight="1">
      <c r="A2030" s="88"/>
      <c r="B2030" s="88"/>
      <c r="C2030" s="88"/>
      <c r="D2030" s="88"/>
      <c r="E2030" s="88"/>
      <c r="F2030" s="89"/>
      <c r="G2030" s="89"/>
      <c r="H2030" s="89"/>
      <c r="I2030" s="88"/>
      <c r="J2030" s="88"/>
      <c r="K2030" s="88"/>
      <c r="L2030" s="88"/>
      <c r="M2030" s="88"/>
      <c r="N2030" s="88"/>
      <c r="O2030" s="88"/>
      <c r="P2030" s="88"/>
      <c r="Q2030" s="88"/>
      <c r="R2030" s="88"/>
      <c r="S2030" s="88"/>
      <c r="T2030" s="88"/>
      <c r="U2030" s="88"/>
      <c r="V2030" s="88"/>
      <c r="W2030" s="88"/>
      <c r="X2030" s="88"/>
      <c r="Y2030" s="88"/>
      <c r="Z2030" s="88"/>
    </row>
    <row r="2031" ht="17.25" customHeight="1">
      <c r="A2031" s="88"/>
      <c r="B2031" s="88"/>
      <c r="C2031" s="88"/>
      <c r="D2031" s="88"/>
      <c r="E2031" s="88"/>
      <c r="F2031" s="89"/>
      <c r="G2031" s="89"/>
      <c r="H2031" s="89"/>
      <c r="I2031" s="88"/>
      <c r="J2031" s="88"/>
      <c r="K2031" s="88"/>
      <c r="L2031" s="88"/>
      <c r="M2031" s="88"/>
      <c r="N2031" s="88"/>
      <c r="O2031" s="88"/>
      <c r="P2031" s="88"/>
      <c r="Q2031" s="88"/>
      <c r="R2031" s="88"/>
      <c r="S2031" s="88"/>
      <c r="T2031" s="88"/>
      <c r="U2031" s="88"/>
      <c r="V2031" s="88"/>
      <c r="W2031" s="88"/>
      <c r="X2031" s="88"/>
      <c r="Y2031" s="88"/>
      <c r="Z2031" s="88"/>
    </row>
    <row r="2032" ht="17.25" customHeight="1">
      <c r="A2032" s="88"/>
      <c r="B2032" s="88"/>
      <c r="C2032" s="88"/>
      <c r="D2032" s="88"/>
      <c r="E2032" s="88"/>
      <c r="F2032" s="89"/>
      <c r="G2032" s="89"/>
      <c r="H2032" s="89"/>
      <c r="I2032" s="88"/>
      <c r="J2032" s="88"/>
      <c r="K2032" s="88"/>
      <c r="L2032" s="88"/>
      <c r="M2032" s="88"/>
      <c r="N2032" s="88"/>
      <c r="O2032" s="88"/>
      <c r="P2032" s="88"/>
      <c r="Q2032" s="88"/>
      <c r="R2032" s="88"/>
      <c r="S2032" s="88"/>
      <c r="T2032" s="88"/>
      <c r="U2032" s="88"/>
      <c r="V2032" s="88"/>
      <c r="W2032" s="88"/>
      <c r="X2032" s="88"/>
      <c r="Y2032" s="88"/>
      <c r="Z2032" s="88"/>
    </row>
    <row r="2033" ht="17.25" customHeight="1">
      <c r="A2033" s="88"/>
      <c r="B2033" s="88"/>
      <c r="C2033" s="88"/>
      <c r="D2033" s="88"/>
      <c r="E2033" s="88"/>
      <c r="F2033" s="89"/>
      <c r="G2033" s="89"/>
      <c r="H2033" s="89"/>
      <c r="I2033" s="88"/>
      <c r="J2033" s="88"/>
      <c r="K2033" s="88"/>
      <c r="L2033" s="88"/>
      <c r="M2033" s="88"/>
      <c r="N2033" s="88"/>
      <c r="O2033" s="88"/>
      <c r="P2033" s="88"/>
      <c r="Q2033" s="88"/>
      <c r="R2033" s="88"/>
      <c r="S2033" s="88"/>
      <c r="T2033" s="88"/>
      <c r="U2033" s="88"/>
      <c r="V2033" s="88"/>
      <c r="W2033" s="88"/>
      <c r="X2033" s="88"/>
      <c r="Y2033" s="88"/>
      <c r="Z2033" s="88"/>
    </row>
    <row r="2034" ht="17.25" customHeight="1">
      <c r="A2034" s="88"/>
      <c r="B2034" s="88"/>
      <c r="C2034" s="88"/>
      <c r="D2034" s="88"/>
      <c r="E2034" s="88"/>
      <c r="F2034" s="89"/>
      <c r="G2034" s="89"/>
      <c r="H2034" s="89"/>
      <c r="I2034" s="88"/>
      <c r="J2034" s="88"/>
      <c r="K2034" s="88"/>
      <c r="L2034" s="88"/>
      <c r="M2034" s="88"/>
      <c r="N2034" s="88"/>
      <c r="O2034" s="88"/>
      <c r="P2034" s="88"/>
      <c r="Q2034" s="88"/>
      <c r="R2034" s="88"/>
      <c r="S2034" s="88"/>
      <c r="T2034" s="88"/>
      <c r="U2034" s="88"/>
      <c r="V2034" s="88"/>
      <c r="W2034" s="88"/>
      <c r="X2034" s="88"/>
      <c r="Y2034" s="88"/>
      <c r="Z2034" s="88"/>
    </row>
    <row r="2035" ht="17.25" customHeight="1">
      <c r="A2035" s="88"/>
      <c r="B2035" s="88"/>
      <c r="C2035" s="88"/>
      <c r="D2035" s="88"/>
      <c r="E2035" s="88"/>
      <c r="F2035" s="89"/>
      <c r="G2035" s="89"/>
      <c r="H2035" s="89"/>
      <c r="I2035" s="88"/>
      <c r="J2035" s="88"/>
      <c r="K2035" s="88"/>
      <c r="L2035" s="88"/>
      <c r="M2035" s="88"/>
      <c r="N2035" s="88"/>
      <c r="O2035" s="88"/>
      <c r="P2035" s="88"/>
      <c r="Q2035" s="88"/>
      <c r="R2035" s="88"/>
      <c r="S2035" s="88"/>
      <c r="T2035" s="88"/>
      <c r="U2035" s="88"/>
      <c r="V2035" s="88"/>
      <c r="W2035" s="88"/>
      <c r="X2035" s="88"/>
      <c r="Y2035" s="88"/>
      <c r="Z2035" s="88"/>
    </row>
    <row r="2036" ht="17.25" customHeight="1">
      <c r="A2036" s="88"/>
      <c r="B2036" s="88"/>
      <c r="C2036" s="88"/>
      <c r="D2036" s="88"/>
      <c r="E2036" s="88"/>
      <c r="F2036" s="89"/>
      <c r="G2036" s="89"/>
      <c r="H2036" s="89"/>
      <c r="I2036" s="88"/>
      <c r="J2036" s="88"/>
      <c r="K2036" s="88"/>
      <c r="L2036" s="88"/>
      <c r="M2036" s="88"/>
      <c r="N2036" s="88"/>
      <c r="O2036" s="88"/>
      <c r="P2036" s="88"/>
      <c r="Q2036" s="88"/>
      <c r="R2036" s="88"/>
      <c r="S2036" s="88"/>
      <c r="T2036" s="88"/>
      <c r="U2036" s="88"/>
      <c r="V2036" s="88"/>
      <c r="W2036" s="88"/>
      <c r="X2036" s="88"/>
      <c r="Y2036" s="88"/>
      <c r="Z2036" s="88"/>
    </row>
    <row r="2037" ht="17.25" customHeight="1">
      <c r="A2037" s="88"/>
      <c r="B2037" s="88"/>
      <c r="C2037" s="88"/>
      <c r="D2037" s="88"/>
      <c r="E2037" s="88"/>
      <c r="F2037" s="89"/>
      <c r="G2037" s="89"/>
      <c r="H2037" s="89"/>
      <c r="I2037" s="88"/>
      <c r="J2037" s="88"/>
      <c r="K2037" s="88"/>
      <c r="L2037" s="88"/>
      <c r="M2037" s="88"/>
      <c r="N2037" s="88"/>
      <c r="O2037" s="88"/>
      <c r="P2037" s="88"/>
      <c r="Q2037" s="88"/>
      <c r="R2037" s="88"/>
      <c r="S2037" s="88"/>
      <c r="T2037" s="88"/>
      <c r="U2037" s="88"/>
      <c r="V2037" s="88"/>
      <c r="W2037" s="88"/>
      <c r="X2037" s="88"/>
      <c r="Y2037" s="88"/>
      <c r="Z2037" s="88"/>
    </row>
    <row r="2038" ht="17.25" customHeight="1">
      <c r="A2038" s="88"/>
      <c r="B2038" s="88"/>
      <c r="C2038" s="88"/>
      <c r="D2038" s="88"/>
      <c r="E2038" s="88"/>
      <c r="F2038" s="89"/>
      <c r="G2038" s="89"/>
      <c r="H2038" s="89"/>
      <c r="I2038" s="88"/>
      <c r="J2038" s="88"/>
      <c r="K2038" s="88"/>
      <c r="L2038" s="88"/>
      <c r="M2038" s="88"/>
      <c r="N2038" s="88"/>
      <c r="O2038" s="88"/>
      <c r="P2038" s="88"/>
      <c r="Q2038" s="88"/>
      <c r="R2038" s="88"/>
      <c r="S2038" s="88"/>
      <c r="T2038" s="88"/>
      <c r="U2038" s="88"/>
      <c r="V2038" s="88"/>
      <c r="W2038" s="88"/>
      <c r="X2038" s="88"/>
      <c r="Y2038" s="88"/>
      <c r="Z2038" s="88"/>
    </row>
    <row r="2039" ht="17.25" customHeight="1">
      <c r="A2039" s="88"/>
      <c r="B2039" s="88"/>
      <c r="C2039" s="88"/>
      <c r="D2039" s="88"/>
      <c r="E2039" s="88"/>
      <c r="F2039" s="89"/>
      <c r="G2039" s="89"/>
      <c r="H2039" s="89"/>
      <c r="I2039" s="88"/>
      <c r="J2039" s="88"/>
      <c r="K2039" s="88"/>
      <c r="L2039" s="88"/>
      <c r="M2039" s="88"/>
      <c r="N2039" s="88"/>
      <c r="O2039" s="88"/>
      <c r="P2039" s="88"/>
      <c r="Q2039" s="88"/>
      <c r="R2039" s="88"/>
      <c r="S2039" s="88"/>
      <c r="T2039" s="88"/>
      <c r="U2039" s="88"/>
      <c r="V2039" s="88"/>
      <c r="W2039" s="88"/>
      <c r="X2039" s="88"/>
      <c r="Y2039" s="88"/>
      <c r="Z2039" s="88"/>
    </row>
    <row r="2040" ht="17.25" customHeight="1">
      <c r="A2040" s="88"/>
      <c r="B2040" s="88"/>
      <c r="C2040" s="88"/>
      <c r="D2040" s="88"/>
      <c r="E2040" s="88"/>
      <c r="F2040" s="89"/>
      <c r="G2040" s="89"/>
      <c r="H2040" s="89"/>
      <c r="I2040" s="88"/>
      <c r="J2040" s="88"/>
      <c r="K2040" s="88"/>
      <c r="L2040" s="88"/>
      <c r="M2040" s="88"/>
      <c r="N2040" s="88"/>
      <c r="O2040" s="88"/>
      <c r="P2040" s="88"/>
      <c r="Q2040" s="88"/>
      <c r="R2040" s="88"/>
      <c r="S2040" s="88"/>
      <c r="T2040" s="88"/>
      <c r="U2040" s="88"/>
      <c r="V2040" s="88"/>
      <c r="W2040" s="88"/>
      <c r="X2040" s="88"/>
      <c r="Y2040" s="88"/>
      <c r="Z2040" s="88"/>
    </row>
    <row r="2041" ht="17.25" customHeight="1">
      <c r="A2041" s="88"/>
      <c r="B2041" s="88"/>
      <c r="C2041" s="88"/>
      <c r="D2041" s="88"/>
      <c r="E2041" s="88"/>
      <c r="F2041" s="89"/>
      <c r="G2041" s="89"/>
      <c r="H2041" s="89"/>
      <c r="I2041" s="88"/>
      <c r="J2041" s="88"/>
      <c r="K2041" s="88"/>
      <c r="L2041" s="88"/>
      <c r="M2041" s="88"/>
      <c r="N2041" s="88"/>
      <c r="O2041" s="88"/>
      <c r="P2041" s="88"/>
      <c r="Q2041" s="88"/>
      <c r="R2041" s="88"/>
      <c r="S2041" s="88"/>
      <c r="T2041" s="88"/>
      <c r="U2041" s="88"/>
      <c r="V2041" s="88"/>
      <c r="W2041" s="88"/>
      <c r="X2041" s="88"/>
      <c r="Y2041" s="88"/>
      <c r="Z2041" s="88"/>
    </row>
    <row r="2042" ht="17.25" customHeight="1">
      <c r="A2042" s="88"/>
      <c r="B2042" s="88"/>
      <c r="C2042" s="88"/>
      <c r="D2042" s="88"/>
      <c r="E2042" s="88"/>
      <c r="F2042" s="89"/>
      <c r="G2042" s="89"/>
      <c r="H2042" s="89"/>
      <c r="I2042" s="88"/>
      <c r="J2042" s="88"/>
      <c r="K2042" s="88"/>
      <c r="L2042" s="88"/>
      <c r="M2042" s="88"/>
      <c r="N2042" s="88"/>
      <c r="O2042" s="88"/>
      <c r="P2042" s="88"/>
      <c r="Q2042" s="88"/>
      <c r="R2042" s="88"/>
      <c r="S2042" s="88"/>
      <c r="T2042" s="88"/>
      <c r="U2042" s="88"/>
      <c r="V2042" s="88"/>
      <c r="W2042" s="88"/>
      <c r="X2042" s="88"/>
      <c r="Y2042" s="88"/>
      <c r="Z2042" s="88"/>
    </row>
    <row r="2043" ht="17.25" customHeight="1">
      <c r="A2043" s="88"/>
      <c r="B2043" s="88"/>
      <c r="C2043" s="88"/>
      <c r="D2043" s="88"/>
      <c r="E2043" s="88"/>
      <c r="F2043" s="89"/>
      <c r="G2043" s="89"/>
      <c r="H2043" s="89"/>
      <c r="I2043" s="88"/>
      <c r="J2043" s="88"/>
      <c r="K2043" s="88"/>
      <c r="L2043" s="88"/>
      <c r="M2043" s="88"/>
      <c r="N2043" s="88"/>
      <c r="O2043" s="88"/>
      <c r="P2043" s="88"/>
      <c r="Q2043" s="88"/>
      <c r="R2043" s="88"/>
      <c r="S2043" s="88"/>
      <c r="T2043" s="88"/>
      <c r="U2043" s="88"/>
      <c r="V2043" s="88"/>
      <c r="W2043" s="88"/>
      <c r="X2043" s="88"/>
      <c r="Y2043" s="88"/>
      <c r="Z2043" s="88"/>
    </row>
    <row r="2044" ht="17.25" customHeight="1">
      <c r="A2044" s="88"/>
      <c r="B2044" s="88"/>
      <c r="C2044" s="88"/>
      <c r="D2044" s="88"/>
      <c r="E2044" s="88"/>
      <c r="F2044" s="89"/>
      <c r="G2044" s="89"/>
      <c r="H2044" s="89"/>
      <c r="I2044" s="88"/>
      <c r="J2044" s="88"/>
      <c r="K2044" s="88"/>
      <c r="L2044" s="88"/>
      <c r="M2044" s="88"/>
      <c r="N2044" s="88"/>
      <c r="O2044" s="88"/>
      <c r="P2044" s="88"/>
      <c r="Q2044" s="88"/>
      <c r="R2044" s="88"/>
      <c r="S2044" s="88"/>
      <c r="T2044" s="88"/>
      <c r="U2044" s="88"/>
      <c r="V2044" s="88"/>
      <c r="W2044" s="88"/>
      <c r="X2044" s="88"/>
      <c r="Y2044" s="88"/>
      <c r="Z2044" s="88"/>
    </row>
    <row r="2045" ht="17.25" customHeight="1">
      <c r="A2045" s="88"/>
      <c r="B2045" s="88"/>
      <c r="C2045" s="88"/>
      <c r="D2045" s="88"/>
      <c r="E2045" s="88"/>
      <c r="F2045" s="89"/>
      <c r="G2045" s="89"/>
      <c r="H2045" s="89"/>
      <c r="I2045" s="88"/>
      <c r="J2045" s="88"/>
      <c r="K2045" s="88"/>
      <c r="L2045" s="88"/>
      <c r="M2045" s="88"/>
      <c r="N2045" s="88"/>
      <c r="O2045" s="88"/>
      <c r="P2045" s="88"/>
      <c r="Q2045" s="88"/>
      <c r="R2045" s="88"/>
      <c r="S2045" s="88"/>
      <c r="T2045" s="88"/>
      <c r="U2045" s="88"/>
      <c r="V2045" s="88"/>
      <c r="W2045" s="88"/>
      <c r="X2045" s="88"/>
      <c r="Y2045" s="88"/>
      <c r="Z2045" s="88"/>
    </row>
    <row r="2046" ht="17.25" customHeight="1">
      <c r="A2046" s="88"/>
      <c r="B2046" s="88"/>
      <c r="C2046" s="88"/>
      <c r="D2046" s="88"/>
      <c r="E2046" s="88"/>
      <c r="F2046" s="89"/>
      <c r="G2046" s="89"/>
      <c r="H2046" s="89"/>
      <c r="I2046" s="88"/>
      <c r="J2046" s="88"/>
      <c r="K2046" s="88"/>
      <c r="L2046" s="88"/>
      <c r="M2046" s="88"/>
      <c r="N2046" s="88"/>
      <c r="O2046" s="88"/>
      <c r="P2046" s="88"/>
      <c r="Q2046" s="88"/>
      <c r="R2046" s="88"/>
      <c r="S2046" s="88"/>
      <c r="T2046" s="88"/>
      <c r="U2046" s="88"/>
      <c r="V2046" s="88"/>
      <c r="W2046" s="88"/>
      <c r="X2046" s="88"/>
      <c r="Y2046" s="88"/>
      <c r="Z2046" s="88"/>
    </row>
    <row r="2047" ht="17.25" customHeight="1">
      <c r="A2047" s="88"/>
      <c r="B2047" s="88"/>
      <c r="C2047" s="88"/>
      <c r="D2047" s="88"/>
      <c r="E2047" s="88"/>
      <c r="F2047" s="89"/>
      <c r="G2047" s="89"/>
      <c r="H2047" s="89"/>
      <c r="I2047" s="88"/>
      <c r="J2047" s="88"/>
      <c r="K2047" s="88"/>
      <c r="L2047" s="88"/>
      <c r="M2047" s="88"/>
      <c r="N2047" s="88"/>
      <c r="O2047" s="88"/>
      <c r="P2047" s="88"/>
      <c r="Q2047" s="88"/>
      <c r="R2047" s="88"/>
      <c r="S2047" s="88"/>
      <c r="T2047" s="88"/>
      <c r="U2047" s="88"/>
      <c r="V2047" s="88"/>
      <c r="W2047" s="88"/>
      <c r="X2047" s="88"/>
      <c r="Y2047" s="88"/>
      <c r="Z2047" s="88"/>
    </row>
    <row r="2048" ht="17.25" customHeight="1">
      <c r="A2048" s="88"/>
      <c r="B2048" s="88"/>
      <c r="C2048" s="88"/>
      <c r="D2048" s="88"/>
      <c r="E2048" s="88"/>
      <c r="F2048" s="89"/>
      <c r="G2048" s="89"/>
      <c r="H2048" s="89"/>
      <c r="I2048" s="88"/>
      <c r="J2048" s="88"/>
      <c r="K2048" s="88"/>
      <c r="L2048" s="88"/>
      <c r="M2048" s="88"/>
      <c r="N2048" s="88"/>
      <c r="O2048" s="88"/>
      <c r="P2048" s="88"/>
      <c r="Q2048" s="88"/>
      <c r="R2048" s="88"/>
      <c r="S2048" s="88"/>
      <c r="T2048" s="88"/>
      <c r="U2048" s="88"/>
      <c r="V2048" s="88"/>
      <c r="W2048" s="88"/>
      <c r="X2048" s="88"/>
      <c r="Y2048" s="88"/>
      <c r="Z2048" s="88"/>
    </row>
    <row r="2049" ht="17.25" customHeight="1">
      <c r="A2049" s="88"/>
      <c r="B2049" s="88"/>
      <c r="C2049" s="88"/>
      <c r="D2049" s="88"/>
      <c r="E2049" s="88"/>
      <c r="F2049" s="89"/>
      <c r="G2049" s="89"/>
      <c r="H2049" s="89"/>
      <c r="I2049" s="88"/>
      <c r="J2049" s="88"/>
      <c r="K2049" s="88"/>
      <c r="L2049" s="88"/>
      <c r="M2049" s="88"/>
      <c r="N2049" s="88"/>
      <c r="O2049" s="88"/>
      <c r="P2049" s="88"/>
      <c r="Q2049" s="88"/>
      <c r="R2049" s="88"/>
      <c r="S2049" s="88"/>
      <c r="T2049" s="88"/>
      <c r="U2049" s="88"/>
      <c r="V2049" s="88"/>
      <c r="W2049" s="88"/>
      <c r="X2049" s="88"/>
      <c r="Y2049" s="88"/>
      <c r="Z2049" s="88"/>
    </row>
    <row r="2050" ht="17.25" customHeight="1">
      <c r="A2050" s="88"/>
      <c r="B2050" s="88"/>
      <c r="C2050" s="88"/>
      <c r="D2050" s="88"/>
      <c r="E2050" s="88"/>
      <c r="F2050" s="89"/>
      <c r="G2050" s="89"/>
      <c r="H2050" s="89"/>
      <c r="I2050" s="88"/>
      <c r="J2050" s="88"/>
      <c r="K2050" s="88"/>
      <c r="L2050" s="88"/>
      <c r="M2050" s="88"/>
      <c r="N2050" s="88"/>
      <c r="O2050" s="88"/>
      <c r="P2050" s="88"/>
      <c r="Q2050" s="88"/>
      <c r="R2050" s="88"/>
      <c r="S2050" s="88"/>
      <c r="T2050" s="88"/>
      <c r="U2050" s="88"/>
      <c r="V2050" s="88"/>
      <c r="W2050" s="88"/>
      <c r="X2050" s="88"/>
      <c r="Y2050" s="88"/>
      <c r="Z2050" s="88"/>
    </row>
    <row r="2051" ht="17.25" customHeight="1">
      <c r="A2051" s="88"/>
      <c r="B2051" s="88"/>
      <c r="C2051" s="88"/>
      <c r="D2051" s="88"/>
      <c r="E2051" s="88"/>
      <c r="F2051" s="89"/>
      <c r="G2051" s="89"/>
      <c r="H2051" s="89"/>
      <c r="I2051" s="88"/>
      <c r="J2051" s="88"/>
      <c r="K2051" s="88"/>
      <c r="L2051" s="88"/>
      <c r="M2051" s="88"/>
      <c r="N2051" s="88"/>
      <c r="O2051" s="88"/>
      <c r="P2051" s="88"/>
      <c r="Q2051" s="88"/>
      <c r="R2051" s="88"/>
      <c r="S2051" s="88"/>
      <c r="T2051" s="88"/>
      <c r="U2051" s="88"/>
      <c r="V2051" s="88"/>
      <c r="W2051" s="88"/>
      <c r="X2051" s="88"/>
      <c r="Y2051" s="88"/>
      <c r="Z2051" s="88"/>
    </row>
    <row r="2052" ht="17.25" customHeight="1">
      <c r="A2052" s="88"/>
      <c r="B2052" s="88"/>
      <c r="C2052" s="88"/>
      <c r="D2052" s="88"/>
      <c r="E2052" s="88"/>
      <c r="F2052" s="89"/>
      <c r="G2052" s="89"/>
      <c r="H2052" s="89"/>
      <c r="I2052" s="88"/>
      <c r="J2052" s="88"/>
      <c r="K2052" s="88"/>
      <c r="L2052" s="88"/>
      <c r="M2052" s="88"/>
      <c r="N2052" s="88"/>
      <c r="O2052" s="88"/>
      <c r="P2052" s="88"/>
      <c r="Q2052" s="88"/>
      <c r="R2052" s="88"/>
      <c r="S2052" s="88"/>
      <c r="T2052" s="88"/>
      <c r="U2052" s="88"/>
      <c r="V2052" s="88"/>
      <c r="W2052" s="88"/>
      <c r="X2052" s="88"/>
      <c r="Y2052" s="88"/>
      <c r="Z2052" s="88"/>
    </row>
    <row r="2053" ht="17.25" customHeight="1">
      <c r="A2053" s="88"/>
      <c r="B2053" s="88"/>
      <c r="C2053" s="88"/>
      <c r="D2053" s="88"/>
      <c r="E2053" s="88"/>
      <c r="F2053" s="89"/>
      <c r="G2053" s="89"/>
      <c r="H2053" s="89"/>
      <c r="I2053" s="88"/>
      <c r="J2053" s="88"/>
      <c r="K2053" s="88"/>
      <c r="L2053" s="88"/>
      <c r="M2053" s="88"/>
      <c r="N2053" s="88"/>
      <c r="O2053" s="88"/>
      <c r="P2053" s="88"/>
      <c r="Q2053" s="88"/>
      <c r="R2053" s="88"/>
      <c r="S2053" s="88"/>
      <c r="T2053" s="88"/>
      <c r="U2053" s="88"/>
      <c r="V2053" s="88"/>
      <c r="W2053" s="88"/>
      <c r="X2053" s="88"/>
      <c r="Y2053" s="88"/>
      <c r="Z2053" s="88"/>
    </row>
    <row r="2054" ht="17.25" customHeight="1">
      <c r="A2054" s="88"/>
      <c r="B2054" s="88"/>
      <c r="C2054" s="88"/>
      <c r="D2054" s="88"/>
      <c r="E2054" s="88"/>
      <c r="F2054" s="89"/>
      <c r="G2054" s="89"/>
      <c r="H2054" s="89"/>
      <c r="I2054" s="88"/>
      <c r="J2054" s="88"/>
      <c r="K2054" s="88"/>
      <c r="L2054" s="88"/>
      <c r="M2054" s="88"/>
      <c r="N2054" s="88"/>
      <c r="O2054" s="88"/>
      <c r="P2054" s="88"/>
      <c r="Q2054" s="88"/>
      <c r="R2054" s="88"/>
      <c r="S2054" s="88"/>
      <c r="T2054" s="88"/>
      <c r="U2054" s="88"/>
      <c r="V2054" s="88"/>
      <c r="W2054" s="88"/>
      <c r="X2054" s="88"/>
      <c r="Y2054" s="88"/>
      <c r="Z2054" s="88"/>
    </row>
    <row r="2055" ht="17.25" customHeight="1">
      <c r="A2055" s="88"/>
      <c r="B2055" s="88"/>
      <c r="C2055" s="88"/>
      <c r="D2055" s="88"/>
      <c r="E2055" s="88"/>
      <c r="F2055" s="89"/>
      <c r="G2055" s="89"/>
      <c r="H2055" s="89"/>
      <c r="I2055" s="88"/>
      <c r="J2055" s="88"/>
      <c r="K2055" s="88"/>
      <c r="L2055" s="88"/>
      <c r="M2055" s="88"/>
      <c r="N2055" s="88"/>
      <c r="O2055" s="88"/>
      <c r="P2055" s="88"/>
      <c r="Q2055" s="88"/>
      <c r="R2055" s="88"/>
      <c r="S2055" s="88"/>
      <c r="T2055" s="88"/>
      <c r="U2055" s="88"/>
      <c r="V2055" s="88"/>
      <c r="W2055" s="88"/>
      <c r="X2055" s="88"/>
      <c r="Y2055" s="88"/>
      <c r="Z2055" s="88"/>
    </row>
    <row r="2056" ht="17.25" customHeight="1">
      <c r="A2056" s="88"/>
      <c r="B2056" s="88"/>
      <c r="C2056" s="88"/>
      <c r="D2056" s="88"/>
      <c r="E2056" s="88"/>
      <c r="F2056" s="89"/>
      <c r="G2056" s="89"/>
      <c r="H2056" s="89"/>
      <c r="I2056" s="88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U2056" s="88"/>
      <c r="V2056" s="88"/>
      <c r="W2056" s="88"/>
      <c r="X2056" s="88"/>
      <c r="Y2056" s="88"/>
      <c r="Z2056" s="88"/>
    </row>
    <row r="2057" ht="17.25" customHeight="1">
      <c r="A2057" s="88"/>
      <c r="B2057" s="88"/>
      <c r="C2057" s="88"/>
      <c r="D2057" s="88"/>
      <c r="E2057" s="88"/>
      <c r="F2057" s="89"/>
      <c r="G2057" s="89"/>
      <c r="H2057" s="89"/>
      <c r="I2057" s="88"/>
      <c r="J2057" s="88"/>
      <c r="K2057" s="88"/>
      <c r="L2057" s="88"/>
      <c r="M2057" s="88"/>
      <c r="N2057" s="88"/>
      <c r="O2057" s="88"/>
      <c r="P2057" s="88"/>
      <c r="Q2057" s="88"/>
      <c r="R2057" s="88"/>
      <c r="S2057" s="88"/>
      <c r="T2057" s="88"/>
      <c r="U2057" s="88"/>
      <c r="V2057" s="88"/>
      <c r="W2057" s="88"/>
      <c r="X2057" s="88"/>
      <c r="Y2057" s="88"/>
      <c r="Z2057" s="88"/>
    </row>
    <row r="2058" ht="17.25" customHeight="1">
      <c r="A2058" s="88"/>
      <c r="B2058" s="88"/>
      <c r="C2058" s="88"/>
      <c r="D2058" s="88"/>
      <c r="E2058" s="88"/>
      <c r="F2058" s="89"/>
      <c r="G2058" s="89"/>
      <c r="H2058" s="89"/>
      <c r="I2058" s="88"/>
      <c r="J2058" s="88"/>
      <c r="K2058" s="88"/>
      <c r="L2058" s="88"/>
      <c r="M2058" s="88"/>
      <c r="N2058" s="88"/>
      <c r="O2058" s="88"/>
      <c r="P2058" s="88"/>
      <c r="Q2058" s="88"/>
      <c r="R2058" s="88"/>
      <c r="S2058" s="88"/>
      <c r="T2058" s="88"/>
      <c r="U2058" s="88"/>
      <c r="V2058" s="88"/>
      <c r="W2058" s="88"/>
      <c r="X2058" s="88"/>
      <c r="Y2058" s="88"/>
      <c r="Z2058" s="88"/>
    </row>
    <row r="2059" ht="17.25" customHeight="1">
      <c r="A2059" s="88"/>
      <c r="B2059" s="88"/>
      <c r="C2059" s="88"/>
      <c r="D2059" s="88"/>
      <c r="E2059" s="88"/>
      <c r="F2059" s="89"/>
      <c r="G2059" s="89"/>
      <c r="H2059" s="89"/>
      <c r="I2059" s="88"/>
      <c r="J2059" s="88"/>
      <c r="K2059" s="88"/>
      <c r="L2059" s="88"/>
      <c r="M2059" s="88"/>
      <c r="N2059" s="88"/>
      <c r="O2059" s="88"/>
      <c r="P2059" s="88"/>
      <c r="Q2059" s="88"/>
      <c r="R2059" s="88"/>
      <c r="S2059" s="88"/>
      <c r="T2059" s="88"/>
      <c r="U2059" s="88"/>
      <c r="V2059" s="88"/>
      <c r="W2059" s="88"/>
      <c r="X2059" s="88"/>
      <c r="Y2059" s="88"/>
      <c r="Z2059" s="88"/>
    </row>
    <row r="2060" ht="17.25" customHeight="1">
      <c r="A2060" s="88"/>
      <c r="B2060" s="88"/>
      <c r="C2060" s="88"/>
      <c r="D2060" s="88"/>
      <c r="E2060" s="88"/>
      <c r="F2060" s="89"/>
      <c r="G2060" s="89"/>
      <c r="H2060" s="89"/>
      <c r="I2060" s="88"/>
      <c r="J2060" s="88"/>
      <c r="K2060" s="88"/>
      <c r="L2060" s="88"/>
      <c r="M2060" s="88"/>
      <c r="N2060" s="88"/>
      <c r="O2060" s="88"/>
      <c r="P2060" s="88"/>
      <c r="Q2060" s="88"/>
      <c r="R2060" s="88"/>
      <c r="S2060" s="88"/>
      <c r="T2060" s="88"/>
      <c r="U2060" s="88"/>
      <c r="V2060" s="88"/>
      <c r="W2060" s="88"/>
      <c r="X2060" s="88"/>
      <c r="Y2060" s="88"/>
      <c r="Z2060" s="88"/>
    </row>
    <row r="2061" ht="17.25" customHeight="1">
      <c r="A2061" s="88"/>
      <c r="B2061" s="88"/>
      <c r="C2061" s="88"/>
      <c r="D2061" s="88"/>
      <c r="E2061" s="88"/>
      <c r="F2061" s="89"/>
      <c r="G2061" s="89"/>
      <c r="H2061" s="89"/>
      <c r="I2061" s="88"/>
      <c r="J2061" s="88"/>
      <c r="K2061" s="88"/>
      <c r="L2061" s="88"/>
      <c r="M2061" s="88"/>
      <c r="N2061" s="88"/>
      <c r="O2061" s="88"/>
      <c r="P2061" s="88"/>
      <c r="Q2061" s="88"/>
      <c r="R2061" s="88"/>
      <c r="S2061" s="88"/>
      <c r="T2061" s="88"/>
      <c r="U2061" s="88"/>
      <c r="V2061" s="88"/>
      <c r="W2061" s="88"/>
      <c r="X2061" s="88"/>
      <c r="Y2061" s="88"/>
      <c r="Z2061" s="88"/>
    </row>
    <row r="2062" ht="17.25" customHeight="1">
      <c r="A2062" s="88"/>
      <c r="B2062" s="88"/>
      <c r="C2062" s="88"/>
      <c r="D2062" s="88"/>
      <c r="E2062" s="88"/>
      <c r="F2062" s="89"/>
      <c r="G2062" s="89"/>
      <c r="H2062" s="89"/>
      <c r="I2062" s="88"/>
      <c r="J2062" s="88"/>
      <c r="K2062" s="88"/>
      <c r="L2062" s="88"/>
      <c r="M2062" s="88"/>
      <c r="N2062" s="88"/>
      <c r="O2062" s="88"/>
      <c r="P2062" s="88"/>
      <c r="Q2062" s="88"/>
      <c r="R2062" s="88"/>
      <c r="S2062" s="88"/>
      <c r="T2062" s="88"/>
      <c r="U2062" s="88"/>
      <c r="V2062" s="88"/>
      <c r="W2062" s="88"/>
      <c r="X2062" s="88"/>
      <c r="Y2062" s="88"/>
      <c r="Z2062" s="88"/>
    </row>
    <row r="2063" ht="17.25" customHeight="1">
      <c r="A2063" s="88"/>
      <c r="B2063" s="88"/>
      <c r="C2063" s="88"/>
      <c r="D2063" s="88"/>
      <c r="E2063" s="88"/>
      <c r="F2063" s="89"/>
      <c r="G2063" s="89"/>
      <c r="H2063" s="89"/>
      <c r="I2063" s="88"/>
      <c r="J2063" s="88"/>
      <c r="K2063" s="88"/>
      <c r="L2063" s="88"/>
      <c r="M2063" s="88"/>
      <c r="N2063" s="88"/>
      <c r="O2063" s="88"/>
      <c r="P2063" s="88"/>
      <c r="Q2063" s="88"/>
      <c r="R2063" s="88"/>
      <c r="S2063" s="88"/>
      <c r="T2063" s="88"/>
      <c r="U2063" s="88"/>
      <c r="V2063" s="88"/>
      <c r="W2063" s="88"/>
      <c r="X2063" s="88"/>
      <c r="Y2063" s="88"/>
      <c r="Z2063" s="88"/>
    </row>
    <row r="2064" ht="17.25" customHeight="1">
      <c r="A2064" s="88"/>
      <c r="B2064" s="88"/>
      <c r="C2064" s="88"/>
      <c r="D2064" s="88"/>
      <c r="E2064" s="88"/>
      <c r="F2064" s="89"/>
      <c r="G2064" s="89"/>
      <c r="H2064" s="89"/>
      <c r="I2064" s="88"/>
      <c r="J2064" s="88"/>
      <c r="K2064" s="88"/>
      <c r="L2064" s="88"/>
      <c r="M2064" s="88"/>
      <c r="N2064" s="88"/>
      <c r="O2064" s="88"/>
      <c r="P2064" s="88"/>
      <c r="Q2064" s="88"/>
      <c r="R2064" s="88"/>
      <c r="S2064" s="88"/>
      <c r="T2064" s="88"/>
      <c r="U2064" s="88"/>
      <c r="V2064" s="88"/>
      <c r="W2064" s="88"/>
      <c r="X2064" s="88"/>
      <c r="Y2064" s="88"/>
      <c r="Z2064" s="88"/>
    </row>
    <row r="2065" ht="17.25" customHeight="1">
      <c r="A2065" s="88"/>
      <c r="B2065" s="88"/>
      <c r="C2065" s="88"/>
      <c r="D2065" s="88"/>
      <c r="E2065" s="88"/>
      <c r="F2065" s="89"/>
      <c r="G2065" s="89"/>
      <c r="H2065" s="89"/>
      <c r="I2065" s="88"/>
      <c r="J2065" s="88"/>
      <c r="K2065" s="88"/>
      <c r="L2065" s="88"/>
      <c r="M2065" s="88"/>
      <c r="N2065" s="88"/>
      <c r="O2065" s="88"/>
      <c r="P2065" s="88"/>
      <c r="Q2065" s="88"/>
      <c r="R2065" s="88"/>
      <c r="S2065" s="88"/>
      <c r="T2065" s="88"/>
      <c r="U2065" s="88"/>
      <c r="V2065" s="88"/>
      <c r="W2065" s="88"/>
      <c r="X2065" s="88"/>
      <c r="Y2065" s="88"/>
      <c r="Z2065" s="88"/>
    </row>
    <row r="2066" ht="17.25" customHeight="1">
      <c r="A2066" s="88"/>
      <c r="B2066" s="88"/>
      <c r="C2066" s="88"/>
      <c r="D2066" s="88"/>
      <c r="E2066" s="88"/>
      <c r="F2066" s="89"/>
      <c r="G2066" s="89"/>
      <c r="H2066" s="89"/>
      <c r="I2066" s="88"/>
      <c r="J2066" s="88"/>
      <c r="K2066" s="88"/>
      <c r="L2066" s="88"/>
      <c r="M2066" s="88"/>
      <c r="N2066" s="88"/>
      <c r="O2066" s="88"/>
      <c r="P2066" s="88"/>
      <c r="Q2066" s="88"/>
      <c r="R2066" s="88"/>
      <c r="S2066" s="88"/>
      <c r="T2066" s="88"/>
      <c r="U2066" s="88"/>
      <c r="V2066" s="88"/>
      <c r="W2066" s="88"/>
      <c r="X2066" s="88"/>
      <c r="Y2066" s="88"/>
      <c r="Z2066" s="88"/>
    </row>
    <row r="2067" ht="17.25" customHeight="1">
      <c r="A2067" s="88"/>
      <c r="B2067" s="88"/>
      <c r="C2067" s="88"/>
      <c r="D2067" s="88"/>
      <c r="E2067" s="88"/>
      <c r="F2067" s="89"/>
      <c r="G2067" s="89"/>
      <c r="H2067" s="89"/>
      <c r="I2067" s="88"/>
      <c r="J2067" s="88"/>
      <c r="K2067" s="88"/>
      <c r="L2067" s="88"/>
      <c r="M2067" s="88"/>
      <c r="N2067" s="88"/>
      <c r="O2067" s="88"/>
      <c r="P2067" s="88"/>
      <c r="Q2067" s="88"/>
      <c r="R2067" s="88"/>
      <c r="S2067" s="88"/>
      <c r="T2067" s="88"/>
      <c r="U2067" s="88"/>
      <c r="V2067" s="88"/>
      <c r="W2067" s="88"/>
      <c r="X2067" s="88"/>
      <c r="Y2067" s="88"/>
      <c r="Z2067" s="88"/>
    </row>
    <row r="2068" ht="17.25" customHeight="1">
      <c r="A2068" s="88"/>
      <c r="B2068" s="88"/>
      <c r="C2068" s="88"/>
      <c r="D2068" s="88"/>
      <c r="E2068" s="88"/>
      <c r="F2068" s="89"/>
      <c r="G2068" s="89"/>
      <c r="H2068" s="89"/>
      <c r="I2068" s="88"/>
      <c r="J2068" s="88"/>
      <c r="K2068" s="88"/>
      <c r="L2068" s="88"/>
      <c r="M2068" s="88"/>
      <c r="N2068" s="88"/>
      <c r="O2068" s="88"/>
      <c r="P2068" s="88"/>
      <c r="Q2068" s="88"/>
      <c r="R2068" s="88"/>
      <c r="S2068" s="88"/>
      <c r="T2068" s="88"/>
      <c r="U2068" s="88"/>
      <c r="V2068" s="88"/>
      <c r="W2068" s="88"/>
      <c r="X2068" s="88"/>
      <c r="Y2068" s="88"/>
      <c r="Z2068" s="88"/>
    </row>
    <row r="2069" ht="17.25" customHeight="1">
      <c r="A2069" s="88"/>
      <c r="B2069" s="88"/>
      <c r="C2069" s="88"/>
      <c r="D2069" s="88"/>
      <c r="E2069" s="88"/>
      <c r="F2069" s="89"/>
      <c r="G2069" s="89"/>
      <c r="H2069" s="89"/>
      <c r="I2069" s="88"/>
      <c r="J2069" s="88"/>
      <c r="K2069" s="88"/>
      <c r="L2069" s="88"/>
      <c r="M2069" s="88"/>
      <c r="N2069" s="88"/>
      <c r="O2069" s="88"/>
      <c r="P2069" s="88"/>
      <c r="Q2069" s="88"/>
      <c r="R2069" s="88"/>
      <c r="S2069" s="88"/>
      <c r="T2069" s="88"/>
      <c r="U2069" s="88"/>
      <c r="V2069" s="88"/>
      <c r="W2069" s="88"/>
      <c r="X2069" s="88"/>
      <c r="Y2069" s="88"/>
      <c r="Z2069" s="88"/>
    </row>
    <row r="2070" ht="17.25" customHeight="1">
      <c r="A2070" s="88"/>
      <c r="B2070" s="88"/>
      <c r="C2070" s="88"/>
      <c r="D2070" s="88"/>
      <c r="E2070" s="88"/>
      <c r="F2070" s="89"/>
      <c r="G2070" s="89"/>
      <c r="H2070" s="89"/>
      <c r="I2070" s="88"/>
      <c r="J2070" s="88"/>
      <c r="K2070" s="88"/>
      <c r="L2070" s="88"/>
      <c r="M2070" s="88"/>
      <c r="N2070" s="88"/>
      <c r="O2070" s="88"/>
      <c r="P2070" s="88"/>
      <c r="Q2070" s="88"/>
      <c r="R2070" s="88"/>
      <c r="S2070" s="88"/>
      <c r="T2070" s="88"/>
      <c r="U2070" s="88"/>
      <c r="V2070" s="88"/>
      <c r="W2070" s="88"/>
      <c r="X2070" s="88"/>
      <c r="Y2070" s="88"/>
      <c r="Z2070" s="88"/>
    </row>
    <row r="2071" ht="17.25" customHeight="1">
      <c r="A2071" s="88"/>
      <c r="B2071" s="88"/>
      <c r="C2071" s="88"/>
      <c r="D2071" s="88"/>
      <c r="E2071" s="88"/>
      <c r="F2071" s="89"/>
      <c r="G2071" s="89"/>
      <c r="H2071" s="89"/>
      <c r="I2071" s="88"/>
      <c r="J2071" s="88"/>
      <c r="K2071" s="88"/>
      <c r="L2071" s="88"/>
      <c r="M2071" s="88"/>
      <c r="N2071" s="88"/>
      <c r="O2071" s="88"/>
      <c r="P2071" s="88"/>
      <c r="Q2071" s="88"/>
      <c r="R2071" s="88"/>
      <c r="S2071" s="88"/>
      <c r="T2071" s="88"/>
      <c r="U2071" s="88"/>
      <c r="V2071" s="88"/>
      <c r="W2071" s="88"/>
      <c r="X2071" s="88"/>
      <c r="Y2071" s="88"/>
      <c r="Z2071" s="88"/>
    </row>
    <row r="2072" ht="17.25" customHeight="1">
      <c r="A2072" s="88"/>
      <c r="B2072" s="88"/>
      <c r="C2072" s="88"/>
      <c r="D2072" s="88"/>
      <c r="E2072" s="88"/>
      <c r="F2072" s="89"/>
      <c r="G2072" s="89"/>
      <c r="H2072" s="89"/>
      <c r="I2072" s="88"/>
      <c r="J2072" s="88"/>
      <c r="K2072" s="88"/>
      <c r="L2072" s="88"/>
      <c r="M2072" s="88"/>
      <c r="N2072" s="88"/>
      <c r="O2072" s="88"/>
      <c r="P2072" s="88"/>
      <c r="Q2072" s="88"/>
      <c r="R2072" s="88"/>
      <c r="S2072" s="88"/>
      <c r="T2072" s="88"/>
      <c r="U2072" s="88"/>
      <c r="V2072" s="88"/>
      <c r="W2072" s="88"/>
      <c r="X2072" s="88"/>
      <c r="Y2072" s="88"/>
      <c r="Z2072" s="88"/>
    </row>
    <row r="2073" ht="17.25" customHeight="1">
      <c r="A2073" s="88"/>
      <c r="B2073" s="88"/>
      <c r="C2073" s="88"/>
      <c r="D2073" s="88"/>
      <c r="E2073" s="88"/>
      <c r="F2073" s="89"/>
      <c r="G2073" s="89"/>
      <c r="H2073" s="89"/>
      <c r="I2073" s="88"/>
      <c r="J2073" s="88"/>
      <c r="K2073" s="88"/>
      <c r="L2073" s="88"/>
      <c r="M2073" s="88"/>
      <c r="N2073" s="88"/>
      <c r="O2073" s="88"/>
      <c r="P2073" s="88"/>
      <c r="Q2073" s="88"/>
      <c r="R2073" s="88"/>
      <c r="S2073" s="88"/>
      <c r="T2073" s="88"/>
      <c r="U2073" s="88"/>
      <c r="V2073" s="88"/>
      <c r="W2073" s="88"/>
      <c r="X2073" s="88"/>
      <c r="Y2073" s="88"/>
      <c r="Z2073" s="88"/>
    </row>
    <row r="2074" ht="17.25" customHeight="1">
      <c r="A2074" s="88"/>
      <c r="B2074" s="88"/>
      <c r="C2074" s="88"/>
      <c r="D2074" s="88"/>
      <c r="E2074" s="88"/>
      <c r="F2074" s="89"/>
      <c r="G2074" s="89"/>
      <c r="H2074" s="89"/>
      <c r="I2074" s="88"/>
      <c r="J2074" s="88"/>
      <c r="K2074" s="88"/>
      <c r="L2074" s="88"/>
      <c r="M2074" s="88"/>
      <c r="N2074" s="88"/>
      <c r="O2074" s="88"/>
      <c r="P2074" s="88"/>
      <c r="Q2074" s="88"/>
      <c r="R2074" s="88"/>
      <c r="S2074" s="88"/>
      <c r="T2074" s="88"/>
      <c r="U2074" s="88"/>
      <c r="V2074" s="88"/>
      <c r="W2074" s="88"/>
      <c r="X2074" s="88"/>
      <c r="Y2074" s="88"/>
      <c r="Z2074" s="88"/>
    </row>
    <row r="2075" ht="17.25" customHeight="1">
      <c r="A2075" s="88"/>
      <c r="B2075" s="88"/>
      <c r="C2075" s="88"/>
      <c r="D2075" s="88"/>
      <c r="E2075" s="88"/>
      <c r="F2075" s="89"/>
      <c r="G2075" s="89"/>
      <c r="H2075" s="89"/>
      <c r="I2075" s="88"/>
      <c r="J2075" s="88"/>
      <c r="K2075" s="88"/>
      <c r="L2075" s="88"/>
      <c r="M2075" s="88"/>
      <c r="N2075" s="88"/>
      <c r="O2075" s="88"/>
      <c r="P2075" s="88"/>
      <c r="Q2075" s="88"/>
      <c r="R2075" s="88"/>
      <c r="S2075" s="88"/>
      <c r="T2075" s="88"/>
      <c r="U2075" s="88"/>
      <c r="V2075" s="88"/>
      <c r="W2075" s="88"/>
      <c r="X2075" s="88"/>
      <c r="Y2075" s="88"/>
      <c r="Z2075" s="88"/>
    </row>
    <row r="2076" ht="17.25" customHeight="1">
      <c r="A2076" s="88"/>
      <c r="B2076" s="88"/>
      <c r="C2076" s="88"/>
      <c r="D2076" s="88"/>
      <c r="E2076" s="88"/>
      <c r="F2076" s="89"/>
      <c r="G2076" s="89"/>
      <c r="H2076" s="89"/>
      <c r="I2076" s="88"/>
      <c r="J2076" s="88"/>
      <c r="K2076" s="88"/>
      <c r="L2076" s="88"/>
      <c r="M2076" s="88"/>
      <c r="N2076" s="88"/>
      <c r="O2076" s="88"/>
      <c r="P2076" s="88"/>
      <c r="Q2076" s="88"/>
      <c r="R2076" s="88"/>
      <c r="S2076" s="88"/>
      <c r="T2076" s="88"/>
      <c r="U2076" s="88"/>
      <c r="V2076" s="88"/>
      <c r="W2076" s="88"/>
      <c r="X2076" s="88"/>
      <c r="Y2076" s="88"/>
      <c r="Z2076" s="88"/>
    </row>
    <row r="2077" ht="17.25" customHeight="1">
      <c r="A2077" s="88"/>
      <c r="B2077" s="88"/>
      <c r="C2077" s="88"/>
      <c r="D2077" s="88"/>
      <c r="E2077" s="88"/>
      <c r="F2077" s="89"/>
      <c r="G2077" s="89"/>
      <c r="H2077" s="89"/>
      <c r="I2077" s="88"/>
      <c r="J2077" s="88"/>
      <c r="K2077" s="88"/>
      <c r="L2077" s="88"/>
      <c r="M2077" s="88"/>
      <c r="N2077" s="88"/>
      <c r="O2077" s="88"/>
      <c r="P2077" s="88"/>
      <c r="Q2077" s="88"/>
      <c r="R2077" s="88"/>
      <c r="S2077" s="88"/>
      <c r="T2077" s="88"/>
      <c r="U2077" s="88"/>
      <c r="V2077" s="88"/>
      <c r="W2077" s="88"/>
      <c r="X2077" s="88"/>
      <c r="Y2077" s="88"/>
      <c r="Z2077" s="88"/>
    </row>
    <row r="2078" ht="17.25" customHeight="1">
      <c r="A2078" s="88"/>
      <c r="B2078" s="88"/>
      <c r="C2078" s="88"/>
      <c r="D2078" s="88"/>
      <c r="E2078" s="88"/>
      <c r="F2078" s="89"/>
      <c r="G2078" s="89"/>
      <c r="H2078" s="89"/>
      <c r="I2078" s="88"/>
      <c r="J2078" s="88"/>
      <c r="K2078" s="88"/>
      <c r="L2078" s="88"/>
      <c r="M2078" s="88"/>
      <c r="N2078" s="88"/>
      <c r="O2078" s="88"/>
      <c r="P2078" s="88"/>
      <c r="Q2078" s="88"/>
      <c r="R2078" s="88"/>
      <c r="S2078" s="88"/>
      <c r="T2078" s="88"/>
      <c r="U2078" s="88"/>
      <c r="V2078" s="88"/>
      <c r="W2078" s="88"/>
      <c r="X2078" s="88"/>
      <c r="Y2078" s="88"/>
      <c r="Z2078" s="88"/>
    </row>
    <row r="2079" ht="17.25" customHeight="1">
      <c r="A2079" s="88"/>
      <c r="B2079" s="88"/>
      <c r="C2079" s="88"/>
      <c r="D2079" s="88"/>
      <c r="E2079" s="88"/>
      <c r="F2079" s="89"/>
      <c r="G2079" s="89"/>
      <c r="H2079" s="89"/>
      <c r="I2079" s="88"/>
      <c r="J2079" s="88"/>
      <c r="K2079" s="88"/>
      <c r="L2079" s="88"/>
      <c r="M2079" s="88"/>
      <c r="N2079" s="88"/>
      <c r="O2079" s="88"/>
      <c r="P2079" s="88"/>
      <c r="Q2079" s="88"/>
      <c r="R2079" s="88"/>
      <c r="S2079" s="88"/>
      <c r="T2079" s="88"/>
      <c r="U2079" s="88"/>
      <c r="V2079" s="88"/>
      <c r="W2079" s="88"/>
      <c r="X2079" s="88"/>
      <c r="Y2079" s="88"/>
      <c r="Z2079" s="88"/>
    </row>
    <row r="2080" ht="17.25" customHeight="1">
      <c r="A2080" s="88"/>
      <c r="B2080" s="88"/>
      <c r="C2080" s="88"/>
      <c r="D2080" s="88"/>
      <c r="E2080" s="88"/>
      <c r="F2080" s="89"/>
      <c r="G2080" s="89"/>
      <c r="H2080" s="89"/>
      <c r="I2080" s="88"/>
      <c r="J2080" s="88"/>
      <c r="K2080" s="88"/>
      <c r="L2080" s="88"/>
      <c r="M2080" s="88"/>
      <c r="N2080" s="88"/>
      <c r="O2080" s="88"/>
      <c r="P2080" s="88"/>
      <c r="Q2080" s="88"/>
      <c r="R2080" s="88"/>
      <c r="S2080" s="88"/>
      <c r="T2080" s="88"/>
      <c r="U2080" s="88"/>
      <c r="V2080" s="88"/>
      <c r="W2080" s="88"/>
      <c r="X2080" s="88"/>
      <c r="Y2080" s="88"/>
      <c r="Z2080" s="88"/>
    </row>
    <row r="2081" ht="17.25" customHeight="1">
      <c r="A2081" s="88"/>
      <c r="B2081" s="88"/>
      <c r="C2081" s="88"/>
      <c r="D2081" s="88"/>
      <c r="E2081" s="88"/>
      <c r="F2081" s="89"/>
      <c r="G2081" s="89"/>
      <c r="H2081" s="89"/>
      <c r="I2081" s="88"/>
      <c r="J2081" s="88"/>
      <c r="K2081" s="88"/>
      <c r="L2081" s="88"/>
      <c r="M2081" s="88"/>
      <c r="N2081" s="88"/>
      <c r="O2081" s="88"/>
      <c r="P2081" s="88"/>
      <c r="Q2081" s="88"/>
      <c r="R2081" s="88"/>
      <c r="S2081" s="88"/>
      <c r="T2081" s="88"/>
      <c r="U2081" s="88"/>
      <c r="V2081" s="88"/>
      <c r="W2081" s="88"/>
      <c r="X2081" s="88"/>
      <c r="Y2081" s="88"/>
      <c r="Z2081" s="88"/>
    </row>
    <row r="2082" ht="17.25" customHeight="1">
      <c r="A2082" s="88"/>
      <c r="B2082" s="88"/>
      <c r="C2082" s="88"/>
      <c r="D2082" s="88"/>
      <c r="E2082" s="88"/>
      <c r="F2082" s="89"/>
      <c r="G2082" s="89"/>
      <c r="H2082" s="89"/>
      <c r="I2082" s="88"/>
      <c r="J2082" s="88"/>
      <c r="K2082" s="88"/>
      <c r="L2082" s="88"/>
      <c r="M2082" s="88"/>
      <c r="N2082" s="88"/>
      <c r="O2082" s="88"/>
      <c r="P2082" s="88"/>
      <c r="Q2082" s="88"/>
      <c r="R2082" s="88"/>
      <c r="S2082" s="88"/>
      <c r="T2082" s="88"/>
      <c r="U2082" s="88"/>
      <c r="V2082" s="88"/>
      <c r="W2082" s="88"/>
      <c r="X2082" s="88"/>
      <c r="Y2082" s="88"/>
      <c r="Z2082" s="88"/>
    </row>
    <row r="2083" ht="17.25" customHeight="1">
      <c r="A2083" s="88"/>
      <c r="B2083" s="88"/>
      <c r="C2083" s="88"/>
      <c r="D2083" s="88"/>
      <c r="E2083" s="88"/>
      <c r="F2083" s="89"/>
      <c r="G2083" s="89"/>
      <c r="H2083" s="89"/>
      <c r="I2083" s="88"/>
      <c r="J2083" s="88"/>
      <c r="K2083" s="88"/>
      <c r="L2083" s="88"/>
      <c r="M2083" s="88"/>
      <c r="N2083" s="88"/>
      <c r="O2083" s="88"/>
      <c r="P2083" s="88"/>
      <c r="Q2083" s="88"/>
      <c r="R2083" s="88"/>
      <c r="S2083" s="88"/>
      <c r="T2083" s="88"/>
      <c r="U2083" s="88"/>
      <c r="V2083" s="88"/>
      <c r="W2083" s="88"/>
      <c r="X2083" s="88"/>
      <c r="Y2083" s="88"/>
      <c r="Z2083" s="88"/>
    </row>
    <row r="2084" ht="17.25" customHeight="1">
      <c r="A2084" s="88"/>
      <c r="B2084" s="88"/>
      <c r="C2084" s="88"/>
      <c r="D2084" s="88"/>
      <c r="E2084" s="88"/>
      <c r="F2084" s="89"/>
      <c r="G2084" s="89"/>
      <c r="H2084" s="89"/>
      <c r="I2084" s="88"/>
      <c r="J2084" s="88"/>
      <c r="K2084" s="88"/>
      <c r="L2084" s="88"/>
      <c r="M2084" s="88"/>
      <c r="N2084" s="88"/>
      <c r="O2084" s="88"/>
      <c r="P2084" s="88"/>
      <c r="Q2084" s="88"/>
      <c r="R2084" s="88"/>
      <c r="S2084" s="88"/>
      <c r="T2084" s="88"/>
      <c r="U2084" s="88"/>
      <c r="V2084" s="88"/>
      <c r="W2084" s="88"/>
      <c r="X2084" s="88"/>
      <c r="Y2084" s="88"/>
      <c r="Z2084" s="88"/>
    </row>
    <row r="2085" ht="17.25" customHeight="1">
      <c r="A2085" s="88"/>
      <c r="B2085" s="88"/>
      <c r="C2085" s="88"/>
      <c r="D2085" s="88"/>
      <c r="E2085" s="88"/>
      <c r="F2085" s="89"/>
      <c r="G2085" s="89"/>
      <c r="H2085" s="89"/>
      <c r="I2085" s="88"/>
      <c r="J2085" s="88"/>
      <c r="K2085" s="88"/>
      <c r="L2085" s="88"/>
      <c r="M2085" s="88"/>
      <c r="N2085" s="88"/>
      <c r="O2085" s="88"/>
      <c r="P2085" s="88"/>
      <c r="Q2085" s="88"/>
      <c r="R2085" s="88"/>
      <c r="S2085" s="88"/>
      <c r="T2085" s="88"/>
      <c r="U2085" s="88"/>
      <c r="V2085" s="88"/>
      <c r="W2085" s="88"/>
      <c r="X2085" s="88"/>
      <c r="Y2085" s="88"/>
      <c r="Z2085" s="88"/>
    </row>
    <row r="2086" ht="17.25" customHeight="1">
      <c r="A2086" s="88"/>
      <c r="B2086" s="88"/>
      <c r="C2086" s="88"/>
      <c r="D2086" s="88"/>
      <c r="E2086" s="88"/>
      <c r="F2086" s="89"/>
      <c r="G2086" s="89"/>
      <c r="H2086" s="89"/>
      <c r="I2086" s="88"/>
      <c r="J2086" s="88"/>
      <c r="K2086" s="88"/>
      <c r="L2086" s="88"/>
      <c r="M2086" s="88"/>
      <c r="N2086" s="88"/>
      <c r="O2086" s="88"/>
      <c r="P2086" s="88"/>
      <c r="Q2086" s="88"/>
      <c r="R2086" s="88"/>
      <c r="S2086" s="88"/>
      <c r="T2086" s="88"/>
      <c r="U2086" s="88"/>
      <c r="V2086" s="88"/>
      <c r="W2086" s="88"/>
      <c r="X2086" s="88"/>
      <c r="Y2086" s="88"/>
      <c r="Z2086" s="88"/>
    </row>
    <row r="2087" ht="17.25" customHeight="1">
      <c r="A2087" s="88"/>
      <c r="B2087" s="88"/>
      <c r="C2087" s="88"/>
      <c r="D2087" s="88"/>
      <c r="E2087" s="88"/>
      <c r="F2087" s="89"/>
      <c r="G2087" s="89"/>
      <c r="H2087" s="89"/>
      <c r="I2087" s="88"/>
      <c r="J2087" s="88"/>
      <c r="K2087" s="88"/>
      <c r="L2087" s="88"/>
      <c r="M2087" s="88"/>
      <c r="N2087" s="88"/>
      <c r="O2087" s="88"/>
      <c r="P2087" s="88"/>
      <c r="Q2087" s="88"/>
      <c r="R2087" s="88"/>
      <c r="S2087" s="88"/>
      <c r="T2087" s="88"/>
      <c r="U2087" s="88"/>
      <c r="V2087" s="88"/>
      <c r="W2087" s="88"/>
      <c r="X2087" s="88"/>
      <c r="Y2087" s="88"/>
      <c r="Z2087" s="88"/>
    </row>
    <row r="2088" ht="17.25" customHeight="1">
      <c r="A2088" s="88"/>
      <c r="B2088" s="88"/>
      <c r="C2088" s="88"/>
      <c r="D2088" s="88"/>
      <c r="E2088" s="88"/>
      <c r="F2088" s="89"/>
      <c r="G2088" s="89"/>
      <c r="H2088" s="89"/>
      <c r="I2088" s="88"/>
      <c r="J2088" s="88"/>
      <c r="K2088" s="88"/>
      <c r="L2088" s="88"/>
      <c r="M2088" s="88"/>
      <c r="N2088" s="88"/>
      <c r="O2088" s="88"/>
      <c r="P2088" s="88"/>
      <c r="Q2088" s="88"/>
      <c r="R2088" s="88"/>
      <c r="S2088" s="88"/>
      <c r="T2088" s="88"/>
      <c r="U2088" s="88"/>
      <c r="V2088" s="88"/>
      <c r="W2088" s="88"/>
      <c r="X2088" s="88"/>
      <c r="Y2088" s="88"/>
      <c r="Z2088" s="88"/>
    </row>
    <row r="2089" ht="17.25" customHeight="1">
      <c r="A2089" s="88"/>
      <c r="B2089" s="88"/>
      <c r="C2089" s="88"/>
      <c r="D2089" s="88"/>
      <c r="E2089" s="88"/>
      <c r="F2089" s="89"/>
      <c r="G2089" s="89"/>
      <c r="H2089" s="89"/>
      <c r="I2089" s="88"/>
      <c r="J2089" s="88"/>
      <c r="K2089" s="88"/>
      <c r="L2089" s="88"/>
      <c r="M2089" s="88"/>
      <c r="N2089" s="88"/>
      <c r="O2089" s="88"/>
      <c r="P2089" s="88"/>
      <c r="Q2089" s="88"/>
      <c r="R2089" s="88"/>
      <c r="S2089" s="88"/>
      <c r="T2089" s="88"/>
      <c r="U2089" s="88"/>
      <c r="V2089" s="88"/>
      <c r="W2089" s="88"/>
      <c r="X2089" s="88"/>
      <c r="Y2089" s="88"/>
      <c r="Z2089" s="88"/>
    </row>
    <row r="2090" ht="17.25" customHeight="1">
      <c r="A2090" s="88"/>
      <c r="B2090" s="88"/>
      <c r="C2090" s="88"/>
      <c r="D2090" s="88"/>
      <c r="E2090" s="88"/>
      <c r="F2090" s="89"/>
      <c r="G2090" s="89"/>
      <c r="H2090" s="89"/>
      <c r="I2090" s="88"/>
      <c r="J2090" s="88"/>
      <c r="K2090" s="88"/>
      <c r="L2090" s="88"/>
      <c r="M2090" s="88"/>
      <c r="N2090" s="88"/>
      <c r="O2090" s="88"/>
      <c r="P2090" s="88"/>
      <c r="Q2090" s="88"/>
      <c r="R2090" s="88"/>
      <c r="S2090" s="88"/>
      <c r="T2090" s="88"/>
      <c r="U2090" s="88"/>
      <c r="V2090" s="88"/>
      <c r="W2090" s="88"/>
      <c r="X2090" s="88"/>
      <c r="Y2090" s="88"/>
      <c r="Z2090" s="88"/>
    </row>
    <row r="2091" ht="17.25" customHeight="1">
      <c r="A2091" s="88"/>
      <c r="B2091" s="88"/>
      <c r="C2091" s="88"/>
      <c r="D2091" s="88"/>
      <c r="E2091" s="88"/>
      <c r="F2091" s="89"/>
      <c r="G2091" s="89"/>
      <c r="H2091" s="89"/>
      <c r="I2091" s="88"/>
      <c r="J2091" s="88"/>
      <c r="K2091" s="88"/>
      <c r="L2091" s="88"/>
      <c r="M2091" s="88"/>
      <c r="N2091" s="88"/>
      <c r="O2091" s="88"/>
      <c r="P2091" s="88"/>
      <c r="Q2091" s="88"/>
      <c r="R2091" s="88"/>
      <c r="S2091" s="88"/>
      <c r="T2091" s="88"/>
      <c r="U2091" s="88"/>
      <c r="V2091" s="88"/>
      <c r="W2091" s="88"/>
      <c r="X2091" s="88"/>
      <c r="Y2091" s="88"/>
      <c r="Z2091" s="88"/>
    </row>
    <row r="2092" ht="17.25" customHeight="1">
      <c r="A2092" s="88"/>
      <c r="B2092" s="88"/>
      <c r="C2092" s="88"/>
      <c r="D2092" s="88"/>
      <c r="E2092" s="88"/>
      <c r="F2092" s="89"/>
      <c r="G2092" s="89"/>
      <c r="H2092" s="89"/>
      <c r="I2092" s="88"/>
      <c r="J2092" s="88"/>
      <c r="K2092" s="88"/>
      <c r="L2092" s="88"/>
      <c r="M2092" s="88"/>
      <c r="N2092" s="88"/>
      <c r="O2092" s="88"/>
      <c r="P2092" s="88"/>
      <c r="Q2092" s="88"/>
      <c r="R2092" s="88"/>
      <c r="S2092" s="88"/>
      <c r="T2092" s="88"/>
      <c r="U2092" s="88"/>
      <c r="V2092" s="88"/>
      <c r="W2092" s="88"/>
      <c r="X2092" s="88"/>
      <c r="Y2092" s="88"/>
      <c r="Z2092" s="88"/>
    </row>
    <row r="2093" ht="17.25" customHeight="1">
      <c r="A2093" s="88"/>
      <c r="B2093" s="88"/>
      <c r="C2093" s="88"/>
      <c r="D2093" s="88"/>
      <c r="E2093" s="88"/>
      <c r="F2093" s="89"/>
      <c r="G2093" s="89"/>
      <c r="H2093" s="89"/>
      <c r="I2093" s="88"/>
      <c r="J2093" s="88"/>
      <c r="K2093" s="88"/>
      <c r="L2093" s="88"/>
      <c r="M2093" s="88"/>
      <c r="N2093" s="88"/>
      <c r="O2093" s="88"/>
      <c r="P2093" s="88"/>
      <c r="Q2093" s="88"/>
      <c r="R2093" s="88"/>
      <c r="S2093" s="88"/>
      <c r="T2093" s="88"/>
      <c r="U2093" s="88"/>
      <c r="V2093" s="88"/>
      <c r="W2093" s="88"/>
      <c r="X2093" s="88"/>
      <c r="Y2093" s="88"/>
      <c r="Z2093" s="88"/>
    </row>
    <row r="2094" ht="17.25" customHeight="1">
      <c r="A2094" s="88"/>
      <c r="B2094" s="88"/>
      <c r="C2094" s="88"/>
      <c r="D2094" s="88"/>
      <c r="E2094" s="88"/>
      <c r="F2094" s="89"/>
      <c r="G2094" s="89"/>
      <c r="H2094" s="89"/>
      <c r="I2094" s="88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U2094" s="88"/>
      <c r="V2094" s="88"/>
      <c r="W2094" s="88"/>
      <c r="X2094" s="88"/>
      <c r="Y2094" s="88"/>
      <c r="Z2094" s="88"/>
    </row>
    <row r="2095" ht="17.25" customHeight="1">
      <c r="A2095" s="88"/>
      <c r="B2095" s="88"/>
      <c r="C2095" s="88"/>
      <c r="D2095" s="88"/>
      <c r="E2095" s="88"/>
      <c r="F2095" s="89"/>
      <c r="G2095" s="89"/>
      <c r="H2095" s="89"/>
      <c r="I2095" s="88"/>
      <c r="J2095" s="88"/>
      <c r="K2095" s="88"/>
      <c r="L2095" s="88"/>
      <c r="M2095" s="88"/>
      <c r="N2095" s="88"/>
      <c r="O2095" s="88"/>
      <c r="P2095" s="88"/>
      <c r="Q2095" s="88"/>
      <c r="R2095" s="88"/>
      <c r="S2095" s="88"/>
      <c r="T2095" s="88"/>
      <c r="U2095" s="88"/>
      <c r="V2095" s="88"/>
      <c r="W2095" s="88"/>
      <c r="X2095" s="88"/>
      <c r="Y2095" s="88"/>
      <c r="Z2095" s="88"/>
    </row>
    <row r="2096" ht="17.25" customHeight="1">
      <c r="A2096" s="88"/>
      <c r="B2096" s="88"/>
      <c r="C2096" s="88"/>
      <c r="D2096" s="88"/>
      <c r="E2096" s="88"/>
      <c r="F2096" s="89"/>
      <c r="G2096" s="89"/>
      <c r="H2096" s="89"/>
      <c r="I2096" s="88"/>
      <c r="J2096" s="88"/>
      <c r="K2096" s="88"/>
      <c r="L2096" s="88"/>
      <c r="M2096" s="88"/>
      <c r="N2096" s="88"/>
      <c r="O2096" s="88"/>
      <c r="P2096" s="88"/>
      <c r="Q2096" s="88"/>
      <c r="R2096" s="88"/>
      <c r="S2096" s="88"/>
      <c r="T2096" s="88"/>
      <c r="U2096" s="88"/>
      <c r="V2096" s="88"/>
      <c r="W2096" s="88"/>
      <c r="X2096" s="88"/>
      <c r="Y2096" s="88"/>
      <c r="Z2096" s="88"/>
    </row>
    <row r="2097" ht="17.25" customHeight="1">
      <c r="A2097" s="88"/>
      <c r="B2097" s="88"/>
      <c r="C2097" s="88"/>
      <c r="D2097" s="88"/>
      <c r="E2097" s="88"/>
      <c r="F2097" s="89"/>
      <c r="G2097" s="89"/>
      <c r="H2097" s="89"/>
      <c r="I2097" s="88"/>
      <c r="J2097" s="88"/>
      <c r="K2097" s="88"/>
      <c r="L2097" s="88"/>
      <c r="M2097" s="88"/>
      <c r="N2097" s="88"/>
      <c r="O2097" s="88"/>
      <c r="P2097" s="88"/>
      <c r="Q2097" s="88"/>
      <c r="R2097" s="88"/>
      <c r="S2097" s="88"/>
      <c r="T2097" s="88"/>
      <c r="U2097" s="88"/>
      <c r="V2097" s="88"/>
      <c r="W2097" s="88"/>
      <c r="X2097" s="88"/>
      <c r="Y2097" s="88"/>
      <c r="Z2097" s="88"/>
    </row>
    <row r="2098" ht="17.25" customHeight="1">
      <c r="A2098" s="88"/>
      <c r="B2098" s="88"/>
      <c r="C2098" s="88"/>
      <c r="D2098" s="88"/>
      <c r="E2098" s="88"/>
      <c r="F2098" s="89"/>
      <c r="G2098" s="89"/>
      <c r="H2098" s="89"/>
      <c r="I2098" s="88"/>
      <c r="J2098" s="88"/>
      <c r="K2098" s="88"/>
      <c r="L2098" s="88"/>
      <c r="M2098" s="88"/>
      <c r="N2098" s="88"/>
      <c r="O2098" s="88"/>
      <c r="P2098" s="88"/>
      <c r="Q2098" s="88"/>
      <c r="R2098" s="88"/>
      <c r="S2098" s="88"/>
      <c r="T2098" s="88"/>
      <c r="U2098" s="88"/>
      <c r="V2098" s="88"/>
      <c r="W2098" s="88"/>
      <c r="X2098" s="88"/>
      <c r="Y2098" s="88"/>
      <c r="Z2098" s="88"/>
    </row>
    <row r="2099" ht="17.25" customHeight="1">
      <c r="A2099" s="88"/>
      <c r="B2099" s="88"/>
      <c r="C2099" s="88"/>
      <c r="D2099" s="88"/>
      <c r="E2099" s="88"/>
      <c r="F2099" s="89"/>
      <c r="G2099" s="89"/>
      <c r="H2099" s="89"/>
      <c r="I2099" s="88"/>
      <c r="J2099" s="88"/>
      <c r="K2099" s="88"/>
      <c r="L2099" s="88"/>
      <c r="M2099" s="88"/>
      <c r="N2099" s="88"/>
      <c r="O2099" s="88"/>
      <c r="P2099" s="88"/>
      <c r="Q2099" s="88"/>
      <c r="R2099" s="88"/>
      <c r="S2099" s="88"/>
      <c r="T2099" s="88"/>
      <c r="U2099" s="88"/>
      <c r="V2099" s="88"/>
      <c r="W2099" s="88"/>
      <c r="X2099" s="88"/>
      <c r="Y2099" s="88"/>
      <c r="Z2099" s="88"/>
    </row>
    <row r="2100" ht="17.25" customHeight="1">
      <c r="A2100" s="88"/>
      <c r="B2100" s="88"/>
      <c r="C2100" s="88"/>
      <c r="D2100" s="88"/>
      <c r="E2100" s="88"/>
      <c r="F2100" s="89"/>
      <c r="G2100" s="89"/>
      <c r="H2100" s="89"/>
      <c r="I2100" s="88"/>
      <c r="J2100" s="88"/>
      <c r="K2100" s="88"/>
      <c r="L2100" s="88"/>
      <c r="M2100" s="88"/>
      <c r="N2100" s="88"/>
      <c r="O2100" s="88"/>
      <c r="P2100" s="88"/>
      <c r="Q2100" s="88"/>
      <c r="R2100" s="88"/>
      <c r="S2100" s="88"/>
      <c r="T2100" s="88"/>
      <c r="U2100" s="88"/>
      <c r="V2100" s="88"/>
      <c r="W2100" s="88"/>
      <c r="X2100" s="88"/>
      <c r="Y2100" s="88"/>
      <c r="Z2100" s="88"/>
    </row>
    <row r="2101" ht="17.25" customHeight="1">
      <c r="A2101" s="88"/>
      <c r="B2101" s="88"/>
      <c r="C2101" s="88"/>
      <c r="D2101" s="88"/>
      <c r="E2101" s="88"/>
      <c r="F2101" s="89"/>
      <c r="G2101" s="89"/>
      <c r="H2101" s="89"/>
      <c r="I2101" s="88"/>
      <c r="J2101" s="88"/>
      <c r="K2101" s="88"/>
      <c r="L2101" s="88"/>
      <c r="M2101" s="88"/>
      <c r="N2101" s="88"/>
      <c r="O2101" s="88"/>
      <c r="P2101" s="88"/>
      <c r="Q2101" s="88"/>
      <c r="R2101" s="88"/>
      <c r="S2101" s="88"/>
      <c r="T2101" s="88"/>
      <c r="U2101" s="88"/>
      <c r="V2101" s="88"/>
      <c r="W2101" s="88"/>
      <c r="X2101" s="88"/>
      <c r="Y2101" s="88"/>
      <c r="Z2101" s="88"/>
    </row>
    <row r="2102" ht="17.25" customHeight="1">
      <c r="A2102" s="88"/>
      <c r="B2102" s="88"/>
      <c r="C2102" s="88"/>
      <c r="D2102" s="88"/>
      <c r="E2102" s="88"/>
      <c r="F2102" s="89"/>
      <c r="G2102" s="89"/>
      <c r="H2102" s="89"/>
      <c r="I2102" s="88"/>
      <c r="J2102" s="88"/>
      <c r="K2102" s="88"/>
      <c r="L2102" s="88"/>
      <c r="M2102" s="88"/>
      <c r="N2102" s="88"/>
      <c r="O2102" s="88"/>
      <c r="P2102" s="88"/>
      <c r="Q2102" s="88"/>
      <c r="R2102" s="88"/>
      <c r="S2102" s="88"/>
      <c r="T2102" s="88"/>
      <c r="U2102" s="88"/>
      <c r="V2102" s="88"/>
      <c r="W2102" s="88"/>
      <c r="X2102" s="88"/>
      <c r="Y2102" s="88"/>
      <c r="Z2102" s="88"/>
    </row>
    <row r="2103" ht="17.25" customHeight="1">
      <c r="A2103" s="88"/>
      <c r="B2103" s="88"/>
      <c r="C2103" s="88"/>
      <c r="D2103" s="88"/>
      <c r="E2103" s="88"/>
      <c r="F2103" s="89"/>
      <c r="G2103" s="89"/>
      <c r="H2103" s="89"/>
      <c r="I2103" s="88"/>
      <c r="J2103" s="88"/>
      <c r="K2103" s="88"/>
      <c r="L2103" s="88"/>
      <c r="M2103" s="88"/>
      <c r="N2103" s="88"/>
      <c r="O2103" s="88"/>
      <c r="P2103" s="88"/>
      <c r="Q2103" s="88"/>
      <c r="R2103" s="88"/>
      <c r="S2103" s="88"/>
      <c r="T2103" s="88"/>
      <c r="U2103" s="88"/>
      <c r="V2103" s="88"/>
      <c r="W2103" s="88"/>
      <c r="X2103" s="88"/>
      <c r="Y2103" s="88"/>
      <c r="Z2103" s="88"/>
    </row>
    <row r="2104" ht="17.25" customHeight="1">
      <c r="A2104" s="88"/>
      <c r="B2104" s="88"/>
      <c r="C2104" s="88"/>
      <c r="D2104" s="88"/>
      <c r="E2104" s="88"/>
      <c r="F2104" s="89"/>
      <c r="G2104" s="89"/>
      <c r="H2104" s="89"/>
      <c r="I2104" s="88"/>
      <c r="J2104" s="88"/>
      <c r="K2104" s="88"/>
      <c r="L2104" s="88"/>
      <c r="M2104" s="88"/>
      <c r="N2104" s="88"/>
      <c r="O2104" s="88"/>
      <c r="P2104" s="88"/>
      <c r="Q2104" s="88"/>
      <c r="R2104" s="88"/>
      <c r="S2104" s="88"/>
      <c r="T2104" s="88"/>
      <c r="U2104" s="88"/>
      <c r="V2104" s="88"/>
      <c r="W2104" s="88"/>
      <c r="X2104" s="88"/>
      <c r="Y2104" s="88"/>
      <c r="Z2104" s="88"/>
    </row>
    <row r="2105" ht="17.25" customHeight="1">
      <c r="A2105" s="88"/>
      <c r="B2105" s="88"/>
      <c r="C2105" s="88"/>
      <c r="D2105" s="88"/>
      <c r="E2105" s="88"/>
      <c r="F2105" s="89"/>
      <c r="G2105" s="89"/>
      <c r="H2105" s="89"/>
      <c r="I2105" s="88"/>
      <c r="J2105" s="88"/>
      <c r="K2105" s="88"/>
      <c r="L2105" s="88"/>
      <c r="M2105" s="88"/>
      <c r="N2105" s="88"/>
      <c r="O2105" s="88"/>
      <c r="P2105" s="88"/>
      <c r="Q2105" s="88"/>
      <c r="R2105" s="88"/>
      <c r="S2105" s="88"/>
      <c r="T2105" s="88"/>
      <c r="U2105" s="88"/>
      <c r="V2105" s="88"/>
      <c r="W2105" s="88"/>
      <c r="X2105" s="88"/>
      <c r="Y2105" s="88"/>
      <c r="Z2105" s="88"/>
    </row>
    <row r="2106" ht="17.25" customHeight="1">
      <c r="A2106" s="88"/>
      <c r="B2106" s="88"/>
      <c r="C2106" s="88"/>
      <c r="D2106" s="88"/>
      <c r="E2106" s="88"/>
      <c r="F2106" s="89"/>
      <c r="G2106" s="89"/>
      <c r="H2106" s="89"/>
      <c r="I2106" s="88"/>
      <c r="J2106" s="88"/>
      <c r="K2106" s="88"/>
      <c r="L2106" s="88"/>
      <c r="M2106" s="88"/>
      <c r="N2106" s="88"/>
      <c r="O2106" s="88"/>
      <c r="P2106" s="88"/>
      <c r="Q2106" s="88"/>
      <c r="R2106" s="88"/>
      <c r="S2106" s="88"/>
      <c r="T2106" s="88"/>
      <c r="U2106" s="88"/>
      <c r="V2106" s="88"/>
      <c r="W2106" s="88"/>
      <c r="X2106" s="88"/>
      <c r="Y2106" s="88"/>
      <c r="Z2106" s="88"/>
    </row>
    <row r="2107" ht="17.25" customHeight="1">
      <c r="A2107" s="88"/>
      <c r="B2107" s="88"/>
      <c r="C2107" s="88"/>
      <c r="D2107" s="88"/>
      <c r="E2107" s="88"/>
      <c r="F2107" s="89"/>
      <c r="G2107" s="89"/>
      <c r="H2107" s="89"/>
      <c r="I2107" s="88"/>
      <c r="J2107" s="88"/>
      <c r="K2107" s="88"/>
      <c r="L2107" s="88"/>
      <c r="M2107" s="88"/>
      <c r="N2107" s="88"/>
      <c r="O2107" s="88"/>
      <c r="P2107" s="88"/>
      <c r="Q2107" s="88"/>
      <c r="R2107" s="88"/>
      <c r="S2107" s="88"/>
      <c r="T2107" s="88"/>
      <c r="U2107" s="88"/>
      <c r="V2107" s="88"/>
      <c r="W2107" s="88"/>
      <c r="X2107" s="88"/>
      <c r="Y2107" s="88"/>
      <c r="Z2107" s="88"/>
    </row>
    <row r="2108" ht="17.25" customHeight="1">
      <c r="A2108" s="88"/>
      <c r="B2108" s="88"/>
      <c r="C2108" s="88"/>
      <c r="D2108" s="88"/>
      <c r="E2108" s="88"/>
      <c r="F2108" s="89"/>
      <c r="G2108" s="89"/>
      <c r="H2108" s="89"/>
      <c r="I2108" s="88"/>
      <c r="J2108" s="88"/>
      <c r="K2108" s="88"/>
      <c r="L2108" s="88"/>
      <c r="M2108" s="88"/>
      <c r="N2108" s="88"/>
      <c r="O2108" s="88"/>
      <c r="P2108" s="88"/>
      <c r="Q2108" s="88"/>
      <c r="R2108" s="88"/>
      <c r="S2108" s="88"/>
      <c r="T2108" s="88"/>
      <c r="U2108" s="88"/>
      <c r="V2108" s="88"/>
      <c r="W2108" s="88"/>
      <c r="X2108" s="88"/>
      <c r="Y2108" s="88"/>
      <c r="Z2108" s="88"/>
    </row>
    <row r="2109" ht="17.25" customHeight="1">
      <c r="A2109" s="88"/>
      <c r="B2109" s="88"/>
      <c r="C2109" s="88"/>
      <c r="D2109" s="88"/>
      <c r="E2109" s="88"/>
      <c r="F2109" s="89"/>
      <c r="G2109" s="89"/>
      <c r="H2109" s="89"/>
      <c r="I2109" s="88"/>
      <c r="J2109" s="88"/>
      <c r="K2109" s="88"/>
      <c r="L2109" s="88"/>
      <c r="M2109" s="88"/>
      <c r="N2109" s="88"/>
      <c r="O2109" s="88"/>
      <c r="P2109" s="88"/>
      <c r="Q2109" s="88"/>
      <c r="R2109" s="88"/>
      <c r="S2109" s="88"/>
      <c r="T2109" s="88"/>
      <c r="U2109" s="88"/>
      <c r="V2109" s="88"/>
      <c r="W2109" s="88"/>
      <c r="X2109" s="88"/>
      <c r="Y2109" s="88"/>
      <c r="Z2109" s="88"/>
    </row>
    <row r="2110" ht="17.25" customHeight="1">
      <c r="A2110" s="88"/>
      <c r="B2110" s="88"/>
      <c r="C2110" s="88"/>
      <c r="D2110" s="88"/>
      <c r="E2110" s="88"/>
      <c r="F2110" s="89"/>
      <c r="G2110" s="89"/>
      <c r="H2110" s="89"/>
      <c r="I2110" s="88"/>
      <c r="J2110" s="88"/>
      <c r="K2110" s="88"/>
      <c r="L2110" s="88"/>
      <c r="M2110" s="88"/>
      <c r="N2110" s="88"/>
      <c r="O2110" s="88"/>
      <c r="P2110" s="88"/>
      <c r="Q2110" s="88"/>
      <c r="R2110" s="88"/>
      <c r="S2110" s="88"/>
      <c r="T2110" s="88"/>
      <c r="U2110" s="88"/>
      <c r="V2110" s="88"/>
      <c r="W2110" s="88"/>
      <c r="X2110" s="88"/>
      <c r="Y2110" s="88"/>
      <c r="Z2110" s="88"/>
    </row>
    <row r="2111" ht="17.25" customHeight="1">
      <c r="A2111" s="88"/>
      <c r="B2111" s="88"/>
      <c r="C2111" s="88"/>
      <c r="D2111" s="88"/>
      <c r="E2111" s="88"/>
      <c r="F2111" s="89"/>
      <c r="G2111" s="89"/>
      <c r="H2111" s="89"/>
      <c r="I2111" s="88"/>
      <c r="J2111" s="88"/>
      <c r="K2111" s="88"/>
      <c r="L2111" s="88"/>
      <c r="M2111" s="88"/>
      <c r="N2111" s="88"/>
      <c r="O2111" s="88"/>
      <c r="P2111" s="88"/>
      <c r="Q2111" s="88"/>
      <c r="R2111" s="88"/>
      <c r="S2111" s="88"/>
      <c r="T2111" s="88"/>
      <c r="U2111" s="88"/>
      <c r="V2111" s="88"/>
      <c r="W2111" s="88"/>
      <c r="X2111" s="88"/>
      <c r="Y2111" s="88"/>
      <c r="Z2111" s="88"/>
    </row>
    <row r="2112" ht="17.25" customHeight="1">
      <c r="A2112" s="88"/>
      <c r="B2112" s="88"/>
      <c r="C2112" s="88"/>
      <c r="D2112" s="88"/>
      <c r="E2112" s="88"/>
      <c r="F2112" s="89"/>
      <c r="G2112" s="89"/>
      <c r="H2112" s="89"/>
      <c r="I2112" s="88"/>
      <c r="J2112" s="88"/>
      <c r="K2112" s="88"/>
      <c r="L2112" s="88"/>
      <c r="M2112" s="88"/>
      <c r="N2112" s="88"/>
      <c r="O2112" s="88"/>
      <c r="P2112" s="88"/>
      <c r="Q2112" s="88"/>
      <c r="R2112" s="88"/>
      <c r="S2112" s="88"/>
      <c r="T2112" s="88"/>
      <c r="U2112" s="88"/>
      <c r="V2112" s="88"/>
      <c r="W2112" s="88"/>
      <c r="X2112" s="88"/>
      <c r="Y2112" s="88"/>
      <c r="Z2112" s="88"/>
    </row>
    <row r="2113" ht="17.25" customHeight="1">
      <c r="A2113" s="88"/>
      <c r="B2113" s="88"/>
      <c r="C2113" s="88"/>
      <c r="D2113" s="88"/>
      <c r="E2113" s="88"/>
      <c r="F2113" s="89"/>
      <c r="G2113" s="89"/>
      <c r="H2113" s="89"/>
      <c r="I2113" s="88"/>
      <c r="J2113" s="88"/>
      <c r="K2113" s="88"/>
      <c r="L2113" s="88"/>
      <c r="M2113" s="88"/>
      <c r="N2113" s="88"/>
      <c r="O2113" s="88"/>
      <c r="P2113" s="88"/>
      <c r="Q2113" s="88"/>
      <c r="R2113" s="88"/>
      <c r="S2113" s="88"/>
      <c r="T2113" s="88"/>
      <c r="U2113" s="88"/>
      <c r="V2113" s="88"/>
      <c r="W2113" s="88"/>
      <c r="X2113" s="88"/>
      <c r="Y2113" s="88"/>
      <c r="Z2113" s="88"/>
    </row>
    <row r="2114" ht="17.25" customHeight="1">
      <c r="A2114" s="88"/>
      <c r="B2114" s="88"/>
      <c r="C2114" s="88"/>
      <c r="D2114" s="88"/>
      <c r="E2114" s="88"/>
      <c r="F2114" s="89"/>
      <c r="G2114" s="89"/>
      <c r="H2114" s="89"/>
      <c r="I2114" s="88"/>
      <c r="J2114" s="88"/>
      <c r="K2114" s="88"/>
      <c r="L2114" s="88"/>
      <c r="M2114" s="88"/>
      <c r="N2114" s="88"/>
      <c r="O2114" s="88"/>
      <c r="P2114" s="88"/>
      <c r="Q2114" s="88"/>
      <c r="R2114" s="88"/>
      <c r="S2114" s="88"/>
      <c r="T2114" s="88"/>
      <c r="U2114" s="88"/>
      <c r="V2114" s="88"/>
      <c r="W2114" s="88"/>
      <c r="X2114" s="88"/>
      <c r="Y2114" s="88"/>
      <c r="Z2114" s="88"/>
    </row>
    <row r="2115" ht="17.25" customHeight="1">
      <c r="A2115" s="88"/>
      <c r="B2115" s="88"/>
      <c r="C2115" s="88"/>
      <c r="D2115" s="88"/>
      <c r="E2115" s="88"/>
      <c r="F2115" s="89"/>
      <c r="G2115" s="89"/>
      <c r="H2115" s="89"/>
      <c r="I2115" s="88"/>
      <c r="J2115" s="88"/>
      <c r="K2115" s="88"/>
      <c r="L2115" s="88"/>
      <c r="M2115" s="88"/>
      <c r="N2115" s="88"/>
      <c r="O2115" s="88"/>
      <c r="P2115" s="88"/>
      <c r="Q2115" s="88"/>
      <c r="R2115" s="88"/>
      <c r="S2115" s="88"/>
      <c r="T2115" s="88"/>
      <c r="U2115" s="88"/>
      <c r="V2115" s="88"/>
      <c r="W2115" s="88"/>
      <c r="X2115" s="88"/>
      <c r="Y2115" s="88"/>
      <c r="Z2115" s="88"/>
    </row>
    <row r="2116" ht="17.25" customHeight="1">
      <c r="A2116" s="88"/>
      <c r="B2116" s="88"/>
      <c r="C2116" s="88"/>
      <c r="D2116" s="88"/>
      <c r="E2116" s="88"/>
      <c r="F2116" s="89"/>
      <c r="G2116" s="89"/>
      <c r="H2116" s="89"/>
      <c r="I2116" s="88"/>
      <c r="J2116" s="88"/>
      <c r="K2116" s="88"/>
      <c r="L2116" s="88"/>
      <c r="M2116" s="88"/>
      <c r="N2116" s="88"/>
      <c r="O2116" s="88"/>
      <c r="P2116" s="88"/>
      <c r="Q2116" s="88"/>
      <c r="R2116" s="88"/>
      <c r="S2116" s="88"/>
      <c r="T2116" s="88"/>
      <c r="U2116" s="88"/>
      <c r="V2116" s="88"/>
      <c r="W2116" s="88"/>
      <c r="X2116" s="88"/>
      <c r="Y2116" s="88"/>
      <c r="Z2116" s="88"/>
    </row>
    <row r="2117" ht="17.25" customHeight="1">
      <c r="A2117" s="88"/>
      <c r="B2117" s="88"/>
      <c r="C2117" s="88"/>
      <c r="D2117" s="88"/>
      <c r="E2117" s="88"/>
      <c r="F2117" s="89"/>
      <c r="G2117" s="89"/>
      <c r="H2117" s="89"/>
      <c r="I2117" s="88"/>
      <c r="J2117" s="88"/>
      <c r="K2117" s="88"/>
      <c r="L2117" s="88"/>
      <c r="M2117" s="88"/>
      <c r="N2117" s="88"/>
      <c r="O2117" s="88"/>
      <c r="P2117" s="88"/>
      <c r="Q2117" s="88"/>
      <c r="R2117" s="88"/>
      <c r="S2117" s="88"/>
      <c r="T2117" s="88"/>
      <c r="U2117" s="88"/>
      <c r="V2117" s="88"/>
      <c r="W2117" s="88"/>
      <c r="X2117" s="88"/>
      <c r="Y2117" s="88"/>
      <c r="Z2117" s="88"/>
    </row>
    <row r="2118" ht="17.25" customHeight="1">
      <c r="A2118" s="88"/>
      <c r="B2118" s="88"/>
      <c r="C2118" s="88"/>
      <c r="D2118" s="88"/>
      <c r="E2118" s="88"/>
      <c r="F2118" s="89"/>
      <c r="G2118" s="89"/>
      <c r="H2118" s="89"/>
      <c r="I2118" s="88"/>
      <c r="J2118" s="88"/>
      <c r="K2118" s="88"/>
      <c r="L2118" s="88"/>
      <c r="M2118" s="88"/>
      <c r="N2118" s="88"/>
      <c r="O2118" s="88"/>
      <c r="P2118" s="88"/>
      <c r="Q2118" s="88"/>
      <c r="R2118" s="88"/>
      <c r="S2118" s="88"/>
      <c r="T2118" s="88"/>
      <c r="U2118" s="88"/>
      <c r="V2118" s="88"/>
      <c r="W2118" s="88"/>
      <c r="X2118" s="88"/>
      <c r="Y2118" s="88"/>
      <c r="Z2118" s="88"/>
    </row>
    <row r="2119" ht="17.25" customHeight="1">
      <c r="A2119" s="88"/>
      <c r="B2119" s="88"/>
      <c r="C2119" s="88"/>
      <c r="D2119" s="88"/>
      <c r="E2119" s="88"/>
      <c r="F2119" s="89"/>
      <c r="G2119" s="89"/>
      <c r="H2119" s="89"/>
      <c r="I2119" s="88"/>
      <c r="J2119" s="88"/>
      <c r="K2119" s="88"/>
      <c r="L2119" s="88"/>
      <c r="M2119" s="88"/>
      <c r="N2119" s="88"/>
      <c r="O2119" s="88"/>
      <c r="P2119" s="88"/>
      <c r="Q2119" s="88"/>
      <c r="R2119" s="88"/>
      <c r="S2119" s="88"/>
      <c r="T2119" s="88"/>
      <c r="U2119" s="88"/>
      <c r="V2119" s="88"/>
      <c r="W2119" s="88"/>
      <c r="X2119" s="88"/>
      <c r="Y2119" s="88"/>
      <c r="Z2119" s="88"/>
    </row>
    <row r="2120" ht="17.25" customHeight="1">
      <c r="A2120" s="88"/>
      <c r="B2120" s="88"/>
      <c r="C2120" s="88"/>
      <c r="D2120" s="88"/>
      <c r="E2120" s="88"/>
      <c r="F2120" s="89"/>
      <c r="G2120" s="89"/>
      <c r="H2120" s="89"/>
      <c r="I2120" s="88"/>
      <c r="J2120" s="88"/>
      <c r="K2120" s="88"/>
      <c r="L2120" s="88"/>
      <c r="M2120" s="88"/>
      <c r="N2120" s="88"/>
      <c r="O2120" s="88"/>
      <c r="P2120" s="88"/>
      <c r="Q2120" s="88"/>
      <c r="R2120" s="88"/>
      <c r="S2120" s="88"/>
      <c r="T2120" s="88"/>
      <c r="U2120" s="88"/>
      <c r="V2120" s="88"/>
      <c r="W2120" s="88"/>
      <c r="X2120" s="88"/>
      <c r="Y2120" s="88"/>
      <c r="Z2120" s="88"/>
    </row>
    <row r="2121" ht="17.25" customHeight="1">
      <c r="A2121" s="88"/>
      <c r="B2121" s="88"/>
      <c r="C2121" s="88"/>
      <c r="D2121" s="88"/>
      <c r="E2121" s="88"/>
      <c r="F2121" s="89"/>
      <c r="G2121" s="89"/>
      <c r="H2121" s="89"/>
      <c r="I2121" s="88"/>
      <c r="J2121" s="88"/>
      <c r="K2121" s="88"/>
      <c r="L2121" s="88"/>
      <c r="M2121" s="88"/>
      <c r="N2121" s="88"/>
      <c r="O2121" s="88"/>
      <c r="P2121" s="88"/>
      <c r="Q2121" s="88"/>
      <c r="R2121" s="88"/>
      <c r="S2121" s="88"/>
      <c r="T2121" s="88"/>
      <c r="U2121" s="88"/>
      <c r="V2121" s="88"/>
      <c r="W2121" s="88"/>
      <c r="X2121" s="88"/>
      <c r="Y2121" s="88"/>
      <c r="Z2121" s="88"/>
    </row>
    <row r="2122" ht="17.25" customHeight="1">
      <c r="A2122" s="88"/>
      <c r="B2122" s="88"/>
      <c r="C2122" s="88"/>
      <c r="D2122" s="88"/>
      <c r="E2122" s="88"/>
      <c r="F2122" s="89"/>
      <c r="G2122" s="89"/>
      <c r="H2122" s="89"/>
      <c r="I2122" s="88"/>
      <c r="J2122" s="88"/>
      <c r="K2122" s="88"/>
      <c r="L2122" s="88"/>
      <c r="M2122" s="88"/>
      <c r="N2122" s="88"/>
      <c r="O2122" s="88"/>
      <c r="P2122" s="88"/>
      <c r="Q2122" s="88"/>
      <c r="R2122" s="88"/>
      <c r="S2122" s="88"/>
      <c r="T2122" s="88"/>
      <c r="U2122" s="88"/>
      <c r="V2122" s="88"/>
      <c r="W2122" s="88"/>
      <c r="X2122" s="88"/>
      <c r="Y2122" s="88"/>
      <c r="Z2122" s="88"/>
    </row>
    <row r="2123" ht="17.25" customHeight="1">
      <c r="A2123" s="88"/>
      <c r="B2123" s="88"/>
      <c r="C2123" s="88"/>
      <c r="D2123" s="88"/>
      <c r="E2123" s="88"/>
      <c r="F2123" s="89"/>
      <c r="G2123" s="89"/>
      <c r="H2123" s="89"/>
      <c r="I2123" s="88"/>
      <c r="J2123" s="88"/>
      <c r="K2123" s="88"/>
      <c r="L2123" s="88"/>
      <c r="M2123" s="88"/>
      <c r="N2123" s="88"/>
      <c r="O2123" s="88"/>
      <c r="P2123" s="88"/>
      <c r="Q2123" s="88"/>
      <c r="R2123" s="88"/>
      <c r="S2123" s="88"/>
      <c r="T2123" s="88"/>
      <c r="U2123" s="88"/>
      <c r="V2123" s="88"/>
      <c r="W2123" s="88"/>
      <c r="X2123" s="88"/>
      <c r="Y2123" s="88"/>
      <c r="Z2123" s="88"/>
    </row>
    <row r="2124" ht="17.25" customHeight="1">
      <c r="A2124" s="88"/>
      <c r="B2124" s="88"/>
      <c r="C2124" s="88"/>
      <c r="D2124" s="88"/>
      <c r="E2124" s="88"/>
      <c r="F2124" s="89"/>
      <c r="G2124" s="89"/>
      <c r="H2124" s="89"/>
      <c r="I2124" s="88"/>
      <c r="J2124" s="88"/>
      <c r="K2124" s="88"/>
      <c r="L2124" s="88"/>
      <c r="M2124" s="88"/>
      <c r="N2124" s="88"/>
      <c r="O2124" s="88"/>
      <c r="P2124" s="88"/>
      <c r="Q2124" s="88"/>
      <c r="R2124" s="88"/>
      <c r="S2124" s="88"/>
      <c r="T2124" s="88"/>
      <c r="U2124" s="88"/>
      <c r="V2124" s="88"/>
      <c r="W2124" s="88"/>
      <c r="X2124" s="88"/>
      <c r="Y2124" s="88"/>
      <c r="Z2124" s="88"/>
    </row>
    <row r="2125" ht="17.25" customHeight="1">
      <c r="A2125" s="88"/>
      <c r="B2125" s="88"/>
      <c r="C2125" s="88"/>
      <c r="D2125" s="88"/>
      <c r="E2125" s="88"/>
      <c r="F2125" s="89"/>
      <c r="G2125" s="89"/>
      <c r="H2125" s="89"/>
      <c r="I2125" s="88"/>
      <c r="J2125" s="88"/>
      <c r="K2125" s="88"/>
      <c r="L2125" s="88"/>
      <c r="M2125" s="88"/>
      <c r="N2125" s="88"/>
      <c r="O2125" s="88"/>
      <c r="P2125" s="88"/>
      <c r="Q2125" s="88"/>
      <c r="R2125" s="88"/>
      <c r="S2125" s="88"/>
      <c r="T2125" s="88"/>
      <c r="U2125" s="88"/>
      <c r="V2125" s="88"/>
      <c r="W2125" s="88"/>
      <c r="X2125" s="88"/>
      <c r="Y2125" s="88"/>
      <c r="Z2125" s="88"/>
    </row>
    <row r="2126" ht="17.25" customHeight="1">
      <c r="A2126" s="88"/>
      <c r="B2126" s="88"/>
      <c r="C2126" s="88"/>
      <c r="D2126" s="88"/>
      <c r="E2126" s="88"/>
      <c r="F2126" s="89"/>
      <c r="G2126" s="89"/>
      <c r="H2126" s="89"/>
      <c r="I2126" s="88"/>
      <c r="J2126" s="88"/>
      <c r="K2126" s="88"/>
      <c r="L2126" s="88"/>
      <c r="M2126" s="88"/>
      <c r="N2126" s="88"/>
      <c r="O2126" s="88"/>
      <c r="P2126" s="88"/>
      <c r="Q2126" s="88"/>
      <c r="R2126" s="88"/>
      <c r="S2126" s="88"/>
      <c r="T2126" s="88"/>
      <c r="U2126" s="88"/>
      <c r="V2126" s="88"/>
      <c r="W2126" s="88"/>
      <c r="X2126" s="88"/>
      <c r="Y2126" s="88"/>
      <c r="Z2126" s="88"/>
    </row>
    <row r="2127" ht="17.25" customHeight="1">
      <c r="A2127" s="88"/>
      <c r="B2127" s="88"/>
      <c r="C2127" s="88"/>
      <c r="D2127" s="88"/>
      <c r="E2127" s="88"/>
      <c r="F2127" s="89"/>
      <c r="G2127" s="89"/>
      <c r="H2127" s="89"/>
      <c r="I2127" s="88"/>
      <c r="J2127" s="88"/>
      <c r="K2127" s="88"/>
      <c r="L2127" s="88"/>
      <c r="M2127" s="88"/>
      <c r="N2127" s="88"/>
      <c r="O2127" s="88"/>
      <c r="P2127" s="88"/>
      <c r="Q2127" s="88"/>
      <c r="R2127" s="88"/>
      <c r="S2127" s="88"/>
      <c r="T2127" s="88"/>
      <c r="U2127" s="88"/>
      <c r="V2127" s="88"/>
      <c r="W2127" s="88"/>
      <c r="X2127" s="88"/>
      <c r="Y2127" s="88"/>
      <c r="Z2127" s="88"/>
    </row>
    <row r="2128" ht="17.25" customHeight="1">
      <c r="A2128" s="88"/>
      <c r="B2128" s="88"/>
      <c r="C2128" s="88"/>
      <c r="D2128" s="88"/>
      <c r="E2128" s="88"/>
      <c r="F2128" s="89"/>
      <c r="G2128" s="89"/>
      <c r="H2128" s="89"/>
      <c r="I2128" s="88"/>
      <c r="J2128" s="88"/>
      <c r="K2128" s="88"/>
      <c r="L2128" s="88"/>
      <c r="M2128" s="88"/>
      <c r="N2128" s="88"/>
      <c r="O2128" s="88"/>
      <c r="P2128" s="88"/>
      <c r="Q2128" s="88"/>
      <c r="R2128" s="88"/>
      <c r="S2128" s="88"/>
      <c r="T2128" s="88"/>
      <c r="U2128" s="88"/>
      <c r="V2128" s="88"/>
      <c r="W2128" s="88"/>
      <c r="X2128" s="88"/>
      <c r="Y2128" s="88"/>
      <c r="Z2128" s="88"/>
    </row>
    <row r="2129" ht="17.25" customHeight="1">
      <c r="A2129" s="88"/>
      <c r="B2129" s="88"/>
      <c r="C2129" s="88"/>
      <c r="D2129" s="88"/>
      <c r="E2129" s="88"/>
      <c r="F2129" s="89"/>
      <c r="G2129" s="89"/>
      <c r="H2129" s="89"/>
      <c r="I2129" s="88"/>
      <c r="J2129" s="88"/>
      <c r="K2129" s="88"/>
      <c r="L2129" s="88"/>
      <c r="M2129" s="88"/>
      <c r="N2129" s="88"/>
      <c r="O2129" s="88"/>
      <c r="P2129" s="88"/>
      <c r="Q2129" s="88"/>
      <c r="R2129" s="88"/>
      <c r="S2129" s="88"/>
      <c r="T2129" s="88"/>
      <c r="U2129" s="88"/>
      <c r="V2129" s="88"/>
      <c r="W2129" s="88"/>
      <c r="X2129" s="88"/>
      <c r="Y2129" s="88"/>
      <c r="Z2129" s="88"/>
    </row>
    <row r="2130" ht="17.25" customHeight="1">
      <c r="A2130" s="88"/>
      <c r="B2130" s="88"/>
      <c r="C2130" s="88"/>
      <c r="D2130" s="88"/>
      <c r="E2130" s="88"/>
      <c r="F2130" s="89"/>
      <c r="G2130" s="89"/>
      <c r="H2130" s="89"/>
      <c r="I2130" s="88"/>
      <c r="J2130" s="88"/>
      <c r="K2130" s="88"/>
      <c r="L2130" s="88"/>
      <c r="M2130" s="88"/>
      <c r="N2130" s="88"/>
      <c r="O2130" s="88"/>
      <c r="P2130" s="88"/>
      <c r="Q2130" s="88"/>
      <c r="R2130" s="88"/>
      <c r="S2130" s="88"/>
      <c r="T2130" s="88"/>
      <c r="U2130" s="88"/>
      <c r="V2130" s="88"/>
      <c r="W2130" s="88"/>
      <c r="X2130" s="88"/>
      <c r="Y2130" s="88"/>
      <c r="Z2130" s="88"/>
    </row>
    <row r="2131" ht="17.25" customHeight="1">
      <c r="A2131" s="88"/>
      <c r="B2131" s="88"/>
      <c r="C2131" s="88"/>
      <c r="D2131" s="88"/>
      <c r="E2131" s="88"/>
      <c r="F2131" s="89"/>
      <c r="G2131" s="89"/>
      <c r="H2131" s="89"/>
      <c r="I2131" s="88"/>
      <c r="J2131" s="88"/>
      <c r="K2131" s="88"/>
      <c r="L2131" s="88"/>
      <c r="M2131" s="88"/>
      <c r="N2131" s="88"/>
      <c r="O2131" s="88"/>
      <c r="P2131" s="88"/>
      <c r="Q2131" s="88"/>
      <c r="R2131" s="88"/>
      <c r="S2131" s="88"/>
      <c r="T2131" s="88"/>
      <c r="U2131" s="88"/>
      <c r="V2131" s="88"/>
      <c r="W2131" s="88"/>
      <c r="X2131" s="88"/>
      <c r="Y2131" s="88"/>
      <c r="Z2131" s="88"/>
    </row>
    <row r="2132" ht="17.25" customHeight="1">
      <c r="A2132" s="88"/>
      <c r="B2132" s="88"/>
      <c r="C2132" s="88"/>
      <c r="D2132" s="88"/>
      <c r="E2132" s="88"/>
      <c r="F2132" s="89"/>
      <c r="G2132" s="89"/>
      <c r="H2132" s="89"/>
      <c r="I2132" s="88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U2132" s="88"/>
      <c r="V2132" s="88"/>
      <c r="W2132" s="88"/>
      <c r="X2132" s="88"/>
      <c r="Y2132" s="88"/>
      <c r="Z2132" s="88"/>
    </row>
    <row r="2133" ht="17.25" customHeight="1">
      <c r="A2133" s="88"/>
      <c r="B2133" s="88"/>
      <c r="C2133" s="88"/>
      <c r="D2133" s="88"/>
      <c r="E2133" s="88"/>
      <c r="F2133" s="89"/>
      <c r="G2133" s="89"/>
      <c r="H2133" s="89"/>
      <c r="I2133" s="88"/>
      <c r="J2133" s="88"/>
      <c r="K2133" s="88"/>
      <c r="L2133" s="88"/>
      <c r="M2133" s="88"/>
      <c r="N2133" s="88"/>
      <c r="O2133" s="88"/>
      <c r="P2133" s="88"/>
      <c r="Q2133" s="88"/>
      <c r="R2133" s="88"/>
      <c r="S2133" s="88"/>
      <c r="T2133" s="88"/>
      <c r="U2133" s="88"/>
      <c r="V2133" s="88"/>
      <c r="W2133" s="88"/>
      <c r="X2133" s="88"/>
      <c r="Y2133" s="88"/>
      <c r="Z2133" s="88"/>
    </row>
    <row r="2134" ht="17.25" customHeight="1">
      <c r="A2134" s="88"/>
      <c r="B2134" s="88"/>
      <c r="C2134" s="88"/>
      <c r="D2134" s="88"/>
      <c r="E2134" s="88"/>
      <c r="F2134" s="89"/>
      <c r="G2134" s="89"/>
      <c r="H2134" s="89"/>
      <c r="I2134" s="88"/>
      <c r="J2134" s="88"/>
      <c r="K2134" s="88"/>
      <c r="L2134" s="88"/>
      <c r="M2134" s="88"/>
      <c r="N2134" s="88"/>
      <c r="O2134" s="88"/>
      <c r="P2134" s="88"/>
      <c r="Q2134" s="88"/>
      <c r="R2134" s="88"/>
      <c r="S2134" s="88"/>
      <c r="T2134" s="88"/>
      <c r="U2134" s="88"/>
      <c r="V2134" s="88"/>
      <c r="W2134" s="88"/>
      <c r="X2134" s="88"/>
      <c r="Y2134" s="88"/>
      <c r="Z2134" s="88"/>
    </row>
    <row r="2135" ht="17.25" customHeight="1">
      <c r="A2135" s="88"/>
      <c r="B2135" s="88"/>
      <c r="C2135" s="88"/>
      <c r="D2135" s="88"/>
      <c r="E2135" s="88"/>
      <c r="F2135" s="89"/>
      <c r="G2135" s="89"/>
      <c r="H2135" s="89"/>
      <c r="I2135" s="88"/>
      <c r="J2135" s="88"/>
      <c r="K2135" s="88"/>
      <c r="L2135" s="88"/>
      <c r="M2135" s="88"/>
      <c r="N2135" s="88"/>
      <c r="O2135" s="88"/>
      <c r="P2135" s="88"/>
      <c r="Q2135" s="88"/>
      <c r="R2135" s="88"/>
      <c r="S2135" s="88"/>
      <c r="T2135" s="88"/>
      <c r="U2135" s="88"/>
      <c r="V2135" s="88"/>
      <c r="W2135" s="88"/>
      <c r="X2135" s="88"/>
      <c r="Y2135" s="88"/>
      <c r="Z2135" s="88"/>
    </row>
    <row r="2136" ht="17.25" customHeight="1">
      <c r="A2136" s="88"/>
      <c r="B2136" s="88"/>
      <c r="C2136" s="88"/>
      <c r="D2136" s="88"/>
      <c r="E2136" s="88"/>
      <c r="F2136" s="89"/>
      <c r="G2136" s="89"/>
      <c r="H2136" s="89"/>
      <c r="I2136" s="88"/>
      <c r="J2136" s="88"/>
      <c r="K2136" s="88"/>
      <c r="L2136" s="88"/>
      <c r="M2136" s="88"/>
      <c r="N2136" s="88"/>
      <c r="O2136" s="88"/>
      <c r="P2136" s="88"/>
      <c r="Q2136" s="88"/>
      <c r="R2136" s="88"/>
      <c r="S2136" s="88"/>
      <c r="T2136" s="88"/>
      <c r="U2136" s="88"/>
      <c r="V2136" s="88"/>
      <c r="W2136" s="88"/>
      <c r="X2136" s="88"/>
      <c r="Y2136" s="88"/>
      <c r="Z2136" s="88"/>
    </row>
    <row r="2137" ht="17.25" customHeight="1">
      <c r="A2137" s="88"/>
      <c r="B2137" s="88"/>
      <c r="C2137" s="88"/>
      <c r="D2137" s="88"/>
      <c r="E2137" s="88"/>
      <c r="F2137" s="89"/>
      <c r="G2137" s="89"/>
      <c r="H2137" s="89"/>
      <c r="I2137" s="88"/>
      <c r="J2137" s="88"/>
      <c r="K2137" s="88"/>
      <c r="L2137" s="88"/>
      <c r="M2137" s="88"/>
      <c r="N2137" s="88"/>
      <c r="O2137" s="88"/>
      <c r="P2137" s="88"/>
      <c r="Q2137" s="88"/>
      <c r="R2137" s="88"/>
      <c r="S2137" s="88"/>
      <c r="T2137" s="88"/>
      <c r="U2137" s="88"/>
      <c r="V2137" s="88"/>
      <c r="W2137" s="88"/>
      <c r="X2137" s="88"/>
      <c r="Y2137" s="88"/>
      <c r="Z2137" s="88"/>
    </row>
    <row r="2138" ht="17.25" customHeight="1">
      <c r="A2138" s="88"/>
      <c r="B2138" s="88"/>
      <c r="C2138" s="88"/>
      <c r="D2138" s="88"/>
      <c r="E2138" s="88"/>
      <c r="F2138" s="89"/>
      <c r="G2138" s="89"/>
      <c r="H2138" s="89"/>
      <c r="I2138" s="88"/>
      <c r="J2138" s="88"/>
      <c r="K2138" s="88"/>
      <c r="L2138" s="88"/>
      <c r="M2138" s="88"/>
      <c r="N2138" s="88"/>
      <c r="O2138" s="88"/>
      <c r="P2138" s="88"/>
      <c r="Q2138" s="88"/>
      <c r="R2138" s="88"/>
      <c r="S2138" s="88"/>
      <c r="T2138" s="88"/>
      <c r="U2138" s="88"/>
      <c r="V2138" s="88"/>
      <c r="W2138" s="88"/>
      <c r="X2138" s="88"/>
      <c r="Y2138" s="88"/>
      <c r="Z2138" s="88"/>
    </row>
    <row r="2139" ht="17.25" customHeight="1">
      <c r="A2139" s="88"/>
      <c r="B2139" s="88"/>
      <c r="C2139" s="88"/>
      <c r="D2139" s="88"/>
      <c r="E2139" s="88"/>
      <c r="F2139" s="89"/>
      <c r="G2139" s="89"/>
      <c r="H2139" s="89"/>
      <c r="I2139" s="88"/>
      <c r="J2139" s="88"/>
      <c r="K2139" s="88"/>
      <c r="L2139" s="88"/>
      <c r="M2139" s="88"/>
      <c r="N2139" s="88"/>
      <c r="O2139" s="88"/>
      <c r="P2139" s="88"/>
      <c r="Q2139" s="88"/>
      <c r="R2139" s="88"/>
      <c r="S2139" s="88"/>
      <c r="T2139" s="88"/>
      <c r="U2139" s="88"/>
      <c r="V2139" s="88"/>
      <c r="W2139" s="88"/>
      <c r="X2139" s="88"/>
      <c r="Y2139" s="88"/>
      <c r="Z2139" s="88"/>
    </row>
    <row r="2140" ht="17.25" customHeight="1">
      <c r="A2140" s="88"/>
      <c r="B2140" s="88"/>
      <c r="C2140" s="88"/>
      <c r="D2140" s="88"/>
      <c r="E2140" s="88"/>
      <c r="F2140" s="89"/>
      <c r="G2140" s="89"/>
      <c r="H2140" s="89"/>
      <c r="I2140" s="88"/>
      <c r="J2140" s="88"/>
      <c r="K2140" s="88"/>
      <c r="L2140" s="88"/>
      <c r="M2140" s="88"/>
      <c r="N2140" s="88"/>
      <c r="O2140" s="88"/>
      <c r="P2140" s="88"/>
      <c r="Q2140" s="88"/>
      <c r="R2140" s="88"/>
      <c r="S2140" s="88"/>
      <c r="T2140" s="88"/>
      <c r="U2140" s="88"/>
      <c r="V2140" s="88"/>
      <c r="W2140" s="88"/>
      <c r="X2140" s="88"/>
      <c r="Y2140" s="88"/>
      <c r="Z2140" s="88"/>
    </row>
    <row r="2141" ht="17.25" customHeight="1">
      <c r="A2141" s="88"/>
      <c r="B2141" s="88"/>
      <c r="C2141" s="88"/>
      <c r="D2141" s="88"/>
      <c r="E2141" s="88"/>
      <c r="F2141" s="89"/>
      <c r="G2141" s="89"/>
      <c r="H2141" s="89"/>
      <c r="I2141" s="88"/>
      <c r="J2141" s="88"/>
      <c r="K2141" s="88"/>
      <c r="L2141" s="88"/>
      <c r="M2141" s="88"/>
      <c r="N2141" s="88"/>
      <c r="O2141" s="88"/>
      <c r="P2141" s="88"/>
      <c r="Q2141" s="88"/>
      <c r="R2141" s="88"/>
      <c r="S2141" s="88"/>
      <c r="T2141" s="88"/>
      <c r="U2141" s="88"/>
      <c r="V2141" s="88"/>
      <c r="W2141" s="88"/>
      <c r="X2141" s="88"/>
      <c r="Y2141" s="88"/>
      <c r="Z2141" s="88"/>
    </row>
    <row r="2142" ht="17.25" customHeight="1">
      <c r="A2142" s="88"/>
      <c r="B2142" s="88"/>
      <c r="C2142" s="88"/>
      <c r="D2142" s="88"/>
      <c r="E2142" s="88"/>
      <c r="F2142" s="89"/>
      <c r="G2142" s="89"/>
      <c r="H2142" s="89"/>
      <c r="I2142" s="88"/>
      <c r="J2142" s="88"/>
      <c r="K2142" s="88"/>
      <c r="L2142" s="88"/>
      <c r="M2142" s="88"/>
      <c r="N2142" s="88"/>
      <c r="O2142" s="88"/>
      <c r="P2142" s="88"/>
      <c r="Q2142" s="88"/>
      <c r="R2142" s="88"/>
      <c r="S2142" s="88"/>
      <c r="T2142" s="88"/>
      <c r="U2142" s="88"/>
      <c r="V2142" s="88"/>
      <c r="W2142" s="88"/>
      <c r="X2142" s="88"/>
      <c r="Y2142" s="88"/>
      <c r="Z2142" s="88"/>
    </row>
    <row r="2143" ht="17.25" customHeight="1">
      <c r="A2143" s="88"/>
      <c r="B2143" s="88"/>
      <c r="C2143" s="88"/>
      <c r="D2143" s="88"/>
      <c r="E2143" s="88"/>
      <c r="F2143" s="89"/>
      <c r="G2143" s="89"/>
      <c r="H2143" s="89"/>
      <c r="I2143" s="88"/>
      <c r="J2143" s="88"/>
      <c r="K2143" s="88"/>
      <c r="L2143" s="88"/>
      <c r="M2143" s="88"/>
      <c r="N2143" s="88"/>
      <c r="O2143" s="88"/>
      <c r="P2143" s="88"/>
      <c r="Q2143" s="88"/>
      <c r="R2143" s="88"/>
      <c r="S2143" s="88"/>
      <c r="T2143" s="88"/>
      <c r="U2143" s="88"/>
      <c r="V2143" s="88"/>
      <c r="W2143" s="88"/>
      <c r="X2143" s="88"/>
      <c r="Y2143" s="88"/>
      <c r="Z2143" s="88"/>
    </row>
    <row r="2144" ht="17.25" customHeight="1">
      <c r="A2144" s="88"/>
      <c r="B2144" s="88"/>
      <c r="C2144" s="88"/>
      <c r="D2144" s="88"/>
      <c r="E2144" s="88"/>
      <c r="F2144" s="89"/>
      <c r="G2144" s="89"/>
      <c r="H2144" s="89"/>
      <c r="I2144" s="88"/>
      <c r="J2144" s="88"/>
      <c r="K2144" s="88"/>
      <c r="L2144" s="88"/>
      <c r="M2144" s="88"/>
      <c r="N2144" s="88"/>
      <c r="O2144" s="88"/>
      <c r="P2144" s="88"/>
      <c r="Q2144" s="88"/>
      <c r="R2144" s="88"/>
      <c r="S2144" s="88"/>
      <c r="T2144" s="88"/>
      <c r="U2144" s="88"/>
      <c r="V2144" s="88"/>
      <c r="W2144" s="88"/>
      <c r="X2144" s="88"/>
      <c r="Y2144" s="88"/>
      <c r="Z2144" s="88"/>
    </row>
    <row r="2145" ht="17.25" customHeight="1">
      <c r="A2145" s="88"/>
      <c r="B2145" s="88"/>
      <c r="C2145" s="88"/>
      <c r="D2145" s="88"/>
      <c r="E2145" s="88"/>
      <c r="F2145" s="89"/>
      <c r="G2145" s="89"/>
      <c r="H2145" s="89"/>
      <c r="I2145" s="88"/>
      <c r="J2145" s="88"/>
      <c r="K2145" s="88"/>
      <c r="L2145" s="88"/>
      <c r="M2145" s="88"/>
      <c r="N2145" s="88"/>
      <c r="O2145" s="88"/>
      <c r="P2145" s="88"/>
      <c r="Q2145" s="88"/>
      <c r="R2145" s="88"/>
      <c r="S2145" s="88"/>
      <c r="T2145" s="88"/>
      <c r="U2145" s="88"/>
      <c r="V2145" s="88"/>
      <c r="W2145" s="88"/>
      <c r="X2145" s="88"/>
      <c r="Y2145" s="88"/>
      <c r="Z2145" s="88"/>
    </row>
    <row r="2146" ht="17.25" customHeight="1">
      <c r="A2146" s="88"/>
      <c r="B2146" s="88"/>
      <c r="C2146" s="88"/>
      <c r="D2146" s="88"/>
      <c r="E2146" s="88"/>
      <c r="F2146" s="89"/>
      <c r="G2146" s="89"/>
      <c r="H2146" s="89"/>
      <c r="I2146" s="88"/>
      <c r="J2146" s="88"/>
      <c r="K2146" s="88"/>
      <c r="L2146" s="88"/>
      <c r="M2146" s="88"/>
      <c r="N2146" s="88"/>
      <c r="O2146" s="88"/>
      <c r="P2146" s="88"/>
      <c r="Q2146" s="88"/>
      <c r="R2146" s="88"/>
      <c r="S2146" s="88"/>
      <c r="T2146" s="88"/>
      <c r="U2146" s="88"/>
      <c r="V2146" s="88"/>
      <c r="W2146" s="88"/>
      <c r="X2146" s="88"/>
      <c r="Y2146" s="88"/>
      <c r="Z2146" s="88"/>
    </row>
    <row r="2147" ht="17.25" customHeight="1">
      <c r="A2147" s="88"/>
      <c r="B2147" s="88"/>
      <c r="C2147" s="88"/>
      <c r="D2147" s="88"/>
      <c r="E2147" s="88"/>
      <c r="F2147" s="89"/>
      <c r="G2147" s="89"/>
      <c r="H2147" s="89"/>
      <c r="I2147" s="88"/>
      <c r="J2147" s="88"/>
      <c r="K2147" s="88"/>
      <c r="L2147" s="88"/>
      <c r="M2147" s="88"/>
      <c r="N2147" s="88"/>
      <c r="O2147" s="88"/>
      <c r="P2147" s="88"/>
      <c r="Q2147" s="88"/>
      <c r="R2147" s="88"/>
      <c r="S2147" s="88"/>
      <c r="T2147" s="88"/>
      <c r="U2147" s="88"/>
      <c r="V2147" s="88"/>
      <c r="W2147" s="88"/>
      <c r="X2147" s="88"/>
      <c r="Y2147" s="88"/>
      <c r="Z2147" s="88"/>
    </row>
    <row r="2148" ht="17.25" customHeight="1">
      <c r="A2148" s="88"/>
      <c r="B2148" s="88"/>
      <c r="C2148" s="88"/>
      <c r="D2148" s="88"/>
      <c r="E2148" s="88"/>
      <c r="F2148" s="89"/>
      <c r="G2148" s="89"/>
      <c r="H2148" s="89"/>
      <c r="I2148" s="88"/>
      <c r="J2148" s="88"/>
      <c r="K2148" s="88"/>
      <c r="L2148" s="88"/>
      <c r="M2148" s="88"/>
      <c r="N2148" s="88"/>
      <c r="O2148" s="88"/>
      <c r="P2148" s="88"/>
      <c r="Q2148" s="88"/>
      <c r="R2148" s="88"/>
      <c r="S2148" s="88"/>
      <c r="T2148" s="88"/>
      <c r="U2148" s="88"/>
      <c r="V2148" s="88"/>
      <c r="W2148" s="88"/>
      <c r="X2148" s="88"/>
      <c r="Y2148" s="88"/>
      <c r="Z2148" s="88"/>
    </row>
    <row r="2149" ht="17.25" customHeight="1">
      <c r="A2149" s="88"/>
      <c r="B2149" s="88"/>
      <c r="C2149" s="88"/>
      <c r="D2149" s="88"/>
      <c r="E2149" s="88"/>
      <c r="F2149" s="89"/>
      <c r="G2149" s="89"/>
      <c r="H2149" s="89"/>
      <c r="I2149" s="88"/>
      <c r="J2149" s="88"/>
      <c r="K2149" s="88"/>
      <c r="L2149" s="88"/>
      <c r="M2149" s="88"/>
      <c r="N2149" s="88"/>
      <c r="O2149" s="88"/>
      <c r="P2149" s="88"/>
      <c r="Q2149" s="88"/>
      <c r="R2149" s="88"/>
      <c r="S2149" s="88"/>
      <c r="T2149" s="88"/>
      <c r="U2149" s="88"/>
      <c r="V2149" s="88"/>
      <c r="W2149" s="88"/>
      <c r="X2149" s="88"/>
      <c r="Y2149" s="88"/>
      <c r="Z2149" s="88"/>
    </row>
    <row r="2150" ht="17.25" customHeight="1">
      <c r="A2150" s="88"/>
      <c r="B2150" s="88"/>
      <c r="C2150" s="88"/>
      <c r="D2150" s="88"/>
      <c r="E2150" s="88"/>
      <c r="F2150" s="89"/>
      <c r="G2150" s="89"/>
      <c r="H2150" s="89"/>
      <c r="I2150" s="88"/>
      <c r="J2150" s="88"/>
      <c r="K2150" s="88"/>
      <c r="L2150" s="88"/>
      <c r="M2150" s="88"/>
      <c r="N2150" s="88"/>
      <c r="O2150" s="88"/>
      <c r="P2150" s="88"/>
      <c r="Q2150" s="88"/>
      <c r="R2150" s="88"/>
      <c r="S2150" s="88"/>
      <c r="T2150" s="88"/>
      <c r="U2150" s="88"/>
      <c r="V2150" s="88"/>
      <c r="W2150" s="88"/>
      <c r="X2150" s="88"/>
      <c r="Y2150" s="88"/>
      <c r="Z2150" s="88"/>
    </row>
    <row r="2151" ht="17.25" customHeight="1">
      <c r="A2151" s="88"/>
      <c r="B2151" s="88"/>
      <c r="C2151" s="88"/>
      <c r="D2151" s="88"/>
      <c r="E2151" s="88"/>
      <c r="F2151" s="89"/>
      <c r="G2151" s="89"/>
      <c r="H2151" s="89"/>
      <c r="I2151" s="88"/>
      <c r="J2151" s="88"/>
      <c r="K2151" s="88"/>
      <c r="L2151" s="88"/>
      <c r="M2151" s="88"/>
      <c r="N2151" s="88"/>
      <c r="O2151" s="88"/>
      <c r="P2151" s="88"/>
      <c r="Q2151" s="88"/>
      <c r="R2151" s="88"/>
      <c r="S2151" s="88"/>
      <c r="T2151" s="88"/>
      <c r="U2151" s="88"/>
      <c r="V2151" s="88"/>
      <c r="W2151" s="88"/>
      <c r="X2151" s="88"/>
      <c r="Y2151" s="88"/>
      <c r="Z2151" s="88"/>
    </row>
    <row r="2152" ht="17.25" customHeight="1">
      <c r="A2152" s="88"/>
      <c r="B2152" s="88"/>
      <c r="C2152" s="88"/>
      <c r="D2152" s="88"/>
      <c r="E2152" s="88"/>
      <c r="F2152" s="89"/>
      <c r="G2152" s="89"/>
      <c r="H2152" s="89"/>
      <c r="I2152" s="88"/>
      <c r="J2152" s="88"/>
      <c r="K2152" s="88"/>
      <c r="L2152" s="88"/>
      <c r="M2152" s="88"/>
      <c r="N2152" s="88"/>
      <c r="O2152" s="88"/>
      <c r="P2152" s="88"/>
      <c r="Q2152" s="88"/>
      <c r="R2152" s="88"/>
      <c r="S2152" s="88"/>
      <c r="T2152" s="88"/>
      <c r="U2152" s="88"/>
      <c r="V2152" s="88"/>
      <c r="W2152" s="88"/>
      <c r="X2152" s="88"/>
      <c r="Y2152" s="88"/>
      <c r="Z2152" s="88"/>
    </row>
    <row r="2153" ht="17.25" customHeight="1">
      <c r="A2153" s="88"/>
      <c r="B2153" s="88"/>
      <c r="C2153" s="88"/>
      <c r="D2153" s="88"/>
      <c r="E2153" s="88"/>
      <c r="F2153" s="89"/>
      <c r="G2153" s="89"/>
      <c r="H2153" s="89"/>
      <c r="I2153" s="88"/>
      <c r="J2153" s="88"/>
      <c r="K2153" s="88"/>
      <c r="L2153" s="88"/>
      <c r="M2153" s="88"/>
      <c r="N2153" s="88"/>
      <c r="O2153" s="88"/>
      <c r="P2153" s="88"/>
      <c r="Q2153" s="88"/>
      <c r="R2153" s="88"/>
      <c r="S2153" s="88"/>
      <c r="T2153" s="88"/>
      <c r="U2153" s="88"/>
      <c r="V2153" s="88"/>
      <c r="W2153" s="88"/>
      <c r="X2153" s="88"/>
      <c r="Y2153" s="88"/>
      <c r="Z2153" s="88"/>
    </row>
    <row r="2154" ht="17.25" customHeight="1">
      <c r="A2154" s="88"/>
      <c r="B2154" s="88"/>
      <c r="C2154" s="88"/>
      <c r="D2154" s="88"/>
      <c r="E2154" s="88"/>
      <c r="F2154" s="89"/>
      <c r="G2154" s="89"/>
      <c r="H2154" s="89"/>
      <c r="I2154" s="88"/>
      <c r="J2154" s="88"/>
      <c r="K2154" s="88"/>
      <c r="L2154" s="88"/>
      <c r="M2154" s="88"/>
      <c r="N2154" s="88"/>
      <c r="O2154" s="88"/>
      <c r="P2154" s="88"/>
      <c r="Q2154" s="88"/>
      <c r="R2154" s="88"/>
      <c r="S2154" s="88"/>
      <c r="T2154" s="88"/>
      <c r="U2154" s="88"/>
      <c r="V2154" s="88"/>
      <c r="W2154" s="88"/>
      <c r="X2154" s="88"/>
      <c r="Y2154" s="88"/>
      <c r="Z2154" s="88"/>
    </row>
    <row r="2155" ht="17.25" customHeight="1">
      <c r="A2155" s="88"/>
      <c r="B2155" s="88"/>
      <c r="C2155" s="88"/>
      <c r="D2155" s="88"/>
      <c r="E2155" s="88"/>
      <c r="F2155" s="89"/>
      <c r="G2155" s="89"/>
      <c r="H2155" s="89"/>
      <c r="I2155" s="88"/>
      <c r="J2155" s="88"/>
      <c r="K2155" s="88"/>
      <c r="L2155" s="88"/>
      <c r="M2155" s="88"/>
      <c r="N2155" s="88"/>
      <c r="O2155" s="88"/>
      <c r="P2155" s="88"/>
      <c r="Q2155" s="88"/>
      <c r="R2155" s="88"/>
      <c r="S2155" s="88"/>
      <c r="T2155" s="88"/>
      <c r="U2155" s="88"/>
      <c r="V2155" s="88"/>
      <c r="W2155" s="88"/>
      <c r="X2155" s="88"/>
      <c r="Y2155" s="88"/>
      <c r="Z2155" s="88"/>
    </row>
    <row r="2156" ht="17.25" customHeight="1">
      <c r="A2156" s="88"/>
      <c r="B2156" s="88"/>
      <c r="C2156" s="88"/>
      <c r="D2156" s="88"/>
      <c r="E2156" s="88"/>
      <c r="F2156" s="89"/>
      <c r="G2156" s="89"/>
      <c r="H2156" s="89"/>
      <c r="I2156" s="88"/>
      <c r="J2156" s="88"/>
      <c r="K2156" s="88"/>
      <c r="L2156" s="88"/>
      <c r="M2156" s="88"/>
      <c r="N2156" s="88"/>
      <c r="O2156" s="88"/>
      <c r="P2156" s="88"/>
      <c r="Q2156" s="88"/>
      <c r="R2156" s="88"/>
      <c r="S2156" s="88"/>
      <c r="T2156" s="88"/>
      <c r="U2156" s="88"/>
      <c r="V2156" s="88"/>
      <c r="W2156" s="88"/>
      <c r="X2156" s="88"/>
      <c r="Y2156" s="88"/>
      <c r="Z2156" s="88"/>
    </row>
    <row r="2157" ht="17.25" customHeight="1">
      <c r="A2157" s="88"/>
      <c r="B2157" s="88"/>
      <c r="C2157" s="88"/>
      <c r="D2157" s="88"/>
      <c r="E2157" s="88"/>
      <c r="F2157" s="89"/>
      <c r="G2157" s="89"/>
      <c r="H2157" s="89"/>
      <c r="I2157" s="88"/>
      <c r="J2157" s="88"/>
      <c r="K2157" s="88"/>
      <c r="L2157" s="88"/>
      <c r="M2157" s="88"/>
      <c r="N2157" s="88"/>
      <c r="O2157" s="88"/>
      <c r="P2157" s="88"/>
      <c r="Q2157" s="88"/>
      <c r="R2157" s="88"/>
      <c r="S2157" s="88"/>
      <c r="T2157" s="88"/>
      <c r="U2157" s="88"/>
      <c r="V2157" s="88"/>
      <c r="W2157" s="88"/>
      <c r="X2157" s="88"/>
      <c r="Y2157" s="88"/>
      <c r="Z2157" s="88"/>
    </row>
    <row r="2158" ht="17.25" customHeight="1">
      <c r="A2158" s="88"/>
      <c r="B2158" s="88"/>
      <c r="C2158" s="88"/>
      <c r="D2158" s="88"/>
      <c r="E2158" s="88"/>
      <c r="F2158" s="89"/>
      <c r="G2158" s="89"/>
      <c r="H2158" s="89"/>
      <c r="I2158" s="88"/>
      <c r="J2158" s="88"/>
      <c r="K2158" s="88"/>
      <c r="L2158" s="88"/>
      <c r="M2158" s="88"/>
      <c r="N2158" s="88"/>
      <c r="O2158" s="88"/>
      <c r="P2158" s="88"/>
      <c r="Q2158" s="88"/>
      <c r="R2158" s="88"/>
      <c r="S2158" s="88"/>
      <c r="T2158" s="88"/>
      <c r="U2158" s="88"/>
      <c r="V2158" s="88"/>
      <c r="W2158" s="88"/>
      <c r="X2158" s="88"/>
      <c r="Y2158" s="88"/>
      <c r="Z2158" s="88"/>
    </row>
    <row r="2159" ht="17.25" customHeight="1">
      <c r="A2159" s="88"/>
      <c r="B2159" s="88"/>
      <c r="C2159" s="88"/>
      <c r="D2159" s="88"/>
      <c r="E2159" s="88"/>
      <c r="F2159" s="89"/>
      <c r="G2159" s="89"/>
      <c r="H2159" s="89"/>
      <c r="I2159" s="88"/>
      <c r="J2159" s="88"/>
      <c r="K2159" s="88"/>
      <c r="L2159" s="88"/>
      <c r="M2159" s="88"/>
      <c r="N2159" s="88"/>
      <c r="O2159" s="88"/>
      <c r="P2159" s="88"/>
      <c r="Q2159" s="88"/>
      <c r="R2159" s="88"/>
      <c r="S2159" s="88"/>
      <c r="T2159" s="88"/>
      <c r="U2159" s="88"/>
      <c r="V2159" s="88"/>
      <c r="W2159" s="88"/>
      <c r="X2159" s="88"/>
      <c r="Y2159" s="88"/>
      <c r="Z2159" s="88"/>
    </row>
    <row r="2160" ht="17.25" customHeight="1">
      <c r="A2160" s="88"/>
      <c r="B2160" s="88"/>
      <c r="C2160" s="88"/>
      <c r="D2160" s="88"/>
      <c r="E2160" s="88"/>
      <c r="F2160" s="89"/>
      <c r="G2160" s="89"/>
      <c r="H2160" s="89"/>
      <c r="I2160" s="88"/>
      <c r="J2160" s="88"/>
      <c r="K2160" s="88"/>
      <c r="L2160" s="88"/>
      <c r="M2160" s="88"/>
      <c r="N2160" s="88"/>
      <c r="O2160" s="88"/>
      <c r="P2160" s="88"/>
      <c r="Q2160" s="88"/>
      <c r="R2160" s="88"/>
      <c r="S2160" s="88"/>
      <c r="T2160" s="88"/>
      <c r="U2160" s="88"/>
      <c r="V2160" s="88"/>
      <c r="W2160" s="88"/>
      <c r="X2160" s="88"/>
      <c r="Y2160" s="88"/>
      <c r="Z2160" s="88"/>
    </row>
    <row r="2161" ht="17.25" customHeight="1">
      <c r="A2161" s="88"/>
      <c r="B2161" s="88"/>
      <c r="C2161" s="88"/>
      <c r="D2161" s="88"/>
      <c r="E2161" s="88"/>
      <c r="F2161" s="89"/>
      <c r="G2161" s="89"/>
      <c r="H2161" s="89"/>
      <c r="I2161" s="88"/>
      <c r="J2161" s="88"/>
      <c r="K2161" s="88"/>
      <c r="L2161" s="88"/>
      <c r="M2161" s="88"/>
      <c r="N2161" s="88"/>
      <c r="O2161" s="88"/>
      <c r="P2161" s="88"/>
      <c r="Q2161" s="88"/>
      <c r="R2161" s="88"/>
      <c r="S2161" s="88"/>
      <c r="T2161" s="88"/>
      <c r="U2161" s="88"/>
      <c r="V2161" s="88"/>
      <c r="W2161" s="88"/>
      <c r="X2161" s="88"/>
      <c r="Y2161" s="88"/>
      <c r="Z2161" s="88"/>
    </row>
    <row r="2162" ht="17.25" customHeight="1">
      <c r="A2162" s="88"/>
      <c r="B2162" s="88"/>
      <c r="C2162" s="88"/>
      <c r="D2162" s="88"/>
      <c r="E2162" s="88"/>
      <c r="F2162" s="89"/>
      <c r="G2162" s="89"/>
      <c r="H2162" s="89"/>
      <c r="I2162" s="88"/>
      <c r="J2162" s="88"/>
      <c r="K2162" s="88"/>
      <c r="L2162" s="88"/>
      <c r="M2162" s="88"/>
      <c r="N2162" s="88"/>
      <c r="O2162" s="88"/>
      <c r="P2162" s="88"/>
      <c r="Q2162" s="88"/>
      <c r="R2162" s="88"/>
      <c r="S2162" s="88"/>
      <c r="T2162" s="88"/>
      <c r="U2162" s="88"/>
      <c r="V2162" s="88"/>
      <c r="W2162" s="88"/>
      <c r="X2162" s="88"/>
      <c r="Y2162" s="88"/>
      <c r="Z2162" s="88"/>
    </row>
    <row r="2163" ht="17.25" customHeight="1">
      <c r="A2163" s="88"/>
      <c r="B2163" s="88"/>
      <c r="C2163" s="88"/>
      <c r="D2163" s="88"/>
      <c r="E2163" s="88"/>
      <c r="F2163" s="89"/>
      <c r="G2163" s="89"/>
      <c r="H2163" s="89"/>
      <c r="I2163" s="88"/>
      <c r="J2163" s="88"/>
      <c r="K2163" s="88"/>
      <c r="L2163" s="88"/>
      <c r="M2163" s="88"/>
      <c r="N2163" s="88"/>
      <c r="O2163" s="88"/>
      <c r="P2163" s="88"/>
      <c r="Q2163" s="88"/>
      <c r="R2163" s="88"/>
      <c r="S2163" s="88"/>
      <c r="T2163" s="88"/>
      <c r="U2163" s="88"/>
      <c r="V2163" s="88"/>
      <c r="W2163" s="88"/>
      <c r="X2163" s="88"/>
      <c r="Y2163" s="88"/>
      <c r="Z2163" s="88"/>
    </row>
    <row r="2164" ht="17.25" customHeight="1">
      <c r="A2164" s="88"/>
      <c r="B2164" s="88"/>
      <c r="C2164" s="88"/>
      <c r="D2164" s="88"/>
      <c r="E2164" s="88"/>
      <c r="F2164" s="89"/>
      <c r="G2164" s="89"/>
      <c r="H2164" s="89"/>
      <c r="I2164" s="88"/>
      <c r="J2164" s="88"/>
      <c r="K2164" s="88"/>
      <c r="L2164" s="88"/>
      <c r="M2164" s="88"/>
      <c r="N2164" s="88"/>
      <c r="O2164" s="88"/>
      <c r="P2164" s="88"/>
      <c r="Q2164" s="88"/>
      <c r="R2164" s="88"/>
      <c r="S2164" s="88"/>
      <c r="T2164" s="88"/>
      <c r="U2164" s="88"/>
      <c r="V2164" s="88"/>
      <c r="W2164" s="88"/>
      <c r="X2164" s="88"/>
      <c r="Y2164" s="88"/>
      <c r="Z2164" s="88"/>
    </row>
    <row r="2165" ht="17.25" customHeight="1">
      <c r="A2165" s="88"/>
      <c r="B2165" s="88"/>
      <c r="C2165" s="88"/>
      <c r="D2165" s="88"/>
      <c r="E2165" s="88"/>
      <c r="F2165" s="89"/>
      <c r="G2165" s="89"/>
      <c r="H2165" s="89"/>
      <c r="I2165" s="88"/>
      <c r="J2165" s="88"/>
      <c r="K2165" s="88"/>
      <c r="L2165" s="88"/>
      <c r="M2165" s="88"/>
      <c r="N2165" s="88"/>
      <c r="O2165" s="88"/>
      <c r="P2165" s="88"/>
      <c r="Q2165" s="88"/>
      <c r="R2165" s="88"/>
      <c r="S2165" s="88"/>
      <c r="T2165" s="88"/>
      <c r="U2165" s="88"/>
      <c r="V2165" s="88"/>
      <c r="W2165" s="88"/>
      <c r="X2165" s="88"/>
      <c r="Y2165" s="88"/>
      <c r="Z2165" s="88"/>
    </row>
    <row r="2166" ht="17.25" customHeight="1">
      <c r="A2166" s="88"/>
      <c r="B2166" s="88"/>
      <c r="C2166" s="88"/>
      <c r="D2166" s="88"/>
      <c r="E2166" s="88"/>
      <c r="F2166" s="89"/>
      <c r="G2166" s="89"/>
      <c r="H2166" s="89"/>
      <c r="I2166" s="88"/>
      <c r="J2166" s="88"/>
      <c r="K2166" s="88"/>
      <c r="L2166" s="88"/>
      <c r="M2166" s="88"/>
      <c r="N2166" s="88"/>
      <c r="O2166" s="88"/>
      <c r="P2166" s="88"/>
      <c r="Q2166" s="88"/>
      <c r="R2166" s="88"/>
      <c r="S2166" s="88"/>
      <c r="T2166" s="88"/>
      <c r="U2166" s="88"/>
      <c r="V2166" s="88"/>
      <c r="W2166" s="88"/>
      <c r="X2166" s="88"/>
      <c r="Y2166" s="88"/>
      <c r="Z2166" s="88"/>
    </row>
    <row r="2167" ht="17.25" customHeight="1">
      <c r="A2167" s="88"/>
      <c r="B2167" s="88"/>
      <c r="C2167" s="88"/>
      <c r="D2167" s="88"/>
      <c r="E2167" s="88"/>
      <c r="F2167" s="89"/>
      <c r="G2167" s="89"/>
      <c r="H2167" s="89"/>
      <c r="I2167" s="88"/>
      <c r="J2167" s="88"/>
      <c r="K2167" s="88"/>
      <c r="L2167" s="88"/>
      <c r="M2167" s="88"/>
      <c r="N2167" s="88"/>
      <c r="O2167" s="88"/>
      <c r="P2167" s="88"/>
      <c r="Q2167" s="88"/>
      <c r="R2167" s="88"/>
      <c r="S2167" s="88"/>
      <c r="T2167" s="88"/>
      <c r="U2167" s="88"/>
      <c r="V2167" s="88"/>
      <c r="W2167" s="88"/>
      <c r="X2167" s="88"/>
      <c r="Y2167" s="88"/>
      <c r="Z2167" s="88"/>
    </row>
    <row r="2168" ht="17.25" customHeight="1">
      <c r="A2168" s="88"/>
      <c r="B2168" s="88"/>
      <c r="C2168" s="88"/>
      <c r="D2168" s="88"/>
      <c r="E2168" s="88"/>
      <c r="F2168" s="89"/>
      <c r="G2168" s="89"/>
      <c r="H2168" s="89"/>
      <c r="I2168" s="88"/>
      <c r="J2168" s="88"/>
      <c r="K2168" s="88"/>
      <c r="L2168" s="88"/>
      <c r="M2168" s="88"/>
      <c r="N2168" s="88"/>
      <c r="O2168" s="88"/>
      <c r="P2168" s="88"/>
      <c r="Q2168" s="88"/>
      <c r="R2168" s="88"/>
      <c r="S2168" s="88"/>
      <c r="T2168" s="88"/>
      <c r="U2168" s="88"/>
      <c r="V2168" s="88"/>
      <c r="W2168" s="88"/>
      <c r="X2168" s="88"/>
      <c r="Y2168" s="88"/>
      <c r="Z2168" s="88"/>
    </row>
    <row r="2169" ht="17.25" customHeight="1">
      <c r="A2169" s="88"/>
      <c r="B2169" s="88"/>
      <c r="C2169" s="88"/>
      <c r="D2169" s="88"/>
      <c r="E2169" s="88"/>
      <c r="F2169" s="89"/>
      <c r="G2169" s="89"/>
      <c r="H2169" s="89"/>
      <c r="I2169" s="88"/>
      <c r="J2169" s="88"/>
      <c r="K2169" s="88"/>
      <c r="L2169" s="88"/>
      <c r="M2169" s="88"/>
      <c r="N2169" s="88"/>
      <c r="O2169" s="88"/>
      <c r="P2169" s="88"/>
      <c r="Q2169" s="88"/>
      <c r="R2169" s="88"/>
      <c r="S2169" s="88"/>
      <c r="T2169" s="88"/>
      <c r="U2169" s="88"/>
      <c r="V2169" s="88"/>
      <c r="W2169" s="88"/>
      <c r="X2169" s="88"/>
      <c r="Y2169" s="88"/>
      <c r="Z2169" s="88"/>
    </row>
    <row r="2170" ht="17.25" customHeight="1">
      <c r="A2170" s="88"/>
      <c r="B2170" s="88"/>
      <c r="C2170" s="88"/>
      <c r="D2170" s="88"/>
      <c r="E2170" s="88"/>
      <c r="F2170" s="89"/>
      <c r="G2170" s="89"/>
      <c r="H2170" s="89"/>
      <c r="I2170" s="88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U2170" s="88"/>
      <c r="V2170" s="88"/>
      <c r="W2170" s="88"/>
      <c r="X2170" s="88"/>
      <c r="Y2170" s="88"/>
      <c r="Z2170" s="88"/>
    </row>
    <row r="2171" ht="17.25" customHeight="1">
      <c r="A2171" s="88"/>
      <c r="B2171" s="88"/>
      <c r="C2171" s="88"/>
      <c r="D2171" s="88"/>
      <c r="E2171" s="88"/>
      <c r="F2171" s="89"/>
      <c r="G2171" s="89"/>
      <c r="H2171" s="89"/>
      <c r="I2171" s="88"/>
      <c r="J2171" s="88"/>
      <c r="K2171" s="88"/>
      <c r="L2171" s="88"/>
      <c r="M2171" s="88"/>
      <c r="N2171" s="88"/>
      <c r="O2171" s="88"/>
      <c r="P2171" s="88"/>
      <c r="Q2171" s="88"/>
      <c r="R2171" s="88"/>
      <c r="S2171" s="88"/>
      <c r="T2171" s="88"/>
      <c r="U2171" s="88"/>
      <c r="V2171" s="88"/>
      <c r="W2171" s="88"/>
      <c r="X2171" s="88"/>
      <c r="Y2171" s="88"/>
      <c r="Z2171" s="88"/>
    </row>
    <row r="2172" ht="17.25" customHeight="1">
      <c r="A2172" s="88"/>
      <c r="B2172" s="88"/>
      <c r="C2172" s="88"/>
      <c r="D2172" s="88"/>
      <c r="E2172" s="88"/>
      <c r="F2172" s="89"/>
      <c r="G2172" s="89"/>
      <c r="H2172" s="89"/>
      <c r="I2172" s="88"/>
      <c r="J2172" s="88"/>
      <c r="K2172" s="88"/>
      <c r="L2172" s="88"/>
      <c r="M2172" s="88"/>
      <c r="N2172" s="88"/>
      <c r="O2172" s="88"/>
      <c r="P2172" s="88"/>
      <c r="Q2172" s="88"/>
      <c r="R2172" s="88"/>
      <c r="S2172" s="88"/>
      <c r="T2172" s="88"/>
      <c r="U2172" s="88"/>
      <c r="V2172" s="88"/>
      <c r="W2172" s="88"/>
      <c r="X2172" s="88"/>
      <c r="Y2172" s="88"/>
      <c r="Z2172" s="88"/>
    </row>
    <row r="2173" ht="17.25" customHeight="1">
      <c r="A2173" s="88"/>
      <c r="B2173" s="88"/>
      <c r="C2173" s="88"/>
      <c r="D2173" s="88"/>
      <c r="E2173" s="88"/>
      <c r="F2173" s="89"/>
      <c r="G2173" s="89"/>
      <c r="H2173" s="89"/>
      <c r="I2173" s="88"/>
      <c r="J2173" s="88"/>
      <c r="K2173" s="88"/>
      <c r="L2173" s="88"/>
      <c r="M2173" s="88"/>
      <c r="N2173" s="88"/>
      <c r="O2173" s="88"/>
      <c r="P2173" s="88"/>
      <c r="Q2173" s="88"/>
      <c r="R2173" s="88"/>
      <c r="S2173" s="88"/>
      <c r="T2173" s="88"/>
      <c r="U2173" s="88"/>
      <c r="V2173" s="88"/>
      <c r="W2173" s="88"/>
      <c r="X2173" s="88"/>
      <c r="Y2173" s="88"/>
      <c r="Z2173" s="88"/>
    </row>
    <row r="2174" ht="17.25" customHeight="1">
      <c r="A2174" s="88"/>
      <c r="B2174" s="88"/>
      <c r="C2174" s="88"/>
      <c r="D2174" s="88"/>
      <c r="E2174" s="88"/>
      <c r="F2174" s="89"/>
      <c r="G2174" s="89"/>
      <c r="H2174" s="89"/>
      <c r="I2174" s="88"/>
      <c r="J2174" s="88"/>
      <c r="K2174" s="88"/>
      <c r="L2174" s="88"/>
      <c r="M2174" s="88"/>
      <c r="N2174" s="88"/>
      <c r="O2174" s="88"/>
      <c r="P2174" s="88"/>
      <c r="Q2174" s="88"/>
      <c r="R2174" s="88"/>
      <c r="S2174" s="88"/>
      <c r="T2174" s="88"/>
      <c r="U2174" s="88"/>
      <c r="V2174" s="88"/>
      <c r="W2174" s="88"/>
      <c r="X2174" s="88"/>
      <c r="Y2174" s="88"/>
      <c r="Z2174" s="88"/>
    </row>
    <row r="2175" ht="17.25" customHeight="1">
      <c r="A2175" s="88"/>
      <c r="B2175" s="88"/>
      <c r="C2175" s="88"/>
      <c r="D2175" s="88"/>
      <c r="E2175" s="88"/>
      <c r="F2175" s="89"/>
      <c r="G2175" s="89"/>
      <c r="H2175" s="89"/>
      <c r="I2175" s="88"/>
      <c r="J2175" s="88"/>
      <c r="K2175" s="88"/>
      <c r="L2175" s="88"/>
      <c r="M2175" s="88"/>
      <c r="N2175" s="88"/>
      <c r="O2175" s="88"/>
      <c r="P2175" s="88"/>
      <c r="Q2175" s="88"/>
      <c r="R2175" s="88"/>
      <c r="S2175" s="88"/>
      <c r="T2175" s="88"/>
      <c r="U2175" s="88"/>
      <c r="V2175" s="88"/>
      <c r="W2175" s="88"/>
      <c r="X2175" s="88"/>
      <c r="Y2175" s="88"/>
      <c r="Z2175" s="88"/>
    </row>
    <row r="2176" ht="17.25" customHeight="1">
      <c r="A2176" s="88"/>
      <c r="B2176" s="88"/>
      <c r="C2176" s="88"/>
      <c r="D2176" s="88"/>
      <c r="E2176" s="88"/>
      <c r="F2176" s="89"/>
      <c r="G2176" s="89"/>
      <c r="H2176" s="89"/>
      <c r="I2176" s="88"/>
      <c r="J2176" s="88"/>
      <c r="K2176" s="88"/>
      <c r="L2176" s="88"/>
      <c r="M2176" s="88"/>
      <c r="N2176" s="88"/>
      <c r="O2176" s="88"/>
      <c r="P2176" s="88"/>
      <c r="Q2176" s="88"/>
      <c r="R2176" s="88"/>
      <c r="S2176" s="88"/>
      <c r="T2176" s="88"/>
      <c r="U2176" s="88"/>
      <c r="V2176" s="88"/>
      <c r="W2176" s="88"/>
      <c r="X2176" s="88"/>
      <c r="Y2176" s="88"/>
      <c r="Z2176" s="88"/>
    </row>
    <row r="2177" ht="17.25" customHeight="1">
      <c r="A2177" s="88"/>
      <c r="B2177" s="88"/>
      <c r="C2177" s="88"/>
      <c r="D2177" s="88"/>
      <c r="E2177" s="88"/>
      <c r="F2177" s="89"/>
      <c r="G2177" s="89"/>
      <c r="H2177" s="89"/>
      <c r="I2177" s="88"/>
      <c r="J2177" s="88"/>
      <c r="K2177" s="88"/>
      <c r="L2177" s="88"/>
      <c r="M2177" s="88"/>
      <c r="N2177" s="88"/>
      <c r="O2177" s="88"/>
      <c r="P2177" s="88"/>
      <c r="Q2177" s="88"/>
      <c r="R2177" s="88"/>
      <c r="S2177" s="88"/>
      <c r="T2177" s="88"/>
      <c r="U2177" s="88"/>
      <c r="V2177" s="88"/>
      <c r="W2177" s="88"/>
      <c r="X2177" s="88"/>
      <c r="Y2177" s="88"/>
      <c r="Z2177" s="88"/>
    </row>
    <row r="2178" ht="17.25" customHeight="1">
      <c r="A2178" s="88"/>
      <c r="B2178" s="88"/>
      <c r="C2178" s="88"/>
      <c r="D2178" s="88"/>
      <c r="E2178" s="88"/>
      <c r="F2178" s="89"/>
      <c r="G2178" s="89"/>
      <c r="H2178" s="89"/>
      <c r="I2178" s="88"/>
      <c r="J2178" s="88"/>
      <c r="K2178" s="88"/>
      <c r="L2178" s="88"/>
      <c r="M2178" s="88"/>
      <c r="N2178" s="88"/>
      <c r="O2178" s="88"/>
      <c r="P2178" s="88"/>
      <c r="Q2178" s="88"/>
      <c r="R2178" s="88"/>
      <c r="S2178" s="88"/>
      <c r="T2178" s="88"/>
      <c r="U2178" s="88"/>
      <c r="V2178" s="88"/>
      <c r="W2178" s="88"/>
      <c r="X2178" s="88"/>
      <c r="Y2178" s="88"/>
      <c r="Z2178" s="88"/>
    </row>
    <row r="2179" ht="17.25" customHeight="1">
      <c r="A2179" s="88"/>
      <c r="B2179" s="88"/>
      <c r="C2179" s="88"/>
      <c r="D2179" s="88"/>
      <c r="E2179" s="88"/>
      <c r="F2179" s="89"/>
      <c r="G2179" s="89"/>
      <c r="H2179" s="89"/>
      <c r="I2179" s="88"/>
      <c r="J2179" s="88"/>
      <c r="K2179" s="88"/>
      <c r="L2179" s="88"/>
      <c r="M2179" s="88"/>
      <c r="N2179" s="88"/>
      <c r="O2179" s="88"/>
      <c r="P2179" s="88"/>
      <c r="Q2179" s="88"/>
      <c r="R2179" s="88"/>
      <c r="S2179" s="88"/>
      <c r="T2179" s="88"/>
      <c r="U2179" s="88"/>
      <c r="V2179" s="88"/>
      <c r="W2179" s="88"/>
      <c r="X2179" s="88"/>
      <c r="Y2179" s="88"/>
      <c r="Z2179" s="88"/>
    </row>
    <row r="2180" ht="17.25" customHeight="1">
      <c r="A2180" s="88"/>
      <c r="B2180" s="88"/>
      <c r="C2180" s="88"/>
      <c r="D2180" s="88"/>
      <c r="E2180" s="88"/>
      <c r="F2180" s="89"/>
      <c r="G2180" s="89"/>
      <c r="H2180" s="89"/>
      <c r="I2180" s="88"/>
      <c r="J2180" s="88"/>
      <c r="K2180" s="88"/>
      <c r="L2180" s="88"/>
      <c r="M2180" s="88"/>
      <c r="N2180" s="88"/>
      <c r="O2180" s="88"/>
      <c r="P2180" s="88"/>
      <c r="Q2180" s="88"/>
      <c r="R2180" s="88"/>
      <c r="S2180" s="88"/>
      <c r="T2180" s="88"/>
      <c r="U2180" s="88"/>
      <c r="V2180" s="88"/>
      <c r="W2180" s="88"/>
      <c r="X2180" s="88"/>
      <c r="Y2180" s="88"/>
      <c r="Z2180" s="88"/>
    </row>
    <row r="2181" ht="17.25" customHeight="1">
      <c r="A2181" s="88"/>
      <c r="B2181" s="88"/>
      <c r="C2181" s="88"/>
      <c r="D2181" s="88"/>
      <c r="E2181" s="88"/>
      <c r="F2181" s="89"/>
      <c r="G2181" s="89"/>
      <c r="H2181" s="89"/>
      <c r="I2181" s="88"/>
      <c r="J2181" s="88"/>
      <c r="K2181" s="88"/>
      <c r="L2181" s="88"/>
      <c r="M2181" s="88"/>
      <c r="N2181" s="88"/>
      <c r="O2181" s="88"/>
      <c r="P2181" s="88"/>
      <c r="Q2181" s="88"/>
      <c r="R2181" s="88"/>
      <c r="S2181" s="88"/>
      <c r="T2181" s="88"/>
      <c r="U2181" s="88"/>
      <c r="V2181" s="88"/>
      <c r="W2181" s="88"/>
      <c r="X2181" s="88"/>
      <c r="Y2181" s="88"/>
      <c r="Z2181" s="88"/>
    </row>
    <row r="2182" ht="17.25" customHeight="1">
      <c r="A2182" s="88"/>
      <c r="B2182" s="88"/>
      <c r="C2182" s="88"/>
      <c r="D2182" s="88"/>
      <c r="E2182" s="88"/>
      <c r="F2182" s="89"/>
      <c r="G2182" s="89"/>
      <c r="H2182" s="89"/>
      <c r="I2182" s="88"/>
      <c r="J2182" s="88"/>
      <c r="K2182" s="88"/>
      <c r="L2182" s="88"/>
      <c r="M2182" s="88"/>
      <c r="N2182" s="88"/>
      <c r="O2182" s="88"/>
      <c r="P2182" s="88"/>
      <c r="Q2182" s="88"/>
      <c r="R2182" s="88"/>
      <c r="S2182" s="88"/>
      <c r="T2182" s="88"/>
      <c r="U2182" s="88"/>
      <c r="V2182" s="88"/>
      <c r="W2182" s="88"/>
      <c r="X2182" s="88"/>
      <c r="Y2182" s="88"/>
      <c r="Z2182" s="88"/>
    </row>
    <row r="2183" ht="17.25" customHeight="1">
      <c r="A2183" s="88"/>
      <c r="B2183" s="88"/>
      <c r="C2183" s="88"/>
      <c r="D2183" s="88"/>
      <c r="E2183" s="88"/>
      <c r="F2183" s="89"/>
      <c r="G2183" s="89"/>
      <c r="H2183" s="89"/>
      <c r="I2183" s="88"/>
      <c r="J2183" s="88"/>
      <c r="K2183" s="88"/>
      <c r="L2183" s="88"/>
      <c r="M2183" s="88"/>
      <c r="N2183" s="88"/>
      <c r="O2183" s="88"/>
      <c r="P2183" s="88"/>
      <c r="Q2183" s="88"/>
      <c r="R2183" s="88"/>
      <c r="S2183" s="88"/>
      <c r="T2183" s="88"/>
      <c r="U2183" s="88"/>
      <c r="V2183" s="88"/>
      <c r="W2183" s="88"/>
      <c r="X2183" s="88"/>
      <c r="Y2183" s="88"/>
      <c r="Z2183" s="88"/>
    </row>
    <row r="2184" ht="17.25" customHeight="1">
      <c r="A2184" s="88"/>
      <c r="B2184" s="88"/>
      <c r="C2184" s="88"/>
      <c r="D2184" s="88"/>
      <c r="E2184" s="88"/>
      <c r="F2184" s="89"/>
      <c r="G2184" s="89"/>
      <c r="H2184" s="89"/>
      <c r="I2184" s="88"/>
      <c r="J2184" s="88"/>
      <c r="K2184" s="88"/>
      <c r="L2184" s="88"/>
      <c r="M2184" s="88"/>
      <c r="N2184" s="88"/>
      <c r="O2184" s="88"/>
      <c r="P2184" s="88"/>
      <c r="Q2184" s="88"/>
      <c r="R2184" s="88"/>
      <c r="S2184" s="88"/>
      <c r="T2184" s="88"/>
      <c r="U2184" s="88"/>
      <c r="V2184" s="88"/>
      <c r="W2184" s="88"/>
      <c r="X2184" s="88"/>
      <c r="Y2184" s="88"/>
      <c r="Z2184" s="88"/>
    </row>
    <row r="2185" ht="17.25" customHeight="1">
      <c r="A2185" s="88"/>
      <c r="B2185" s="88"/>
      <c r="C2185" s="88"/>
      <c r="D2185" s="88"/>
      <c r="E2185" s="88"/>
      <c r="F2185" s="89"/>
      <c r="G2185" s="89"/>
      <c r="H2185" s="89"/>
      <c r="I2185" s="88"/>
      <c r="J2185" s="88"/>
      <c r="K2185" s="88"/>
      <c r="L2185" s="88"/>
      <c r="M2185" s="88"/>
      <c r="N2185" s="88"/>
      <c r="O2185" s="88"/>
      <c r="P2185" s="88"/>
      <c r="Q2185" s="88"/>
      <c r="R2185" s="88"/>
      <c r="S2185" s="88"/>
      <c r="T2185" s="88"/>
      <c r="U2185" s="88"/>
      <c r="V2185" s="88"/>
      <c r="W2185" s="88"/>
      <c r="X2185" s="88"/>
      <c r="Y2185" s="88"/>
      <c r="Z2185" s="88"/>
    </row>
    <row r="2186" ht="17.25" customHeight="1">
      <c r="A2186" s="88"/>
      <c r="B2186" s="88"/>
      <c r="C2186" s="88"/>
      <c r="D2186" s="88"/>
      <c r="E2186" s="88"/>
      <c r="F2186" s="89"/>
      <c r="G2186" s="89"/>
      <c r="H2186" s="89"/>
      <c r="I2186" s="88"/>
      <c r="J2186" s="88"/>
      <c r="K2186" s="88"/>
      <c r="L2186" s="88"/>
      <c r="M2186" s="88"/>
      <c r="N2186" s="88"/>
      <c r="O2186" s="88"/>
      <c r="P2186" s="88"/>
      <c r="Q2186" s="88"/>
      <c r="R2186" s="88"/>
      <c r="S2186" s="88"/>
      <c r="T2186" s="88"/>
      <c r="U2186" s="88"/>
      <c r="V2186" s="88"/>
      <c r="W2186" s="88"/>
      <c r="X2186" s="88"/>
      <c r="Y2186" s="88"/>
      <c r="Z2186" s="88"/>
    </row>
    <row r="2187" ht="17.25" customHeight="1">
      <c r="A2187" s="88"/>
      <c r="B2187" s="88"/>
      <c r="C2187" s="88"/>
      <c r="D2187" s="88"/>
      <c r="E2187" s="88"/>
      <c r="F2187" s="89"/>
      <c r="G2187" s="89"/>
      <c r="H2187" s="89"/>
      <c r="I2187" s="88"/>
      <c r="J2187" s="88"/>
      <c r="K2187" s="88"/>
      <c r="L2187" s="88"/>
      <c r="M2187" s="88"/>
      <c r="N2187" s="88"/>
      <c r="O2187" s="88"/>
      <c r="P2187" s="88"/>
      <c r="Q2187" s="88"/>
      <c r="R2187" s="88"/>
      <c r="S2187" s="88"/>
      <c r="T2187" s="88"/>
      <c r="U2187" s="88"/>
      <c r="V2187" s="88"/>
      <c r="W2187" s="88"/>
      <c r="X2187" s="88"/>
      <c r="Y2187" s="88"/>
      <c r="Z2187" s="88"/>
    </row>
    <row r="2188" ht="17.25" customHeight="1">
      <c r="A2188" s="88"/>
      <c r="B2188" s="88"/>
      <c r="C2188" s="88"/>
      <c r="D2188" s="88"/>
      <c r="E2188" s="88"/>
      <c r="F2188" s="89"/>
      <c r="G2188" s="89"/>
      <c r="H2188" s="89"/>
      <c r="I2188" s="88"/>
      <c r="J2188" s="88"/>
      <c r="K2188" s="88"/>
      <c r="L2188" s="88"/>
      <c r="M2188" s="88"/>
      <c r="N2188" s="88"/>
      <c r="O2188" s="88"/>
      <c r="P2188" s="88"/>
      <c r="Q2188" s="88"/>
      <c r="R2188" s="88"/>
      <c r="S2188" s="88"/>
      <c r="T2188" s="88"/>
      <c r="U2188" s="88"/>
      <c r="V2188" s="88"/>
      <c r="W2188" s="88"/>
      <c r="X2188" s="88"/>
      <c r="Y2188" s="88"/>
      <c r="Z2188" s="88"/>
    </row>
    <row r="2189" ht="17.25" customHeight="1">
      <c r="A2189" s="88"/>
      <c r="B2189" s="88"/>
      <c r="C2189" s="88"/>
      <c r="D2189" s="88"/>
      <c r="E2189" s="88"/>
      <c r="F2189" s="89"/>
      <c r="G2189" s="89"/>
      <c r="H2189" s="89"/>
      <c r="I2189" s="88"/>
      <c r="J2189" s="88"/>
      <c r="K2189" s="88"/>
      <c r="L2189" s="88"/>
      <c r="M2189" s="88"/>
      <c r="N2189" s="88"/>
      <c r="O2189" s="88"/>
      <c r="P2189" s="88"/>
      <c r="Q2189" s="88"/>
      <c r="R2189" s="88"/>
      <c r="S2189" s="88"/>
      <c r="T2189" s="88"/>
      <c r="U2189" s="88"/>
      <c r="V2189" s="88"/>
      <c r="W2189" s="88"/>
      <c r="X2189" s="88"/>
      <c r="Y2189" s="88"/>
      <c r="Z2189" s="88"/>
    </row>
    <row r="2190" ht="17.25" customHeight="1">
      <c r="A2190" s="88"/>
      <c r="B2190" s="88"/>
      <c r="C2190" s="88"/>
      <c r="D2190" s="88"/>
      <c r="E2190" s="88"/>
      <c r="F2190" s="89"/>
      <c r="G2190" s="89"/>
      <c r="H2190" s="89"/>
      <c r="I2190" s="88"/>
      <c r="J2190" s="88"/>
      <c r="K2190" s="88"/>
      <c r="L2190" s="88"/>
      <c r="M2190" s="88"/>
      <c r="N2190" s="88"/>
      <c r="O2190" s="88"/>
      <c r="P2190" s="88"/>
      <c r="Q2190" s="88"/>
      <c r="R2190" s="88"/>
      <c r="S2190" s="88"/>
      <c r="T2190" s="88"/>
      <c r="U2190" s="88"/>
      <c r="V2190" s="88"/>
      <c r="W2190" s="88"/>
      <c r="X2190" s="88"/>
      <c r="Y2190" s="88"/>
      <c r="Z2190" s="88"/>
    </row>
    <row r="2191" ht="17.25" customHeight="1">
      <c r="A2191" s="88"/>
      <c r="B2191" s="88"/>
      <c r="C2191" s="88"/>
      <c r="D2191" s="88"/>
      <c r="E2191" s="88"/>
      <c r="F2191" s="89"/>
      <c r="G2191" s="89"/>
      <c r="H2191" s="89"/>
      <c r="I2191" s="88"/>
      <c r="J2191" s="88"/>
      <c r="K2191" s="88"/>
      <c r="L2191" s="88"/>
      <c r="M2191" s="88"/>
      <c r="N2191" s="88"/>
      <c r="O2191" s="88"/>
      <c r="P2191" s="88"/>
      <c r="Q2191" s="88"/>
      <c r="R2191" s="88"/>
      <c r="S2191" s="88"/>
      <c r="T2191" s="88"/>
      <c r="U2191" s="88"/>
      <c r="V2191" s="88"/>
      <c r="W2191" s="88"/>
      <c r="X2191" s="88"/>
      <c r="Y2191" s="88"/>
      <c r="Z2191" s="88"/>
    </row>
    <row r="2192" ht="17.25" customHeight="1">
      <c r="A2192" s="88"/>
      <c r="B2192" s="88"/>
      <c r="C2192" s="88"/>
      <c r="D2192" s="88"/>
      <c r="E2192" s="88"/>
      <c r="F2192" s="89"/>
      <c r="G2192" s="89"/>
      <c r="H2192" s="89"/>
      <c r="I2192" s="88"/>
      <c r="J2192" s="88"/>
      <c r="K2192" s="88"/>
      <c r="L2192" s="88"/>
      <c r="M2192" s="88"/>
      <c r="N2192" s="88"/>
      <c r="O2192" s="88"/>
      <c r="P2192" s="88"/>
      <c r="Q2192" s="88"/>
      <c r="R2192" s="88"/>
      <c r="S2192" s="88"/>
      <c r="T2192" s="88"/>
      <c r="U2192" s="88"/>
      <c r="V2192" s="88"/>
      <c r="W2192" s="88"/>
      <c r="X2192" s="88"/>
      <c r="Y2192" s="88"/>
      <c r="Z2192" s="88"/>
    </row>
    <row r="2193" ht="17.25" customHeight="1">
      <c r="A2193" s="88"/>
      <c r="B2193" s="88"/>
      <c r="C2193" s="88"/>
      <c r="D2193" s="88"/>
      <c r="E2193" s="88"/>
      <c r="F2193" s="89"/>
      <c r="G2193" s="89"/>
      <c r="H2193" s="89"/>
      <c r="I2193" s="88"/>
      <c r="J2193" s="88"/>
      <c r="K2193" s="88"/>
      <c r="L2193" s="88"/>
      <c r="M2193" s="88"/>
      <c r="N2193" s="88"/>
      <c r="O2193" s="88"/>
      <c r="P2193" s="88"/>
      <c r="Q2193" s="88"/>
      <c r="R2193" s="88"/>
      <c r="S2193" s="88"/>
      <c r="T2193" s="88"/>
      <c r="U2193" s="88"/>
      <c r="V2193" s="88"/>
      <c r="W2193" s="88"/>
      <c r="X2193" s="88"/>
      <c r="Y2193" s="88"/>
      <c r="Z2193" s="88"/>
    </row>
    <row r="2194" ht="17.25" customHeight="1">
      <c r="A2194" s="88"/>
      <c r="B2194" s="88"/>
      <c r="C2194" s="88"/>
      <c r="D2194" s="88"/>
      <c r="E2194" s="88"/>
      <c r="F2194" s="89"/>
      <c r="G2194" s="89"/>
      <c r="H2194" s="89"/>
      <c r="I2194" s="88"/>
      <c r="J2194" s="88"/>
      <c r="K2194" s="88"/>
      <c r="L2194" s="88"/>
      <c r="M2194" s="88"/>
      <c r="N2194" s="88"/>
      <c r="O2194" s="88"/>
      <c r="P2194" s="88"/>
      <c r="Q2194" s="88"/>
      <c r="R2194" s="88"/>
      <c r="S2194" s="88"/>
      <c r="T2194" s="88"/>
      <c r="U2194" s="88"/>
      <c r="V2194" s="88"/>
      <c r="W2194" s="88"/>
      <c r="X2194" s="88"/>
      <c r="Y2194" s="88"/>
      <c r="Z2194" s="88"/>
    </row>
    <row r="2195" ht="17.25" customHeight="1">
      <c r="A2195" s="88"/>
      <c r="B2195" s="88"/>
      <c r="C2195" s="88"/>
      <c r="D2195" s="88"/>
      <c r="E2195" s="88"/>
      <c r="F2195" s="89"/>
      <c r="G2195" s="89"/>
      <c r="H2195" s="89"/>
      <c r="I2195" s="88"/>
      <c r="J2195" s="88"/>
      <c r="K2195" s="88"/>
      <c r="L2195" s="88"/>
      <c r="M2195" s="88"/>
      <c r="N2195" s="88"/>
      <c r="O2195" s="88"/>
      <c r="P2195" s="88"/>
      <c r="Q2195" s="88"/>
      <c r="R2195" s="88"/>
      <c r="S2195" s="88"/>
      <c r="T2195" s="88"/>
      <c r="U2195" s="88"/>
      <c r="V2195" s="88"/>
      <c r="W2195" s="88"/>
      <c r="X2195" s="88"/>
      <c r="Y2195" s="88"/>
      <c r="Z2195" s="88"/>
    </row>
    <row r="2196" ht="17.25" customHeight="1">
      <c r="A2196" s="88"/>
      <c r="B2196" s="88"/>
      <c r="C2196" s="88"/>
      <c r="D2196" s="88"/>
      <c r="E2196" s="88"/>
      <c r="F2196" s="89"/>
      <c r="G2196" s="89"/>
      <c r="H2196" s="89"/>
      <c r="I2196" s="88"/>
      <c r="J2196" s="88"/>
      <c r="K2196" s="88"/>
      <c r="L2196" s="88"/>
      <c r="M2196" s="88"/>
      <c r="N2196" s="88"/>
      <c r="O2196" s="88"/>
      <c r="P2196" s="88"/>
      <c r="Q2196" s="88"/>
      <c r="R2196" s="88"/>
      <c r="S2196" s="88"/>
      <c r="T2196" s="88"/>
      <c r="U2196" s="88"/>
      <c r="V2196" s="88"/>
      <c r="W2196" s="88"/>
      <c r="X2196" s="88"/>
      <c r="Y2196" s="88"/>
      <c r="Z2196" s="88"/>
    </row>
    <row r="2197" ht="17.25" customHeight="1">
      <c r="A2197" s="88"/>
      <c r="B2197" s="88"/>
      <c r="C2197" s="88"/>
      <c r="D2197" s="88"/>
      <c r="E2197" s="88"/>
      <c r="F2197" s="89"/>
      <c r="G2197" s="89"/>
      <c r="H2197" s="89"/>
      <c r="I2197" s="88"/>
      <c r="J2197" s="88"/>
      <c r="K2197" s="88"/>
      <c r="L2197" s="88"/>
      <c r="M2197" s="88"/>
      <c r="N2197" s="88"/>
      <c r="O2197" s="88"/>
      <c r="P2197" s="88"/>
      <c r="Q2197" s="88"/>
      <c r="R2197" s="88"/>
      <c r="S2197" s="88"/>
      <c r="T2197" s="88"/>
      <c r="U2197" s="88"/>
      <c r="V2197" s="88"/>
      <c r="W2197" s="88"/>
      <c r="X2197" s="88"/>
      <c r="Y2197" s="88"/>
      <c r="Z2197" s="88"/>
    </row>
    <row r="2198" ht="17.25" customHeight="1">
      <c r="A2198" s="88"/>
      <c r="B2198" s="88"/>
      <c r="C2198" s="88"/>
      <c r="D2198" s="88"/>
      <c r="E2198" s="88"/>
      <c r="F2198" s="89"/>
      <c r="G2198" s="89"/>
      <c r="H2198" s="89"/>
      <c r="I2198" s="88"/>
      <c r="J2198" s="88"/>
      <c r="K2198" s="88"/>
      <c r="L2198" s="88"/>
      <c r="M2198" s="88"/>
      <c r="N2198" s="88"/>
      <c r="O2198" s="88"/>
      <c r="P2198" s="88"/>
      <c r="Q2198" s="88"/>
      <c r="R2198" s="88"/>
      <c r="S2198" s="88"/>
      <c r="T2198" s="88"/>
      <c r="U2198" s="88"/>
      <c r="V2198" s="88"/>
      <c r="W2198" s="88"/>
      <c r="X2198" s="88"/>
      <c r="Y2198" s="88"/>
      <c r="Z2198" s="88"/>
    </row>
    <row r="2199" ht="17.25" customHeight="1">
      <c r="A2199" s="88"/>
      <c r="B2199" s="88"/>
      <c r="C2199" s="88"/>
      <c r="D2199" s="88"/>
      <c r="E2199" s="88"/>
      <c r="F2199" s="89"/>
      <c r="G2199" s="89"/>
      <c r="H2199" s="89"/>
      <c r="I2199" s="88"/>
      <c r="J2199" s="88"/>
      <c r="K2199" s="88"/>
      <c r="L2199" s="88"/>
      <c r="M2199" s="88"/>
      <c r="N2199" s="88"/>
      <c r="O2199" s="88"/>
      <c r="P2199" s="88"/>
      <c r="Q2199" s="88"/>
      <c r="R2199" s="88"/>
      <c r="S2199" s="88"/>
      <c r="T2199" s="88"/>
      <c r="U2199" s="88"/>
      <c r="V2199" s="88"/>
      <c r="W2199" s="88"/>
      <c r="X2199" s="88"/>
      <c r="Y2199" s="88"/>
      <c r="Z2199" s="88"/>
    </row>
    <row r="2200" ht="17.25" customHeight="1">
      <c r="A2200" s="88"/>
      <c r="B2200" s="88"/>
      <c r="C2200" s="88"/>
      <c r="D2200" s="88"/>
      <c r="E2200" s="88"/>
      <c r="F2200" s="89"/>
      <c r="G2200" s="89"/>
      <c r="H2200" s="89"/>
      <c r="I2200" s="88"/>
      <c r="J2200" s="88"/>
      <c r="K2200" s="88"/>
      <c r="L2200" s="88"/>
      <c r="M2200" s="88"/>
      <c r="N2200" s="88"/>
      <c r="O2200" s="88"/>
      <c r="P2200" s="88"/>
      <c r="Q2200" s="88"/>
      <c r="R2200" s="88"/>
      <c r="S2200" s="88"/>
      <c r="T2200" s="88"/>
      <c r="U2200" s="88"/>
      <c r="V2200" s="88"/>
      <c r="W2200" s="88"/>
      <c r="X2200" s="88"/>
      <c r="Y2200" s="88"/>
      <c r="Z2200" s="88"/>
    </row>
    <row r="2201" ht="17.25" customHeight="1">
      <c r="A2201" s="88"/>
      <c r="B2201" s="88"/>
      <c r="C2201" s="88"/>
      <c r="D2201" s="88"/>
      <c r="E2201" s="88"/>
      <c r="F2201" s="89"/>
      <c r="G2201" s="89"/>
      <c r="H2201" s="89"/>
      <c r="I2201" s="88"/>
      <c r="J2201" s="88"/>
      <c r="K2201" s="88"/>
      <c r="L2201" s="88"/>
      <c r="M2201" s="88"/>
      <c r="N2201" s="88"/>
      <c r="O2201" s="88"/>
      <c r="P2201" s="88"/>
      <c r="Q2201" s="88"/>
      <c r="R2201" s="88"/>
      <c r="S2201" s="88"/>
      <c r="T2201" s="88"/>
      <c r="U2201" s="88"/>
      <c r="V2201" s="88"/>
      <c r="W2201" s="88"/>
      <c r="X2201" s="88"/>
      <c r="Y2201" s="88"/>
      <c r="Z2201" s="88"/>
    </row>
    <row r="2202" ht="17.25" customHeight="1">
      <c r="A2202" s="88"/>
      <c r="B2202" s="88"/>
      <c r="C2202" s="88"/>
      <c r="D2202" s="88"/>
      <c r="E2202" s="88"/>
      <c r="F2202" s="89"/>
      <c r="G2202" s="89"/>
      <c r="H2202" s="89"/>
      <c r="I2202" s="88"/>
      <c r="J2202" s="88"/>
      <c r="K2202" s="88"/>
      <c r="L2202" s="88"/>
      <c r="M2202" s="88"/>
      <c r="N2202" s="88"/>
      <c r="O2202" s="88"/>
      <c r="P2202" s="88"/>
      <c r="Q2202" s="88"/>
      <c r="R2202" s="88"/>
      <c r="S2202" s="88"/>
      <c r="T2202" s="88"/>
      <c r="U2202" s="88"/>
      <c r="V2202" s="88"/>
      <c r="W2202" s="88"/>
      <c r="X2202" s="88"/>
      <c r="Y2202" s="88"/>
      <c r="Z2202" s="88"/>
    </row>
    <row r="2203" ht="17.25" customHeight="1">
      <c r="A2203" s="88"/>
      <c r="B2203" s="88"/>
      <c r="C2203" s="88"/>
      <c r="D2203" s="88"/>
      <c r="E2203" s="88"/>
      <c r="F2203" s="89"/>
      <c r="G2203" s="89"/>
      <c r="H2203" s="89"/>
      <c r="I2203" s="88"/>
      <c r="J2203" s="88"/>
      <c r="K2203" s="88"/>
      <c r="L2203" s="88"/>
      <c r="M2203" s="88"/>
      <c r="N2203" s="88"/>
      <c r="O2203" s="88"/>
      <c r="P2203" s="88"/>
      <c r="Q2203" s="88"/>
      <c r="R2203" s="88"/>
      <c r="S2203" s="88"/>
      <c r="T2203" s="88"/>
      <c r="U2203" s="88"/>
      <c r="V2203" s="88"/>
      <c r="W2203" s="88"/>
      <c r="X2203" s="88"/>
      <c r="Y2203" s="88"/>
      <c r="Z2203" s="88"/>
    </row>
    <row r="2204" ht="17.25" customHeight="1">
      <c r="A2204" s="88"/>
      <c r="B2204" s="88"/>
      <c r="C2204" s="88"/>
      <c r="D2204" s="88"/>
      <c r="E2204" s="88"/>
      <c r="F2204" s="89"/>
      <c r="G2204" s="89"/>
      <c r="H2204" s="89"/>
      <c r="I2204" s="88"/>
      <c r="J2204" s="88"/>
      <c r="K2204" s="88"/>
      <c r="L2204" s="88"/>
      <c r="M2204" s="88"/>
      <c r="N2204" s="88"/>
      <c r="O2204" s="88"/>
      <c r="P2204" s="88"/>
      <c r="Q2204" s="88"/>
      <c r="R2204" s="88"/>
      <c r="S2204" s="88"/>
      <c r="T2204" s="88"/>
      <c r="U2204" s="88"/>
      <c r="V2204" s="88"/>
      <c r="W2204" s="88"/>
      <c r="X2204" s="88"/>
      <c r="Y2204" s="88"/>
      <c r="Z2204" s="88"/>
    </row>
    <row r="2205" ht="17.25" customHeight="1">
      <c r="A2205" s="88"/>
      <c r="B2205" s="88"/>
      <c r="C2205" s="88"/>
      <c r="D2205" s="88"/>
      <c r="E2205" s="88"/>
      <c r="F2205" s="89"/>
      <c r="G2205" s="89"/>
      <c r="H2205" s="89"/>
      <c r="I2205" s="88"/>
      <c r="J2205" s="88"/>
      <c r="K2205" s="88"/>
      <c r="L2205" s="88"/>
      <c r="M2205" s="88"/>
      <c r="N2205" s="88"/>
      <c r="O2205" s="88"/>
      <c r="P2205" s="88"/>
      <c r="Q2205" s="88"/>
      <c r="R2205" s="88"/>
      <c r="S2205" s="88"/>
      <c r="T2205" s="88"/>
      <c r="U2205" s="88"/>
      <c r="V2205" s="88"/>
      <c r="W2205" s="88"/>
      <c r="X2205" s="88"/>
      <c r="Y2205" s="88"/>
      <c r="Z2205" s="88"/>
    </row>
    <row r="2206" ht="17.25" customHeight="1">
      <c r="A2206" s="88"/>
      <c r="B2206" s="88"/>
      <c r="C2206" s="88"/>
      <c r="D2206" s="88"/>
      <c r="E2206" s="88"/>
      <c r="F2206" s="89"/>
      <c r="G2206" s="89"/>
      <c r="H2206" s="89"/>
      <c r="I2206" s="88"/>
      <c r="J2206" s="88"/>
      <c r="K2206" s="88"/>
      <c r="L2206" s="88"/>
      <c r="M2206" s="88"/>
      <c r="N2206" s="88"/>
      <c r="O2206" s="88"/>
      <c r="P2206" s="88"/>
      <c r="Q2206" s="88"/>
      <c r="R2206" s="88"/>
      <c r="S2206" s="88"/>
      <c r="T2206" s="88"/>
      <c r="U2206" s="88"/>
      <c r="V2206" s="88"/>
      <c r="W2206" s="88"/>
      <c r="X2206" s="88"/>
      <c r="Y2206" s="88"/>
      <c r="Z2206" s="88"/>
    </row>
    <row r="2207" ht="17.25" customHeight="1">
      <c r="A2207" s="88"/>
      <c r="B2207" s="88"/>
      <c r="C2207" s="88"/>
      <c r="D2207" s="88"/>
      <c r="E2207" s="88"/>
      <c r="F2207" s="89"/>
      <c r="G2207" s="89"/>
      <c r="H2207" s="89"/>
      <c r="I2207" s="88"/>
      <c r="J2207" s="88"/>
      <c r="K2207" s="88"/>
      <c r="L2207" s="88"/>
      <c r="M2207" s="88"/>
      <c r="N2207" s="88"/>
      <c r="O2207" s="88"/>
      <c r="P2207" s="88"/>
      <c r="Q2207" s="88"/>
      <c r="R2207" s="88"/>
      <c r="S2207" s="88"/>
      <c r="T2207" s="88"/>
      <c r="U2207" s="88"/>
      <c r="V2207" s="88"/>
      <c r="W2207" s="88"/>
      <c r="X2207" s="88"/>
      <c r="Y2207" s="88"/>
      <c r="Z2207" s="88"/>
    </row>
    <row r="2208" ht="17.25" customHeight="1">
      <c r="A2208" s="88"/>
      <c r="B2208" s="88"/>
      <c r="C2208" s="88"/>
      <c r="D2208" s="88"/>
      <c r="E2208" s="88"/>
      <c r="F2208" s="89"/>
      <c r="G2208" s="89"/>
      <c r="H2208" s="89"/>
      <c r="I2208" s="88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U2208" s="88"/>
      <c r="V2208" s="88"/>
      <c r="W2208" s="88"/>
      <c r="X2208" s="88"/>
      <c r="Y2208" s="88"/>
      <c r="Z2208" s="88"/>
    </row>
    <row r="2209" ht="17.25" customHeight="1">
      <c r="A2209" s="88"/>
      <c r="B2209" s="88"/>
      <c r="C2209" s="88"/>
      <c r="D2209" s="88"/>
      <c r="E2209" s="88"/>
      <c r="F2209" s="89"/>
      <c r="G2209" s="89"/>
      <c r="H2209" s="89"/>
      <c r="I2209" s="88"/>
      <c r="J2209" s="88"/>
      <c r="K2209" s="88"/>
      <c r="L2209" s="88"/>
      <c r="M2209" s="88"/>
      <c r="N2209" s="88"/>
      <c r="O2209" s="88"/>
      <c r="P2209" s="88"/>
      <c r="Q2209" s="88"/>
      <c r="R2209" s="88"/>
      <c r="S2209" s="88"/>
      <c r="T2209" s="88"/>
      <c r="U2209" s="88"/>
      <c r="V2209" s="88"/>
      <c r="W2209" s="88"/>
      <c r="X2209" s="88"/>
      <c r="Y2209" s="88"/>
      <c r="Z2209" s="88"/>
    </row>
    <row r="2210" ht="17.25" customHeight="1">
      <c r="A2210" s="88"/>
      <c r="B2210" s="88"/>
      <c r="C2210" s="88"/>
      <c r="D2210" s="88"/>
      <c r="E2210" s="88"/>
      <c r="F2210" s="89"/>
      <c r="G2210" s="89"/>
      <c r="H2210" s="89"/>
      <c r="I2210" s="88"/>
      <c r="J2210" s="88"/>
      <c r="K2210" s="88"/>
      <c r="L2210" s="88"/>
      <c r="M2210" s="88"/>
      <c r="N2210" s="88"/>
      <c r="O2210" s="88"/>
      <c r="P2210" s="88"/>
      <c r="Q2210" s="88"/>
      <c r="R2210" s="88"/>
      <c r="S2210" s="88"/>
      <c r="T2210" s="88"/>
      <c r="U2210" s="88"/>
      <c r="V2210" s="88"/>
      <c r="W2210" s="88"/>
      <c r="X2210" s="88"/>
      <c r="Y2210" s="88"/>
      <c r="Z2210" s="88"/>
    </row>
    <row r="2211" ht="17.25" customHeight="1">
      <c r="A2211" s="88"/>
      <c r="B2211" s="88"/>
      <c r="C2211" s="88"/>
      <c r="D2211" s="88"/>
      <c r="E2211" s="88"/>
      <c r="F2211" s="89"/>
      <c r="G2211" s="89"/>
      <c r="H2211" s="89"/>
      <c r="I2211" s="88"/>
      <c r="J2211" s="88"/>
      <c r="K2211" s="88"/>
      <c r="L2211" s="88"/>
      <c r="M2211" s="88"/>
      <c r="N2211" s="88"/>
      <c r="O2211" s="88"/>
      <c r="P2211" s="88"/>
      <c r="Q2211" s="88"/>
      <c r="R2211" s="88"/>
      <c r="S2211" s="88"/>
      <c r="T2211" s="88"/>
      <c r="U2211" s="88"/>
      <c r="V2211" s="88"/>
      <c r="W2211" s="88"/>
      <c r="X2211" s="88"/>
      <c r="Y2211" s="88"/>
      <c r="Z2211" s="88"/>
    </row>
    <row r="2212" ht="17.25" customHeight="1">
      <c r="A2212" s="88"/>
      <c r="B2212" s="88"/>
      <c r="C2212" s="88"/>
      <c r="D2212" s="88"/>
      <c r="E2212" s="88"/>
      <c r="F2212" s="89"/>
      <c r="G2212" s="89"/>
      <c r="H2212" s="89"/>
      <c r="I2212" s="88"/>
      <c r="J2212" s="88"/>
      <c r="K2212" s="88"/>
      <c r="L2212" s="88"/>
      <c r="M2212" s="88"/>
      <c r="N2212" s="88"/>
      <c r="O2212" s="88"/>
      <c r="P2212" s="88"/>
      <c r="Q2212" s="88"/>
      <c r="R2212" s="88"/>
      <c r="S2212" s="88"/>
      <c r="T2212" s="88"/>
      <c r="U2212" s="88"/>
      <c r="V2212" s="88"/>
      <c r="W2212" s="88"/>
      <c r="X2212" s="88"/>
      <c r="Y2212" s="88"/>
      <c r="Z2212" s="88"/>
    </row>
    <row r="2213" ht="17.25" customHeight="1">
      <c r="A2213" s="88"/>
      <c r="B2213" s="88"/>
      <c r="C2213" s="88"/>
      <c r="D2213" s="88"/>
      <c r="E2213" s="88"/>
      <c r="F2213" s="89"/>
      <c r="G2213" s="89"/>
      <c r="H2213" s="89"/>
      <c r="I2213" s="88"/>
      <c r="J2213" s="88"/>
      <c r="K2213" s="88"/>
      <c r="L2213" s="88"/>
      <c r="M2213" s="88"/>
      <c r="N2213" s="88"/>
      <c r="O2213" s="88"/>
      <c r="P2213" s="88"/>
      <c r="Q2213" s="88"/>
      <c r="R2213" s="88"/>
      <c r="S2213" s="88"/>
      <c r="T2213" s="88"/>
      <c r="U2213" s="88"/>
      <c r="V2213" s="88"/>
      <c r="W2213" s="88"/>
      <c r="X2213" s="88"/>
      <c r="Y2213" s="88"/>
      <c r="Z2213" s="88"/>
    </row>
    <row r="2214" ht="17.25" customHeight="1">
      <c r="A2214" s="88"/>
      <c r="B2214" s="88"/>
      <c r="C2214" s="88"/>
      <c r="D2214" s="88"/>
      <c r="E2214" s="88"/>
      <c r="F2214" s="89"/>
      <c r="G2214" s="89"/>
      <c r="H2214" s="89"/>
      <c r="I2214" s="88"/>
      <c r="J2214" s="88"/>
      <c r="K2214" s="88"/>
      <c r="L2214" s="88"/>
      <c r="M2214" s="88"/>
      <c r="N2214" s="88"/>
      <c r="O2214" s="88"/>
      <c r="P2214" s="88"/>
      <c r="Q2214" s="88"/>
      <c r="R2214" s="88"/>
      <c r="S2214" s="88"/>
      <c r="T2214" s="88"/>
      <c r="U2214" s="88"/>
      <c r="V2214" s="88"/>
      <c r="W2214" s="88"/>
      <c r="X2214" s="88"/>
      <c r="Y2214" s="88"/>
      <c r="Z2214" s="88"/>
    </row>
    <row r="2215" ht="17.25" customHeight="1">
      <c r="A2215" s="88"/>
      <c r="B2215" s="88"/>
      <c r="C2215" s="88"/>
      <c r="D2215" s="88"/>
      <c r="E2215" s="88"/>
      <c r="F2215" s="89"/>
      <c r="G2215" s="89"/>
      <c r="H2215" s="89"/>
      <c r="I2215" s="88"/>
      <c r="J2215" s="88"/>
      <c r="K2215" s="88"/>
      <c r="L2215" s="88"/>
      <c r="M2215" s="88"/>
      <c r="N2215" s="88"/>
      <c r="O2215" s="88"/>
      <c r="P2215" s="88"/>
      <c r="Q2215" s="88"/>
      <c r="R2215" s="88"/>
      <c r="S2215" s="88"/>
      <c r="T2215" s="88"/>
      <c r="U2215" s="88"/>
      <c r="V2215" s="88"/>
      <c r="W2215" s="88"/>
      <c r="X2215" s="88"/>
      <c r="Y2215" s="88"/>
      <c r="Z2215" s="88"/>
    </row>
    <row r="2216" ht="17.25" customHeight="1">
      <c r="A2216" s="88"/>
      <c r="B2216" s="88"/>
      <c r="C2216" s="88"/>
      <c r="D2216" s="88"/>
      <c r="E2216" s="88"/>
      <c r="F2216" s="89"/>
      <c r="G2216" s="89"/>
      <c r="H2216" s="89"/>
      <c r="I2216" s="88"/>
      <c r="J2216" s="88"/>
      <c r="K2216" s="88"/>
      <c r="L2216" s="88"/>
      <c r="M2216" s="88"/>
      <c r="N2216" s="88"/>
      <c r="O2216" s="88"/>
      <c r="P2216" s="88"/>
      <c r="Q2216" s="88"/>
      <c r="R2216" s="88"/>
      <c r="S2216" s="88"/>
      <c r="T2216" s="88"/>
      <c r="U2216" s="88"/>
      <c r="V2216" s="88"/>
      <c r="W2216" s="88"/>
      <c r="X2216" s="88"/>
      <c r="Y2216" s="88"/>
      <c r="Z2216" s="88"/>
    </row>
    <row r="2217" ht="17.25" customHeight="1">
      <c r="A2217" s="88"/>
      <c r="B2217" s="88"/>
      <c r="C2217" s="88"/>
      <c r="D2217" s="88"/>
      <c r="E2217" s="88"/>
      <c r="F2217" s="89"/>
      <c r="G2217" s="89"/>
      <c r="H2217" s="89"/>
      <c r="I2217" s="88"/>
      <c r="J2217" s="88"/>
      <c r="K2217" s="88"/>
      <c r="L2217" s="88"/>
      <c r="M2217" s="88"/>
      <c r="N2217" s="88"/>
      <c r="O2217" s="88"/>
      <c r="P2217" s="88"/>
      <c r="Q2217" s="88"/>
      <c r="R2217" s="88"/>
      <c r="S2217" s="88"/>
      <c r="T2217" s="88"/>
      <c r="U2217" s="88"/>
      <c r="V2217" s="88"/>
      <c r="W2217" s="88"/>
      <c r="X2217" s="88"/>
      <c r="Y2217" s="88"/>
      <c r="Z2217" s="88"/>
    </row>
    <row r="2218" ht="17.25" customHeight="1">
      <c r="A2218" s="88"/>
      <c r="B2218" s="88"/>
      <c r="C2218" s="88"/>
      <c r="D2218" s="88"/>
      <c r="E2218" s="88"/>
      <c r="F2218" s="89"/>
      <c r="G2218" s="89"/>
      <c r="H2218" s="89"/>
      <c r="I2218" s="88"/>
      <c r="J2218" s="88"/>
      <c r="K2218" s="88"/>
      <c r="L2218" s="88"/>
      <c r="M2218" s="88"/>
      <c r="N2218" s="88"/>
      <c r="O2218" s="88"/>
      <c r="P2218" s="88"/>
      <c r="Q2218" s="88"/>
      <c r="R2218" s="88"/>
      <c r="S2218" s="88"/>
      <c r="T2218" s="88"/>
      <c r="U2218" s="88"/>
      <c r="V2218" s="88"/>
      <c r="W2218" s="88"/>
      <c r="X2218" s="88"/>
      <c r="Y2218" s="88"/>
      <c r="Z2218" s="88"/>
    </row>
    <row r="2219" ht="17.25" customHeight="1">
      <c r="A2219" s="88"/>
      <c r="B2219" s="88"/>
      <c r="C2219" s="88"/>
      <c r="D2219" s="88"/>
      <c r="E2219" s="88"/>
      <c r="F2219" s="89"/>
      <c r="G2219" s="89"/>
      <c r="H2219" s="89"/>
      <c r="I2219" s="88"/>
      <c r="J2219" s="88"/>
      <c r="K2219" s="88"/>
      <c r="L2219" s="88"/>
      <c r="M2219" s="88"/>
      <c r="N2219" s="88"/>
      <c r="O2219" s="88"/>
      <c r="P2219" s="88"/>
      <c r="Q2219" s="88"/>
      <c r="R2219" s="88"/>
      <c r="S2219" s="88"/>
      <c r="T2219" s="88"/>
      <c r="U2219" s="88"/>
      <c r="V2219" s="88"/>
      <c r="W2219" s="88"/>
      <c r="X2219" s="88"/>
      <c r="Y2219" s="88"/>
      <c r="Z2219" s="88"/>
    </row>
    <row r="2220" ht="17.25" customHeight="1">
      <c r="A2220" s="88"/>
      <c r="B2220" s="88"/>
      <c r="C2220" s="88"/>
      <c r="D2220" s="88"/>
      <c r="E2220" s="88"/>
      <c r="F2220" s="89"/>
      <c r="G2220" s="89"/>
      <c r="H2220" s="89"/>
      <c r="I2220" s="88"/>
      <c r="J2220" s="88"/>
      <c r="K2220" s="88"/>
      <c r="L2220" s="88"/>
      <c r="M2220" s="88"/>
      <c r="N2220" s="88"/>
      <c r="O2220" s="88"/>
      <c r="P2220" s="88"/>
      <c r="Q2220" s="88"/>
      <c r="R2220" s="88"/>
      <c r="S2220" s="88"/>
      <c r="T2220" s="88"/>
      <c r="U2220" s="88"/>
      <c r="V2220" s="88"/>
      <c r="W2220" s="88"/>
      <c r="X2220" s="88"/>
      <c r="Y2220" s="88"/>
      <c r="Z2220" s="88"/>
    </row>
    <row r="2221" ht="17.25" customHeight="1">
      <c r="A2221" s="88"/>
      <c r="B2221" s="88"/>
      <c r="C2221" s="88"/>
      <c r="D2221" s="88"/>
      <c r="E2221" s="88"/>
      <c r="F2221" s="89"/>
      <c r="G2221" s="89"/>
      <c r="H2221" s="89"/>
      <c r="I2221" s="88"/>
      <c r="J2221" s="88"/>
      <c r="K2221" s="88"/>
      <c r="L2221" s="88"/>
      <c r="M2221" s="88"/>
      <c r="N2221" s="88"/>
      <c r="O2221" s="88"/>
      <c r="P2221" s="88"/>
      <c r="Q2221" s="88"/>
      <c r="R2221" s="88"/>
      <c r="S2221" s="88"/>
      <c r="T2221" s="88"/>
      <c r="U2221" s="88"/>
      <c r="V2221" s="88"/>
      <c r="W2221" s="88"/>
      <c r="X2221" s="88"/>
      <c r="Y2221" s="88"/>
      <c r="Z2221" s="88"/>
    </row>
    <row r="2222" ht="17.25" customHeight="1">
      <c r="A2222" s="88"/>
      <c r="B2222" s="88"/>
      <c r="C2222" s="88"/>
      <c r="D2222" s="88"/>
      <c r="E2222" s="88"/>
      <c r="F2222" s="89"/>
      <c r="G2222" s="89"/>
      <c r="H2222" s="89"/>
      <c r="I2222" s="88"/>
      <c r="J2222" s="88"/>
      <c r="K2222" s="88"/>
      <c r="L2222" s="88"/>
      <c r="M2222" s="88"/>
      <c r="N2222" s="88"/>
      <c r="O2222" s="88"/>
      <c r="P2222" s="88"/>
      <c r="Q2222" s="88"/>
      <c r="R2222" s="88"/>
      <c r="S2222" s="88"/>
      <c r="T2222" s="88"/>
      <c r="U2222" s="88"/>
      <c r="V2222" s="88"/>
      <c r="W2222" s="88"/>
      <c r="X2222" s="88"/>
      <c r="Y2222" s="88"/>
      <c r="Z2222" s="88"/>
    </row>
    <row r="2223" ht="17.25" customHeight="1">
      <c r="A2223" s="88"/>
      <c r="B2223" s="88"/>
      <c r="C2223" s="88"/>
      <c r="D2223" s="88"/>
      <c r="E2223" s="88"/>
      <c r="F2223" s="89"/>
      <c r="G2223" s="89"/>
      <c r="H2223" s="89"/>
      <c r="I2223" s="88"/>
      <c r="J2223" s="88"/>
      <c r="K2223" s="88"/>
      <c r="L2223" s="88"/>
      <c r="M2223" s="88"/>
      <c r="N2223" s="88"/>
      <c r="O2223" s="88"/>
      <c r="P2223" s="88"/>
      <c r="Q2223" s="88"/>
      <c r="R2223" s="88"/>
      <c r="S2223" s="88"/>
      <c r="T2223" s="88"/>
      <c r="U2223" s="88"/>
      <c r="V2223" s="88"/>
      <c r="W2223" s="88"/>
      <c r="X2223" s="88"/>
      <c r="Y2223" s="88"/>
      <c r="Z2223" s="88"/>
    </row>
    <row r="2224" ht="17.25" customHeight="1">
      <c r="A2224" s="88"/>
      <c r="B2224" s="88"/>
      <c r="C2224" s="88"/>
      <c r="D2224" s="88"/>
      <c r="E2224" s="88"/>
      <c r="F2224" s="89"/>
      <c r="G2224" s="89"/>
      <c r="H2224" s="89"/>
      <c r="I2224" s="88"/>
      <c r="J2224" s="88"/>
      <c r="K2224" s="88"/>
      <c r="L2224" s="88"/>
      <c r="M2224" s="88"/>
      <c r="N2224" s="88"/>
      <c r="O2224" s="88"/>
      <c r="P2224" s="88"/>
      <c r="Q2224" s="88"/>
      <c r="R2224" s="88"/>
      <c r="S2224" s="88"/>
      <c r="T2224" s="88"/>
      <c r="U2224" s="88"/>
      <c r="V2224" s="88"/>
      <c r="W2224" s="88"/>
      <c r="X2224" s="88"/>
      <c r="Y2224" s="88"/>
      <c r="Z2224" s="88"/>
    </row>
    <row r="2225" ht="17.25" customHeight="1">
      <c r="A2225" s="88"/>
      <c r="B2225" s="88"/>
      <c r="C2225" s="88"/>
      <c r="D2225" s="88"/>
      <c r="E2225" s="88"/>
      <c r="F2225" s="89"/>
      <c r="G2225" s="89"/>
      <c r="H2225" s="89"/>
      <c r="I2225" s="88"/>
      <c r="J2225" s="88"/>
      <c r="K2225" s="88"/>
      <c r="L2225" s="88"/>
      <c r="M2225" s="88"/>
      <c r="N2225" s="88"/>
      <c r="O2225" s="88"/>
      <c r="P2225" s="88"/>
      <c r="Q2225" s="88"/>
      <c r="R2225" s="88"/>
      <c r="S2225" s="88"/>
      <c r="T2225" s="88"/>
      <c r="U2225" s="88"/>
      <c r="V2225" s="88"/>
      <c r="W2225" s="88"/>
      <c r="X2225" s="88"/>
      <c r="Y2225" s="88"/>
      <c r="Z2225" s="88"/>
    </row>
    <row r="2226" ht="17.25" customHeight="1">
      <c r="A2226" s="88"/>
      <c r="B2226" s="88"/>
      <c r="C2226" s="88"/>
      <c r="D2226" s="88"/>
      <c r="E2226" s="88"/>
      <c r="F2226" s="89"/>
      <c r="G2226" s="89"/>
      <c r="H2226" s="89"/>
      <c r="I2226" s="88"/>
      <c r="J2226" s="88"/>
      <c r="K2226" s="88"/>
      <c r="L2226" s="88"/>
      <c r="M2226" s="88"/>
      <c r="N2226" s="88"/>
      <c r="O2226" s="88"/>
      <c r="P2226" s="88"/>
      <c r="Q2226" s="88"/>
      <c r="R2226" s="88"/>
      <c r="S2226" s="88"/>
      <c r="T2226" s="88"/>
      <c r="U2226" s="88"/>
      <c r="V2226" s="88"/>
      <c r="W2226" s="88"/>
      <c r="X2226" s="88"/>
      <c r="Y2226" s="88"/>
      <c r="Z2226" s="88"/>
    </row>
    <row r="2227" ht="17.25" customHeight="1">
      <c r="A2227" s="88"/>
      <c r="B2227" s="88"/>
      <c r="C2227" s="88"/>
      <c r="D2227" s="88"/>
      <c r="E2227" s="88"/>
      <c r="F2227" s="89"/>
      <c r="G2227" s="89"/>
      <c r="H2227" s="89"/>
      <c r="I2227" s="88"/>
      <c r="J2227" s="88"/>
      <c r="K2227" s="88"/>
      <c r="L2227" s="88"/>
      <c r="M2227" s="88"/>
      <c r="N2227" s="88"/>
      <c r="O2227" s="88"/>
      <c r="P2227" s="88"/>
      <c r="Q2227" s="88"/>
      <c r="R2227" s="88"/>
      <c r="S2227" s="88"/>
      <c r="T2227" s="88"/>
      <c r="U2227" s="88"/>
      <c r="V2227" s="88"/>
      <c r="W2227" s="88"/>
      <c r="X2227" s="88"/>
      <c r="Y2227" s="88"/>
      <c r="Z2227" s="88"/>
    </row>
    <row r="2228" ht="17.25" customHeight="1">
      <c r="A2228" s="88"/>
      <c r="B2228" s="88"/>
      <c r="C2228" s="88"/>
      <c r="D2228" s="88"/>
      <c r="E2228" s="88"/>
      <c r="F2228" s="89"/>
      <c r="G2228" s="89"/>
      <c r="H2228" s="89"/>
      <c r="I2228" s="88"/>
      <c r="J2228" s="88"/>
      <c r="K2228" s="88"/>
      <c r="L2228" s="88"/>
      <c r="M2228" s="88"/>
      <c r="N2228" s="88"/>
      <c r="O2228" s="88"/>
      <c r="P2228" s="88"/>
      <c r="Q2228" s="88"/>
      <c r="R2228" s="88"/>
      <c r="S2228" s="88"/>
      <c r="T2228" s="88"/>
      <c r="U2228" s="88"/>
      <c r="V2228" s="88"/>
      <c r="W2228" s="88"/>
      <c r="X2228" s="88"/>
      <c r="Y2228" s="88"/>
      <c r="Z2228" s="88"/>
    </row>
    <row r="2229" ht="17.25" customHeight="1">
      <c r="A2229" s="88"/>
      <c r="B2229" s="88"/>
      <c r="C2229" s="88"/>
      <c r="D2229" s="88"/>
      <c r="E2229" s="88"/>
      <c r="F2229" s="89"/>
      <c r="G2229" s="89"/>
      <c r="H2229" s="89"/>
      <c r="I2229" s="88"/>
      <c r="J2229" s="88"/>
      <c r="K2229" s="88"/>
      <c r="L2229" s="88"/>
      <c r="M2229" s="88"/>
      <c r="N2229" s="88"/>
      <c r="O2229" s="88"/>
      <c r="P2229" s="88"/>
      <c r="Q2229" s="88"/>
      <c r="R2229" s="88"/>
      <c r="S2229" s="88"/>
      <c r="T2229" s="88"/>
      <c r="U2229" s="88"/>
      <c r="V2229" s="88"/>
      <c r="W2229" s="88"/>
      <c r="X2229" s="88"/>
      <c r="Y2229" s="88"/>
      <c r="Z2229" s="88"/>
    </row>
    <row r="2230" ht="17.25" customHeight="1">
      <c r="A2230" s="88"/>
      <c r="B2230" s="88"/>
      <c r="C2230" s="88"/>
      <c r="D2230" s="88"/>
      <c r="E2230" s="88"/>
      <c r="F2230" s="89"/>
      <c r="G2230" s="89"/>
      <c r="H2230" s="89"/>
      <c r="I2230" s="88"/>
      <c r="J2230" s="88"/>
      <c r="K2230" s="88"/>
      <c r="L2230" s="88"/>
      <c r="M2230" s="88"/>
      <c r="N2230" s="88"/>
      <c r="O2230" s="88"/>
      <c r="P2230" s="88"/>
      <c r="Q2230" s="88"/>
      <c r="R2230" s="88"/>
      <c r="S2230" s="88"/>
      <c r="T2230" s="88"/>
      <c r="U2230" s="88"/>
      <c r="V2230" s="88"/>
      <c r="W2230" s="88"/>
      <c r="X2230" s="88"/>
      <c r="Y2230" s="88"/>
      <c r="Z2230" s="88"/>
    </row>
    <row r="2231" ht="17.25" customHeight="1">
      <c r="A2231" s="88"/>
      <c r="B2231" s="88"/>
      <c r="C2231" s="88"/>
      <c r="D2231" s="88"/>
      <c r="E2231" s="88"/>
      <c r="F2231" s="89"/>
      <c r="G2231" s="89"/>
      <c r="H2231" s="89"/>
      <c r="I2231" s="88"/>
      <c r="J2231" s="88"/>
      <c r="K2231" s="88"/>
      <c r="L2231" s="88"/>
      <c r="M2231" s="88"/>
      <c r="N2231" s="88"/>
      <c r="O2231" s="88"/>
      <c r="P2231" s="88"/>
      <c r="Q2231" s="88"/>
      <c r="R2231" s="88"/>
      <c r="S2231" s="88"/>
      <c r="T2231" s="88"/>
      <c r="U2231" s="88"/>
      <c r="V2231" s="88"/>
      <c r="W2231" s="88"/>
      <c r="X2231" s="88"/>
      <c r="Y2231" s="88"/>
      <c r="Z2231" s="88"/>
    </row>
    <row r="2232" ht="17.25" customHeight="1">
      <c r="A2232" s="88"/>
      <c r="B2232" s="88"/>
      <c r="C2232" s="88"/>
      <c r="D2232" s="88"/>
      <c r="E2232" s="88"/>
      <c r="F2232" s="89"/>
      <c r="G2232" s="89"/>
      <c r="H2232" s="89"/>
      <c r="I2232" s="88"/>
      <c r="J2232" s="88"/>
      <c r="K2232" s="88"/>
      <c r="L2232" s="88"/>
      <c r="M2232" s="88"/>
      <c r="N2232" s="88"/>
      <c r="O2232" s="88"/>
      <c r="P2232" s="88"/>
      <c r="Q2232" s="88"/>
      <c r="R2232" s="88"/>
      <c r="S2232" s="88"/>
      <c r="T2232" s="88"/>
      <c r="U2232" s="88"/>
      <c r="V2232" s="88"/>
      <c r="W2232" s="88"/>
      <c r="X2232" s="88"/>
      <c r="Y2232" s="88"/>
      <c r="Z2232" s="88"/>
    </row>
    <row r="2233" ht="17.25" customHeight="1">
      <c r="A2233" s="88"/>
      <c r="B2233" s="88"/>
      <c r="C2233" s="88"/>
      <c r="D2233" s="88"/>
      <c r="E2233" s="88"/>
      <c r="F2233" s="89"/>
      <c r="G2233" s="89"/>
      <c r="H2233" s="89"/>
      <c r="I2233" s="88"/>
      <c r="J2233" s="88"/>
      <c r="K2233" s="88"/>
      <c r="L2233" s="88"/>
      <c r="M2233" s="88"/>
      <c r="N2233" s="88"/>
      <c r="O2233" s="88"/>
      <c r="P2233" s="88"/>
      <c r="Q2233" s="88"/>
      <c r="R2233" s="88"/>
      <c r="S2233" s="88"/>
      <c r="T2233" s="88"/>
      <c r="U2233" s="88"/>
      <c r="V2233" s="88"/>
      <c r="W2233" s="88"/>
      <c r="X2233" s="88"/>
      <c r="Y2233" s="88"/>
      <c r="Z2233" s="88"/>
    </row>
    <row r="2234" ht="17.25" customHeight="1">
      <c r="A2234" s="88"/>
      <c r="B2234" s="88"/>
      <c r="C2234" s="88"/>
      <c r="D2234" s="88"/>
      <c r="E2234" s="88"/>
      <c r="F2234" s="89"/>
      <c r="G2234" s="89"/>
      <c r="H2234" s="89"/>
      <c r="I2234" s="88"/>
      <c r="J2234" s="88"/>
      <c r="K2234" s="88"/>
      <c r="L2234" s="88"/>
      <c r="M2234" s="88"/>
      <c r="N2234" s="88"/>
      <c r="O2234" s="88"/>
      <c r="P2234" s="88"/>
      <c r="Q2234" s="88"/>
      <c r="R2234" s="88"/>
      <c r="S2234" s="88"/>
      <c r="T2234" s="88"/>
      <c r="U2234" s="88"/>
      <c r="V2234" s="88"/>
      <c r="W2234" s="88"/>
      <c r="X2234" s="88"/>
      <c r="Y2234" s="88"/>
      <c r="Z2234" s="88"/>
    </row>
    <row r="2235" ht="17.25" customHeight="1">
      <c r="A2235" s="88"/>
      <c r="B2235" s="88"/>
      <c r="C2235" s="88"/>
      <c r="D2235" s="88"/>
      <c r="E2235" s="88"/>
      <c r="F2235" s="89"/>
      <c r="G2235" s="89"/>
      <c r="H2235" s="89"/>
      <c r="I2235" s="88"/>
      <c r="J2235" s="88"/>
      <c r="K2235" s="88"/>
      <c r="L2235" s="88"/>
      <c r="M2235" s="88"/>
      <c r="N2235" s="88"/>
      <c r="O2235" s="88"/>
      <c r="P2235" s="88"/>
      <c r="Q2235" s="88"/>
      <c r="R2235" s="88"/>
      <c r="S2235" s="88"/>
      <c r="T2235" s="88"/>
      <c r="U2235" s="88"/>
      <c r="V2235" s="88"/>
      <c r="W2235" s="88"/>
      <c r="X2235" s="88"/>
      <c r="Y2235" s="88"/>
      <c r="Z2235" s="88"/>
    </row>
    <row r="2236" ht="17.25" customHeight="1">
      <c r="A2236" s="88"/>
      <c r="B2236" s="88"/>
      <c r="C2236" s="88"/>
      <c r="D2236" s="88"/>
      <c r="E2236" s="88"/>
      <c r="F2236" s="89"/>
      <c r="G2236" s="89"/>
      <c r="H2236" s="89"/>
      <c r="I2236" s="88"/>
      <c r="J2236" s="88"/>
      <c r="K2236" s="88"/>
      <c r="L2236" s="88"/>
      <c r="M2236" s="88"/>
      <c r="N2236" s="88"/>
      <c r="O2236" s="88"/>
      <c r="P2236" s="88"/>
      <c r="Q2236" s="88"/>
      <c r="R2236" s="88"/>
      <c r="S2236" s="88"/>
      <c r="T2236" s="88"/>
      <c r="U2236" s="88"/>
      <c r="V2236" s="88"/>
      <c r="W2236" s="88"/>
      <c r="X2236" s="88"/>
      <c r="Y2236" s="88"/>
      <c r="Z2236" s="88"/>
    </row>
    <row r="2237" ht="17.25" customHeight="1">
      <c r="A2237" s="88"/>
      <c r="B2237" s="88"/>
      <c r="C2237" s="88"/>
      <c r="D2237" s="88"/>
      <c r="E2237" s="88"/>
      <c r="F2237" s="89"/>
      <c r="G2237" s="89"/>
      <c r="H2237" s="89"/>
      <c r="I2237" s="88"/>
      <c r="J2237" s="88"/>
      <c r="K2237" s="88"/>
      <c r="L2237" s="88"/>
      <c r="M2237" s="88"/>
      <c r="N2237" s="88"/>
      <c r="O2237" s="88"/>
      <c r="P2237" s="88"/>
      <c r="Q2237" s="88"/>
      <c r="R2237" s="88"/>
      <c r="S2237" s="88"/>
      <c r="T2237" s="88"/>
      <c r="U2237" s="88"/>
      <c r="V2237" s="88"/>
      <c r="W2237" s="88"/>
      <c r="X2237" s="88"/>
      <c r="Y2237" s="88"/>
      <c r="Z2237" s="88"/>
    </row>
    <row r="2238" ht="17.25" customHeight="1">
      <c r="A2238" s="88"/>
      <c r="B2238" s="88"/>
      <c r="C2238" s="88"/>
      <c r="D2238" s="88"/>
      <c r="E2238" s="88"/>
      <c r="F2238" s="89"/>
      <c r="G2238" s="89"/>
      <c r="H2238" s="89"/>
      <c r="I2238" s="88"/>
      <c r="J2238" s="88"/>
      <c r="K2238" s="88"/>
      <c r="L2238" s="88"/>
      <c r="M2238" s="88"/>
      <c r="N2238" s="88"/>
      <c r="O2238" s="88"/>
      <c r="P2238" s="88"/>
      <c r="Q2238" s="88"/>
      <c r="R2238" s="88"/>
      <c r="S2238" s="88"/>
      <c r="T2238" s="88"/>
      <c r="U2238" s="88"/>
      <c r="V2238" s="88"/>
      <c r="W2238" s="88"/>
      <c r="X2238" s="88"/>
      <c r="Y2238" s="88"/>
      <c r="Z2238" s="88"/>
    </row>
    <row r="2239" ht="17.25" customHeight="1">
      <c r="A2239" s="88"/>
      <c r="B2239" s="88"/>
      <c r="C2239" s="88"/>
      <c r="D2239" s="88"/>
      <c r="E2239" s="88"/>
      <c r="F2239" s="89"/>
      <c r="G2239" s="89"/>
      <c r="H2239" s="89"/>
      <c r="I2239" s="88"/>
      <c r="J2239" s="88"/>
      <c r="K2239" s="88"/>
      <c r="L2239" s="88"/>
      <c r="M2239" s="88"/>
      <c r="N2239" s="88"/>
      <c r="O2239" s="88"/>
      <c r="P2239" s="88"/>
      <c r="Q2239" s="88"/>
      <c r="R2239" s="88"/>
      <c r="S2239" s="88"/>
      <c r="T2239" s="88"/>
      <c r="U2239" s="88"/>
      <c r="V2239" s="88"/>
      <c r="W2239" s="88"/>
      <c r="X2239" s="88"/>
      <c r="Y2239" s="88"/>
      <c r="Z2239" s="88"/>
    </row>
    <row r="2240" ht="17.25" customHeight="1">
      <c r="A2240" s="88"/>
      <c r="B2240" s="88"/>
      <c r="C2240" s="88"/>
      <c r="D2240" s="88"/>
      <c r="E2240" s="88"/>
      <c r="F2240" s="89"/>
      <c r="G2240" s="89"/>
      <c r="H2240" s="89"/>
      <c r="I2240" s="88"/>
      <c r="J2240" s="88"/>
      <c r="K2240" s="88"/>
      <c r="L2240" s="88"/>
      <c r="M2240" s="88"/>
      <c r="N2240" s="88"/>
      <c r="O2240" s="88"/>
      <c r="P2240" s="88"/>
      <c r="Q2240" s="88"/>
      <c r="R2240" s="88"/>
      <c r="S2240" s="88"/>
      <c r="T2240" s="88"/>
      <c r="U2240" s="88"/>
      <c r="V2240" s="88"/>
      <c r="W2240" s="88"/>
      <c r="X2240" s="88"/>
      <c r="Y2240" s="88"/>
      <c r="Z2240" s="88"/>
    </row>
    <row r="2241" ht="17.25" customHeight="1">
      <c r="A2241" s="88"/>
      <c r="B2241" s="88"/>
      <c r="C2241" s="88"/>
      <c r="D2241" s="88"/>
      <c r="E2241" s="88"/>
      <c r="F2241" s="89"/>
      <c r="G2241" s="89"/>
      <c r="H2241" s="89"/>
      <c r="I2241" s="88"/>
      <c r="J2241" s="88"/>
      <c r="K2241" s="88"/>
      <c r="L2241" s="88"/>
      <c r="M2241" s="88"/>
      <c r="N2241" s="88"/>
      <c r="O2241" s="88"/>
      <c r="P2241" s="88"/>
      <c r="Q2241" s="88"/>
      <c r="R2241" s="88"/>
      <c r="S2241" s="88"/>
      <c r="T2241" s="88"/>
      <c r="U2241" s="88"/>
      <c r="V2241" s="88"/>
      <c r="W2241" s="88"/>
      <c r="X2241" s="88"/>
      <c r="Y2241" s="88"/>
      <c r="Z2241" s="88"/>
    </row>
    <row r="2242" ht="17.25" customHeight="1">
      <c r="A2242" s="88"/>
      <c r="B2242" s="88"/>
      <c r="C2242" s="88"/>
      <c r="D2242" s="88"/>
      <c r="E2242" s="88"/>
      <c r="F2242" s="89"/>
      <c r="G2242" s="89"/>
      <c r="H2242" s="89"/>
      <c r="I2242" s="88"/>
      <c r="J2242" s="88"/>
      <c r="K2242" s="88"/>
      <c r="L2242" s="88"/>
      <c r="M2242" s="88"/>
      <c r="N2242" s="88"/>
      <c r="O2242" s="88"/>
      <c r="P2242" s="88"/>
      <c r="Q2242" s="88"/>
      <c r="R2242" s="88"/>
      <c r="S2242" s="88"/>
      <c r="T2242" s="88"/>
      <c r="U2242" s="88"/>
      <c r="V2242" s="88"/>
      <c r="W2242" s="88"/>
      <c r="X2242" s="88"/>
      <c r="Y2242" s="88"/>
      <c r="Z2242" s="88"/>
    </row>
    <row r="2243" ht="17.25" customHeight="1">
      <c r="A2243" s="88"/>
      <c r="B2243" s="88"/>
      <c r="C2243" s="88"/>
      <c r="D2243" s="88"/>
      <c r="E2243" s="88"/>
      <c r="F2243" s="89"/>
      <c r="G2243" s="89"/>
      <c r="H2243" s="89"/>
      <c r="I2243" s="88"/>
      <c r="J2243" s="88"/>
      <c r="K2243" s="88"/>
      <c r="L2243" s="88"/>
      <c r="M2243" s="88"/>
      <c r="N2243" s="88"/>
      <c r="O2243" s="88"/>
      <c r="P2243" s="88"/>
      <c r="Q2243" s="88"/>
      <c r="R2243" s="88"/>
      <c r="S2243" s="88"/>
      <c r="T2243" s="88"/>
      <c r="U2243" s="88"/>
      <c r="V2243" s="88"/>
      <c r="W2243" s="88"/>
      <c r="X2243" s="88"/>
      <c r="Y2243" s="88"/>
      <c r="Z2243" s="88"/>
    </row>
    <row r="2244" ht="17.25" customHeight="1">
      <c r="A2244" s="88"/>
      <c r="B2244" s="88"/>
      <c r="C2244" s="88"/>
      <c r="D2244" s="88"/>
      <c r="E2244" s="88"/>
      <c r="F2244" s="89"/>
      <c r="G2244" s="89"/>
      <c r="H2244" s="89"/>
      <c r="I2244" s="88"/>
      <c r="J2244" s="88"/>
      <c r="K2244" s="88"/>
      <c r="L2244" s="88"/>
      <c r="M2244" s="88"/>
      <c r="N2244" s="88"/>
      <c r="O2244" s="88"/>
      <c r="P2244" s="88"/>
      <c r="Q2244" s="88"/>
      <c r="R2244" s="88"/>
      <c r="S2244" s="88"/>
      <c r="T2244" s="88"/>
      <c r="U2244" s="88"/>
      <c r="V2244" s="88"/>
      <c r="W2244" s="88"/>
      <c r="X2244" s="88"/>
      <c r="Y2244" s="88"/>
      <c r="Z2244" s="88"/>
    </row>
    <row r="2245" ht="17.25" customHeight="1">
      <c r="A2245" s="88"/>
      <c r="B2245" s="88"/>
      <c r="C2245" s="88"/>
      <c r="D2245" s="88"/>
      <c r="E2245" s="88"/>
      <c r="F2245" s="89"/>
      <c r="G2245" s="89"/>
      <c r="H2245" s="89"/>
      <c r="I2245" s="88"/>
      <c r="J2245" s="88"/>
      <c r="K2245" s="88"/>
      <c r="L2245" s="88"/>
      <c r="M2245" s="88"/>
      <c r="N2245" s="88"/>
      <c r="O2245" s="88"/>
      <c r="P2245" s="88"/>
      <c r="Q2245" s="88"/>
      <c r="R2245" s="88"/>
      <c r="S2245" s="88"/>
      <c r="T2245" s="88"/>
      <c r="U2245" s="88"/>
      <c r="V2245" s="88"/>
      <c r="W2245" s="88"/>
      <c r="X2245" s="88"/>
      <c r="Y2245" s="88"/>
      <c r="Z2245" s="88"/>
    </row>
    <row r="2246" ht="17.25" customHeight="1">
      <c r="A2246" s="88"/>
      <c r="B2246" s="88"/>
      <c r="C2246" s="88"/>
      <c r="D2246" s="88"/>
      <c r="E2246" s="88"/>
      <c r="F2246" s="89"/>
      <c r="G2246" s="89"/>
      <c r="H2246" s="89"/>
      <c r="I2246" s="88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U2246" s="88"/>
      <c r="V2246" s="88"/>
      <c r="W2246" s="88"/>
      <c r="X2246" s="88"/>
      <c r="Y2246" s="88"/>
      <c r="Z2246" s="88"/>
    </row>
    <row r="2247" ht="17.25" customHeight="1">
      <c r="A2247" s="88"/>
      <c r="B2247" s="88"/>
      <c r="C2247" s="88"/>
      <c r="D2247" s="88"/>
      <c r="E2247" s="88"/>
      <c r="F2247" s="89"/>
      <c r="G2247" s="89"/>
      <c r="H2247" s="89"/>
      <c r="I2247" s="88"/>
      <c r="J2247" s="88"/>
      <c r="K2247" s="88"/>
      <c r="L2247" s="88"/>
      <c r="M2247" s="88"/>
      <c r="N2247" s="88"/>
      <c r="O2247" s="88"/>
      <c r="P2247" s="88"/>
      <c r="Q2247" s="88"/>
      <c r="R2247" s="88"/>
      <c r="S2247" s="88"/>
      <c r="T2247" s="88"/>
      <c r="U2247" s="88"/>
      <c r="V2247" s="88"/>
      <c r="W2247" s="88"/>
      <c r="X2247" s="88"/>
      <c r="Y2247" s="88"/>
      <c r="Z2247" s="88"/>
    </row>
    <row r="2248" ht="17.25" customHeight="1">
      <c r="A2248" s="88"/>
      <c r="B2248" s="88"/>
      <c r="C2248" s="88"/>
      <c r="D2248" s="88"/>
      <c r="E2248" s="88"/>
      <c r="F2248" s="89"/>
      <c r="G2248" s="89"/>
      <c r="H2248" s="89"/>
      <c r="I2248" s="88"/>
      <c r="J2248" s="88"/>
      <c r="K2248" s="88"/>
      <c r="L2248" s="88"/>
      <c r="M2248" s="88"/>
      <c r="N2248" s="88"/>
      <c r="O2248" s="88"/>
      <c r="P2248" s="88"/>
      <c r="Q2248" s="88"/>
      <c r="R2248" s="88"/>
      <c r="S2248" s="88"/>
      <c r="T2248" s="88"/>
      <c r="U2248" s="88"/>
      <c r="V2248" s="88"/>
      <c r="W2248" s="88"/>
      <c r="X2248" s="88"/>
      <c r="Y2248" s="88"/>
      <c r="Z2248" s="88"/>
    </row>
    <row r="2249" ht="17.25" customHeight="1">
      <c r="A2249" s="88"/>
      <c r="B2249" s="88"/>
      <c r="C2249" s="88"/>
      <c r="D2249" s="88"/>
      <c r="E2249" s="88"/>
      <c r="F2249" s="89"/>
      <c r="G2249" s="89"/>
      <c r="H2249" s="89"/>
      <c r="I2249" s="88"/>
      <c r="J2249" s="88"/>
      <c r="K2249" s="88"/>
      <c r="L2249" s="88"/>
      <c r="M2249" s="88"/>
      <c r="N2249" s="88"/>
      <c r="O2249" s="88"/>
      <c r="P2249" s="88"/>
      <c r="Q2249" s="88"/>
      <c r="R2249" s="88"/>
      <c r="S2249" s="88"/>
      <c r="T2249" s="88"/>
      <c r="U2249" s="88"/>
      <c r="V2249" s="88"/>
      <c r="W2249" s="88"/>
      <c r="X2249" s="88"/>
      <c r="Y2249" s="88"/>
      <c r="Z2249" s="88"/>
    </row>
    <row r="2250" ht="17.25" customHeight="1">
      <c r="A2250" s="88"/>
      <c r="B2250" s="88"/>
      <c r="C2250" s="88"/>
      <c r="D2250" s="88"/>
      <c r="E2250" s="88"/>
      <c r="F2250" s="89"/>
      <c r="G2250" s="89"/>
      <c r="H2250" s="89"/>
      <c r="I2250" s="88"/>
      <c r="J2250" s="88"/>
      <c r="K2250" s="88"/>
      <c r="L2250" s="88"/>
      <c r="M2250" s="88"/>
      <c r="N2250" s="88"/>
      <c r="O2250" s="88"/>
      <c r="P2250" s="88"/>
      <c r="Q2250" s="88"/>
      <c r="R2250" s="88"/>
      <c r="S2250" s="88"/>
      <c r="T2250" s="88"/>
      <c r="U2250" s="88"/>
      <c r="V2250" s="88"/>
      <c r="W2250" s="88"/>
      <c r="X2250" s="88"/>
      <c r="Y2250" s="88"/>
      <c r="Z2250" s="88"/>
    </row>
    <row r="2251" ht="17.25" customHeight="1">
      <c r="A2251" s="88"/>
      <c r="B2251" s="88"/>
      <c r="C2251" s="88"/>
      <c r="D2251" s="88"/>
      <c r="E2251" s="88"/>
      <c r="F2251" s="89"/>
      <c r="G2251" s="89"/>
      <c r="H2251" s="89"/>
      <c r="I2251" s="88"/>
      <c r="J2251" s="88"/>
      <c r="K2251" s="88"/>
      <c r="L2251" s="88"/>
      <c r="M2251" s="88"/>
      <c r="N2251" s="88"/>
      <c r="O2251" s="88"/>
      <c r="P2251" s="88"/>
      <c r="Q2251" s="88"/>
      <c r="R2251" s="88"/>
      <c r="S2251" s="88"/>
      <c r="T2251" s="88"/>
      <c r="U2251" s="88"/>
      <c r="V2251" s="88"/>
      <c r="W2251" s="88"/>
      <c r="X2251" s="88"/>
      <c r="Y2251" s="88"/>
      <c r="Z2251" s="88"/>
    </row>
    <row r="2252" ht="17.25" customHeight="1">
      <c r="A2252" s="88"/>
      <c r="B2252" s="88"/>
      <c r="C2252" s="88"/>
      <c r="D2252" s="88"/>
      <c r="E2252" s="88"/>
      <c r="F2252" s="89"/>
      <c r="G2252" s="89"/>
      <c r="H2252" s="89"/>
      <c r="I2252" s="88"/>
      <c r="J2252" s="88"/>
      <c r="K2252" s="88"/>
      <c r="L2252" s="88"/>
      <c r="M2252" s="88"/>
      <c r="N2252" s="88"/>
      <c r="O2252" s="88"/>
      <c r="P2252" s="88"/>
      <c r="Q2252" s="88"/>
      <c r="R2252" s="88"/>
      <c r="S2252" s="88"/>
      <c r="T2252" s="88"/>
      <c r="U2252" s="88"/>
      <c r="V2252" s="88"/>
      <c r="W2252" s="88"/>
      <c r="X2252" s="88"/>
      <c r="Y2252" s="88"/>
      <c r="Z2252" s="88"/>
    </row>
    <row r="2253" ht="17.25" customHeight="1">
      <c r="A2253" s="88"/>
      <c r="B2253" s="88"/>
      <c r="C2253" s="88"/>
      <c r="D2253" s="88"/>
      <c r="E2253" s="88"/>
      <c r="F2253" s="89"/>
      <c r="G2253" s="89"/>
      <c r="H2253" s="89"/>
      <c r="I2253" s="88"/>
      <c r="J2253" s="88"/>
      <c r="K2253" s="88"/>
      <c r="L2253" s="88"/>
      <c r="M2253" s="88"/>
      <c r="N2253" s="88"/>
      <c r="O2253" s="88"/>
      <c r="P2253" s="88"/>
      <c r="Q2253" s="88"/>
      <c r="R2253" s="88"/>
      <c r="S2253" s="88"/>
      <c r="T2253" s="88"/>
      <c r="U2253" s="88"/>
      <c r="V2253" s="88"/>
      <c r="W2253" s="88"/>
      <c r="X2253" s="88"/>
      <c r="Y2253" s="88"/>
      <c r="Z2253" s="88"/>
    </row>
    <row r="2254" ht="17.25" customHeight="1">
      <c r="A2254" s="88"/>
      <c r="B2254" s="88"/>
      <c r="C2254" s="88"/>
      <c r="D2254" s="88"/>
      <c r="E2254" s="88"/>
      <c r="F2254" s="89"/>
      <c r="G2254" s="89"/>
      <c r="H2254" s="89"/>
      <c r="I2254" s="88"/>
      <c r="J2254" s="88"/>
      <c r="K2254" s="88"/>
      <c r="L2254" s="88"/>
      <c r="M2254" s="88"/>
      <c r="N2254" s="88"/>
      <c r="O2254" s="88"/>
      <c r="P2254" s="88"/>
      <c r="Q2254" s="88"/>
      <c r="R2254" s="88"/>
      <c r="S2254" s="88"/>
      <c r="T2254" s="88"/>
      <c r="U2254" s="88"/>
      <c r="V2254" s="88"/>
      <c r="W2254" s="88"/>
      <c r="X2254" s="88"/>
      <c r="Y2254" s="88"/>
      <c r="Z2254" s="88"/>
    </row>
    <row r="2255" ht="17.25" customHeight="1">
      <c r="A2255" s="88"/>
      <c r="B2255" s="88"/>
      <c r="C2255" s="88"/>
      <c r="D2255" s="88"/>
      <c r="E2255" s="88"/>
      <c r="F2255" s="89"/>
      <c r="G2255" s="89"/>
      <c r="H2255" s="89"/>
      <c r="I2255" s="88"/>
      <c r="J2255" s="88"/>
      <c r="K2255" s="88"/>
      <c r="L2255" s="88"/>
      <c r="M2255" s="88"/>
      <c r="N2255" s="88"/>
      <c r="O2255" s="88"/>
      <c r="P2255" s="88"/>
      <c r="Q2255" s="88"/>
      <c r="R2255" s="88"/>
      <c r="S2255" s="88"/>
      <c r="T2255" s="88"/>
      <c r="U2255" s="88"/>
      <c r="V2255" s="88"/>
      <c r="W2255" s="88"/>
      <c r="X2255" s="88"/>
      <c r="Y2255" s="88"/>
      <c r="Z2255" s="88"/>
    </row>
    <row r="2256" ht="17.25" customHeight="1">
      <c r="A2256" s="88"/>
      <c r="B2256" s="88"/>
      <c r="C2256" s="88"/>
      <c r="D2256" s="88"/>
      <c r="E2256" s="88"/>
      <c r="F2256" s="89"/>
      <c r="G2256" s="89"/>
      <c r="H2256" s="89"/>
      <c r="I2256" s="88"/>
      <c r="J2256" s="88"/>
      <c r="K2256" s="88"/>
      <c r="L2256" s="88"/>
      <c r="M2256" s="88"/>
      <c r="N2256" s="88"/>
      <c r="O2256" s="88"/>
      <c r="P2256" s="88"/>
      <c r="Q2256" s="88"/>
      <c r="R2256" s="88"/>
      <c r="S2256" s="88"/>
      <c r="T2256" s="88"/>
      <c r="U2256" s="88"/>
      <c r="V2256" s="88"/>
      <c r="W2256" s="88"/>
      <c r="X2256" s="88"/>
      <c r="Y2256" s="88"/>
      <c r="Z2256" s="88"/>
    </row>
    <row r="2257" ht="17.25" customHeight="1">
      <c r="A2257" s="88"/>
      <c r="B2257" s="88"/>
      <c r="C2257" s="88"/>
      <c r="D2257" s="88"/>
      <c r="E2257" s="88"/>
      <c r="F2257" s="89"/>
      <c r="G2257" s="89"/>
      <c r="H2257" s="89"/>
      <c r="I2257" s="88"/>
      <c r="J2257" s="88"/>
      <c r="K2257" s="88"/>
      <c r="L2257" s="88"/>
      <c r="M2257" s="88"/>
      <c r="N2257" s="88"/>
      <c r="O2257" s="88"/>
      <c r="P2257" s="88"/>
      <c r="Q2257" s="88"/>
      <c r="R2257" s="88"/>
      <c r="S2257" s="88"/>
      <c r="T2257" s="88"/>
      <c r="U2257" s="88"/>
      <c r="V2257" s="88"/>
      <c r="W2257" s="88"/>
      <c r="X2257" s="88"/>
      <c r="Y2257" s="88"/>
      <c r="Z2257" s="88"/>
    </row>
    <row r="2258" ht="17.25" customHeight="1">
      <c r="A2258" s="88"/>
      <c r="B2258" s="88"/>
      <c r="C2258" s="88"/>
      <c r="D2258" s="88"/>
      <c r="E2258" s="88"/>
      <c r="F2258" s="89"/>
      <c r="G2258" s="89"/>
      <c r="H2258" s="89"/>
      <c r="I2258" s="88"/>
      <c r="J2258" s="88"/>
      <c r="K2258" s="88"/>
      <c r="L2258" s="88"/>
      <c r="M2258" s="88"/>
      <c r="N2258" s="88"/>
      <c r="O2258" s="88"/>
      <c r="P2258" s="88"/>
      <c r="Q2258" s="88"/>
      <c r="R2258" s="88"/>
      <c r="S2258" s="88"/>
      <c r="T2258" s="88"/>
      <c r="U2258" s="88"/>
      <c r="V2258" s="88"/>
      <c r="W2258" s="88"/>
      <c r="X2258" s="88"/>
      <c r="Y2258" s="88"/>
      <c r="Z2258" s="88"/>
    </row>
    <row r="2259" ht="17.25" customHeight="1">
      <c r="A2259" s="88"/>
      <c r="B2259" s="88"/>
      <c r="C2259" s="88"/>
      <c r="D2259" s="88"/>
      <c r="E2259" s="88"/>
      <c r="F2259" s="89"/>
      <c r="G2259" s="89"/>
      <c r="H2259" s="89"/>
      <c r="I2259" s="88"/>
      <c r="J2259" s="88"/>
      <c r="K2259" s="88"/>
      <c r="L2259" s="88"/>
      <c r="M2259" s="88"/>
      <c r="N2259" s="88"/>
      <c r="O2259" s="88"/>
      <c r="P2259" s="88"/>
      <c r="Q2259" s="88"/>
      <c r="R2259" s="88"/>
      <c r="S2259" s="88"/>
      <c r="T2259" s="88"/>
      <c r="U2259" s="88"/>
      <c r="V2259" s="88"/>
      <c r="W2259" s="88"/>
      <c r="X2259" s="88"/>
      <c r="Y2259" s="88"/>
      <c r="Z2259" s="88"/>
    </row>
    <row r="2260" ht="17.25" customHeight="1">
      <c r="A2260" s="88"/>
      <c r="B2260" s="88"/>
      <c r="C2260" s="88"/>
      <c r="D2260" s="88"/>
      <c r="E2260" s="88"/>
      <c r="F2260" s="89"/>
      <c r="G2260" s="89"/>
      <c r="H2260" s="89"/>
      <c r="I2260" s="88"/>
      <c r="J2260" s="88"/>
      <c r="K2260" s="88"/>
      <c r="L2260" s="88"/>
      <c r="M2260" s="88"/>
      <c r="N2260" s="88"/>
      <c r="O2260" s="88"/>
      <c r="P2260" s="88"/>
      <c r="Q2260" s="88"/>
      <c r="R2260" s="88"/>
      <c r="S2260" s="88"/>
      <c r="T2260" s="88"/>
      <c r="U2260" s="88"/>
      <c r="V2260" s="88"/>
      <c r="W2260" s="88"/>
      <c r="X2260" s="88"/>
      <c r="Y2260" s="88"/>
      <c r="Z2260" s="88"/>
    </row>
    <row r="2261" ht="17.25" customHeight="1">
      <c r="A2261" s="88"/>
      <c r="B2261" s="88"/>
      <c r="C2261" s="88"/>
      <c r="D2261" s="88"/>
      <c r="E2261" s="88"/>
      <c r="F2261" s="89"/>
      <c r="G2261" s="89"/>
      <c r="H2261" s="89"/>
      <c r="I2261" s="88"/>
      <c r="J2261" s="88"/>
      <c r="K2261" s="88"/>
      <c r="L2261" s="88"/>
      <c r="M2261" s="88"/>
      <c r="N2261" s="88"/>
      <c r="O2261" s="88"/>
      <c r="P2261" s="88"/>
      <c r="Q2261" s="88"/>
      <c r="R2261" s="88"/>
      <c r="S2261" s="88"/>
      <c r="T2261" s="88"/>
      <c r="U2261" s="88"/>
      <c r="V2261" s="88"/>
      <c r="W2261" s="88"/>
      <c r="X2261" s="88"/>
      <c r="Y2261" s="88"/>
      <c r="Z2261" s="88"/>
    </row>
    <row r="2262" ht="17.25" customHeight="1">
      <c r="A2262" s="88"/>
      <c r="B2262" s="88"/>
      <c r="C2262" s="88"/>
      <c r="D2262" s="88"/>
      <c r="E2262" s="88"/>
      <c r="F2262" s="89"/>
      <c r="G2262" s="89"/>
      <c r="H2262" s="89"/>
      <c r="I2262" s="88"/>
      <c r="J2262" s="88"/>
      <c r="K2262" s="88"/>
      <c r="L2262" s="88"/>
      <c r="M2262" s="88"/>
      <c r="N2262" s="88"/>
      <c r="O2262" s="88"/>
      <c r="P2262" s="88"/>
      <c r="Q2262" s="88"/>
      <c r="R2262" s="88"/>
      <c r="S2262" s="88"/>
      <c r="T2262" s="88"/>
      <c r="U2262" s="88"/>
      <c r="V2262" s="88"/>
      <c r="W2262" s="88"/>
      <c r="X2262" s="88"/>
      <c r="Y2262" s="88"/>
      <c r="Z2262" s="88"/>
    </row>
    <row r="2263" ht="17.25" customHeight="1">
      <c r="A2263" s="88"/>
      <c r="B2263" s="88"/>
      <c r="C2263" s="88"/>
      <c r="D2263" s="88"/>
      <c r="E2263" s="88"/>
      <c r="F2263" s="89"/>
      <c r="G2263" s="89"/>
      <c r="H2263" s="89"/>
      <c r="I2263" s="88"/>
      <c r="J2263" s="88"/>
      <c r="K2263" s="88"/>
      <c r="L2263" s="88"/>
      <c r="M2263" s="88"/>
      <c r="N2263" s="88"/>
      <c r="O2263" s="88"/>
      <c r="P2263" s="88"/>
      <c r="Q2263" s="88"/>
      <c r="R2263" s="88"/>
      <c r="S2263" s="88"/>
      <c r="T2263" s="88"/>
      <c r="U2263" s="88"/>
      <c r="V2263" s="88"/>
      <c r="W2263" s="88"/>
      <c r="X2263" s="88"/>
      <c r="Y2263" s="88"/>
      <c r="Z2263" s="88"/>
    </row>
    <row r="2264" ht="17.25" customHeight="1">
      <c r="A2264" s="88"/>
      <c r="B2264" s="88"/>
      <c r="C2264" s="88"/>
      <c r="D2264" s="88"/>
      <c r="E2264" s="88"/>
      <c r="F2264" s="89"/>
      <c r="G2264" s="89"/>
      <c r="H2264" s="89"/>
      <c r="I2264" s="88"/>
      <c r="J2264" s="88"/>
      <c r="K2264" s="88"/>
      <c r="L2264" s="88"/>
      <c r="M2264" s="88"/>
      <c r="N2264" s="88"/>
      <c r="O2264" s="88"/>
      <c r="P2264" s="88"/>
      <c r="Q2264" s="88"/>
      <c r="R2264" s="88"/>
      <c r="S2264" s="88"/>
      <c r="T2264" s="88"/>
      <c r="U2264" s="88"/>
      <c r="V2264" s="88"/>
      <c r="W2264" s="88"/>
      <c r="X2264" s="88"/>
      <c r="Y2264" s="88"/>
      <c r="Z2264" s="88"/>
    </row>
    <row r="2265" ht="17.25" customHeight="1">
      <c r="A2265" s="88"/>
      <c r="B2265" s="88"/>
      <c r="C2265" s="88"/>
      <c r="D2265" s="88"/>
      <c r="E2265" s="88"/>
      <c r="F2265" s="89"/>
      <c r="G2265" s="89"/>
      <c r="H2265" s="89"/>
      <c r="I2265" s="88"/>
      <c r="J2265" s="88"/>
      <c r="K2265" s="88"/>
      <c r="L2265" s="88"/>
      <c r="M2265" s="88"/>
      <c r="N2265" s="88"/>
      <c r="O2265" s="88"/>
      <c r="P2265" s="88"/>
      <c r="Q2265" s="88"/>
      <c r="R2265" s="88"/>
      <c r="S2265" s="88"/>
      <c r="T2265" s="88"/>
      <c r="U2265" s="88"/>
      <c r="V2265" s="88"/>
      <c r="W2265" s="88"/>
      <c r="X2265" s="88"/>
      <c r="Y2265" s="88"/>
      <c r="Z2265" s="88"/>
    </row>
    <row r="2266" ht="17.25" customHeight="1">
      <c r="A2266" s="88"/>
      <c r="B2266" s="88"/>
      <c r="C2266" s="88"/>
      <c r="D2266" s="88"/>
      <c r="E2266" s="88"/>
      <c r="F2266" s="89"/>
      <c r="G2266" s="89"/>
      <c r="H2266" s="89"/>
      <c r="I2266" s="88"/>
      <c r="J2266" s="88"/>
      <c r="K2266" s="88"/>
      <c r="L2266" s="88"/>
      <c r="M2266" s="88"/>
      <c r="N2266" s="88"/>
      <c r="O2266" s="88"/>
      <c r="P2266" s="88"/>
      <c r="Q2266" s="88"/>
      <c r="R2266" s="88"/>
      <c r="S2266" s="88"/>
      <c r="T2266" s="88"/>
      <c r="U2266" s="88"/>
      <c r="V2266" s="88"/>
      <c r="W2266" s="88"/>
      <c r="X2266" s="88"/>
      <c r="Y2266" s="88"/>
      <c r="Z2266" s="88"/>
    </row>
    <row r="2267" ht="17.25" customHeight="1">
      <c r="A2267" s="88"/>
      <c r="B2267" s="88"/>
      <c r="C2267" s="88"/>
      <c r="D2267" s="88"/>
      <c r="E2267" s="88"/>
      <c r="F2267" s="89"/>
      <c r="G2267" s="89"/>
      <c r="H2267" s="89"/>
      <c r="I2267" s="88"/>
      <c r="J2267" s="88"/>
      <c r="K2267" s="88"/>
      <c r="L2267" s="88"/>
      <c r="M2267" s="88"/>
      <c r="N2267" s="88"/>
      <c r="O2267" s="88"/>
      <c r="P2267" s="88"/>
      <c r="Q2267" s="88"/>
      <c r="R2267" s="88"/>
      <c r="S2267" s="88"/>
      <c r="T2267" s="88"/>
      <c r="U2267" s="88"/>
      <c r="V2267" s="88"/>
      <c r="W2267" s="88"/>
      <c r="X2267" s="88"/>
      <c r="Y2267" s="88"/>
      <c r="Z2267" s="88"/>
    </row>
    <row r="2268" ht="17.25" customHeight="1">
      <c r="A2268" s="88"/>
      <c r="B2268" s="88"/>
      <c r="C2268" s="88"/>
      <c r="D2268" s="88"/>
      <c r="E2268" s="88"/>
      <c r="F2268" s="89"/>
      <c r="G2268" s="89"/>
      <c r="H2268" s="89"/>
      <c r="I2268" s="88"/>
      <c r="J2268" s="88"/>
      <c r="K2268" s="88"/>
      <c r="L2268" s="88"/>
      <c r="M2268" s="88"/>
      <c r="N2268" s="88"/>
      <c r="O2268" s="88"/>
      <c r="P2268" s="88"/>
      <c r="Q2268" s="88"/>
      <c r="R2268" s="88"/>
      <c r="S2268" s="88"/>
      <c r="T2268" s="88"/>
      <c r="U2268" s="88"/>
      <c r="V2268" s="88"/>
      <c r="W2268" s="88"/>
      <c r="X2268" s="88"/>
      <c r="Y2268" s="88"/>
      <c r="Z2268" s="88"/>
    </row>
    <row r="2269" ht="17.25" customHeight="1">
      <c r="A2269" s="88"/>
      <c r="B2269" s="88"/>
      <c r="C2269" s="88"/>
      <c r="D2269" s="88"/>
      <c r="E2269" s="88"/>
      <c r="F2269" s="89"/>
      <c r="G2269" s="89"/>
      <c r="H2269" s="89"/>
      <c r="I2269" s="88"/>
      <c r="J2269" s="88"/>
      <c r="K2269" s="88"/>
      <c r="L2269" s="88"/>
      <c r="M2269" s="88"/>
      <c r="N2269" s="88"/>
      <c r="O2269" s="88"/>
      <c r="P2269" s="88"/>
      <c r="Q2269" s="88"/>
      <c r="R2269" s="88"/>
      <c r="S2269" s="88"/>
      <c r="T2269" s="88"/>
      <c r="U2269" s="88"/>
      <c r="V2269" s="88"/>
      <c r="W2269" s="88"/>
      <c r="X2269" s="88"/>
      <c r="Y2269" s="88"/>
      <c r="Z2269" s="88"/>
    </row>
    <row r="2270" ht="17.25" customHeight="1">
      <c r="A2270" s="88"/>
      <c r="B2270" s="88"/>
      <c r="C2270" s="88"/>
      <c r="D2270" s="88"/>
      <c r="E2270" s="88"/>
      <c r="F2270" s="89"/>
      <c r="G2270" s="89"/>
      <c r="H2270" s="89"/>
      <c r="I2270" s="88"/>
      <c r="J2270" s="88"/>
      <c r="K2270" s="88"/>
      <c r="L2270" s="88"/>
      <c r="M2270" s="88"/>
      <c r="N2270" s="88"/>
      <c r="O2270" s="88"/>
      <c r="P2270" s="88"/>
      <c r="Q2270" s="88"/>
      <c r="R2270" s="88"/>
      <c r="S2270" s="88"/>
      <c r="T2270" s="88"/>
      <c r="U2270" s="88"/>
      <c r="V2270" s="88"/>
      <c r="W2270" s="88"/>
      <c r="X2270" s="88"/>
      <c r="Y2270" s="88"/>
      <c r="Z2270" s="88"/>
    </row>
    <row r="2271" ht="17.25" customHeight="1">
      <c r="A2271" s="88"/>
      <c r="B2271" s="88"/>
      <c r="C2271" s="88"/>
      <c r="D2271" s="88"/>
      <c r="E2271" s="88"/>
      <c r="F2271" s="89"/>
      <c r="G2271" s="89"/>
      <c r="H2271" s="89"/>
      <c r="I2271" s="88"/>
      <c r="J2271" s="88"/>
      <c r="K2271" s="88"/>
      <c r="L2271" s="88"/>
      <c r="M2271" s="88"/>
      <c r="N2271" s="88"/>
      <c r="O2271" s="88"/>
      <c r="P2271" s="88"/>
      <c r="Q2271" s="88"/>
      <c r="R2271" s="88"/>
      <c r="S2271" s="88"/>
      <c r="T2271" s="88"/>
      <c r="U2271" s="88"/>
      <c r="V2271" s="88"/>
      <c r="W2271" s="88"/>
      <c r="X2271" s="88"/>
      <c r="Y2271" s="88"/>
      <c r="Z2271" s="88"/>
    </row>
    <row r="2272" ht="17.25" customHeight="1">
      <c r="A2272" s="88"/>
      <c r="B2272" s="88"/>
      <c r="C2272" s="88"/>
      <c r="D2272" s="88"/>
      <c r="E2272" s="88"/>
      <c r="F2272" s="89"/>
      <c r="G2272" s="89"/>
      <c r="H2272" s="89"/>
      <c r="I2272" s="88"/>
      <c r="J2272" s="88"/>
      <c r="K2272" s="88"/>
      <c r="L2272" s="88"/>
      <c r="M2272" s="88"/>
      <c r="N2272" s="88"/>
      <c r="O2272" s="88"/>
      <c r="P2272" s="88"/>
      <c r="Q2272" s="88"/>
      <c r="R2272" s="88"/>
      <c r="S2272" s="88"/>
      <c r="T2272" s="88"/>
      <c r="U2272" s="88"/>
      <c r="V2272" s="88"/>
      <c r="W2272" s="88"/>
      <c r="X2272" s="88"/>
      <c r="Y2272" s="88"/>
      <c r="Z2272" s="88"/>
    </row>
    <row r="2273" ht="17.25" customHeight="1">
      <c r="A2273" s="88"/>
      <c r="B2273" s="88"/>
      <c r="C2273" s="88"/>
      <c r="D2273" s="88"/>
      <c r="E2273" s="88"/>
      <c r="F2273" s="89"/>
      <c r="G2273" s="89"/>
      <c r="H2273" s="89"/>
      <c r="I2273" s="88"/>
      <c r="J2273" s="88"/>
      <c r="K2273" s="88"/>
      <c r="L2273" s="88"/>
      <c r="M2273" s="88"/>
      <c r="N2273" s="88"/>
      <c r="O2273" s="88"/>
      <c r="P2273" s="88"/>
      <c r="Q2273" s="88"/>
      <c r="R2273" s="88"/>
      <c r="S2273" s="88"/>
      <c r="T2273" s="88"/>
      <c r="U2273" s="88"/>
      <c r="V2273" s="88"/>
      <c r="W2273" s="88"/>
      <c r="X2273" s="88"/>
      <c r="Y2273" s="88"/>
      <c r="Z2273" s="88"/>
    </row>
    <row r="2274" ht="17.25" customHeight="1">
      <c r="A2274" s="88"/>
      <c r="B2274" s="88"/>
      <c r="C2274" s="88"/>
      <c r="D2274" s="88"/>
      <c r="E2274" s="88"/>
      <c r="F2274" s="89"/>
      <c r="G2274" s="89"/>
      <c r="H2274" s="89"/>
      <c r="I2274" s="88"/>
      <c r="J2274" s="88"/>
      <c r="K2274" s="88"/>
      <c r="L2274" s="88"/>
      <c r="M2274" s="88"/>
      <c r="N2274" s="88"/>
      <c r="O2274" s="88"/>
      <c r="P2274" s="88"/>
      <c r="Q2274" s="88"/>
      <c r="R2274" s="88"/>
      <c r="S2274" s="88"/>
      <c r="T2274" s="88"/>
      <c r="U2274" s="88"/>
      <c r="V2274" s="88"/>
      <c r="W2274" s="88"/>
      <c r="X2274" s="88"/>
      <c r="Y2274" s="88"/>
      <c r="Z2274" s="88"/>
    </row>
    <row r="2275" ht="17.25" customHeight="1">
      <c r="A2275" s="88"/>
      <c r="B2275" s="88"/>
      <c r="C2275" s="88"/>
      <c r="D2275" s="88"/>
      <c r="E2275" s="88"/>
      <c r="F2275" s="89"/>
      <c r="G2275" s="89"/>
      <c r="H2275" s="89"/>
      <c r="I2275" s="88"/>
      <c r="J2275" s="88"/>
      <c r="K2275" s="88"/>
      <c r="L2275" s="88"/>
      <c r="M2275" s="88"/>
      <c r="N2275" s="88"/>
      <c r="O2275" s="88"/>
      <c r="P2275" s="88"/>
      <c r="Q2275" s="88"/>
      <c r="R2275" s="88"/>
      <c r="S2275" s="88"/>
      <c r="T2275" s="88"/>
      <c r="U2275" s="88"/>
      <c r="V2275" s="88"/>
      <c r="W2275" s="88"/>
      <c r="X2275" s="88"/>
      <c r="Y2275" s="88"/>
      <c r="Z2275" s="88"/>
    </row>
    <row r="2276" ht="17.25" customHeight="1">
      <c r="A2276" s="88"/>
      <c r="B2276" s="88"/>
      <c r="C2276" s="88"/>
      <c r="D2276" s="88"/>
      <c r="E2276" s="88"/>
      <c r="F2276" s="89"/>
      <c r="G2276" s="89"/>
      <c r="H2276" s="89"/>
      <c r="I2276" s="88"/>
      <c r="J2276" s="88"/>
      <c r="K2276" s="88"/>
      <c r="L2276" s="88"/>
      <c r="M2276" s="88"/>
      <c r="N2276" s="88"/>
      <c r="O2276" s="88"/>
      <c r="P2276" s="88"/>
      <c r="Q2276" s="88"/>
      <c r="R2276" s="88"/>
      <c r="S2276" s="88"/>
      <c r="T2276" s="88"/>
      <c r="U2276" s="88"/>
      <c r="V2276" s="88"/>
      <c r="W2276" s="88"/>
      <c r="X2276" s="88"/>
      <c r="Y2276" s="88"/>
      <c r="Z2276" s="88"/>
    </row>
    <row r="2277" ht="17.25" customHeight="1">
      <c r="A2277" s="88"/>
      <c r="B2277" s="88"/>
      <c r="C2277" s="88"/>
      <c r="D2277" s="88"/>
      <c r="E2277" s="88"/>
      <c r="F2277" s="89"/>
      <c r="G2277" s="89"/>
      <c r="H2277" s="89"/>
      <c r="I2277" s="88"/>
      <c r="J2277" s="88"/>
      <c r="K2277" s="88"/>
      <c r="L2277" s="88"/>
      <c r="M2277" s="88"/>
      <c r="N2277" s="88"/>
      <c r="O2277" s="88"/>
      <c r="P2277" s="88"/>
      <c r="Q2277" s="88"/>
      <c r="R2277" s="88"/>
      <c r="S2277" s="88"/>
      <c r="T2277" s="88"/>
      <c r="U2277" s="88"/>
      <c r="V2277" s="88"/>
      <c r="W2277" s="88"/>
      <c r="X2277" s="88"/>
      <c r="Y2277" s="88"/>
      <c r="Z2277" s="88"/>
    </row>
    <row r="2278" ht="17.25" customHeight="1">
      <c r="A2278" s="88"/>
      <c r="B2278" s="88"/>
      <c r="C2278" s="88"/>
      <c r="D2278" s="88"/>
      <c r="E2278" s="88"/>
      <c r="F2278" s="89"/>
      <c r="G2278" s="89"/>
      <c r="H2278" s="89"/>
      <c r="I2278" s="88"/>
      <c r="J2278" s="88"/>
      <c r="K2278" s="88"/>
      <c r="L2278" s="88"/>
      <c r="M2278" s="88"/>
      <c r="N2278" s="88"/>
      <c r="O2278" s="88"/>
      <c r="P2278" s="88"/>
      <c r="Q2278" s="88"/>
      <c r="R2278" s="88"/>
      <c r="S2278" s="88"/>
      <c r="T2278" s="88"/>
      <c r="U2278" s="88"/>
      <c r="V2278" s="88"/>
      <c r="W2278" s="88"/>
      <c r="X2278" s="88"/>
      <c r="Y2278" s="88"/>
      <c r="Z2278" s="88"/>
    </row>
    <row r="2279" ht="17.25" customHeight="1">
      <c r="A2279" s="88"/>
      <c r="B2279" s="88"/>
      <c r="C2279" s="88"/>
      <c r="D2279" s="88"/>
      <c r="E2279" s="88"/>
      <c r="F2279" s="89"/>
      <c r="G2279" s="89"/>
      <c r="H2279" s="89"/>
      <c r="I2279" s="88"/>
      <c r="J2279" s="88"/>
      <c r="K2279" s="88"/>
      <c r="L2279" s="88"/>
      <c r="M2279" s="88"/>
      <c r="N2279" s="88"/>
      <c r="O2279" s="88"/>
      <c r="P2279" s="88"/>
      <c r="Q2279" s="88"/>
      <c r="R2279" s="88"/>
      <c r="S2279" s="88"/>
      <c r="T2279" s="88"/>
      <c r="U2279" s="88"/>
      <c r="V2279" s="88"/>
      <c r="W2279" s="88"/>
      <c r="X2279" s="88"/>
      <c r="Y2279" s="88"/>
      <c r="Z2279" s="88"/>
    </row>
    <row r="2280" ht="17.25" customHeight="1">
      <c r="A2280" s="88"/>
      <c r="B2280" s="88"/>
      <c r="C2280" s="88"/>
      <c r="D2280" s="88"/>
      <c r="E2280" s="88"/>
      <c r="F2280" s="89"/>
      <c r="G2280" s="89"/>
      <c r="H2280" s="89"/>
      <c r="I2280" s="88"/>
      <c r="J2280" s="88"/>
      <c r="K2280" s="88"/>
      <c r="L2280" s="88"/>
      <c r="M2280" s="88"/>
      <c r="N2280" s="88"/>
      <c r="O2280" s="88"/>
      <c r="P2280" s="88"/>
      <c r="Q2280" s="88"/>
      <c r="R2280" s="88"/>
      <c r="S2280" s="88"/>
      <c r="T2280" s="88"/>
      <c r="U2280" s="88"/>
      <c r="V2280" s="88"/>
      <c r="W2280" s="88"/>
      <c r="X2280" s="88"/>
      <c r="Y2280" s="88"/>
      <c r="Z2280" s="88"/>
    </row>
    <row r="2281" ht="17.25" customHeight="1">
      <c r="A2281" s="88"/>
      <c r="B2281" s="88"/>
      <c r="C2281" s="88"/>
      <c r="D2281" s="88"/>
      <c r="E2281" s="88"/>
      <c r="F2281" s="89"/>
      <c r="G2281" s="89"/>
      <c r="H2281" s="89"/>
      <c r="I2281" s="88"/>
      <c r="J2281" s="88"/>
      <c r="K2281" s="88"/>
      <c r="L2281" s="88"/>
      <c r="M2281" s="88"/>
      <c r="N2281" s="88"/>
      <c r="O2281" s="88"/>
      <c r="P2281" s="88"/>
      <c r="Q2281" s="88"/>
      <c r="R2281" s="88"/>
      <c r="S2281" s="88"/>
      <c r="T2281" s="88"/>
      <c r="U2281" s="88"/>
      <c r="V2281" s="88"/>
      <c r="W2281" s="88"/>
      <c r="X2281" s="88"/>
      <c r="Y2281" s="88"/>
      <c r="Z2281" s="88"/>
    </row>
    <row r="2282" ht="17.25" customHeight="1">
      <c r="A2282" s="88"/>
      <c r="B2282" s="88"/>
      <c r="C2282" s="88"/>
      <c r="D2282" s="88"/>
      <c r="E2282" s="88"/>
      <c r="F2282" s="89"/>
      <c r="G2282" s="89"/>
      <c r="H2282" s="89"/>
      <c r="I2282" s="88"/>
      <c r="J2282" s="88"/>
      <c r="K2282" s="88"/>
      <c r="L2282" s="88"/>
      <c r="M2282" s="88"/>
      <c r="N2282" s="88"/>
      <c r="O2282" s="88"/>
      <c r="P2282" s="88"/>
      <c r="Q2282" s="88"/>
      <c r="R2282" s="88"/>
      <c r="S2282" s="88"/>
      <c r="T2282" s="88"/>
      <c r="U2282" s="88"/>
      <c r="V2282" s="88"/>
      <c r="W2282" s="88"/>
      <c r="X2282" s="88"/>
      <c r="Y2282" s="88"/>
      <c r="Z2282" s="88"/>
    </row>
    <row r="2283" ht="17.25" customHeight="1">
      <c r="A2283" s="88"/>
      <c r="B2283" s="88"/>
      <c r="C2283" s="88"/>
      <c r="D2283" s="88"/>
      <c r="E2283" s="88"/>
      <c r="F2283" s="89"/>
      <c r="G2283" s="89"/>
      <c r="H2283" s="89"/>
      <c r="I2283" s="88"/>
      <c r="J2283" s="88"/>
      <c r="K2283" s="88"/>
      <c r="L2283" s="88"/>
      <c r="M2283" s="88"/>
      <c r="N2283" s="88"/>
      <c r="O2283" s="88"/>
      <c r="P2283" s="88"/>
      <c r="Q2283" s="88"/>
      <c r="R2283" s="88"/>
      <c r="S2283" s="88"/>
      <c r="T2283" s="88"/>
      <c r="U2283" s="88"/>
      <c r="V2283" s="88"/>
      <c r="W2283" s="88"/>
      <c r="X2283" s="88"/>
      <c r="Y2283" s="88"/>
      <c r="Z2283" s="88"/>
    </row>
    <row r="2284" ht="17.25" customHeight="1">
      <c r="A2284" s="88"/>
      <c r="B2284" s="88"/>
      <c r="C2284" s="88"/>
      <c r="D2284" s="88"/>
      <c r="E2284" s="88"/>
      <c r="F2284" s="89"/>
      <c r="G2284" s="89"/>
      <c r="H2284" s="89"/>
      <c r="I2284" s="88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U2284" s="88"/>
      <c r="V2284" s="88"/>
      <c r="W2284" s="88"/>
      <c r="X2284" s="88"/>
      <c r="Y2284" s="88"/>
      <c r="Z2284" s="88"/>
    </row>
    <row r="2285" ht="17.25" customHeight="1">
      <c r="A2285" s="88"/>
      <c r="B2285" s="88"/>
      <c r="C2285" s="88"/>
      <c r="D2285" s="88"/>
      <c r="E2285" s="88"/>
      <c r="F2285" s="89"/>
      <c r="G2285" s="89"/>
      <c r="H2285" s="89"/>
      <c r="I2285" s="88"/>
      <c r="J2285" s="88"/>
      <c r="K2285" s="88"/>
      <c r="L2285" s="88"/>
      <c r="M2285" s="88"/>
      <c r="N2285" s="88"/>
      <c r="O2285" s="88"/>
      <c r="P2285" s="88"/>
      <c r="Q2285" s="88"/>
      <c r="R2285" s="88"/>
      <c r="S2285" s="88"/>
      <c r="T2285" s="88"/>
      <c r="U2285" s="88"/>
      <c r="V2285" s="88"/>
      <c r="W2285" s="88"/>
      <c r="X2285" s="88"/>
      <c r="Y2285" s="88"/>
      <c r="Z2285" s="88"/>
    </row>
    <row r="2286" ht="17.25" customHeight="1">
      <c r="A2286" s="88"/>
      <c r="B2286" s="88"/>
      <c r="C2286" s="88"/>
      <c r="D2286" s="88"/>
      <c r="E2286" s="88"/>
      <c r="F2286" s="89"/>
      <c r="G2286" s="89"/>
      <c r="H2286" s="89"/>
      <c r="I2286" s="88"/>
      <c r="J2286" s="88"/>
      <c r="K2286" s="88"/>
      <c r="L2286" s="88"/>
      <c r="M2286" s="88"/>
      <c r="N2286" s="88"/>
      <c r="O2286" s="88"/>
      <c r="P2286" s="88"/>
      <c r="Q2286" s="88"/>
      <c r="R2286" s="88"/>
      <c r="S2286" s="88"/>
      <c r="T2286" s="88"/>
      <c r="U2286" s="88"/>
      <c r="V2286" s="88"/>
      <c r="W2286" s="88"/>
      <c r="X2286" s="88"/>
      <c r="Y2286" s="88"/>
      <c r="Z2286" s="88"/>
    </row>
    <row r="2287" ht="17.25" customHeight="1">
      <c r="A2287" s="88"/>
      <c r="B2287" s="88"/>
      <c r="C2287" s="88"/>
      <c r="D2287" s="88"/>
      <c r="E2287" s="88"/>
      <c r="F2287" s="89"/>
      <c r="G2287" s="89"/>
      <c r="H2287" s="89"/>
      <c r="I2287" s="88"/>
      <c r="J2287" s="88"/>
      <c r="K2287" s="88"/>
      <c r="L2287" s="88"/>
      <c r="M2287" s="88"/>
      <c r="N2287" s="88"/>
      <c r="O2287" s="88"/>
      <c r="P2287" s="88"/>
      <c r="Q2287" s="88"/>
      <c r="R2287" s="88"/>
      <c r="S2287" s="88"/>
      <c r="T2287" s="88"/>
      <c r="U2287" s="88"/>
      <c r="V2287" s="88"/>
      <c r="W2287" s="88"/>
      <c r="X2287" s="88"/>
      <c r="Y2287" s="88"/>
      <c r="Z2287" s="88"/>
    </row>
    <row r="2288" ht="17.25" customHeight="1">
      <c r="A2288" s="88"/>
      <c r="B2288" s="88"/>
      <c r="C2288" s="88"/>
      <c r="D2288" s="88"/>
      <c r="E2288" s="88"/>
      <c r="F2288" s="89"/>
      <c r="G2288" s="89"/>
      <c r="H2288" s="89"/>
      <c r="I2288" s="88"/>
      <c r="J2288" s="88"/>
      <c r="K2288" s="88"/>
      <c r="L2288" s="88"/>
      <c r="M2288" s="88"/>
      <c r="N2288" s="88"/>
      <c r="O2288" s="88"/>
      <c r="P2288" s="88"/>
      <c r="Q2288" s="88"/>
      <c r="R2288" s="88"/>
      <c r="S2288" s="88"/>
      <c r="T2288" s="88"/>
      <c r="U2288" s="88"/>
      <c r="V2288" s="88"/>
      <c r="W2288" s="88"/>
      <c r="X2288" s="88"/>
      <c r="Y2288" s="88"/>
      <c r="Z2288" s="88"/>
    </row>
    <row r="2289" ht="17.25" customHeight="1">
      <c r="A2289" s="88"/>
      <c r="B2289" s="88"/>
      <c r="C2289" s="88"/>
      <c r="D2289" s="88"/>
      <c r="E2289" s="88"/>
      <c r="F2289" s="89"/>
      <c r="G2289" s="89"/>
      <c r="H2289" s="89"/>
      <c r="I2289" s="88"/>
      <c r="J2289" s="88"/>
      <c r="K2289" s="88"/>
      <c r="L2289" s="88"/>
      <c r="M2289" s="88"/>
      <c r="N2289" s="88"/>
      <c r="O2289" s="88"/>
      <c r="P2289" s="88"/>
      <c r="Q2289" s="88"/>
      <c r="R2289" s="88"/>
      <c r="S2289" s="88"/>
      <c r="T2289" s="88"/>
      <c r="U2289" s="88"/>
      <c r="V2289" s="88"/>
      <c r="W2289" s="88"/>
      <c r="X2289" s="88"/>
      <c r="Y2289" s="88"/>
      <c r="Z2289" s="88"/>
    </row>
    <row r="2290" ht="17.25" customHeight="1">
      <c r="A2290" s="88"/>
      <c r="B2290" s="88"/>
      <c r="C2290" s="88"/>
      <c r="D2290" s="88"/>
      <c r="E2290" s="88"/>
      <c r="F2290" s="89"/>
      <c r="G2290" s="89"/>
      <c r="H2290" s="89"/>
      <c r="I2290" s="88"/>
      <c r="J2290" s="88"/>
      <c r="K2290" s="88"/>
      <c r="L2290" s="88"/>
      <c r="M2290" s="88"/>
      <c r="N2290" s="88"/>
      <c r="O2290" s="88"/>
      <c r="P2290" s="88"/>
      <c r="Q2290" s="88"/>
      <c r="R2290" s="88"/>
      <c r="S2290" s="88"/>
      <c r="T2290" s="88"/>
      <c r="U2290" s="88"/>
      <c r="V2290" s="88"/>
      <c r="W2290" s="88"/>
      <c r="X2290" s="88"/>
      <c r="Y2290" s="88"/>
      <c r="Z2290" s="88"/>
    </row>
    <row r="2291" ht="17.25" customHeight="1">
      <c r="A2291" s="88"/>
      <c r="B2291" s="88"/>
      <c r="C2291" s="88"/>
      <c r="D2291" s="88"/>
      <c r="E2291" s="88"/>
      <c r="F2291" s="89"/>
      <c r="G2291" s="89"/>
      <c r="H2291" s="89"/>
      <c r="I2291" s="88"/>
      <c r="J2291" s="88"/>
      <c r="K2291" s="88"/>
      <c r="L2291" s="88"/>
      <c r="M2291" s="88"/>
      <c r="N2291" s="88"/>
      <c r="O2291" s="88"/>
      <c r="P2291" s="88"/>
      <c r="Q2291" s="88"/>
      <c r="R2291" s="88"/>
      <c r="S2291" s="88"/>
      <c r="T2291" s="88"/>
      <c r="U2291" s="88"/>
      <c r="V2291" s="88"/>
      <c r="W2291" s="88"/>
      <c r="X2291" s="88"/>
      <c r="Y2291" s="88"/>
      <c r="Z2291" s="88"/>
    </row>
    <row r="2292" ht="17.25" customHeight="1">
      <c r="A2292" s="88"/>
      <c r="B2292" s="88"/>
      <c r="C2292" s="88"/>
      <c r="D2292" s="88"/>
      <c r="E2292" s="88"/>
      <c r="F2292" s="89"/>
      <c r="G2292" s="89"/>
      <c r="H2292" s="89"/>
      <c r="I2292" s="88"/>
      <c r="J2292" s="88"/>
      <c r="K2292" s="88"/>
      <c r="L2292" s="88"/>
      <c r="M2292" s="88"/>
      <c r="N2292" s="88"/>
      <c r="O2292" s="88"/>
      <c r="P2292" s="88"/>
      <c r="Q2292" s="88"/>
      <c r="R2292" s="88"/>
      <c r="S2292" s="88"/>
      <c r="T2292" s="88"/>
      <c r="U2292" s="88"/>
      <c r="V2292" s="88"/>
      <c r="W2292" s="88"/>
      <c r="X2292" s="88"/>
      <c r="Y2292" s="88"/>
      <c r="Z2292" s="88"/>
    </row>
    <row r="2293" ht="17.25" customHeight="1">
      <c r="A2293" s="88"/>
      <c r="B2293" s="88"/>
      <c r="C2293" s="88"/>
      <c r="D2293" s="88"/>
      <c r="E2293" s="88"/>
      <c r="F2293" s="89"/>
      <c r="G2293" s="89"/>
      <c r="H2293" s="89"/>
      <c r="I2293" s="88"/>
      <c r="J2293" s="88"/>
      <c r="K2293" s="88"/>
      <c r="L2293" s="88"/>
      <c r="M2293" s="88"/>
      <c r="N2293" s="88"/>
      <c r="O2293" s="88"/>
      <c r="P2293" s="88"/>
      <c r="Q2293" s="88"/>
      <c r="R2293" s="88"/>
      <c r="S2293" s="88"/>
      <c r="T2293" s="88"/>
      <c r="U2293" s="88"/>
      <c r="V2293" s="88"/>
      <c r="W2293" s="88"/>
      <c r="X2293" s="88"/>
      <c r="Y2293" s="88"/>
      <c r="Z2293" s="88"/>
    </row>
    <row r="2294" ht="17.25" customHeight="1">
      <c r="A2294" s="88"/>
      <c r="B2294" s="88"/>
      <c r="C2294" s="88"/>
      <c r="D2294" s="88"/>
      <c r="E2294" s="88"/>
      <c r="F2294" s="89"/>
      <c r="G2294" s="89"/>
      <c r="H2294" s="89"/>
      <c r="I2294" s="88"/>
      <c r="J2294" s="88"/>
      <c r="K2294" s="88"/>
      <c r="L2294" s="88"/>
      <c r="M2294" s="88"/>
      <c r="N2294" s="88"/>
      <c r="O2294" s="88"/>
      <c r="P2294" s="88"/>
      <c r="Q2294" s="88"/>
      <c r="R2294" s="88"/>
      <c r="S2294" s="88"/>
      <c r="T2294" s="88"/>
      <c r="U2294" s="88"/>
      <c r="V2294" s="88"/>
      <c r="W2294" s="88"/>
      <c r="X2294" s="88"/>
      <c r="Y2294" s="88"/>
      <c r="Z2294" s="88"/>
    </row>
    <row r="2295" ht="17.25" customHeight="1">
      <c r="A2295" s="88"/>
      <c r="B2295" s="88"/>
      <c r="C2295" s="88"/>
      <c r="D2295" s="88"/>
      <c r="E2295" s="88"/>
      <c r="F2295" s="89"/>
      <c r="G2295" s="89"/>
      <c r="H2295" s="89"/>
      <c r="I2295" s="88"/>
      <c r="J2295" s="88"/>
      <c r="K2295" s="88"/>
      <c r="L2295" s="88"/>
      <c r="M2295" s="88"/>
      <c r="N2295" s="88"/>
      <c r="O2295" s="88"/>
      <c r="P2295" s="88"/>
      <c r="Q2295" s="88"/>
      <c r="R2295" s="88"/>
      <c r="S2295" s="88"/>
      <c r="T2295" s="88"/>
      <c r="U2295" s="88"/>
      <c r="V2295" s="88"/>
      <c r="W2295" s="88"/>
      <c r="X2295" s="88"/>
      <c r="Y2295" s="88"/>
      <c r="Z2295" s="88"/>
    </row>
    <row r="2296" ht="17.25" customHeight="1">
      <c r="A2296" s="88"/>
      <c r="B2296" s="88"/>
      <c r="C2296" s="88"/>
      <c r="D2296" s="88"/>
      <c r="E2296" s="88"/>
      <c r="F2296" s="89"/>
      <c r="G2296" s="89"/>
      <c r="H2296" s="89"/>
      <c r="I2296" s="88"/>
      <c r="J2296" s="88"/>
      <c r="K2296" s="88"/>
      <c r="L2296" s="88"/>
      <c r="M2296" s="88"/>
      <c r="N2296" s="88"/>
      <c r="O2296" s="88"/>
      <c r="P2296" s="88"/>
      <c r="Q2296" s="88"/>
      <c r="R2296" s="88"/>
      <c r="S2296" s="88"/>
      <c r="T2296" s="88"/>
      <c r="U2296" s="88"/>
      <c r="V2296" s="88"/>
      <c r="W2296" s="88"/>
      <c r="X2296" s="88"/>
      <c r="Y2296" s="88"/>
      <c r="Z2296" s="88"/>
    </row>
    <row r="2297" ht="17.25" customHeight="1">
      <c r="A2297" s="88"/>
      <c r="B2297" s="88"/>
      <c r="C2297" s="88"/>
      <c r="D2297" s="88"/>
      <c r="E2297" s="88"/>
      <c r="F2297" s="89"/>
      <c r="G2297" s="89"/>
      <c r="H2297" s="89"/>
      <c r="I2297" s="88"/>
      <c r="J2297" s="88"/>
      <c r="K2297" s="88"/>
      <c r="L2297" s="88"/>
      <c r="M2297" s="88"/>
      <c r="N2297" s="88"/>
      <c r="O2297" s="88"/>
      <c r="P2297" s="88"/>
      <c r="Q2297" s="88"/>
      <c r="R2297" s="88"/>
      <c r="S2297" s="88"/>
      <c r="T2297" s="88"/>
      <c r="U2297" s="88"/>
      <c r="V2297" s="88"/>
      <c r="W2297" s="88"/>
      <c r="X2297" s="88"/>
      <c r="Y2297" s="88"/>
      <c r="Z2297" s="88"/>
    </row>
    <row r="2298" ht="17.25" customHeight="1">
      <c r="A2298" s="88"/>
      <c r="B2298" s="88"/>
      <c r="C2298" s="88"/>
      <c r="D2298" s="88"/>
      <c r="E2298" s="88"/>
      <c r="F2298" s="89"/>
      <c r="G2298" s="89"/>
      <c r="H2298" s="89"/>
      <c r="I2298" s="88"/>
      <c r="J2298" s="88"/>
      <c r="K2298" s="88"/>
      <c r="L2298" s="88"/>
      <c r="M2298" s="88"/>
      <c r="N2298" s="88"/>
      <c r="O2298" s="88"/>
      <c r="P2298" s="88"/>
      <c r="Q2298" s="88"/>
      <c r="R2298" s="88"/>
      <c r="S2298" s="88"/>
      <c r="T2298" s="88"/>
      <c r="U2298" s="88"/>
      <c r="V2298" s="88"/>
      <c r="W2298" s="88"/>
      <c r="X2298" s="88"/>
      <c r="Y2298" s="88"/>
      <c r="Z2298" s="88"/>
    </row>
    <row r="2299" ht="17.25" customHeight="1">
      <c r="A2299" s="88"/>
      <c r="B2299" s="88"/>
      <c r="C2299" s="88"/>
      <c r="D2299" s="88"/>
      <c r="E2299" s="88"/>
      <c r="F2299" s="89"/>
      <c r="G2299" s="89"/>
      <c r="H2299" s="89"/>
      <c r="I2299" s="88"/>
      <c r="J2299" s="88"/>
      <c r="K2299" s="88"/>
      <c r="L2299" s="88"/>
      <c r="M2299" s="88"/>
      <c r="N2299" s="88"/>
      <c r="O2299" s="88"/>
      <c r="P2299" s="88"/>
      <c r="Q2299" s="88"/>
      <c r="R2299" s="88"/>
      <c r="S2299" s="88"/>
      <c r="T2299" s="88"/>
      <c r="U2299" s="88"/>
      <c r="V2299" s="88"/>
      <c r="W2299" s="88"/>
      <c r="X2299" s="88"/>
      <c r="Y2299" s="88"/>
      <c r="Z2299" s="88"/>
    </row>
    <row r="2300" ht="17.25" customHeight="1">
      <c r="A2300" s="88"/>
      <c r="B2300" s="88"/>
      <c r="C2300" s="88"/>
      <c r="D2300" s="88"/>
      <c r="E2300" s="88"/>
      <c r="F2300" s="89"/>
      <c r="G2300" s="89"/>
      <c r="H2300" s="89"/>
      <c r="I2300" s="88"/>
      <c r="J2300" s="88"/>
      <c r="K2300" s="88"/>
      <c r="L2300" s="88"/>
      <c r="M2300" s="88"/>
      <c r="N2300" s="88"/>
      <c r="O2300" s="88"/>
      <c r="P2300" s="88"/>
      <c r="Q2300" s="88"/>
      <c r="R2300" s="88"/>
      <c r="S2300" s="88"/>
      <c r="T2300" s="88"/>
      <c r="U2300" s="88"/>
      <c r="V2300" s="88"/>
      <c r="W2300" s="88"/>
      <c r="X2300" s="88"/>
      <c r="Y2300" s="88"/>
      <c r="Z2300" s="88"/>
    </row>
    <row r="2301" ht="17.25" customHeight="1">
      <c r="A2301" s="88"/>
      <c r="B2301" s="88"/>
      <c r="C2301" s="88"/>
      <c r="D2301" s="88"/>
      <c r="E2301" s="88"/>
      <c r="F2301" s="89"/>
      <c r="G2301" s="89"/>
      <c r="H2301" s="89"/>
      <c r="I2301" s="88"/>
      <c r="J2301" s="88"/>
      <c r="K2301" s="88"/>
      <c r="L2301" s="88"/>
      <c r="M2301" s="88"/>
      <c r="N2301" s="88"/>
      <c r="O2301" s="88"/>
      <c r="P2301" s="88"/>
      <c r="Q2301" s="88"/>
      <c r="R2301" s="88"/>
      <c r="S2301" s="88"/>
      <c r="T2301" s="88"/>
      <c r="U2301" s="88"/>
      <c r="V2301" s="88"/>
      <c r="W2301" s="88"/>
      <c r="X2301" s="88"/>
      <c r="Y2301" s="88"/>
      <c r="Z2301" s="88"/>
    </row>
    <row r="2302" ht="17.25" customHeight="1">
      <c r="A2302" s="88"/>
      <c r="B2302" s="88"/>
      <c r="C2302" s="88"/>
      <c r="D2302" s="88"/>
      <c r="E2302" s="88"/>
      <c r="F2302" s="89"/>
      <c r="G2302" s="89"/>
      <c r="H2302" s="89"/>
      <c r="I2302" s="88"/>
      <c r="J2302" s="88"/>
      <c r="K2302" s="88"/>
      <c r="L2302" s="88"/>
      <c r="M2302" s="88"/>
      <c r="N2302" s="88"/>
      <c r="O2302" s="88"/>
      <c r="P2302" s="88"/>
      <c r="Q2302" s="88"/>
      <c r="R2302" s="88"/>
      <c r="S2302" s="88"/>
      <c r="T2302" s="88"/>
      <c r="U2302" s="88"/>
      <c r="V2302" s="88"/>
      <c r="W2302" s="88"/>
      <c r="X2302" s="88"/>
      <c r="Y2302" s="88"/>
      <c r="Z2302" s="88"/>
    </row>
    <row r="2303" ht="17.25" customHeight="1">
      <c r="A2303" s="88"/>
      <c r="B2303" s="88"/>
      <c r="C2303" s="88"/>
      <c r="D2303" s="88"/>
      <c r="E2303" s="88"/>
      <c r="F2303" s="89"/>
      <c r="G2303" s="89"/>
      <c r="H2303" s="89"/>
      <c r="I2303" s="88"/>
      <c r="J2303" s="88"/>
      <c r="K2303" s="88"/>
      <c r="L2303" s="88"/>
      <c r="M2303" s="88"/>
      <c r="N2303" s="88"/>
      <c r="O2303" s="88"/>
      <c r="P2303" s="88"/>
      <c r="Q2303" s="88"/>
      <c r="R2303" s="88"/>
      <c r="S2303" s="88"/>
      <c r="T2303" s="88"/>
      <c r="U2303" s="88"/>
      <c r="V2303" s="88"/>
      <c r="W2303" s="88"/>
      <c r="X2303" s="88"/>
      <c r="Y2303" s="88"/>
      <c r="Z2303" s="88"/>
    </row>
    <row r="2304" ht="17.25" customHeight="1">
      <c r="A2304" s="88"/>
      <c r="B2304" s="88"/>
      <c r="C2304" s="88"/>
      <c r="D2304" s="88"/>
      <c r="E2304" s="88"/>
      <c r="F2304" s="89"/>
      <c r="G2304" s="89"/>
      <c r="H2304" s="89"/>
      <c r="I2304" s="88"/>
      <c r="J2304" s="88"/>
      <c r="K2304" s="88"/>
      <c r="L2304" s="88"/>
      <c r="M2304" s="88"/>
      <c r="N2304" s="88"/>
      <c r="O2304" s="88"/>
      <c r="P2304" s="88"/>
      <c r="Q2304" s="88"/>
      <c r="R2304" s="88"/>
      <c r="S2304" s="88"/>
      <c r="T2304" s="88"/>
      <c r="U2304" s="88"/>
      <c r="V2304" s="88"/>
      <c r="W2304" s="88"/>
      <c r="X2304" s="88"/>
      <c r="Y2304" s="88"/>
      <c r="Z2304" s="88"/>
    </row>
    <row r="2305" ht="17.25" customHeight="1">
      <c r="A2305" s="88"/>
      <c r="B2305" s="88"/>
      <c r="C2305" s="88"/>
      <c r="D2305" s="88"/>
      <c r="E2305" s="88"/>
      <c r="F2305" s="89"/>
      <c r="G2305" s="89"/>
      <c r="H2305" s="89"/>
      <c r="I2305" s="88"/>
      <c r="J2305" s="88"/>
      <c r="K2305" s="88"/>
      <c r="L2305" s="88"/>
      <c r="M2305" s="88"/>
      <c r="N2305" s="88"/>
      <c r="O2305" s="88"/>
      <c r="P2305" s="88"/>
      <c r="Q2305" s="88"/>
      <c r="R2305" s="88"/>
      <c r="S2305" s="88"/>
      <c r="T2305" s="88"/>
      <c r="U2305" s="88"/>
      <c r="V2305" s="88"/>
      <c r="W2305" s="88"/>
      <c r="X2305" s="88"/>
      <c r="Y2305" s="88"/>
      <c r="Z2305" s="88"/>
    </row>
    <row r="2306" ht="17.25" customHeight="1">
      <c r="A2306" s="88"/>
      <c r="B2306" s="88"/>
      <c r="C2306" s="88"/>
      <c r="D2306" s="88"/>
      <c r="E2306" s="88"/>
      <c r="F2306" s="89"/>
      <c r="G2306" s="89"/>
      <c r="H2306" s="89"/>
      <c r="I2306" s="88"/>
      <c r="J2306" s="88"/>
      <c r="K2306" s="88"/>
      <c r="L2306" s="88"/>
      <c r="M2306" s="88"/>
      <c r="N2306" s="88"/>
      <c r="O2306" s="88"/>
      <c r="P2306" s="88"/>
      <c r="Q2306" s="88"/>
      <c r="R2306" s="88"/>
      <c r="S2306" s="88"/>
      <c r="T2306" s="88"/>
      <c r="U2306" s="88"/>
      <c r="V2306" s="88"/>
      <c r="W2306" s="88"/>
      <c r="X2306" s="88"/>
      <c r="Y2306" s="88"/>
      <c r="Z2306" s="88"/>
    </row>
    <row r="2307" ht="17.25" customHeight="1">
      <c r="A2307" s="88"/>
      <c r="B2307" s="88"/>
      <c r="C2307" s="88"/>
      <c r="D2307" s="88"/>
      <c r="E2307" s="88"/>
      <c r="F2307" s="89"/>
      <c r="G2307" s="89"/>
      <c r="H2307" s="89"/>
      <c r="I2307" s="88"/>
      <c r="J2307" s="88"/>
      <c r="K2307" s="88"/>
      <c r="L2307" s="88"/>
      <c r="M2307" s="88"/>
      <c r="N2307" s="88"/>
      <c r="O2307" s="88"/>
      <c r="P2307" s="88"/>
      <c r="Q2307" s="88"/>
      <c r="R2307" s="88"/>
      <c r="S2307" s="88"/>
      <c r="T2307" s="88"/>
      <c r="U2307" s="88"/>
      <c r="V2307" s="88"/>
      <c r="W2307" s="88"/>
      <c r="X2307" s="88"/>
      <c r="Y2307" s="88"/>
      <c r="Z2307" s="88"/>
    </row>
    <row r="2308" ht="17.25" customHeight="1">
      <c r="A2308" s="88"/>
      <c r="B2308" s="88"/>
      <c r="C2308" s="88"/>
      <c r="D2308" s="88"/>
      <c r="E2308" s="88"/>
      <c r="F2308" s="89"/>
      <c r="G2308" s="89"/>
      <c r="H2308" s="89"/>
      <c r="I2308" s="88"/>
      <c r="J2308" s="88"/>
      <c r="K2308" s="88"/>
      <c r="L2308" s="88"/>
      <c r="M2308" s="88"/>
      <c r="N2308" s="88"/>
      <c r="O2308" s="88"/>
      <c r="P2308" s="88"/>
      <c r="Q2308" s="88"/>
      <c r="R2308" s="88"/>
      <c r="S2308" s="88"/>
      <c r="T2308" s="88"/>
      <c r="U2308" s="88"/>
      <c r="V2308" s="88"/>
      <c r="W2308" s="88"/>
      <c r="X2308" s="88"/>
      <c r="Y2308" s="88"/>
      <c r="Z2308" s="88"/>
    </row>
    <row r="2309" ht="17.25" customHeight="1">
      <c r="A2309" s="88"/>
      <c r="B2309" s="88"/>
      <c r="C2309" s="88"/>
      <c r="D2309" s="88"/>
      <c r="E2309" s="88"/>
      <c r="F2309" s="89"/>
      <c r="G2309" s="89"/>
      <c r="H2309" s="89"/>
      <c r="I2309" s="88"/>
      <c r="J2309" s="88"/>
      <c r="K2309" s="88"/>
      <c r="L2309" s="88"/>
      <c r="M2309" s="88"/>
      <c r="N2309" s="88"/>
      <c r="O2309" s="88"/>
      <c r="P2309" s="88"/>
      <c r="Q2309" s="88"/>
      <c r="R2309" s="88"/>
      <c r="S2309" s="88"/>
      <c r="T2309" s="88"/>
      <c r="U2309" s="88"/>
      <c r="V2309" s="88"/>
      <c r="W2309" s="88"/>
      <c r="X2309" s="88"/>
      <c r="Y2309" s="88"/>
      <c r="Z2309" s="88"/>
    </row>
    <row r="2310" ht="17.25" customHeight="1">
      <c r="A2310" s="88"/>
      <c r="B2310" s="88"/>
      <c r="C2310" s="88"/>
      <c r="D2310" s="88"/>
      <c r="E2310" s="88"/>
      <c r="F2310" s="89"/>
      <c r="G2310" s="89"/>
      <c r="H2310" s="89"/>
      <c r="I2310" s="88"/>
      <c r="J2310" s="88"/>
      <c r="K2310" s="88"/>
      <c r="L2310" s="88"/>
      <c r="M2310" s="88"/>
      <c r="N2310" s="88"/>
      <c r="O2310" s="88"/>
      <c r="P2310" s="88"/>
      <c r="Q2310" s="88"/>
      <c r="R2310" s="88"/>
      <c r="S2310" s="88"/>
      <c r="T2310" s="88"/>
      <c r="U2310" s="88"/>
      <c r="V2310" s="88"/>
      <c r="W2310" s="88"/>
      <c r="X2310" s="88"/>
      <c r="Y2310" s="88"/>
      <c r="Z2310" s="88"/>
    </row>
    <row r="2311" ht="17.25" customHeight="1">
      <c r="A2311" s="88"/>
      <c r="B2311" s="88"/>
      <c r="C2311" s="88"/>
      <c r="D2311" s="88"/>
      <c r="E2311" s="88"/>
      <c r="F2311" s="89"/>
      <c r="G2311" s="89"/>
      <c r="H2311" s="89"/>
      <c r="I2311" s="88"/>
      <c r="J2311" s="88"/>
      <c r="K2311" s="88"/>
      <c r="L2311" s="88"/>
      <c r="M2311" s="88"/>
      <c r="N2311" s="88"/>
      <c r="O2311" s="88"/>
      <c r="P2311" s="88"/>
      <c r="Q2311" s="88"/>
      <c r="R2311" s="88"/>
      <c r="S2311" s="88"/>
      <c r="T2311" s="88"/>
      <c r="U2311" s="88"/>
      <c r="V2311" s="88"/>
      <c r="W2311" s="88"/>
      <c r="X2311" s="88"/>
      <c r="Y2311" s="88"/>
      <c r="Z2311" s="88"/>
    </row>
    <row r="2312" ht="17.25" customHeight="1">
      <c r="A2312" s="88"/>
      <c r="B2312" s="88"/>
      <c r="C2312" s="88"/>
      <c r="D2312" s="88"/>
      <c r="E2312" s="88"/>
      <c r="F2312" s="89"/>
      <c r="G2312" s="89"/>
      <c r="H2312" s="89"/>
      <c r="I2312" s="88"/>
      <c r="J2312" s="88"/>
      <c r="K2312" s="88"/>
      <c r="L2312" s="88"/>
      <c r="M2312" s="88"/>
      <c r="N2312" s="88"/>
      <c r="O2312" s="88"/>
      <c r="P2312" s="88"/>
      <c r="Q2312" s="88"/>
      <c r="R2312" s="88"/>
      <c r="S2312" s="88"/>
      <c r="T2312" s="88"/>
      <c r="U2312" s="88"/>
      <c r="V2312" s="88"/>
      <c r="W2312" s="88"/>
      <c r="X2312" s="88"/>
      <c r="Y2312" s="88"/>
      <c r="Z2312" s="88"/>
    </row>
    <row r="2313" ht="17.25" customHeight="1">
      <c r="A2313" s="88"/>
      <c r="B2313" s="88"/>
      <c r="C2313" s="88"/>
      <c r="D2313" s="88"/>
      <c r="E2313" s="88"/>
      <c r="F2313" s="89"/>
      <c r="G2313" s="89"/>
      <c r="H2313" s="89"/>
      <c r="I2313" s="88"/>
      <c r="J2313" s="88"/>
      <c r="K2313" s="88"/>
      <c r="L2313" s="88"/>
      <c r="M2313" s="88"/>
      <c r="N2313" s="88"/>
      <c r="O2313" s="88"/>
      <c r="P2313" s="88"/>
      <c r="Q2313" s="88"/>
      <c r="R2313" s="88"/>
      <c r="S2313" s="88"/>
      <c r="T2313" s="88"/>
      <c r="U2313" s="88"/>
      <c r="V2313" s="88"/>
      <c r="W2313" s="88"/>
      <c r="X2313" s="88"/>
      <c r="Y2313" s="88"/>
      <c r="Z2313" s="88"/>
    </row>
    <row r="2314" ht="17.25" customHeight="1">
      <c r="A2314" s="88"/>
      <c r="B2314" s="88"/>
      <c r="C2314" s="88"/>
      <c r="D2314" s="88"/>
      <c r="E2314" s="88"/>
      <c r="F2314" s="89"/>
      <c r="G2314" s="89"/>
      <c r="H2314" s="89"/>
      <c r="I2314" s="88"/>
      <c r="J2314" s="88"/>
      <c r="K2314" s="88"/>
      <c r="L2314" s="88"/>
      <c r="M2314" s="88"/>
      <c r="N2314" s="88"/>
      <c r="O2314" s="88"/>
      <c r="P2314" s="88"/>
      <c r="Q2314" s="88"/>
      <c r="R2314" s="88"/>
      <c r="S2314" s="88"/>
      <c r="T2314" s="88"/>
      <c r="U2314" s="88"/>
      <c r="V2314" s="88"/>
      <c r="W2314" s="88"/>
      <c r="X2314" s="88"/>
      <c r="Y2314" s="88"/>
      <c r="Z2314" s="88"/>
    </row>
    <row r="2315" ht="17.25" customHeight="1">
      <c r="A2315" s="88"/>
      <c r="B2315" s="88"/>
      <c r="C2315" s="88"/>
      <c r="D2315" s="88"/>
      <c r="E2315" s="88"/>
      <c r="F2315" s="89"/>
      <c r="G2315" s="89"/>
      <c r="H2315" s="89"/>
      <c r="I2315" s="88"/>
      <c r="J2315" s="88"/>
      <c r="K2315" s="88"/>
      <c r="L2315" s="88"/>
      <c r="M2315" s="88"/>
      <c r="N2315" s="88"/>
      <c r="O2315" s="88"/>
      <c r="P2315" s="88"/>
      <c r="Q2315" s="88"/>
      <c r="R2315" s="88"/>
      <c r="S2315" s="88"/>
      <c r="T2315" s="88"/>
      <c r="U2315" s="88"/>
      <c r="V2315" s="88"/>
      <c r="W2315" s="88"/>
      <c r="X2315" s="88"/>
      <c r="Y2315" s="88"/>
      <c r="Z2315" s="88"/>
    </row>
    <row r="2316" ht="17.25" customHeight="1">
      <c r="A2316" s="88"/>
      <c r="B2316" s="88"/>
      <c r="C2316" s="88"/>
      <c r="D2316" s="88"/>
      <c r="E2316" s="88"/>
      <c r="F2316" s="89"/>
      <c r="G2316" s="89"/>
      <c r="H2316" s="89"/>
      <c r="I2316" s="88"/>
      <c r="J2316" s="88"/>
      <c r="K2316" s="88"/>
      <c r="L2316" s="88"/>
      <c r="M2316" s="88"/>
      <c r="N2316" s="88"/>
      <c r="O2316" s="88"/>
      <c r="P2316" s="88"/>
      <c r="Q2316" s="88"/>
      <c r="R2316" s="88"/>
      <c r="S2316" s="88"/>
      <c r="T2316" s="88"/>
      <c r="U2316" s="88"/>
      <c r="V2316" s="88"/>
      <c r="W2316" s="88"/>
      <c r="X2316" s="88"/>
      <c r="Y2316" s="88"/>
      <c r="Z2316" s="88"/>
    </row>
    <row r="2317" ht="17.25" customHeight="1">
      <c r="A2317" s="88"/>
      <c r="B2317" s="88"/>
      <c r="C2317" s="88"/>
      <c r="D2317" s="88"/>
      <c r="E2317" s="88"/>
      <c r="F2317" s="89"/>
      <c r="G2317" s="89"/>
      <c r="H2317" s="89"/>
      <c r="I2317" s="88"/>
      <c r="J2317" s="88"/>
      <c r="K2317" s="88"/>
      <c r="L2317" s="88"/>
      <c r="M2317" s="88"/>
      <c r="N2317" s="88"/>
      <c r="O2317" s="88"/>
      <c r="P2317" s="88"/>
      <c r="Q2317" s="88"/>
      <c r="R2317" s="88"/>
      <c r="S2317" s="88"/>
      <c r="T2317" s="88"/>
      <c r="U2317" s="88"/>
      <c r="V2317" s="88"/>
      <c r="W2317" s="88"/>
      <c r="X2317" s="88"/>
      <c r="Y2317" s="88"/>
      <c r="Z2317" s="88"/>
    </row>
    <row r="2318" ht="17.25" customHeight="1">
      <c r="A2318" s="88"/>
      <c r="B2318" s="88"/>
      <c r="C2318" s="88"/>
      <c r="D2318" s="88"/>
      <c r="E2318" s="88"/>
      <c r="F2318" s="89"/>
      <c r="G2318" s="89"/>
      <c r="H2318" s="89"/>
      <c r="I2318" s="88"/>
      <c r="J2318" s="88"/>
      <c r="K2318" s="88"/>
      <c r="L2318" s="88"/>
      <c r="M2318" s="88"/>
      <c r="N2318" s="88"/>
      <c r="O2318" s="88"/>
      <c r="P2318" s="88"/>
      <c r="Q2318" s="88"/>
      <c r="R2318" s="88"/>
      <c r="S2318" s="88"/>
      <c r="T2318" s="88"/>
      <c r="U2318" s="88"/>
      <c r="V2318" s="88"/>
      <c r="W2318" s="88"/>
      <c r="X2318" s="88"/>
      <c r="Y2318" s="88"/>
      <c r="Z2318" s="88"/>
    </row>
    <row r="2319" ht="17.25" customHeight="1">
      <c r="A2319" s="88"/>
      <c r="B2319" s="88"/>
      <c r="C2319" s="88"/>
      <c r="D2319" s="88"/>
      <c r="E2319" s="88"/>
      <c r="F2319" s="89"/>
      <c r="G2319" s="89"/>
      <c r="H2319" s="89"/>
      <c r="I2319" s="88"/>
      <c r="J2319" s="88"/>
      <c r="K2319" s="88"/>
      <c r="L2319" s="88"/>
      <c r="M2319" s="88"/>
      <c r="N2319" s="88"/>
      <c r="O2319" s="88"/>
      <c r="P2319" s="88"/>
      <c r="Q2319" s="88"/>
      <c r="R2319" s="88"/>
      <c r="S2319" s="88"/>
      <c r="T2319" s="88"/>
      <c r="U2319" s="88"/>
      <c r="V2319" s="88"/>
      <c r="W2319" s="88"/>
      <c r="X2319" s="88"/>
      <c r="Y2319" s="88"/>
      <c r="Z2319" s="88"/>
    </row>
    <row r="2320" ht="17.25" customHeight="1">
      <c r="A2320" s="88"/>
      <c r="B2320" s="88"/>
      <c r="C2320" s="88"/>
      <c r="D2320" s="88"/>
      <c r="E2320" s="88"/>
      <c r="F2320" s="89"/>
      <c r="G2320" s="89"/>
      <c r="H2320" s="89"/>
      <c r="I2320" s="88"/>
      <c r="J2320" s="88"/>
      <c r="K2320" s="88"/>
      <c r="L2320" s="88"/>
      <c r="M2320" s="88"/>
      <c r="N2320" s="88"/>
      <c r="O2320" s="88"/>
      <c r="P2320" s="88"/>
      <c r="Q2320" s="88"/>
      <c r="R2320" s="88"/>
      <c r="S2320" s="88"/>
      <c r="T2320" s="88"/>
      <c r="U2320" s="88"/>
      <c r="V2320" s="88"/>
      <c r="W2320" s="88"/>
      <c r="X2320" s="88"/>
      <c r="Y2320" s="88"/>
      <c r="Z2320" s="88"/>
    </row>
    <row r="2321" ht="17.25" customHeight="1">
      <c r="A2321" s="88"/>
      <c r="B2321" s="88"/>
      <c r="C2321" s="88"/>
      <c r="D2321" s="88"/>
      <c r="E2321" s="88"/>
      <c r="F2321" s="89"/>
      <c r="G2321" s="89"/>
      <c r="H2321" s="89"/>
      <c r="I2321" s="88"/>
      <c r="J2321" s="88"/>
      <c r="K2321" s="88"/>
      <c r="L2321" s="88"/>
      <c r="M2321" s="88"/>
      <c r="N2321" s="88"/>
      <c r="O2321" s="88"/>
      <c r="P2321" s="88"/>
      <c r="Q2321" s="88"/>
      <c r="R2321" s="88"/>
      <c r="S2321" s="88"/>
      <c r="T2321" s="88"/>
      <c r="U2321" s="88"/>
      <c r="V2321" s="88"/>
      <c r="W2321" s="88"/>
      <c r="X2321" s="88"/>
      <c r="Y2321" s="88"/>
      <c r="Z2321" s="88"/>
    </row>
    <row r="2322" ht="17.25" customHeight="1">
      <c r="A2322" s="88"/>
      <c r="B2322" s="88"/>
      <c r="C2322" s="88"/>
      <c r="D2322" s="88"/>
      <c r="E2322" s="88"/>
      <c r="F2322" s="89"/>
      <c r="G2322" s="89"/>
      <c r="H2322" s="89"/>
      <c r="I2322" s="88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U2322" s="88"/>
      <c r="V2322" s="88"/>
      <c r="W2322" s="88"/>
      <c r="X2322" s="88"/>
      <c r="Y2322" s="88"/>
      <c r="Z2322" s="88"/>
    </row>
    <row r="2323" ht="17.25" customHeight="1">
      <c r="A2323" s="88"/>
      <c r="B2323" s="88"/>
      <c r="C2323" s="88"/>
      <c r="D2323" s="88"/>
      <c r="E2323" s="88"/>
      <c r="F2323" s="89"/>
      <c r="G2323" s="89"/>
      <c r="H2323" s="89"/>
      <c r="I2323" s="88"/>
      <c r="J2323" s="88"/>
      <c r="K2323" s="88"/>
      <c r="L2323" s="88"/>
      <c r="M2323" s="88"/>
      <c r="N2323" s="88"/>
      <c r="O2323" s="88"/>
      <c r="P2323" s="88"/>
      <c r="Q2323" s="88"/>
      <c r="R2323" s="88"/>
      <c r="S2323" s="88"/>
      <c r="T2323" s="88"/>
      <c r="U2323" s="88"/>
      <c r="V2323" s="88"/>
      <c r="W2323" s="88"/>
      <c r="X2323" s="88"/>
      <c r="Y2323" s="88"/>
      <c r="Z2323" s="88"/>
    </row>
    <row r="2324" ht="17.25" customHeight="1">
      <c r="A2324" s="88"/>
      <c r="B2324" s="88"/>
      <c r="C2324" s="88"/>
      <c r="D2324" s="88"/>
      <c r="E2324" s="88"/>
      <c r="F2324" s="89"/>
      <c r="G2324" s="89"/>
      <c r="H2324" s="89"/>
      <c r="I2324" s="88"/>
      <c r="J2324" s="88"/>
      <c r="K2324" s="88"/>
      <c r="L2324" s="88"/>
      <c r="M2324" s="88"/>
      <c r="N2324" s="88"/>
      <c r="O2324" s="88"/>
      <c r="P2324" s="88"/>
      <c r="Q2324" s="88"/>
      <c r="R2324" s="88"/>
      <c r="S2324" s="88"/>
      <c r="T2324" s="88"/>
      <c r="U2324" s="88"/>
      <c r="V2324" s="88"/>
      <c r="W2324" s="88"/>
      <c r="X2324" s="88"/>
      <c r="Y2324" s="88"/>
      <c r="Z2324" s="88"/>
    </row>
    <row r="2325" ht="17.25" customHeight="1">
      <c r="A2325" s="88"/>
      <c r="B2325" s="88"/>
      <c r="C2325" s="88"/>
      <c r="D2325" s="88"/>
      <c r="E2325" s="88"/>
      <c r="F2325" s="89"/>
      <c r="G2325" s="89"/>
      <c r="H2325" s="89"/>
      <c r="I2325" s="88"/>
      <c r="J2325" s="88"/>
      <c r="K2325" s="88"/>
      <c r="L2325" s="88"/>
      <c r="M2325" s="88"/>
      <c r="N2325" s="88"/>
      <c r="O2325" s="88"/>
      <c r="P2325" s="88"/>
      <c r="Q2325" s="88"/>
      <c r="R2325" s="88"/>
      <c r="S2325" s="88"/>
      <c r="T2325" s="88"/>
      <c r="U2325" s="88"/>
      <c r="V2325" s="88"/>
      <c r="W2325" s="88"/>
      <c r="X2325" s="88"/>
      <c r="Y2325" s="88"/>
      <c r="Z2325" s="88"/>
    </row>
    <row r="2326" ht="17.25" customHeight="1">
      <c r="A2326" s="88"/>
      <c r="B2326" s="88"/>
      <c r="C2326" s="88"/>
      <c r="D2326" s="88"/>
      <c r="E2326" s="88"/>
      <c r="F2326" s="89"/>
      <c r="G2326" s="89"/>
      <c r="H2326" s="89"/>
      <c r="I2326" s="88"/>
      <c r="J2326" s="88"/>
      <c r="K2326" s="88"/>
      <c r="L2326" s="88"/>
      <c r="M2326" s="88"/>
      <c r="N2326" s="88"/>
      <c r="O2326" s="88"/>
      <c r="P2326" s="88"/>
      <c r="Q2326" s="88"/>
      <c r="R2326" s="88"/>
      <c r="S2326" s="88"/>
      <c r="T2326" s="88"/>
      <c r="U2326" s="88"/>
      <c r="V2326" s="88"/>
      <c r="W2326" s="88"/>
      <c r="X2326" s="88"/>
      <c r="Y2326" s="88"/>
      <c r="Z2326" s="88"/>
    </row>
    <row r="2327" ht="17.25" customHeight="1">
      <c r="A2327" s="88"/>
      <c r="B2327" s="88"/>
      <c r="C2327" s="88"/>
      <c r="D2327" s="88"/>
      <c r="E2327" s="88"/>
      <c r="F2327" s="89"/>
      <c r="G2327" s="89"/>
      <c r="H2327" s="89"/>
      <c r="I2327" s="88"/>
      <c r="J2327" s="88"/>
      <c r="K2327" s="88"/>
      <c r="L2327" s="88"/>
      <c r="M2327" s="88"/>
      <c r="N2327" s="88"/>
      <c r="O2327" s="88"/>
      <c r="P2327" s="88"/>
      <c r="Q2327" s="88"/>
      <c r="R2327" s="88"/>
      <c r="S2327" s="88"/>
      <c r="T2327" s="88"/>
      <c r="U2327" s="88"/>
      <c r="V2327" s="88"/>
      <c r="W2327" s="88"/>
      <c r="X2327" s="88"/>
      <c r="Y2327" s="88"/>
      <c r="Z2327" s="88"/>
    </row>
    <row r="2328" ht="17.25" customHeight="1">
      <c r="A2328" s="88"/>
      <c r="B2328" s="88"/>
      <c r="C2328" s="88"/>
      <c r="D2328" s="88"/>
      <c r="E2328" s="88"/>
      <c r="F2328" s="89"/>
      <c r="G2328" s="89"/>
      <c r="H2328" s="89"/>
      <c r="I2328" s="88"/>
      <c r="J2328" s="88"/>
      <c r="K2328" s="88"/>
      <c r="L2328" s="88"/>
      <c r="M2328" s="88"/>
      <c r="N2328" s="88"/>
      <c r="O2328" s="88"/>
      <c r="P2328" s="88"/>
      <c r="Q2328" s="88"/>
      <c r="R2328" s="88"/>
      <c r="S2328" s="88"/>
      <c r="T2328" s="88"/>
      <c r="U2328" s="88"/>
      <c r="V2328" s="88"/>
      <c r="W2328" s="88"/>
      <c r="X2328" s="88"/>
      <c r="Y2328" s="88"/>
      <c r="Z2328" s="88"/>
    </row>
    <row r="2329" ht="17.25" customHeight="1">
      <c r="A2329" s="88"/>
      <c r="B2329" s="88"/>
      <c r="C2329" s="88"/>
      <c r="D2329" s="88"/>
      <c r="E2329" s="88"/>
      <c r="F2329" s="89"/>
      <c r="G2329" s="89"/>
      <c r="H2329" s="89"/>
      <c r="I2329" s="88"/>
      <c r="J2329" s="88"/>
      <c r="K2329" s="88"/>
      <c r="L2329" s="88"/>
      <c r="M2329" s="88"/>
      <c r="N2329" s="88"/>
      <c r="O2329" s="88"/>
      <c r="P2329" s="88"/>
      <c r="Q2329" s="88"/>
      <c r="R2329" s="88"/>
      <c r="S2329" s="88"/>
      <c r="T2329" s="88"/>
      <c r="U2329" s="88"/>
      <c r="V2329" s="88"/>
      <c r="W2329" s="88"/>
      <c r="X2329" s="88"/>
      <c r="Y2329" s="88"/>
      <c r="Z2329" s="88"/>
    </row>
    <row r="2330" ht="17.25" customHeight="1">
      <c r="A2330" s="88"/>
      <c r="B2330" s="88"/>
      <c r="C2330" s="88"/>
      <c r="D2330" s="88"/>
      <c r="E2330" s="88"/>
      <c r="F2330" s="89"/>
      <c r="G2330" s="89"/>
      <c r="H2330" s="89"/>
      <c r="I2330" s="88"/>
      <c r="J2330" s="88"/>
      <c r="K2330" s="88"/>
      <c r="L2330" s="88"/>
      <c r="M2330" s="88"/>
      <c r="N2330" s="88"/>
      <c r="O2330" s="88"/>
      <c r="P2330" s="88"/>
      <c r="Q2330" s="88"/>
      <c r="R2330" s="88"/>
      <c r="S2330" s="88"/>
      <c r="T2330" s="88"/>
      <c r="U2330" s="88"/>
      <c r="V2330" s="88"/>
      <c r="W2330" s="88"/>
      <c r="X2330" s="88"/>
      <c r="Y2330" s="88"/>
      <c r="Z2330" s="88"/>
    </row>
    <row r="2331" ht="17.25" customHeight="1">
      <c r="A2331" s="88"/>
      <c r="B2331" s="88"/>
      <c r="C2331" s="88"/>
      <c r="D2331" s="88"/>
      <c r="E2331" s="88"/>
      <c r="F2331" s="89"/>
      <c r="G2331" s="89"/>
      <c r="H2331" s="89"/>
      <c r="I2331" s="88"/>
      <c r="J2331" s="88"/>
      <c r="K2331" s="88"/>
      <c r="L2331" s="88"/>
      <c r="M2331" s="88"/>
      <c r="N2331" s="88"/>
      <c r="O2331" s="88"/>
      <c r="P2331" s="88"/>
      <c r="Q2331" s="88"/>
      <c r="R2331" s="88"/>
      <c r="S2331" s="88"/>
      <c r="T2331" s="88"/>
      <c r="U2331" s="88"/>
      <c r="V2331" s="88"/>
      <c r="W2331" s="88"/>
      <c r="X2331" s="88"/>
      <c r="Y2331" s="88"/>
      <c r="Z2331" s="88"/>
    </row>
    <row r="2332" ht="17.25" customHeight="1">
      <c r="A2332" s="88"/>
      <c r="B2332" s="88"/>
      <c r="C2332" s="88"/>
      <c r="D2332" s="88"/>
      <c r="E2332" s="88"/>
      <c r="F2332" s="89"/>
      <c r="G2332" s="89"/>
      <c r="H2332" s="89"/>
      <c r="I2332" s="88"/>
      <c r="J2332" s="88"/>
      <c r="K2332" s="88"/>
      <c r="L2332" s="88"/>
      <c r="M2332" s="88"/>
      <c r="N2332" s="88"/>
      <c r="O2332" s="88"/>
      <c r="P2332" s="88"/>
      <c r="Q2332" s="88"/>
      <c r="R2332" s="88"/>
      <c r="S2332" s="88"/>
      <c r="T2332" s="88"/>
      <c r="U2332" s="88"/>
      <c r="V2332" s="88"/>
      <c r="W2332" s="88"/>
      <c r="X2332" s="88"/>
      <c r="Y2332" s="88"/>
      <c r="Z2332" s="88"/>
    </row>
    <row r="2333" ht="17.25" customHeight="1">
      <c r="A2333" s="88"/>
      <c r="B2333" s="88"/>
      <c r="C2333" s="88"/>
      <c r="D2333" s="88"/>
      <c r="E2333" s="88"/>
      <c r="F2333" s="89"/>
      <c r="G2333" s="89"/>
      <c r="H2333" s="89"/>
      <c r="I2333" s="88"/>
      <c r="J2333" s="88"/>
      <c r="K2333" s="88"/>
      <c r="L2333" s="88"/>
      <c r="M2333" s="88"/>
      <c r="N2333" s="88"/>
      <c r="O2333" s="88"/>
      <c r="P2333" s="88"/>
      <c r="Q2333" s="88"/>
      <c r="R2333" s="88"/>
      <c r="S2333" s="88"/>
      <c r="T2333" s="88"/>
      <c r="U2333" s="88"/>
      <c r="V2333" s="88"/>
      <c r="W2333" s="88"/>
      <c r="X2333" s="88"/>
      <c r="Y2333" s="88"/>
      <c r="Z2333" s="88"/>
    </row>
    <row r="2334" ht="17.25" customHeight="1">
      <c r="A2334" s="88"/>
      <c r="B2334" s="88"/>
      <c r="C2334" s="88"/>
      <c r="D2334" s="88"/>
      <c r="E2334" s="88"/>
      <c r="F2334" s="89"/>
      <c r="G2334" s="89"/>
      <c r="H2334" s="89"/>
      <c r="I2334" s="88"/>
      <c r="J2334" s="88"/>
      <c r="K2334" s="88"/>
      <c r="L2334" s="88"/>
      <c r="M2334" s="88"/>
      <c r="N2334" s="88"/>
      <c r="O2334" s="88"/>
      <c r="P2334" s="88"/>
      <c r="Q2334" s="88"/>
      <c r="R2334" s="88"/>
      <c r="S2334" s="88"/>
      <c r="T2334" s="88"/>
      <c r="U2334" s="88"/>
      <c r="V2334" s="88"/>
      <c r="W2334" s="88"/>
      <c r="X2334" s="88"/>
      <c r="Y2334" s="88"/>
      <c r="Z2334" s="88"/>
    </row>
    <row r="2335" ht="17.25" customHeight="1">
      <c r="A2335" s="88"/>
      <c r="B2335" s="88"/>
      <c r="C2335" s="88"/>
      <c r="D2335" s="88"/>
      <c r="E2335" s="88"/>
      <c r="F2335" s="89"/>
      <c r="G2335" s="89"/>
      <c r="H2335" s="89"/>
      <c r="I2335" s="88"/>
      <c r="J2335" s="88"/>
      <c r="K2335" s="88"/>
      <c r="L2335" s="88"/>
      <c r="M2335" s="88"/>
      <c r="N2335" s="88"/>
      <c r="O2335" s="88"/>
      <c r="P2335" s="88"/>
      <c r="Q2335" s="88"/>
      <c r="R2335" s="88"/>
      <c r="S2335" s="88"/>
      <c r="T2335" s="88"/>
      <c r="U2335" s="88"/>
      <c r="V2335" s="88"/>
      <c r="W2335" s="88"/>
      <c r="X2335" s="88"/>
      <c r="Y2335" s="88"/>
      <c r="Z2335" s="88"/>
    </row>
    <row r="2336" ht="17.25" customHeight="1">
      <c r="A2336" s="88"/>
      <c r="B2336" s="88"/>
      <c r="C2336" s="88"/>
      <c r="D2336" s="88"/>
      <c r="E2336" s="88"/>
      <c r="F2336" s="89"/>
      <c r="G2336" s="89"/>
      <c r="H2336" s="89"/>
      <c r="I2336" s="88"/>
      <c r="J2336" s="88"/>
      <c r="K2336" s="88"/>
      <c r="L2336" s="88"/>
      <c r="M2336" s="88"/>
      <c r="N2336" s="88"/>
      <c r="O2336" s="88"/>
      <c r="P2336" s="88"/>
      <c r="Q2336" s="88"/>
      <c r="R2336" s="88"/>
      <c r="S2336" s="88"/>
      <c r="T2336" s="88"/>
      <c r="U2336" s="88"/>
      <c r="V2336" s="88"/>
      <c r="W2336" s="88"/>
      <c r="X2336" s="88"/>
      <c r="Y2336" s="88"/>
      <c r="Z2336" s="88"/>
    </row>
    <row r="2337" ht="17.25" customHeight="1">
      <c r="A2337" s="88"/>
      <c r="B2337" s="88"/>
      <c r="C2337" s="88"/>
      <c r="D2337" s="88"/>
      <c r="E2337" s="88"/>
      <c r="F2337" s="89"/>
      <c r="G2337" s="89"/>
      <c r="H2337" s="89"/>
      <c r="I2337" s="88"/>
      <c r="J2337" s="88"/>
      <c r="K2337" s="88"/>
      <c r="L2337" s="88"/>
      <c r="M2337" s="88"/>
      <c r="N2337" s="88"/>
      <c r="O2337" s="88"/>
      <c r="P2337" s="88"/>
      <c r="Q2337" s="88"/>
      <c r="R2337" s="88"/>
      <c r="S2337" s="88"/>
      <c r="T2337" s="88"/>
      <c r="U2337" s="88"/>
      <c r="V2337" s="88"/>
      <c r="W2337" s="88"/>
      <c r="X2337" s="88"/>
      <c r="Y2337" s="88"/>
      <c r="Z2337" s="88"/>
    </row>
    <row r="2338" ht="17.25" customHeight="1">
      <c r="A2338" s="88"/>
      <c r="B2338" s="88"/>
      <c r="C2338" s="88"/>
      <c r="D2338" s="88"/>
      <c r="E2338" s="88"/>
      <c r="F2338" s="89"/>
      <c r="G2338" s="89"/>
      <c r="H2338" s="89"/>
      <c r="I2338" s="88"/>
      <c r="J2338" s="88"/>
      <c r="K2338" s="88"/>
      <c r="L2338" s="88"/>
      <c r="M2338" s="88"/>
      <c r="N2338" s="88"/>
      <c r="O2338" s="88"/>
      <c r="P2338" s="88"/>
      <c r="Q2338" s="88"/>
      <c r="R2338" s="88"/>
      <c r="S2338" s="88"/>
      <c r="T2338" s="88"/>
      <c r="U2338" s="88"/>
      <c r="V2338" s="88"/>
      <c r="W2338" s="88"/>
      <c r="X2338" s="88"/>
      <c r="Y2338" s="88"/>
      <c r="Z2338" s="88"/>
    </row>
    <row r="2339" ht="17.25" customHeight="1">
      <c r="A2339" s="88"/>
      <c r="B2339" s="88"/>
      <c r="C2339" s="88"/>
      <c r="D2339" s="88"/>
      <c r="E2339" s="88"/>
      <c r="F2339" s="89"/>
      <c r="G2339" s="89"/>
      <c r="H2339" s="89"/>
      <c r="I2339" s="88"/>
      <c r="J2339" s="88"/>
      <c r="K2339" s="88"/>
      <c r="L2339" s="88"/>
      <c r="M2339" s="88"/>
      <c r="N2339" s="88"/>
      <c r="O2339" s="88"/>
      <c r="P2339" s="88"/>
      <c r="Q2339" s="88"/>
      <c r="R2339" s="88"/>
      <c r="S2339" s="88"/>
      <c r="T2339" s="88"/>
      <c r="U2339" s="88"/>
      <c r="V2339" s="88"/>
      <c r="W2339" s="88"/>
      <c r="X2339" s="88"/>
      <c r="Y2339" s="88"/>
      <c r="Z2339" s="88"/>
    </row>
    <row r="2340" ht="17.25" customHeight="1">
      <c r="A2340" s="88"/>
      <c r="B2340" s="88"/>
      <c r="C2340" s="88"/>
      <c r="D2340" s="88"/>
      <c r="E2340" s="88"/>
      <c r="F2340" s="89"/>
      <c r="G2340" s="89"/>
      <c r="H2340" s="89"/>
      <c r="I2340" s="88"/>
      <c r="J2340" s="88"/>
      <c r="K2340" s="88"/>
      <c r="L2340" s="88"/>
      <c r="M2340" s="88"/>
      <c r="N2340" s="88"/>
      <c r="O2340" s="88"/>
      <c r="P2340" s="88"/>
      <c r="Q2340" s="88"/>
      <c r="R2340" s="88"/>
      <c r="S2340" s="88"/>
      <c r="T2340" s="88"/>
      <c r="U2340" s="88"/>
      <c r="V2340" s="88"/>
      <c r="W2340" s="88"/>
      <c r="X2340" s="88"/>
      <c r="Y2340" s="88"/>
      <c r="Z2340" s="88"/>
    </row>
    <row r="2341" ht="17.25" customHeight="1">
      <c r="A2341" s="88"/>
      <c r="B2341" s="88"/>
      <c r="C2341" s="88"/>
      <c r="D2341" s="88"/>
      <c r="E2341" s="88"/>
      <c r="F2341" s="89"/>
      <c r="G2341" s="89"/>
      <c r="H2341" s="89"/>
      <c r="I2341" s="88"/>
      <c r="J2341" s="88"/>
      <c r="K2341" s="88"/>
      <c r="L2341" s="88"/>
      <c r="M2341" s="88"/>
      <c r="N2341" s="88"/>
      <c r="O2341" s="88"/>
      <c r="P2341" s="88"/>
      <c r="Q2341" s="88"/>
      <c r="R2341" s="88"/>
      <c r="S2341" s="88"/>
      <c r="T2341" s="88"/>
      <c r="U2341" s="88"/>
      <c r="V2341" s="88"/>
      <c r="W2341" s="88"/>
      <c r="X2341" s="88"/>
      <c r="Y2341" s="88"/>
      <c r="Z2341" s="88"/>
    </row>
    <row r="2342" ht="17.25" customHeight="1">
      <c r="A2342" s="88"/>
      <c r="B2342" s="88"/>
      <c r="C2342" s="88"/>
      <c r="D2342" s="88"/>
      <c r="E2342" s="88"/>
      <c r="F2342" s="89"/>
      <c r="G2342" s="89"/>
      <c r="H2342" s="89"/>
      <c r="I2342" s="88"/>
      <c r="J2342" s="88"/>
      <c r="K2342" s="88"/>
      <c r="L2342" s="88"/>
      <c r="M2342" s="88"/>
      <c r="N2342" s="88"/>
      <c r="O2342" s="88"/>
      <c r="P2342" s="88"/>
      <c r="Q2342" s="88"/>
      <c r="R2342" s="88"/>
      <c r="S2342" s="88"/>
      <c r="T2342" s="88"/>
      <c r="U2342" s="88"/>
      <c r="V2342" s="88"/>
      <c r="W2342" s="88"/>
      <c r="X2342" s="88"/>
      <c r="Y2342" s="88"/>
      <c r="Z2342" s="88"/>
    </row>
    <row r="2343" ht="17.25" customHeight="1">
      <c r="A2343" s="88"/>
      <c r="B2343" s="88"/>
      <c r="C2343" s="88"/>
      <c r="D2343" s="88"/>
      <c r="E2343" s="88"/>
      <c r="F2343" s="89"/>
      <c r="G2343" s="89"/>
      <c r="H2343" s="89"/>
      <c r="I2343" s="88"/>
      <c r="J2343" s="88"/>
      <c r="K2343" s="88"/>
      <c r="L2343" s="88"/>
      <c r="M2343" s="88"/>
      <c r="N2343" s="88"/>
      <c r="O2343" s="88"/>
      <c r="P2343" s="88"/>
      <c r="Q2343" s="88"/>
      <c r="R2343" s="88"/>
      <c r="S2343" s="88"/>
      <c r="T2343" s="88"/>
      <c r="U2343" s="88"/>
      <c r="V2343" s="88"/>
      <c r="W2343" s="88"/>
      <c r="X2343" s="88"/>
      <c r="Y2343" s="88"/>
      <c r="Z2343" s="88"/>
    </row>
    <row r="2344" ht="17.25" customHeight="1">
      <c r="A2344" s="88"/>
      <c r="B2344" s="88"/>
      <c r="C2344" s="88"/>
      <c r="D2344" s="88"/>
      <c r="E2344" s="88"/>
      <c r="F2344" s="89"/>
      <c r="G2344" s="89"/>
      <c r="H2344" s="89"/>
      <c r="I2344" s="88"/>
      <c r="J2344" s="88"/>
      <c r="K2344" s="88"/>
      <c r="L2344" s="88"/>
      <c r="M2344" s="88"/>
      <c r="N2344" s="88"/>
      <c r="O2344" s="88"/>
      <c r="P2344" s="88"/>
      <c r="Q2344" s="88"/>
      <c r="R2344" s="88"/>
      <c r="S2344" s="88"/>
      <c r="T2344" s="88"/>
      <c r="U2344" s="88"/>
      <c r="V2344" s="88"/>
      <c r="W2344" s="88"/>
      <c r="X2344" s="88"/>
      <c r="Y2344" s="88"/>
      <c r="Z2344" s="88"/>
    </row>
    <row r="2345" ht="17.25" customHeight="1">
      <c r="A2345" s="88"/>
      <c r="B2345" s="88"/>
      <c r="C2345" s="88"/>
      <c r="D2345" s="88"/>
      <c r="E2345" s="88"/>
      <c r="F2345" s="89"/>
      <c r="G2345" s="89"/>
      <c r="H2345" s="89"/>
      <c r="I2345" s="88"/>
      <c r="J2345" s="88"/>
      <c r="K2345" s="88"/>
      <c r="L2345" s="88"/>
      <c r="M2345" s="88"/>
      <c r="N2345" s="88"/>
      <c r="O2345" s="88"/>
      <c r="P2345" s="88"/>
      <c r="Q2345" s="88"/>
      <c r="R2345" s="88"/>
      <c r="S2345" s="88"/>
      <c r="T2345" s="88"/>
      <c r="U2345" s="88"/>
      <c r="V2345" s="88"/>
      <c r="W2345" s="88"/>
      <c r="X2345" s="88"/>
      <c r="Y2345" s="88"/>
      <c r="Z2345" s="88"/>
    </row>
    <row r="2346" ht="17.25" customHeight="1">
      <c r="A2346" s="88"/>
      <c r="B2346" s="88"/>
      <c r="C2346" s="88"/>
      <c r="D2346" s="88"/>
      <c r="E2346" s="88"/>
      <c r="F2346" s="89"/>
      <c r="G2346" s="89"/>
      <c r="H2346" s="89"/>
      <c r="I2346" s="88"/>
      <c r="J2346" s="88"/>
      <c r="K2346" s="88"/>
      <c r="L2346" s="88"/>
      <c r="M2346" s="88"/>
      <c r="N2346" s="88"/>
      <c r="O2346" s="88"/>
      <c r="P2346" s="88"/>
      <c r="Q2346" s="88"/>
      <c r="R2346" s="88"/>
      <c r="S2346" s="88"/>
      <c r="T2346" s="88"/>
      <c r="U2346" s="88"/>
      <c r="V2346" s="88"/>
      <c r="W2346" s="88"/>
      <c r="X2346" s="88"/>
      <c r="Y2346" s="88"/>
      <c r="Z2346" s="88"/>
    </row>
    <row r="2347" ht="17.25" customHeight="1">
      <c r="A2347" s="88"/>
      <c r="B2347" s="88"/>
      <c r="C2347" s="88"/>
      <c r="D2347" s="88"/>
      <c r="E2347" s="88"/>
      <c r="F2347" s="89"/>
      <c r="G2347" s="89"/>
      <c r="H2347" s="89"/>
      <c r="I2347" s="88"/>
      <c r="J2347" s="88"/>
      <c r="K2347" s="88"/>
      <c r="L2347" s="88"/>
      <c r="M2347" s="88"/>
      <c r="N2347" s="88"/>
      <c r="O2347" s="88"/>
      <c r="P2347" s="88"/>
      <c r="Q2347" s="88"/>
      <c r="R2347" s="88"/>
      <c r="S2347" s="88"/>
      <c r="T2347" s="88"/>
      <c r="U2347" s="88"/>
      <c r="V2347" s="88"/>
      <c r="W2347" s="88"/>
      <c r="X2347" s="88"/>
      <c r="Y2347" s="88"/>
      <c r="Z2347" s="88"/>
    </row>
    <row r="2348" ht="17.25" customHeight="1">
      <c r="A2348" s="88"/>
      <c r="B2348" s="88"/>
      <c r="C2348" s="88"/>
      <c r="D2348" s="88"/>
      <c r="E2348" s="88"/>
      <c r="F2348" s="89"/>
      <c r="G2348" s="89"/>
      <c r="H2348" s="89"/>
      <c r="I2348" s="88"/>
      <c r="J2348" s="88"/>
      <c r="K2348" s="88"/>
      <c r="L2348" s="88"/>
      <c r="M2348" s="88"/>
      <c r="N2348" s="88"/>
      <c r="O2348" s="88"/>
      <c r="P2348" s="88"/>
      <c r="Q2348" s="88"/>
      <c r="R2348" s="88"/>
      <c r="S2348" s="88"/>
      <c r="T2348" s="88"/>
      <c r="U2348" s="88"/>
      <c r="V2348" s="88"/>
      <c r="W2348" s="88"/>
      <c r="X2348" s="88"/>
      <c r="Y2348" s="88"/>
      <c r="Z2348" s="88"/>
    </row>
    <row r="2349" ht="17.25" customHeight="1">
      <c r="A2349" s="88"/>
      <c r="B2349" s="88"/>
      <c r="C2349" s="88"/>
      <c r="D2349" s="88"/>
      <c r="E2349" s="88"/>
      <c r="F2349" s="89"/>
      <c r="G2349" s="89"/>
      <c r="H2349" s="89"/>
      <c r="I2349" s="88"/>
      <c r="J2349" s="88"/>
      <c r="K2349" s="88"/>
      <c r="L2349" s="88"/>
      <c r="M2349" s="88"/>
      <c r="N2349" s="88"/>
      <c r="O2349" s="88"/>
      <c r="P2349" s="88"/>
      <c r="Q2349" s="88"/>
      <c r="R2349" s="88"/>
      <c r="S2349" s="88"/>
      <c r="T2349" s="88"/>
      <c r="U2349" s="88"/>
      <c r="V2349" s="88"/>
      <c r="W2349" s="88"/>
      <c r="X2349" s="88"/>
      <c r="Y2349" s="88"/>
      <c r="Z2349" s="88"/>
    </row>
    <row r="2350" ht="17.25" customHeight="1">
      <c r="A2350" s="88"/>
      <c r="B2350" s="88"/>
      <c r="C2350" s="88"/>
      <c r="D2350" s="88"/>
      <c r="E2350" s="88"/>
      <c r="F2350" s="89"/>
      <c r="G2350" s="89"/>
      <c r="H2350" s="89"/>
      <c r="I2350" s="88"/>
      <c r="J2350" s="88"/>
      <c r="K2350" s="88"/>
      <c r="L2350" s="88"/>
      <c r="M2350" s="88"/>
      <c r="N2350" s="88"/>
      <c r="O2350" s="88"/>
      <c r="P2350" s="88"/>
      <c r="Q2350" s="88"/>
      <c r="R2350" s="88"/>
      <c r="S2350" s="88"/>
      <c r="T2350" s="88"/>
      <c r="U2350" s="88"/>
      <c r="V2350" s="88"/>
      <c r="W2350" s="88"/>
      <c r="X2350" s="88"/>
      <c r="Y2350" s="88"/>
      <c r="Z2350" s="88"/>
    </row>
    <row r="2351" ht="17.25" customHeight="1">
      <c r="A2351" s="88"/>
      <c r="B2351" s="88"/>
      <c r="C2351" s="88"/>
      <c r="D2351" s="88"/>
      <c r="E2351" s="88"/>
      <c r="F2351" s="89"/>
      <c r="G2351" s="89"/>
      <c r="H2351" s="89"/>
      <c r="I2351" s="88"/>
      <c r="J2351" s="88"/>
      <c r="K2351" s="88"/>
      <c r="L2351" s="88"/>
      <c r="M2351" s="88"/>
      <c r="N2351" s="88"/>
      <c r="O2351" s="88"/>
      <c r="P2351" s="88"/>
      <c r="Q2351" s="88"/>
      <c r="R2351" s="88"/>
      <c r="S2351" s="88"/>
      <c r="T2351" s="88"/>
      <c r="U2351" s="88"/>
      <c r="V2351" s="88"/>
      <c r="W2351" s="88"/>
      <c r="X2351" s="88"/>
      <c r="Y2351" s="88"/>
      <c r="Z2351" s="88"/>
    </row>
    <row r="2352" ht="17.25" customHeight="1">
      <c r="A2352" s="88"/>
      <c r="B2352" s="88"/>
      <c r="C2352" s="88"/>
      <c r="D2352" s="88"/>
      <c r="E2352" s="88"/>
      <c r="F2352" s="89"/>
      <c r="G2352" s="89"/>
      <c r="H2352" s="89"/>
      <c r="I2352" s="88"/>
      <c r="J2352" s="88"/>
      <c r="K2352" s="88"/>
      <c r="L2352" s="88"/>
      <c r="M2352" s="88"/>
      <c r="N2352" s="88"/>
      <c r="O2352" s="88"/>
      <c r="P2352" s="88"/>
      <c r="Q2352" s="88"/>
      <c r="R2352" s="88"/>
      <c r="S2352" s="88"/>
      <c r="T2352" s="88"/>
      <c r="U2352" s="88"/>
      <c r="V2352" s="88"/>
      <c r="W2352" s="88"/>
      <c r="X2352" s="88"/>
      <c r="Y2352" s="88"/>
      <c r="Z2352" s="88"/>
    </row>
    <row r="2353" ht="17.25" customHeight="1">
      <c r="A2353" s="88"/>
      <c r="B2353" s="88"/>
      <c r="C2353" s="88"/>
      <c r="D2353" s="88"/>
      <c r="E2353" s="88"/>
      <c r="F2353" s="89"/>
      <c r="G2353" s="89"/>
      <c r="H2353" s="89"/>
      <c r="I2353" s="88"/>
      <c r="J2353" s="88"/>
      <c r="K2353" s="88"/>
      <c r="L2353" s="88"/>
      <c r="M2353" s="88"/>
      <c r="N2353" s="88"/>
      <c r="O2353" s="88"/>
      <c r="P2353" s="88"/>
      <c r="Q2353" s="88"/>
      <c r="R2353" s="88"/>
      <c r="S2353" s="88"/>
      <c r="T2353" s="88"/>
      <c r="U2353" s="88"/>
      <c r="V2353" s="88"/>
      <c r="W2353" s="88"/>
      <c r="X2353" s="88"/>
      <c r="Y2353" s="88"/>
      <c r="Z2353" s="88"/>
    </row>
    <row r="2354" ht="17.25" customHeight="1">
      <c r="A2354" s="88"/>
      <c r="B2354" s="88"/>
      <c r="C2354" s="88"/>
      <c r="D2354" s="88"/>
      <c r="E2354" s="88"/>
      <c r="F2354" s="89"/>
      <c r="G2354" s="89"/>
      <c r="H2354" s="89"/>
      <c r="I2354" s="88"/>
      <c r="J2354" s="88"/>
      <c r="K2354" s="88"/>
      <c r="L2354" s="88"/>
      <c r="M2354" s="88"/>
      <c r="N2354" s="88"/>
      <c r="O2354" s="88"/>
      <c r="P2354" s="88"/>
      <c r="Q2354" s="88"/>
      <c r="R2354" s="88"/>
      <c r="S2354" s="88"/>
      <c r="T2354" s="88"/>
      <c r="U2354" s="88"/>
      <c r="V2354" s="88"/>
      <c r="W2354" s="88"/>
      <c r="X2354" s="88"/>
      <c r="Y2354" s="88"/>
      <c r="Z2354" s="88"/>
    </row>
    <row r="2355" ht="17.25" customHeight="1">
      <c r="A2355" s="88"/>
      <c r="B2355" s="88"/>
      <c r="C2355" s="88"/>
      <c r="D2355" s="88"/>
      <c r="E2355" s="88"/>
      <c r="F2355" s="89"/>
      <c r="G2355" s="89"/>
      <c r="H2355" s="89"/>
      <c r="I2355" s="88"/>
      <c r="J2355" s="88"/>
      <c r="K2355" s="88"/>
      <c r="L2355" s="88"/>
      <c r="M2355" s="88"/>
      <c r="N2355" s="88"/>
      <c r="O2355" s="88"/>
      <c r="P2355" s="88"/>
      <c r="Q2355" s="88"/>
      <c r="R2355" s="88"/>
      <c r="S2355" s="88"/>
      <c r="T2355" s="88"/>
      <c r="U2355" s="88"/>
      <c r="V2355" s="88"/>
      <c r="W2355" s="88"/>
      <c r="X2355" s="88"/>
      <c r="Y2355" s="88"/>
      <c r="Z2355" s="88"/>
    </row>
    <row r="2356" ht="17.25" customHeight="1">
      <c r="A2356" s="88"/>
      <c r="B2356" s="88"/>
      <c r="C2356" s="88"/>
      <c r="D2356" s="88"/>
      <c r="E2356" s="88"/>
      <c r="F2356" s="89"/>
      <c r="G2356" s="89"/>
      <c r="H2356" s="89"/>
      <c r="I2356" s="88"/>
      <c r="J2356" s="88"/>
      <c r="K2356" s="88"/>
      <c r="L2356" s="88"/>
      <c r="M2356" s="88"/>
      <c r="N2356" s="88"/>
      <c r="O2356" s="88"/>
      <c r="P2356" s="88"/>
      <c r="Q2356" s="88"/>
      <c r="R2356" s="88"/>
      <c r="S2356" s="88"/>
      <c r="T2356" s="88"/>
      <c r="U2356" s="88"/>
      <c r="V2356" s="88"/>
      <c r="W2356" s="88"/>
      <c r="X2356" s="88"/>
      <c r="Y2356" s="88"/>
      <c r="Z2356" s="88"/>
    </row>
    <row r="2357" ht="17.25" customHeight="1">
      <c r="A2357" s="88"/>
      <c r="B2357" s="88"/>
      <c r="C2357" s="88"/>
      <c r="D2357" s="88"/>
      <c r="E2357" s="88"/>
      <c r="F2357" s="89"/>
      <c r="G2357" s="89"/>
      <c r="H2357" s="89"/>
      <c r="I2357" s="88"/>
      <c r="J2357" s="88"/>
      <c r="K2357" s="88"/>
      <c r="L2357" s="88"/>
      <c r="M2357" s="88"/>
      <c r="N2357" s="88"/>
      <c r="O2357" s="88"/>
      <c r="P2357" s="88"/>
      <c r="Q2357" s="88"/>
      <c r="R2357" s="88"/>
      <c r="S2357" s="88"/>
      <c r="T2357" s="88"/>
      <c r="U2357" s="88"/>
      <c r="V2357" s="88"/>
      <c r="W2357" s="88"/>
      <c r="X2357" s="88"/>
      <c r="Y2357" s="88"/>
      <c r="Z2357" s="88"/>
    </row>
    <row r="2358" ht="17.25" customHeight="1">
      <c r="A2358" s="88"/>
      <c r="B2358" s="88"/>
      <c r="C2358" s="88"/>
      <c r="D2358" s="88"/>
      <c r="E2358" s="88"/>
      <c r="F2358" s="89"/>
      <c r="G2358" s="89"/>
      <c r="H2358" s="89"/>
      <c r="I2358" s="88"/>
      <c r="J2358" s="88"/>
      <c r="K2358" s="88"/>
      <c r="L2358" s="88"/>
      <c r="M2358" s="88"/>
      <c r="N2358" s="88"/>
      <c r="O2358" s="88"/>
      <c r="P2358" s="88"/>
      <c r="Q2358" s="88"/>
      <c r="R2358" s="88"/>
      <c r="S2358" s="88"/>
      <c r="T2358" s="88"/>
      <c r="U2358" s="88"/>
      <c r="V2358" s="88"/>
      <c r="W2358" s="88"/>
      <c r="X2358" s="88"/>
      <c r="Y2358" s="88"/>
      <c r="Z2358" s="88"/>
    </row>
    <row r="2359" ht="17.25" customHeight="1">
      <c r="A2359" s="88"/>
      <c r="B2359" s="88"/>
      <c r="C2359" s="88"/>
      <c r="D2359" s="88"/>
      <c r="E2359" s="88"/>
      <c r="F2359" s="89"/>
      <c r="G2359" s="89"/>
      <c r="H2359" s="89"/>
      <c r="I2359" s="88"/>
      <c r="J2359" s="88"/>
      <c r="K2359" s="88"/>
      <c r="L2359" s="88"/>
      <c r="M2359" s="88"/>
      <c r="N2359" s="88"/>
      <c r="O2359" s="88"/>
      <c r="P2359" s="88"/>
      <c r="Q2359" s="88"/>
      <c r="R2359" s="88"/>
      <c r="S2359" s="88"/>
      <c r="T2359" s="88"/>
      <c r="U2359" s="88"/>
      <c r="V2359" s="88"/>
      <c r="W2359" s="88"/>
      <c r="X2359" s="88"/>
      <c r="Y2359" s="88"/>
      <c r="Z2359" s="88"/>
    </row>
    <row r="2360" ht="17.25" customHeight="1">
      <c r="A2360" s="88"/>
      <c r="B2360" s="88"/>
      <c r="C2360" s="88"/>
      <c r="D2360" s="88"/>
      <c r="E2360" s="88"/>
      <c r="F2360" s="89"/>
      <c r="G2360" s="89"/>
      <c r="H2360" s="89"/>
      <c r="I2360" s="88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U2360" s="88"/>
      <c r="V2360" s="88"/>
      <c r="W2360" s="88"/>
      <c r="X2360" s="88"/>
      <c r="Y2360" s="88"/>
      <c r="Z2360" s="88"/>
    </row>
    <row r="2361" ht="17.25" customHeight="1">
      <c r="A2361" s="88"/>
      <c r="B2361" s="88"/>
      <c r="C2361" s="88"/>
      <c r="D2361" s="88"/>
      <c r="E2361" s="88"/>
      <c r="F2361" s="89"/>
      <c r="G2361" s="89"/>
      <c r="H2361" s="89"/>
      <c r="I2361" s="88"/>
      <c r="J2361" s="88"/>
      <c r="K2361" s="88"/>
      <c r="L2361" s="88"/>
      <c r="M2361" s="88"/>
      <c r="N2361" s="88"/>
      <c r="O2361" s="88"/>
      <c r="P2361" s="88"/>
      <c r="Q2361" s="88"/>
      <c r="R2361" s="88"/>
      <c r="S2361" s="88"/>
      <c r="T2361" s="88"/>
      <c r="U2361" s="88"/>
      <c r="V2361" s="88"/>
      <c r="W2361" s="88"/>
      <c r="X2361" s="88"/>
      <c r="Y2361" s="88"/>
      <c r="Z2361" s="88"/>
    </row>
    <row r="2362" ht="17.25" customHeight="1">
      <c r="A2362" s="88"/>
      <c r="B2362" s="88"/>
      <c r="C2362" s="88"/>
      <c r="D2362" s="88"/>
      <c r="E2362" s="88"/>
      <c r="F2362" s="89"/>
      <c r="G2362" s="89"/>
      <c r="H2362" s="89"/>
      <c r="I2362" s="88"/>
      <c r="J2362" s="88"/>
      <c r="K2362" s="88"/>
      <c r="L2362" s="88"/>
      <c r="M2362" s="88"/>
      <c r="N2362" s="88"/>
      <c r="O2362" s="88"/>
      <c r="P2362" s="88"/>
      <c r="Q2362" s="88"/>
      <c r="R2362" s="88"/>
      <c r="S2362" s="88"/>
      <c r="T2362" s="88"/>
      <c r="U2362" s="88"/>
      <c r="V2362" s="88"/>
      <c r="W2362" s="88"/>
      <c r="X2362" s="88"/>
      <c r="Y2362" s="88"/>
      <c r="Z2362" s="88"/>
    </row>
    <row r="2363" ht="17.25" customHeight="1">
      <c r="A2363" s="88"/>
      <c r="B2363" s="88"/>
      <c r="C2363" s="88"/>
      <c r="D2363" s="88"/>
      <c r="E2363" s="88"/>
      <c r="F2363" s="89"/>
      <c r="G2363" s="89"/>
      <c r="H2363" s="89"/>
      <c r="I2363" s="88"/>
      <c r="J2363" s="88"/>
      <c r="K2363" s="88"/>
      <c r="L2363" s="88"/>
      <c r="M2363" s="88"/>
      <c r="N2363" s="88"/>
      <c r="O2363" s="88"/>
      <c r="P2363" s="88"/>
      <c r="Q2363" s="88"/>
      <c r="R2363" s="88"/>
      <c r="S2363" s="88"/>
      <c r="T2363" s="88"/>
      <c r="U2363" s="88"/>
      <c r="V2363" s="88"/>
      <c r="W2363" s="88"/>
      <c r="X2363" s="88"/>
      <c r="Y2363" s="88"/>
      <c r="Z2363" s="88"/>
    </row>
    <row r="2364" ht="17.25" customHeight="1">
      <c r="A2364" s="88"/>
      <c r="B2364" s="88"/>
      <c r="C2364" s="88"/>
      <c r="D2364" s="88"/>
      <c r="E2364" s="88"/>
      <c r="F2364" s="89"/>
      <c r="G2364" s="89"/>
      <c r="H2364" s="89"/>
      <c r="I2364" s="88"/>
      <c r="J2364" s="88"/>
      <c r="K2364" s="88"/>
      <c r="L2364" s="88"/>
      <c r="M2364" s="88"/>
      <c r="N2364" s="88"/>
      <c r="O2364" s="88"/>
      <c r="P2364" s="88"/>
      <c r="Q2364" s="88"/>
      <c r="R2364" s="88"/>
      <c r="S2364" s="88"/>
      <c r="T2364" s="88"/>
      <c r="U2364" s="88"/>
      <c r="V2364" s="88"/>
      <c r="W2364" s="88"/>
      <c r="X2364" s="88"/>
      <c r="Y2364" s="88"/>
      <c r="Z2364" s="88"/>
    </row>
    <row r="2365" ht="17.25" customHeight="1">
      <c r="A2365" s="88"/>
      <c r="B2365" s="88"/>
      <c r="C2365" s="88"/>
      <c r="D2365" s="88"/>
      <c r="E2365" s="88"/>
      <c r="F2365" s="89"/>
      <c r="G2365" s="89"/>
      <c r="H2365" s="89"/>
      <c r="I2365" s="88"/>
      <c r="J2365" s="88"/>
      <c r="K2365" s="88"/>
      <c r="L2365" s="88"/>
      <c r="M2365" s="88"/>
      <c r="N2365" s="88"/>
      <c r="O2365" s="88"/>
      <c r="P2365" s="88"/>
      <c r="Q2365" s="88"/>
      <c r="R2365" s="88"/>
      <c r="S2365" s="88"/>
      <c r="T2365" s="88"/>
      <c r="U2365" s="88"/>
      <c r="V2365" s="88"/>
      <c r="W2365" s="88"/>
      <c r="X2365" s="88"/>
      <c r="Y2365" s="88"/>
      <c r="Z2365" s="88"/>
    </row>
    <row r="2366" ht="17.25" customHeight="1">
      <c r="A2366" s="88"/>
      <c r="B2366" s="88"/>
      <c r="C2366" s="88"/>
      <c r="D2366" s="88"/>
      <c r="E2366" s="88"/>
      <c r="F2366" s="89"/>
      <c r="G2366" s="89"/>
      <c r="H2366" s="89"/>
      <c r="I2366" s="88"/>
      <c r="J2366" s="88"/>
      <c r="K2366" s="88"/>
      <c r="L2366" s="88"/>
      <c r="M2366" s="88"/>
      <c r="N2366" s="88"/>
      <c r="O2366" s="88"/>
      <c r="P2366" s="88"/>
      <c r="Q2366" s="88"/>
      <c r="R2366" s="88"/>
      <c r="S2366" s="88"/>
      <c r="T2366" s="88"/>
      <c r="U2366" s="88"/>
      <c r="V2366" s="88"/>
      <c r="W2366" s="88"/>
      <c r="X2366" s="88"/>
      <c r="Y2366" s="88"/>
      <c r="Z2366" s="88"/>
    </row>
    <row r="2367" ht="17.25" customHeight="1">
      <c r="A2367" s="88"/>
      <c r="B2367" s="88"/>
      <c r="C2367" s="88"/>
      <c r="D2367" s="88"/>
      <c r="E2367" s="88"/>
      <c r="F2367" s="89"/>
      <c r="G2367" s="89"/>
      <c r="H2367" s="89"/>
      <c r="I2367" s="88"/>
      <c r="J2367" s="88"/>
      <c r="K2367" s="88"/>
      <c r="L2367" s="88"/>
      <c r="M2367" s="88"/>
      <c r="N2367" s="88"/>
      <c r="O2367" s="88"/>
      <c r="P2367" s="88"/>
      <c r="Q2367" s="88"/>
      <c r="R2367" s="88"/>
      <c r="S2367" s="88"/>
      <c r="T2367" s="88"/>
      <c r="U2367" s="88"/>
      <c r="V2367" s="88"/>
      <c r="W2367" s="88"/>
      <c r="X2367" s="88"/>
      <c r="Y2367" s="88"/>
      <c r="Z2367" s="88"/>
    </row>
    <row r="2368" ht="17.25" customHeight="1">
      <c r="A2368" s="88"/>
      <c r="B2368" s="88"/>
      <c r="C2368" s="88"/>
      <c r="D2368" s="88"/>
      <c r="E2368" s="88"/>
      <c r="F2368" s="89"/>
      <c r="G2368" s="89"/>
      <c r="H2368" s="89"/>
      <c r="I2368" s="88"/>
      <c r="J2368" s="88"/>
      <c r="K2368" s="88"/>
      <c r="L2368" s="88"/>
      <c r="M2368" s="88"/>
      <c r="N2368" s="88"/>
      <c r="O2368" s="88"/>
      <c r="P2368" s="88"/>
      <c r="Q2368" s="88"/>
      <c r="R2368" s="88"/>
      <c r="S2368" s="88"/>
      <c r="T2368" s="88"/>
      <c r="U2368" s="88"/>
      <c r="V2368" s="88"/>
      <c r="W2368" s="88"/>
      <c r="X2368" s="88"/>
      <c r="Y2368" s="88"/>
      <c r="Z2368" s="88"/>
    </row>
    <row r="2369" ht="17.25" customHeight="1">
      <c r="A2369" s="88"/>
      <c r="B2369" s="88"/>
      <c r="C2369" s="88"/>
      <c r="D2369" s="88"/>
      <c r="E2369" s="88"/>
      <c r="F2369" s="89"/>
      <c r="G2369" s="89"/>
      <c r="H2369" s="89"/>
      <c r="I2369" s="88"/>
      <c r="J2369" s="88"/>
      <c r="K2369" s="88"/>
      <c r="L2369" s="88"/>
      <c r="M2369" s="88"/>
      <c r="N2369" s="88"/>
      <c r="O2369" s="88"/>
      <c r="P2369" s="88"/>
      <c r="Q2369" s="88"/>
      <c r="R2369" s="88"/>
      <c r="S2369" s="88"/>
      <c r="T2369" s="88"/>
      <c r="U2369" s="88"/>
      <c r="V2369" s="88"/>
      <c r="W2369" s="88"/>
      <c r="X2369" s="88"/>
      <c r="Y2369" s="88"/>
      <c r="Z2369" s="88"/>
    </row>
    <row r="2370" ht="17.25" customHeight="1">
      <c r="A2370" s="88"/>
      <c r="B2370" s="88"/>
      <c r="C2370" s="88"/>
      <c r="D2370" s="88"/>
      <c r="E2370" s="88"/>
      <c r="F2370" s="89"/>
      <c r="G2370" s="89"/>
      <c r="H2370" s="89"/>
      <c r="I2370" s="88"/>
      <c r="J2370" s="88"/>
      <c r="K2370" s="88"/>
      <c r="L2370" s="88"/>
      <c r="M2370" s="88"/>
      <c r="N2370" s="88"/>
      <c r="O2370" s="88"/>
      <c r="P2370" s="88"/>
      <c r="Q2370" s="88"/>
      <c r="R2370" s="88"/>
      <c r="S2370" s="88"/>
      <c r="T2370" s="88"/>
      <c r="U2370" s="88"/>
      <c r="V2370" s="88"/>
      <c r="W2370" s="88"/>
      <c r="X2370" s="88"/>
      <c r="Y2370" s="88"/>
      <c r="Z2370" s="88"/>
    </row>
    <row r="2371" ht="17.25" customHeight="1">
      <c r="A2371" s="88"/>
      <c r="B2371" s="88"/>
      <c r="C2371" s="88"/>
      <c r="D2371" s="88"/>
      <c r="E2371" s="88"/>
      <c r="F2371" s="89"/>
      <c r="G2371" s="89"/>
      <c r="H2371" s="89"/>
      <c r="I2371" s="88"/>
      <c r="J2371" s="88"/>
      <c r="K2371" s="88"/>
      <c r="L2371" s="88"/>
      <c r="M2371" s="88"/>
      <c r="N2371" s="88"/>
      <c r="O2371" s="88"/>
      <c r="P2371" s="88"/>
      <c r="Q2371" s="88"/>
      <c r="R2371" s="88"/>
      <c r="S2371" s="88"/>
      <c r="T2371" s="88"/>
      <c r="U2371" s="88"/>
      <c r="V2371" s="88"/>
      <c r="W2371" s="88"/>
      <c r="X2371" s="88"/>
      <c r="Y2371" s="88"/>
      <c r="Z2371" s="88"/>
    </row>
    <row r="2372" ht="17.25" customHeight="1">
      <c r="A2372" s="88"/>
      <c r="B2372" s="88"/>
      <c r="C2372" s="88"/>
      <c r="D2372" s="88"/>
      <c r="E2372" s="88"/>
      <c r="F2372" s="89"/>
      <c r="G2372" s="89"/>
      <c r="H2372" s="89"/>
      <c r="I2372" s="88"/>
      <c r="J2372" s="88"/>
      <c r="K2372" s="88"/>
      <c r="L2372" s="88"/>
      <c r="M2372" s="88"/>
      <c r="N2372" s="88"/>
      <c r="O2372" s="88"/>
      <c r="P2372" s="88"/>
      <c r="Q2372" s="88"/>
      <c r="R2372" s="88"/>
      <c r="S2372" s="88"/>
      <c r="T2372" s="88"/>
      <c r="U2372" s="88"/>
      <c r="V2372" s="88"/>
      <c r="W2372" s="88"/>
      <c r="X2372" s="88"/>
      <c r="Y2372" s="88"/>
      <c r="Z2372" s="88"/>
    </row>
    <row r="2373" ht="17.25" customHeight="1">
      <c r="A2373" s="88"/>
      <c r="B2373" s="88"/>
      <c r="C2373" s="88"/>
      <c r="D2373" s="88"/>
      <c r="E2373" s="88"/>
      <c r="F2373" s="89"/>
      <c r="G2373" s="89"/>
      <c r="H2373" s="89"/>
      <c r="I2373" s="88"/>
      <c r="J2373" s="88"/>
      <c r="K2373" s="88"/>
      <c r="L2373" s="88"/>
      <c r="M2373" s="88"/>
      <c r="N2373" s="88"/>
      <c r="O2373" s="88"/>
      <c r="P2373" s="88"/>
      <c r="Q2373" s="88"/>
      <c r="R2373" s="88"/>
      <c r="S2373" s="88"/>
      <c r="T2373" s="88"/>
      <c r="U2373" s="88"/>
      <c r="V2373" s="88"/>
      <c r="W2373" s="88"/>
      <c r="X2373" s="88"/>
      <c r="Y2373" s="88"/>
      <c r="Z2373" s="88"/>
    </row>
    <row r="2374" ht="17.25" customHeight="1">
      <c r="A2374" s="88"/>
      <c r="B2374" s="88"/>
      <c r="C2374" s="88"/>
      <c r="D2374" s="88"/>
      <c r="E2374" s="88"/>
      <c r="F2374" s="89"/>
      <c r="G2374" s="89"/>
      <c r="H2374" s="89"/>
      <c r="I2374" s="88"/>
      <c r="J2374" s="88"/>
      <c r="K2374" s="88"/>
      <c r="L2374" s="88"/>
      <c r="M2374" s="88"/>
      <c r="N2374" s="88"/>
      <c r="O2374" s="88"/>
      <c r="P2374" s="88"/>
      <c r="Q2374" s="88"/>
      <c r="R2374" s="88"/>
      <c r="S2374" s="88"/>
      <c r="T2374" s="88"/>
      <c r="U2374" s="88"/>
      <c r="V2374" s="88"/>
      <c r="W2374" s="88"/>
      <c r="X2374" s="88"/>
      <c r="Y2374" s="88"/>
      <c r="Z2374" s="88"/>
    </row>
    <row r="2375" ht="17.25" customHeight="1">
      <c r="A2375" s="88"/>
      <c r="B2375" s="88"/>
      <c r="C2375" s="88"/>
      <c r="D2375" s="88"/>
      <c r="E2375" s="88"/>
      <c r="F2375" s="89"/>
      <c r="G2375" s="89"/>
      <c r="H2375" s="89"/>
      <c r="I2375" s="88"/>
      <c r="J2375" s="88"/>
      <c r="K2375" s="88"/>
      <c r="L2375" s="88"/>
      <c r="M2375" s="88"/>
      <c r="N2375" s="88"/>
      <c r="O2375" s="88"/>
      <c r="P2375" s="88"/>
      <c r="Q2375" s="88"/>
      <c r="R2375" s="88"/>
      <c r="S2375" s="88"/>
      <c r="T2375" s="88"/>
      <c r="U2375" s="88"/>
      <c r="V2375" s="88"/>
      <c r="W2375" s="88"/>
      <c r="X2375" s="88"/>
      <c r="Y2375" s="88"/>
      <c r="Z2375" s="88"/>
    </row>
    <row r="2376" ht="17.25" customHeight="1">
      <c r="A2376" s="88"/>
      <c r="B2376" s="88"/>
      <c r="C2376" s="88"/>
      <c r="D2376" s="88"/>
      <c r="E2376" s="88"/>
      <c r="F2376" s="89"/>
      <c r="G2376" s="89"/>
      <c r="H2376" s="89"/>
      <c r="I2376" s="88"/>
      <c r="J2376" s="88"/>
      <c r="K2376" s="88"/>
      <c r="L2376" s="88"/>
      <c r="M2376" s="88"/>
      <c r="N2376" s="88"/>
      <c r="O2376" s="88"/>
      <c r="P2376" s="88"/>
      <c r="Q2376" s="88"/>
      <c r="R2376" s="88"/>
      <c r="S2376" s="88"/>
      <c r="T2376" s="88"/>
      <c r="U2376" s="88"/>
      <c r="V2376" s="88"/>
      <c r="W2376" s="88"/>
      <c r="X2376" s="88"/>
      <c r="Y2376" s="88"/>
      <c r="Z2376" s="88"/>
    </row>
    <row r="2377" ht="17.25" customHeight="1">
      <c r="A2377" s="88"/>
      <c r="B2377" s="88"/>
      <c r="C2377" s="88"/>
      <c r="D2377" s="88"/>
      <c r="E2377" s="88"/>
      <c r="F2377" s="89"/>
      <c r="G2377" s="89"/>
      <c r="H2377" s="89"/>
      <c r="I2377" s="88"/>
      <c r="J2377" s="88"/>
      <c r="K2377" s="88"/>
      <c r="L2377" s="88"/>
      <c r="M2377" s="88"/>
      <c r="N2377" s="88"/>
      <c r="O2377" s="88"/>
      <c r="P2377" s="88"/>
      <c r="Q2377" s="88"/>
      <c r="R2377" s="88"/>
      <c r="S2377" s="88"/>
      <c r="T2377" s="88"/>
      <c r="U2377" s="88"/>
      <c r="V2377" s="88"/>
      <c r="W2377" s="88"/>
      <c r="X2377" s="88"/>
      <c r="Y2377" s="88"/>
      <c r="Z2377" s="88"/>
    </row>
    <row r="2378" ht="17.25" customHeight="1">
      <c r="A2378" s="88"/>
      <c r="B2378" s="88"/>
      <c r="C2378" s="88"/>
      <c r="D2378" s="88"/>
      <c r="E2378" s="88"/>
      <c r="F2378" s="89"/>
      <c r="G2378" s="89"/>
      <c r="H2378" s="89"/>
      <c r="I2378" s="88"/>
      <c r="J2378" s="88"/>
      <c r="K2378" s="88"/>
      <c r="L2378" s="88"/>
      <c r="M2378" s="88"/>
      <c r="N2378" s="88"/>
      <c r="O2378" s="88"/>
      <c r="P2378" s="88"/>
      <c r="Q2378" s="88"/>
      <c r="R2378" s="88"/>
      <c r="S2378" s="88"/>
      <c r="T2378" s="88"/>
      <c r="U2378" s="88"/>
      <c r="V2378" s="88"/>
      <c r="W2378" s="88"/>
      <c r="X2378" s="88"/>
      <c r="Y2378" s="88"/>
      <c r="Z2378" s="88"/>
    </row>
    <row r="2379" ht="17.25" customHeight="1">
      <c r="A2379" s="88"/>
      <c r="B2379" s="88"/>
      <c r="C2379" s="88"/>
      <c r="D2379" s="88"/>
      <c r="E2379" s="88"/>
      <c r="F2379" s="89"/>
      <c r="G2379" s="89"/>
      <c r="H2379" s="89"/>
      <c r="I2379" s="88"/>
      <c r="J2379" s="88"/>
      <c r="K2379" s="88"/>
      <c r="L2379" s="88"/>
      <c r="M2379" s="88"/>
      <c r="N2379" s="88"/>
      <c r="O2379" s="88"/>
      <c r="P2379" s="88"/>
      <c r="Q2379" s="88"/>
      <c r="R2379" s="88"/>
      <c r="S2379" s="88"/>
      <c r="T2379" s="88"/>
      <c r="U2379" s="88"/>
      <c r="V2379" s="88"/>
      <c r="W2379" s="88"/>
      <c r="X2379" s="88"/>
      <c r="Y2379" s="88"/>
      <c r="Z2379" s="88"/>
    </row>
    <row r="2380" ht="17.25" customHeight="1">
      <c r="A2380" s="88"/>
      <c r="B2380" s="88"/>
      <c r="C2380" s="88"/>
      <c r="D2380" s="88"/>
      <c r="E2380" s="88"/>
      <c r="F2380" s="89"/>
      <c r="G2380" s="89"/>
      <c r="H2380" s="89"/>
      <c r="I2380" s="88"/>
      <c r="J2380" s="88"/>
      <c r="K2380" s="88"/>
      <c r="L2380" s="88"/>
      <c r="M2380" s="88"/>
      <c r="N2380" s="88"/>
      <c r="O2380" s="88"/>
      <c r="P2380" s="88"/>
      <c r="Q2380" s="88"/>
      <c r="R2380" s="88"/>
      <c r="S2380" s="88"/>
      <c r="T2380" s="88"/>
      <c r="U2380" s="88"/>
      <c r="V2380" s="88"/>
      <c r="W2380" s="88"/>
      <c r="X2380" s="88"/>
      <c r="Y2380" s="88"/>
      <c r="Z2380" s="88"/>
    </row>
    <row r="2381" ht="17.25" customHeight="1">
      <c r="A2381" s="88"/>
      <c r="B2381" s="88"/>
      <c r="C2381" s="88"/>
      <c r="D2381" s="88"/>
      <c r="E2381" s="88"/>
      <c r="F2381" s="89"/>
      <c r="G2381" s="89"/>
      <c r="H2381" s="89"/>
      <c r="I2381" s="88"/>
      <c r="J2381" s="88"/>
      <c r="K2381" s="88"/>
      <c r="L2381" s="88"/>
      <c r="M2381" s="88"/>
      <c r="N2381" s="88"/>
      <c r="O2381" s="88"/>
      <c r="P2381" s="88"/>
      <c r="Q2381" s="88"/>
      <c r="R2381" s="88"/>
      <c r="S2381" s="88"/>
      <c r="T2381" s="88"/>
      <c r="U2381" s="88"/>
      <c r="V2381" s="88"/>
      <c r="W2381" s="88"/>
      <c r="X2381" s="88"/>
      <c r="Y2381" s="88"/>
      <c r="Z2381" s="88"/>
    </row>
    <row r="2382" ht="17.25" customHeight="1">
      <c r="A2382" s="88"/>
      <c r="B2382" s="88"/>
      <c r="C2382" s="88"/>
      <c r="D2382" s="88"/>
      <c r="E2382" s="88"/>
      <c r="F2382" s="89"/>
      <c r="G2382" s="89"/>
      <c r="H2382" s="89"/>
      <c r="I2382" s="88"/>
      <c r="J2382" s="88"/>
      <c r="K2382" s="88"/>
      <c r="L2382" s="88"/>
      <c r="M2382" s="88"/>
      <c r="N2382" s="88"/>
      <c r="O2382" s="88"/>
      <c r="P2382" s="88"/>
      <c r="Q2382" s="88"/>
      <c r="R2382" s="88"/>
      <c r="S2382" s="88"/>
      <c r="T2382" s="88"/>
      <c r="U2382" s="88"/>
      <c r="V2382" s="88"/>
      <c r="W2382" s="88"/>
      <c r="X2382" s="88"/>
      <c r="Y2382" s="88"/>
      <c r="Z2382" s="88"/>
    </row>
    <row r="2383" ht="17.25" customHeight="1">
      <c r="A2383" s="88"/>
      <c r="B2383" s="88"/>
      <c r="C2383" s="88"/>
      <c r="D2383" s="88"/>
      <c r="E2383" s="88"/>
      <c r="F2383" s="89"/>
      <c r="G2383" s="89"/>
      <c r="H2383" s="89"/>
      <c r="I2383" s="88"/>
      <c r="J2383" s="88"/>
      <c r="K2383" s="88"/>
      <c r="L2383" s="88"/>
      <c r="M2383" s="88"/>
      <c r="N2383" s="88"/>
      <c r="O2383" s="88"/>
      <c r="P2383" s="88"/>
      <c r="Q2383" s="88"/>
      <c r="R2383" s="88"/>
      <c r="S2383" s="88"/>
      <c r="T2383" s="88"/>
      <c r="U2383" s="88"/>
      <c r="V2383" s="88"/>
      <c r="W2383" s="88"/>
      <c r="X2383" s="88"/>
      <c r="Y2383" s="88"/>
      <c r="Z2383" s="88"/>
    </row>
    <row r="2384" ht="17.25" customHeight="1">
      <c r="A2384" s="88"/>
      <c r="B2384" s="88"/>
      <c r="C2384" s="88"/>
      <c r="D2384" s="88"/>
      <c r="E2384" s="88"/>
      <c r="F2384" s="89"/>
      <c r="G2384" s="89"/>
      <c r="H2384" s="89"/>
      <c r="I2384" s="88"/>
      <c r="J2384" s="88"/>
      <c r="K2384" s="88"/>
      <c r="L2384" s="88"/>
      <c r="M2384" s="88"/>
      <c r="N2384" s="88"/>
      <c r="O2384" s="88"/>
      <c r="P2384" s="88"/>
      <c r="Q2384" s="88"/>
      <c r="R2384" s="88"/>
      <c r="S2384" s="88"/>
      <c r="T2384" s="88"/>
      <c r="U2384" s="88"/>
      <c r="V2384" s="88"/>
      <c r="W2384" s="88"/>
      <c r="X2384" s="88"/>
      <c r="Y2384" s="88"/>
      <c r="Z2384" s="88"/>
    </row>
    <row r="2385" ht="17.25" customHeight="1">
      <c r="A2385" s="88"/>
      <c r="B2385" s="88"/>
      <c r="C2385" s="88"/>
      <c r="D2385" s="88"/>
      <c r="E2385" s="88"/>
      <c r="F2385" s="89"/>
      <c r="G2385" s="89"/>
      <c r="H2385" s="89"/>
      <c r="I2385" s="88"/>
      <c r="J2385" s="88"/>
      <c r="K2385" s="88"/>
      <c r="L2385" s="88"/>
      <c r="M2385" s="88"/>
      <c r="N2385" s="88"/>
      <c r="O2385" s="88"/>
      <c r="P2385" s="88"/>
      <c r="Q2385" s="88"/>
      <c r="R2385" s="88"/>
      <c r="S2385" s="88"/>
      <c r="T2385" s="88"/>
      <c r="U2385" s="88"/>
      <c r="V2385" s="88"/>
      <c r="W2385" s="88"/>
      <c r="X2385" s="88"/>
      <c r="Y2385" s="88"/>
      <c r="Z2385" s="88"/>
    </row>
    <row r="2386" ht="17.25" customHeight="1">
      <c r="A2386" s="88"/>
      <c r="B2386" s="88"/>
      <c r="C2386" s="88"/>
      <c r="D2386" s="88"/>
      <c r="E2386" s="88"/>
      <c r="F2386" s="89"/>
      <c r="G2386" s="89"/>
      <c r="H2386" s="89"/>
      <c r="I2386" s="88"/>
      <c r="J2386" s="88"/>
      <c r="K2386" s="88"/>
      <c r="L2386" s="88"/>
      <c r="M2386" s="88"/>
      <c r="N2386" s="88"/>
      <c r="O2386" s="88"/>
      <c r="P2386" s="88"/>
      <c r="Q2386" s="88"/>
      <c r="R2386" s="88"/>
      <c r="S2386" s="88"/>
      <c r="T2386" s="88"/>
      <c r="U2386" s="88"/>
      <c r="V2386" s="88"/>
      <c r="W2386" s="88"/>
      <c r="X2386" s="88"/>
      <c r="Y2386" s="88"/>
      <c r="Z2386" s="88"/>
    </row>
    <row r="2387" ht="17.25" customHeight="1">
      <c r="A2387" s="88"/>
      <c r="B2387" s="88"/>
      <c r="C2387" s="88"/>
      <c r="D2387" s="88"/>
      <c r="E2387" s="88"/>
      <c r="F2387" s="89"/>
      <c r="G2387" s="89"/>
      <c r="H2387" s="89"/>
      <c r="I2387" s="88"/>
      <c r="J2387" s="88"/>
      <c r="K2387" s="88"/>
      <c r="L2387" s="88"/>
      <c r="M2387" s="88"/>
      <c r="N2387" s="88"/>
      <c r="O2387" s="88"/>
      <c r="P2387" s="88"/>
      <c r="Q2387" s="88"/>
      <c r="R2387" s="88"/>
      <c r="S2387" s="88"/>
      <c r="T2387" s="88"/>
      <c r="U2387" s="88"/>
      <c r="V2387" s="88"/>
      <c r="W2387" s="88"/>
      <c r="X2387" s="88"/>
      <c r="Y2387" s="88"/>
      <c r="Z2387" s="88"/>
    </row>
    <row r="2388" ht="17.25" customHeight="1">
      <c r="A2388" s="88"/>
      <c r="B2388" s="88"/>
      <c r="C2388" s="88"/>
      <c r="D2388" s="88"/>
      <c r="E2388" s="88"/>
      <c r="F2388" s="89"/>
      <c r="G2388" s="89"/>
      <c r="H2388" s="89"/>
      <c r="I2388" s="88"/>
      <c r="J2388" s="88"/>
      <c r="K2388" s="88"/>
      <c r="L2388" s="88"/>
      <c r="M2388" s="88"/>
      <c r="N2388" s="88"/>
      <c r="O2388" s="88"/>
      <c r="P2388" s="88"/>
      <c r="Q2388" s="88"/>
      <c r="R2388" s="88"/>
      <c r="S2388" s="88"/>
      <c r="T2388" s="88"/>
      <c r="U2388" s="88"/>
      <c r="V2388" s="88"/>
      <c r="W2388" s="88"/>
      <c r="X2388" s="88"/>
      <c r="Y2388" s="88"/>
      <c r="Z2388" s="88"/>
    </row>
    <row r="2389" ht="17.25" customHeight="1">
      <c r="A2389" s="88"/>
      <c r="B2389" s="88"/>
      <c r="C2389" s="88"/>
      <c r="D2389" s="88"/>
      <c r="E2389" s="88"/>
      <c r="F2389" s="89"/>
      <c r="G2389" s="89"/>
      <c r="H2389" s="89"/>
      <c r="I2389" s="88"/>
      <c r="J2389" s="88"/>
      <c r="K2389" s="88"/>
      <c r="L2389" s="88"/>
      <c r="M2389" s="88"/>
      <c r="N2389" s="88"/>
      <c r="O2389" s="88"/>
      <c r="P2389" s="88"/>
      <c r="Q2389" s="88"/>
      <c r="R2389" s="88"/>
      <c r="S2389" s="88"/>
      <c r="T2389" s="88"/>
      <c r="U2389" s="88"/>
      <c r="V2389" s="88"/>
      <c r="W2389" s="88"/>
      <c r="X2389" s="88"/>
      <c r="Y2389" s="88"/>
      <c r="Z2389" s="88"/>
    </row>
    <row r="2390" ht="17.25" customHeight="1">
      <c r="A2390" s="88"/>
      <c r="B2390" s="88"/>
      <c r="C2390" s="88"/>
      <c r="D2390" s="88"/>
      <c r="E2390" s="88"/>
      <c r="F2390" s="89"/>
      <c r="G2390" s="89"/>
      <c r="H2390" s="89"/>
      <c r="I2390" s="88"/>
      <c r="J2390" s="88"/>
      <c r="K2390" s="88"/>
      <c r="L2390" s="88"/>
      <c r="M2390" s="88"/>
      <c r="N2390" s="88"/>
      <c r="O2390" s="88"/>
      <c r="P2390" s="88"/>
      <c r="Q2390" s="88"/>
      <c r="R2390" s="88"/>
      <c r="S2390" s="88"/>
      <c r="T2390" s="88"/>
      <c r="U2390" s="88"/>
      <c r="V2390" s="88"/>
      <c r="W2390" s="88"/>
      <c r="X2390" s="88"/>
      <c r="Y2390" s="88"/>
      <c r="Z2390" s="88"/>
    </row>
    <row r="2391" ht="17.25" customHeight="1">
      <c r="A2391" s="88"/>
      <c r="B2391" s="88"/>
      <c r="C2391" s="88"/>
      <c r="D2391" s="88"/>
      <c r="E2391" s="88"/>
      <c r="F2391" s="89"/>
      <c r="G2391" s="89"/>
      <c r="H2391" s="89"/>
      <c r="I2391" s="88"/>
      <c r="J2391" s="88"/>
      <c r="K2391" s="88"/>
      <c r="L2391" s="88"/>
      <c r="M2391" s="88"/>
      <c r="N2391" s="88"/>
      <c r="O2391" s="88"/>
      <c r="P2391" s="88"/>
      <c r="Q2391" s="88"/>
      <c r="R2391" s="88"/>
      <c r="S2391" s="88"/>
      <c r="T2391" s="88"/>
      <c r="U2391" s="88"/>
      <c r="V2391" s="88"/>
      <c r="W2391" s="88"/>
      <c r="X2391" s="88"/>
      <c r="Y2391" s="88"/>
      <c r="Z2391" s="88"/>
    </row>
    <row r="2392" ht="17.25" customHeight="1">
      <c r="A2392" s="88"/>
      <c r="B2392" s="88"/>
      <c r="C2392" s="88"/>
      <c r="D2392" s="88"/>
      <c r="E2392" s="88"/>
      <c r="F2392" s="89"/>
      <c r="G2392" s="89"/>
      <c r="H2392" s="89"/>
      <c r="I2392" s="88"/>
      <c r="J2392" s="88"/>
      <c r="K2392" s="88"/>
      <c r="L2392" s="88"/>
      <c r="M2392" s="88"/>
      <c r="N2392" s="88"/>
      <c r="O2392" s="88"/>
      <c r="P2392" s="88"/>
      <c r="Q2392" s="88"/>
      <c r="R2392" s="88"/>
      <c r="S2392" s="88"/>
      <c r="T2392" s="88"/>
      <c r="U2392" s="88"/>
      <c r="V2392" s="88"/>
      <c r="W2392" s="88"/>
      <c r="X2392" s="88"/>
      <c r="Y2392" s="88"/>
      <c r="Z2392" s="88"/>
    </row>
    <row r="2393" ht="17.25" customHeight="1">
      <c r="A2393" s="88"/>
      <c r="B2393" s="88"/>
      <c r="C2393" s="88"/>
      <c r="D2393" s="88"/>
      <c r="E2393" s="88"/>
      <c r="F2393" s="89"/>
      <c r="G2393" s="89"/>
      <c r="H2393" s="89"/>
      <c r="I2393" s="88"/>
      <c r="J2393" s="88"/>
      <c r="K2393" s="88"/>
      <c r="L2393" s="88"/>
      <c r="M2393" s="88"/>
      <c r="N2393" s="88"/>
      <c r="O2393" s="88"/>
      <c r="P2393" s="88"/>
      <c r="Q2393" s="88"/>
      <c r="R2393" s="88"/>
      <c r="S2393" s="88"/>
      <c r="T2393" s="88"/>
      <c r="U2393" s="88"/>
      <c r="V2393" s="88"/>
      <c r="W2393" s="88"/>
      <c r="X2393" s="88"/>
      <c r="Y2393" s="88"/>
      <c r="Z2393" s="88"/>
    </row>
    <row r="2394" ht="17.25" customHeight="1">
      <c r="A2394" s="88"/>
      <c r="B2394" s="88"/>
      <c r="C2394" s="88"/>
      <c r="D2394" s="88"/>
      <c r="E2394" s="88"/>
      <c r="F2394" s="89"/>
      <c r="G2394" s="89"/>
      <c r="H2394" s="89"/>
      <c r="I2394" s="88"/>
      <c r="J2394" s="88"/>
      <c r="K2394" s="88"/>
      <c r="L2394" s="88"/>
      <c r="M2394" s="88"/>
      <c r="N2394" s="88"/>
      <c r="O2394" s="88"/>
      <c r="P2394" s="88"/>
      <c r="Q2394" s="88"/>
      <c r="R2394" s="88"/>
      <c r="S2394" s="88"/>
      <c r="T2394" s="88"/>
      <c r="U2394" s="88"/>
      <c r="V2394" s="88"/>
      <c r="W2394" s="88"/>
      <c r="X2394" s="88"/>
      <c r="Y2394" s="88"/>
      <c r="Z2394" s="88"/>
    </row>
    <row r="2395" ht="17.25" customHeight="1">
      <c r="A2395" s="88"/>
      <c r="B2395" s="88"/>
      <c r="C2395" s="88"/>
      <c r="D2395" s="88"/>
      <c r="E2395" s="88"/>
      <c r="F2395" s="89"/>
      <c r="G2395" s="89"/>
      <c r="H2395" s="89"/>
      <c r="I2395" s="88"/>
      <c r="J2395" s="88"/>
      <c r="K2395" s="88"/>
      <c r="L2395" s="88"/>
      <c r="M2395" s="88"/>
      <c r="N2395" s="88"/>
      <c r="O2395" s="88"/>
      <c r="P2395" s="88"/>
      <c r="Q2395" s="88"/>
      <c r="R2395" s="88"/>
      <c r="S2395" s="88"/>
      <c r="T2395" s="88"/>
      <c r="U2395" s="88"/>
      <c r="V2395" s="88"/>
      <c r="W2395" s="88"/>
      <c r="X2395" s="88"/>
      <c r="Y2395" s="88"/>
      <c r="Z2395" s="88"/>
    </row>
    <row r="2396" ht="17.25" customHeight="1">
      <c r="A2396" s="88"/>
      <c r="B2396" s="88"/>
      <c r="C2396" s="88"/>
      <c r="D2396" s="88"/>
      <c r="E2396" s="88"/>
      <c r="F2396" s="89"/>
      <c r="G2396" s="89"/>
      <c r="H2396" s="89"/>
      <c r="I2396" s="88"/>
      <c r="J2396" s="88"/>
      <c r="K2396" s="88"/>
      <c r="L2396" s="88"/>
      <c r="M2396" s="88"/>
      <c r="N2396" s="88"/>
      <c r="O2396" s="88"/>
      <c r="P2396" s="88"/>
      <c r="Q2396" s="88"/>
      <c r="R2396" s="88"/>
      <c r="S2396" s="88"/>
      <c r="T2396" s="88"/>
      <c r="U2396" s="88"/>
      <c r="V2396" s="88"/>
      <c r="W2396" s="88"/>
      <c r="X2396" s="88"/>
      <c r="Y2396" s="88"/>
      <c r="Z2396" s="88"/>
    </row>
    <row r="2397" ht="17.25" customHeight="1">
      <c r="A2397" s="88"/>
      <c r="B2397" s="88"/>
      <c r="C2397" s="88"/>
      <c r="D2397" s="88"/>
      <c r="E2397" s="88"/>
      <c r="F2397" s="89"/>
      <c r="G2397" s="89"/>
      <c r="H2397" s="89"/>
      <c r="I2397" s="88"/>
      <c r="J2397" s="88"/>
      <c r="K2397" s="88"/>
      <c r="L2397" s="88"/>
      <c r="M2397" s="88"/>
      <c r="N2397" s="88"/>
      <c r="O2397" s="88"/>
      <c r="P2397" s="88"/>
      <c r="Q2397" s="88"/>
      <c r="R2397" s="88"/>
      <c r="S2397" s="88"/>
      <c r="T2397" s="88"/>
      <c r="U2397" s="88"/>
      <c r="V2397" s="88"/>
      <c r="W2397" s="88"/>
      <c r="X2397" s="88"/>
      <c r="Y2397" s="88"/>
      <c r="Z2397" s="88"/>
    </row>
    <row r="2398" ht="17.25" customHeight="1">
      <c r="A2398" s="88"/>
      <c r="B2398" s="88"/>
      <c r="C2398" s="88"/>
      <c r="D2398" s="88"/>
      <c r="E2398" s="88"/>
      <c r="F2398" s="89"/>
      <c r="G2398" s="89"/>
      <c r="H2398" s="89"/>
      <c r="I2398" s="88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U2398" s="88"/>
      <c r="V2398" s="88"/>
      <c r="W2398" s="88"/>
      <c r="X2398" s="88"/>
      <c r="Y2398" s="88"/>
      <c r="Z2398" s="88"/>
    </row>
    <row r="2399" ht="17.25" customHeight="1">
      <c r="A2399" s="88"/>
      <c r="B2399" s="88"/>
      <c r="C2399" s="88"/>
      <c r="D2399" s="88"/>
      <c r="E2399" s="88"/>
      <c r="F2399" s="89"/>
      <c r="G2399" s="89"/>
      <c r="H2399" s="89"/>
      <c r="I2399" s="88"/>
      <c r="J2399" s="88"/>
      <c r="K2399" s="88"/>
      <c r="L2399" s="88"/>
      <c r="M2399" s="88"/>
      <c r="N2399" s="88"/>
      <c r="O2399" s="88"/>
      <c r="P2399" s="88"/>
      <c r="Q2399" s="88"/>
      <c r="R2399" s="88"/>
      <c r="S2399" s="88"/>
      <c r="T2399" s="88"/>
      <c r="U2399" s="88"/>
      <c r="V2399" s="88"/>
      <c r="W2399" s="88"/>
      <c r="X2399" s="88"/>
      <c r="Y2399" s="88"/>
      <c r="Z2399" s="88"/>
    </row>
    <row r="2400" ht="17.25" customHeight="1">
      <c r="A2400" s="88"/>
      <c r="B2400" s="88"/>
      <c r="C2400" s="88"/>
      <c r="D2400" s="88"/>
      <c r="E2400" s="88"/>
      <c r="F2400" s="89"/>
      <c r="G2400" s="89"/>
      <c r="H2400" s="89"/>
      <c r="I2400" s="88"/>
      <c r="J2400" s="88"/>
      <c r="K2400" s="88"/>
      <c r="L2400" s="88"/>
      <c r="M2400" s="88"/>
      <c r="N2400" s="88"/>
      <c r="O2400" s="88"/>
      <c r="P2400" s="88"/>
      <c r="Q2400" s="88"/>
      <c r="R2400" s="88"/>
      <c r="S2400" s="88"/>
      <c r="T2400" s="88"/>
      <c r="U2400" s="88"/>
      <c r="V2400" s="88"/>
      <c r="W2400" s="88"/>
      <c r="X2400" s="88"/>
      <c r="Y2400" s="88"/>
      <c r="Z2400" s="88"/>
    </row>
    <row r="2401" ht="17.25" customHeight="1">
      <c r="A2401" s="88"/>
      <c r="B2401" s="88"/>
      <c r="C2401" s="88"/>
      <c r="D2401" s="88"/>
      <c r="E2401" s="88"/>
      <c r="F2401" s="89"/>
      <c r="G2401" s="89"/>
      <c r="H2401" s="89"/>
      <c r="I2401" s="88"/>
      <c r="J2401" s="88"/>
      <c r="K2401" s="88"/>
      <c r="L2401" s="88"/>
      <c r="M2401" s="88"/>
      <c r="N2401" s="88"/>
      <c r="O2401" s="88"/>
      <c r="P2401" s="88"/>
      <c r="Q2401" s="88"/>
      <c r="R2401" s="88"/>
      <c r="S2401" s="88"/>
      <c r="T2401" s="88"/>
      <c r="U2401" s="88"/>
      <c r="V2401" s="88"/>
      <c r="W2401" s="88"/>
      <c r="X2401" s="88"/>
      <c r="Y2401" s="88"/>
      <c r="Z2401" s="88"/>
    </row>
    <row r="2402" ht="17.25" customHeight="1">
      <c r="A2402" s="88"/>
      <c r="B2402" s="88"/>
      <c r="C2402" s="88"/>
      <c r="D2402" s="88"/>
      <c r="E2402" s="88"/>
      <c r="F2402" s="89"/>
      <c r="G2402" s="89"/>
      <c r="H2402" s="89"/>
      <c r="I2402" s="88"/>
      <c r="J2402" s="88"/>
      <c r="K2402" s="88"/>
      <c r="L2402" s="88"/>
      <c r="M2402" s="88"/>
      <c r="N2402" s="88"/>
      <c r="O2402" s="88"/>
      <c r="P2402" s="88"/>
      <c r="Q2402" s="88"/>
      <c r="R2402" s="88"/>
      <c r="S2402" s="88"/>
      <c r="T2402" s="88"/>
      <c r="U2402" s="88"/>
      <c r="V2402" s="88"/>
      <c r="W2402" s="88"/>
      <c r="X2402" s="88"/>
      <c r="Y2402" s="88"/>
      <c r="Z2402" s="88"/>
    </row>
    <row r="2403" ht="17.25" customHeight="1">
      <c r="A2403" s="88"/>
      <c r="B2403" s="88"/>
      <c r="C2403" s="88"/>
      <c r="D2403" s="88"/>
      <c r="E2403" s="88"/>
      <c r="F2403" s="89"/>
      <c r="G2403" s="89"/>
      <c r="H2403" s="89"/>
      <c r="I2403" s="88"/>
      <c r="J2403" s="88"/>
      <c r="K2403" s="88"/>
      <c r="L2403" s="88"/>
      <c r="M2403" s="88"/>
      <c r="N2403" s="88"/>
      <c r="O2403" s="88"/>
      <c r="P2403" s="88"/>
      <c r="Q2403" s="88"/>
      <c r="R2403" s="88"/>
      <c r="S2403" s="88"/>
      <c r="T2403" s="88"/>
      <c r="U2403" s="88"/>
      <c r="V2403" s="88"/>
      <c r="W2403" s="88"/>
      <c r="X2403" s="88"/>
      <c r="Y2403" s="88"/>
      <c r="Z2403" s="88"/>
    </row>
    <row r="2404" ht="17.25" customHeight="1">
      <c r="A2404" s="88"/>
      <c r="B2404" s="88"/>
      <c r="C2404" s="88"/>
      <c r="D2404" s="88"/>
      <c r="E2404" s="88"/>
      <c r="F2404" s="89"/>
      <c r="G2404" s="89"/>
      <c r="H2404" s="89"/>
      <c r="I2404" s="88"/>
      <c r="J2404" s="88"/>
      <c r="K2404" s="88"/>
      <c r="L2404" s="88"/>
      <c r="M2404" s="88"/>
      <c r="N2404" s="88"/>
      <c r="O2404" s="88"/>
      <c r="P2404" s="88"/>
      <c r="Q2404" s="88"/>
      <c r="R2404" s="88"/>
      <c r="S2404" s="88"/>
      <c r="T2404" s="88"/>
      <c r="U2404" s="88"/>
      <c r="V2404" s="88"/>
      <c r="W2404" s="88"/>
      <c r="X2404" s="88"/>
      <c r="Y2404" s="88"/>
      <c r="Z2404" s="88"/>
    </row>
    <row r="2405" ht="17.25" customHeight="1">
      <c r="A2405" s="88"/>
      <c r="B2405" s="88"/>
      <c r="C2405" s="88"/>
      <c r="D2405" s="88"/>
      <c r="E2405" s="88"/>
      <c r="F2405" s="89"/>
      <c r="G2405" s="89"/>
      <c r="H2405" s="89"/>
      <c r="I2405" s="88"/>
      <c r="J2405" s="88"/>
      <c r="K2405" s="88"/>
      <c r="L2405" s="88"/>
      <c r="M2405" s="88"/>
      <c r="N2405" s="88"/>
      <c r="O2405" s="88"/>
      <c r="P2405" s="88"/>
      <c r="Q2405" s="88"/>
      <c r="R2405" s="88"/>
      <c r="S2405" s="88"/>
      <c r="T2405" s="88"/>
      <c r="U2405" s="88"/>
      <c r="V2405" s="88"/>
      <c r="W2405" s="88"/>
      <c r="X2405" s="88"/>
      <c r="Y2405" s="88"/>
      <c r="Z2405" s="88"/>
    </row>
    <row r="2406" ht="17.25" customHeight="1">
      <c r="A2406" s="88"/>
      <c r="B2406" s="88"/>
      <c r="C2406" s="88"/>
      <c r="D2406" s="88"/>
      <c r="E2406" s="88"/>
      <c r="F2406" s="89"/>
      <c r="G2406" s="89"/>
      <c r="H2406" s="89"/>
      <c r="I2406" s="88"/>
      <c r="J2406" s="88"/>
      <c r="K2406" s="88"/>
      <c r="L2406" s="88"/>
      <c r="M2406" s="88"/>
      <c r="N2406" s="88"/>
      <c r="O2406" s="88"/>
      <c r="P2406" s="88"/>
      <c r="Q2406" s="88"/>
      <c r="R2406" s="88"/>
      <c r="S2406" s="88"/>
      <c r="T2406" s="88"/>
      <c r="U2406" s="88"/>
      <c r="V2406" s="88"/>
      <c r="W2406" s="88"/>
      <c r="X2406" s="88"/>
      <c r="Y2406" s="88"/>
      <c r="Z2406" s="88"/>
    </row>
    <row r="2407" ht="17.25" customHeight="1">
      <c r="A2407" s="88"/>
      <c r="B2407" s="88"/>
      <c r="C2407" s="88"/>
      <c r="D2407" s="88"/>
      <c r="E2407" s="88"/>
      <c r="F2407" s="89"/>
      <c r="G2407" s="89"/>
      <c r="H2407" s="89"/>
      <c r="I2407" s="88"/>
      <c r="J2407" s="88"/>
      <c r="K2407" s="88"/>
      <c r="L2407" s="88"/>
      <c r="M2407" s="88"/>
      <c r="N2407" s="88"/>
      <c r="O2407" s="88"/>
      <c r="P2407" s="88"/>
      <c r="Q2407" s="88"/>
      <c r="R2407" s="88"/>
      <c r="S2407" s="88"/>
      <c r="T2407" s="88"/>
      <c r="U2407" s="88"/>
      <c r="V2407" s="88"/>
      <c r="W2407" s="88"/>
      <c r="X2407" s="88"/>
      <c r="Y2407" s="88"/>
      <c r="Z2407" s="88"/>
    </row>
    <row r="2408" ht="17.25" customHeight="1">
      <c r="A2408" s="88"/>
      <c r="B2408" s="88"/>
      <c r="C2408" s="88"/>
      <c r="D2408" s="88"/>
      <c r="E2408" s="88"/>
      <c r="F2408" s="89"/>
      <c r="G2408" s="89"/>
      <c r="H2408" s="89"/>
      <c r="I2408" s="88"/>
      <c r="J2408" s="88"/>
      <c r="K2408" s="88"/>
      <c r="L2408" s="88"/>
      <c r="M2408" s="88"/>
      <c r="N2408" s="88"/>
      <c r="O2408" s="88"/>
      <c r="P2408" s="88"/>
      <c r="Q2408" s="88"/>
      <c r="R2408" s="88"/>
      <c r="S2408" s="88"/>
      <c r="T2408" s="88"/>
      <c r="U2408" s="88"/>
      <c r="V2408" s="88"/>
      <c r="W2408" s="88"/>
      <c r="X2408" s="88"/>
      <c r="Y2408" s="88"/>
      <c r="Z2408" s="88"/>
    </row>
    <row r="2409" ht="17.25" customHeight="1">
      <c r="A2409" s="88"/>
      <c r="B2409" s="88"/>
      <c r="C2409" s="88"/>
      <c r="D2409" s="88"/>
      <c r="E2409" s="88"/>
      <c r="F2409" s="89"/>
      <c r="G2409" s="89"/>
      <c r="H2409" s="89"/>
      <c r="I2409" s="88"/>
      <c r="J2409" s="88"/>
      <c r="K2409" s="88"/>
      <c r="L2409" s="88"/>
      <c r="M2409" s="88"/>
      <c r="N2409" s="88"/>
      <c r="O2409" s="88"/>
      <c r="P2409" s="88"/>
      <c r="Q2409" s="88"/>
      <c r="R2409" s="88"/>
      <c r="S2409" s="88"/>
      <c r="T2409" s="88"/>
      <c r="U2409" s="88"/>
      <c r="V2409" s="88"/>
      <c r="W2409" s="88"/>
      <c r="X2409" s="88"/>
      <c r="Y2409" s="88"/>
      <c r="Z2409" s="88"/>
    </row>
    <row r="2410" ht="17.25" customHeight="1">
      <c r="A2410" s="88"/>
      <c r="B2410" s="88"/>
      <c r="C2410" s="88"/>
      <c r="D2410" s="88"/>
      <c r="E2410" s="88"/>
      <c r="F2410" s="89"/>
      <c r="G2410" s="89"/>
      <c r="H2410" s="89"/>
      <c r="I2410" s="88"/>
      <c r="J2410" s="88"/>
      <c r="K2410" s="88"/>
      <c r="L2410" s="88"/>
      <c r="M2410" s="88"/>
      <c r="N2410" s="88"/>
      <c r="O2410" s="88"/>
      <c r="P2410" s="88"/>
      <c r="Q2410" s="88"/>
      <c r="R2410" s="88"/>
      <c r="S2410" s="88"/>
      <c r="T2410" s="88"/>
      <c r="U2410" s="88"/>
      <c r="V2410" s="88"/>
      <c r="W2410" s="88"/>
      <c r="X2410" s="88"/>
      <c r="Y2410" s="88"/>
      <c r="Z2410" s="88"/>
    </row>
    <row r="2411" ht="17.25" customHeight="1">
      <c r="A2411" s="88"/>
      <c r="B2411" s="88"/>
      <c r="C2411" s="88"/>
      <c r="D2411" s="88"/>
      <c r="E2411" s="88"/>
      <c r="F2411" s="89"/>
      <c r="G2411" s="89"/>
      <c r="H2411" s="89"/>
      <c r="I2411" s="88"/>
      <c r="J2411" s="88"/>
      <c r="K2411" s="88"/>
      <c r="L2411" s="88"/>
      <c r="M2411" s="88"/>
      <c r="N2411" s="88"/>
      <c r="O2411" s="88"/>
      <c r="P2411" s="88"/>
      <c r="Q2411" s="88"/>
      <c r="R2411" s="88"/>
      <c r="S2411" s="88"/>
      <c r="T2411" s="88"/>
      <c r="U2411" s="88"/>
      <c r="V2411" s="88"/>
      <c r="W2411" s="88"/>
      <c r="X2411" s="88"/>
      <c r="Y2411" s="88"/>
      <c r="Z2411" s="88"/>
    </row>
    <row r="2412" ht="17.25" customHeight="1">
      <c r="A2412" s="88"/>
      <c r="B2412" s="88"/>
      <c r="C2412" s="88"/>
      <c r="D2412" s="88"/>
      <c r="E2412" s="88"/>
      <c r="F2412" s="89"/>
      <c r="G2412" s="89"/>
      <c r="H2412" s="89"/>
      <c r="I2412" s="88"/>
      <c r="J2412" s="88"/>
      <c r="K2412" s="88"/>
      <c r="L2412" s="88"/>
      <c r="M2412" s="88"/>
      <c r="N2412" s="88"/>
      <c r="O2412" s="88"/>
      <c r="P2412" s="88"/>
      <c r="Q2412" s="88"/>
      <c r="R2412" s="88"/>
      <c r="S2412" s="88"/>
      <c r="T2412" s="88"/>
      <c r="U2412" s="88"/>
      <c r="V2412" s="88"/>
      <c r="W2412" s="88"/>
      <c r="X2412" s="88"/>
      <c r="Y2412" s="88"/>
      <c r="Z2412" s="88"/>
    </row>
    <row r="2413" ht="17.25" customHeight="1">
      <c r="A2413" s="88"/>
      <c r="B2413" s="88"/>
      <c r="C2413" s="88"/>
      <c r="D2413" s="88"/>
      <c r="E2413" s="88"/>
      <c r="F2413" s="89"/>
      <c r="G2413" s="89"/>
      <c r="H2413" s="89"/>
      <c r="I2413" s="88"/>
      <c r="J2413" s="88"/>
      <c r="K2413" s="88"/>
      <c r="L2413" s="88"/>
      <c r="M2413" s="88"/>
      <c r="N2413" s="88"/>
      <c r="O2413" s="88"/>
      <c r="P2413" s="88"/>
      <c r="Q2413" s="88"/>
      <c r="R2413" s="88"/>
      <c r="S2413" s="88"/>
      <c r="T2413" s="88"/>
      <c r="U2413" s="88"/>
      <c r="V2413" s="88"/>
      <c r="W2413" s="88"/>
      <c r="X2413" s="88"/>
      <c r="Y2413" s="88"/>
      <c r="Z2413" s="88"/>
    </row>
    <row r="2414" ht="17.25" customHeight="1">
      <c r="A2414" s="88"/>
      <c r="B2414" s="88"/>
      <c r="C2414" s="88"/>
      <c r="D2414" s="88"/>
      <c r="E2414" s="88"/>
      <c r="F2414" s="89"/>
      <c r="G2414" s="89"/>
      <c r="H2414" s="89"/>
      <c r="I2414" s="88"/>
      <c r="J2414" s="88"/>
      <c r="K2414" s="88"/>
      <c r="L2414" s="88"/>
      <c r="M2414" s="88"/>
      <c r="N2414" s="88"/>
      <c r="O2414" s="88"/>
      <c r="P2414" s="88"/>
      <c r="Q2414" s="88"/>
      <c r="R2414" s="88"/>
      <c r="S2414" s="88"/>
      <c r="T2414" s="88"/>
      <c r="U2414" s="88"/>
      <c r="V2414" s="88"/>
      <c r="W2414" s="88"/>
      <c r="X2414" s="88"/>
      <c r="Y2414" s="88"/>
      <c r="Z2414" s="88"/>
    </row>
    <row r="2415" ht="17.25" customHeight="1">
      <c r="A2415" s="88"/>
      <c r="B2415" s="88"/>
      <c r="C2415" s="88"/>
      <c r="D2415" s="88"/>
      <c r="E2415" s="88"/>
      <c r="F2415" s="89"/>
      <c r="G2415" s="89"/>
      <c r="H2415" s="89"/>
      <c r="I2415" s="88"/>
      <c r="J2415" s="88"/>
      <c r="K2415" s="88"/>
      <c r="L2415" s="88"/>
      <c r="M2415" s="88"/>
      <c r="N2415" s="88"/>
      <c r="O2415" s="88"/>
      <c r="P2415" s="88"/>
      <c r="Q2415" s="88"/>
      <c r="R2415" s="88"/>
      <c r="S2415" s="88"/>
      <c r="T2415" s="88"/>
      <c r="U2415" s="88"/>
      <c r="V2415" s="88"/>
      <c r="W2415" s="88"/>
      <c r="X2415" s="88"/>
      <c r="Y2415" s="88"/>
      <c r="Z2415" s="88"/>
    </row>
    <row r="2416" ht="17.25" customHeight="1">
      <c r="A2416" s="88"/>
      <c r="B2416" s="88"/>
      <c r="C2416" s="88"/>
      <c r="D2416" s="88"/>
      <c r="E2416" s="88"/>
      <c r="F2416" s="89"/>
      <c r="G2416" s="89"/>
      <c r="H2416" s="89"/>
      <c r="I2416" s="88"/>
      <c r="J2416" s="88"/>
      <c r="K2416" s="88"/>
      <c r="L2416" s="88"/>
      <c r="M2416" s="88"/>
      <c r="N2416" s="88"/>
      <c r="O2416" s="88"/>
      <c r="P2416" s="88"/>
      <c r="Q2416" s="88"/>
      <c r="R2416" s="88"/>
      <c r="S2416" s="88"/>
      <c r="T2416" s="88"/>
      <c r="U2416" s="88"/>
      <c r="V2416" s="88"/>
      <c r="W2416" s="88"/>
      <c r="X2416" s="88"/>
      <c r="Y2416" s="88"/>
      <c r="Z2416" s="88"/>
    </row>
    <row r="2417" ht="17.25" customHeight="1">
      <c r="A2417" s="88"/>
      <c r="B2417" s="88"/>
      <c r="C2417" s="88"/>
      <c r="D2417" s="88"/>
      <c r="E2417" s="88"/>
      <c r="F2417" s="89"/>
      <c r="G2417" s="89"/>
      <c r="H2417" s="89"/>
      <c r="I2417" s="88"/>
      <c r="J2417" s="88"/>
      <c r="K2417" s="88"/>
      <c r="L2417" s="88"/>
      <c r="M2417" s="88"/>
      <c r="N2417" s="88"/>
      <c r="O2417" s="88"/>
      <c r="P2417" s="88"/>
      <c r="Q2417" s="88"/>
      <c r="R2417" s="88"/>
      <c r="S2417" s="88"/>
      <c r="T2417" s="88"/>
      <c r="U2417" s="88"/>
      <c r="V2417" s="88"/>
      <c r="W2417" s="88"/>
      <c r="X2417" s="88"/>
      <c r="Y2417" s="88"/>
      <c r="Z2417" s="88"/>
    </row>
    <row r="2418" ht="17.25" customHeight="1">
      <c r="A2418" s="88"/>
      <c r="B2418" s="88"/>
      <c r="C2418" s="88"/>
      <c r="D2418" s="88"/>
      <c r="E2418" s="88"/>
      <c r="F2418" s="89"/>
      <c r="G2418" s="89"/>
      <c r="H2418" s="89"/>
      <c r="I2418" s="88"/>
      <c r="J2418" s="88"/>
      <c r="K2418" s="88"/>
      <c r="L2418" s="88"/>
      <c r="M2418" s="88"/>
      <c r="N2418" s="88"/>
      <c r="O2418" s="88"/>
      <c r="P2418" s="88"/>
      <c r="Q2418" s="88"/>
      <c r="R2418" s="88"/>
      <c r="S2418" s="88"/>
      <c r="T2418" s="88"/>
      <c r="U2418" s="88"/>
      <c r="V2418" s="88"/>
      <c r="W2418" s="88"/>
      <c r="X2418" s="88"/>
      <c r="Y2418" s="88"/>
      <c r="Z2418" s="88"/>
    </row>
    <row r="2419" ht="17.25" customHeight="1">
      <c r="A2419" s="88"/>
      <c r="B2419" s="88"/>
      <c r="C2419" s="88"/>
      <c r="D2419" s="88"/>
      <c r="E2419" s="88"/>
      <c r="F2419" s="89"/>
      <c r="G2419" s="89"/>
      <c r="H2419" s="89"/>
      <c r="I2419" s="88"/>
      <c r="J2419" s="88"/>
      <c r="K2419" s="88"/>
      <c r="L2419" s="88"/>
      <c r="M2419" s="88"/>
      <c r="N2419" s="88"/>
      <c r="O2419" s="88"/>
      <c r="P2419" s="88"/>
      <c r="Q2419" s="88"/>
      <c r="R2419" s="88"/>
      <c r="S2419" s="88"/>
      <c r="T2419" s="88"/>
      <c r="U2419" s="88"/>
      <c r="V2419" s="88"/>
      <c r="W2419" s="88"/>
      <c r="X2419" s="88"/>
      <c r="Y2419" s="88"/>
      <c r="Z2419" s="88"/>
    </row>
    <row r="2420" ht="17.25" customHeight="1">
      <c r="A2420" s="88"/>
      <c r="B2420" s="88"/>
      <c r="C2420" s="88"/>
      <c r="D2420" s="88"/>
      <c r="E2420" s="88"/>
      <c r="F2420" s="89"/>
      <c r="G2420" s="89"/>
      <c r="H2420" s="89"/>
      <c r="I2420" s="88"/>
      <c r="J2420" s="88"/>
      <c r="K2420" s="88"/>
      <c r="L2420" s="88"/>
      <c r="M2420" s="88"/>
      <c r="N2420" s="88"/>
      <c r="O2420" s="88"/>
      <c r="P2420" s="88"/>
      <c r="Q2420" s="88"/>
      <c r="R2420" s="88"/>
      <c r="S2420" s="88"/>
      <c r="T2420" s="88"/>
      <c r="U2420" s="88"/>
      <c r="V2420" s="88"/>
      <c r="W2420" s="88"/>
      <c r="X2420" s="88"/>
      <c r="Y2420" s="88"/>
      <c r="Z2420" s="88"/>
    </row>
    <row r="2421" ht="17.25" customHeight="1">
      <c r="A2421" s="88"/>
      <c r="B2421" s="88"/>
      <c r="C2421" s="88"/>
      <c r="D2421" s="88"/>
      <c r="E2421" s="88"/>
      <c r="F2421" s="89"/>
      <c r="G2421" s="89"/>
      <c r="H2421" s="89"/>
      <c r="I2421" s="88"/>
      <c r="J2421" s="88"/>
      <c r="K2421" s="88"/>
      <c r="L2421" s="88"/>
      <c r="M2421" s="88"/>
      <c r="N2421" s="88"/>
      <c r="O2421" s="88"/>
      <c r="P2421" s="88"/>
      <c r="Q2421" s="88"/>
      <c r="R2421" s="88"/>
      <c r="S2421" s="88"/>
      <c r="T2421" s="88"/>
      <c r="U2421" s="88"/>
      <c r="V2421" s="88"/>
      <c r="W2421" s="88"/>
      <c r="X2421" s="88"/>
      <c r="Y2421" s="88"/>
      <c r="Z2421" s="88"/>
    </row>
    <row r="2422" ht="17.25" customHeight="1">
      <c r="A2422" s="88"/>
      <c r="B2422" s="88"/>
      <c r="C2422" s="88"/>
      <c r="D2422" s="88"/>
      <c r="E2422" s="88"/>
      <c r="F2422" s="89"/>
      <c r="G2422" s="89"/>
      <c r="H2422" s="89"/>
      <c r="I2422" s="88"/>
      <c r="J2422" s="88"/>
      <c r="K2422" s="88"/>
      <c r="L2422" s="88"/>
      <c r="M2422" s="88"/>
      <c r="N2422" s="88"/>
      <c r="O2422" s="88"/>
      <c r="P2422" s="88"/>
      <c r="Q2422" s="88"/>
      <c r="R2422" s="88"/>
      <c r="S2422" s="88"/>
      <c r="T2422" s="88"/>
      <c r="U2422" s="88"/>
      <c r="V2422" s="88"/>
      <c r="W2422" s="88"/>
      <c r="X2422" s="88"/>
      <c r="Y2422" s="88"/>
      <c r="Z2422" s="88"/>
    </row>
    <row r="2423" ht="17.25" customHeight="1">
      <c r="A2423" s="88"/>
      <c r="B2423" s="88"/>
      <c r="C2423" s="88"/>
      <c r="D2423" s="88"/>
      <c r="E2423" s="88"/>
      <c r="F2423" s="89"/>
      <c r="G2423" s="89"/>
      <c r="H2423" s="89"/>
      <c r="I2423" s="88"/>
      <c r="J2423" s="88"/>
      <c r="K2423" s="88"/>
      <c r="L2423" s="88"/>
      <c r="M2423" s="88"/>
      <c r="N2423" s="88"/>
      <c r="O2423" s="88"/>
      <c r="P2423" s="88"/>
      <c r="Q2423" s="88"/>
      <c r="R2423" s="88"/>
      <c r="S2423" s="88"/>
      <c r="T2423" s="88"/>
      <c r="U2423" s="88"/>
      <c r="V2423" s="88"/>
      <c r="W2423" s="88"/>
      <c r="X2423" s="88"/>
      <c r="Y2423" s="88"/>
      <c r="Z2423" s="88"/>
    </row>
    <row r="2424" ht="17.25" customHeight="1">
      <c r="A2424" s="88"/>
      <c r="B2424" s="88"/>
      <c r="C2424" s="88"/>
      <c r="D2424" s="88"/>
      <c r="E2424" s="88"/>
      <c r="F2424" s="89"/>
      <c r="G2424" s="89"/>
      <c r="H2424" s="89"/>
      <c r="I2424" s="88"/>
      <c r="J2424" s="88"/>
      <c r="K2424" s="88"/>
      <c r="L2424" s="88"/>
      <c r="M2424" s="88"/>
      <c r="N2424" s="88"/>
      <c r="O2424" s="88"/>
      <c r="P2424" s="88"/>
      <c r="Q2424" s="88"/>
      <c r="R2424" s="88"/>
      <c r="S2424" s="88"/>
      <c r="T2424" s="88"/>
      <c r="U2424" s="88"/>
      <c r="V2424" s="88"/>
      <c r="W2424" s="88"/>
      <c r="X2424" s="88"/>
      <c r="Y2424" s="88"/>
      <c r="Z2424" s="88"/>
    </row>
    <row r="2425" ht="17.25" customHeight="1">
      <c r="A2425" s="88"/>
      <c r="B2425" s="88"/>
      <c r="C2425" s="88"/>
      <c r="D2425" s="88"/>
      <c r="E2425" s="88"/>
      <c r="F2425" s="89"/>
      <c r="G2425" s="89"/>
      <c r="H2425" s="89"/>
      <c r="I2425" s="88"/>
      <c r="J2425" s="88"/>
      <c r="K2425" s="88"/>
      <c r="L2425" s="88"/>
      <c r="M2425" s="88"/>
      <c r="N2425" s="88"/>
      <c r="O2425" s="88"/>
      <c r="P2425" s="88"/>
      <c r="Q2425" s="88"/>
      <c r="R2425" s="88"/>
      <c r="S2425" s="88"/>
      <c r="T2425" s="88"/>
      <c r="U2425" s="88"/>
      <c r="V2425" s="88"/>
      <c r="W2425" s="88"/>
      <c r="X2425" s="88"/>
      <c r="Y2425" s="88"/>
      <c r="Z2425" s="88"/>
    </row>
    <row r="2426" ht="17.25" customHeight="1">
      <c r="A2426" s="88"/>
      <c r="B2426" s="88"/>
      <c r="C2426" s="88"/>
      <c r="D2426" s="88"/>
      <c r="E2426" s="88"/>
      <c r="F2426" s="89"/>
      <c r="G2426" s="89"/>
      <c r="H2426" s="89"/>
      <c r="I2426" s="88"/>
      <c r="J2426" s="88"/>
      <c r="K2426" s="88"/>
      <c r="L2426" s="88"/>
      <c r="M2426" s="88"/>
      <c r="N2426" s="88"/>
      <c r="O2426" s="88"/>
      <c r="P2426" s="88"/>
      <c r="Q2426" s="88"/>
      <c r="R2426" s="88"/>
      <c r="S2426" s="88"/>
      <c r="T2426" s="88"/>
      <c r="U2426" s="88"/>
      <c r="V2426" s="88"/>
      <c r="W2426" s="88"/>
      <c r="X2426" s="88"/>
      <c r="Y2426" s="88"/>
      <c r="Z2426" s="88"/>
    </row>
    <row r="2427" ht="17.25" customHeight="1">
      <c r="A2427" s="88"/>
      <c r="B2427" s="88"/>
      <c r="C2427" s="88"/>
      <c r="D2427" s="88"/>
      <c r="E2427" s="88"/>
      <c r="F2427" s="89"/>
      <c r="G2427" s="89"/>
      <c r="H2427" s="89"/>
      <c r="I2427" s="88"/>
      <c r="J2427" s="88"/>
      <c r="K2427" s="88"/>
      <c r="L2427" s="88"/>
      <c r="M2427" s="88"/>
      <c r="N2427" s="88"/>
      <c r="O2427" s="88"/>
      <c r="P2427" s="88"/>
      <c r="Q2427" s="88"/>
      <c r="R2427" s="88"/>
      <c r="S2427" s="88"/>
      <c r="T2427" s="88"/>
      <c r="U2427" s="88"/>
      <c r="V2427" s="88"/>
      <c r="W2427" s="88"/>
      <c r="X2427" s="88"/>
      <c r="Y2427" s="88"/>
      <c r="Z2427" s="88"/>
    </row>
    <row r="2428" ht="17.25" customHeight="1">
      <c r="A2428" s="88"/>
      <c r="B2428" s="88"/>
      <c r="C2428" s="88"/>
      <c r="D2428" s="88"/>
      <c r="E2428" s="88"/>
      <c r="F2428" s="89"/>
      <c r="G2428" s="89"/>
      <c r="H2428" s="89"/>
      <c r="I2428" s="88"/>
      <c r="J2428" s="88"/>
      <c r="K2428" s="88"/>
      <c r="L2428" s="88"/>
      <c r="M2428" s="88"/>
      <c r="N2428" s="88"/>
      <c r="O2428" s="88"/>
      <c r="P2428" s="88"/>
      <c r="Q2428" s="88"/>
      <c r="R2428" s="88"/>
      <c r="S2428" s="88"/>
      <c r="T2428" s="88"/>
      <c r="U2428" s="88"/>
      <c r="V2428" s="88"/>
      <c r="W2428" s="88"/>
      <c r="X2428" s="88"/>
      <c r="Y2428" s="88"/>
      <c r="Z2428" s="88"/>
    </row>
    <row r="2429" ht="17.25" customHeight="1">
      <c r="A2429" s="88"/>
      <c r="B2429" s="88"/>
      <c r="C2429" s="88"/>
      <c r="D2429" s="88"/>
      <c r="E2429" s="88"/>
      <c r="F2429" s="89"/>
      <c r="G2429" s="89"/>
      <c r="H2429" s="89"/>
      <c r="I2429" s="88"/>
      <c r="J2429" s="88"/>
      <c r="K2429" s="88"/>
      <c r="L2429" s="88"/>
      <c r="M2429" s="88"/>
      <c r="N2429" s="88"/>
      <c r="O2429" s="88"/>
      <c r="P2429" s="88"/>
      <c r="Q2429" s="88"/>
      <c r="R2429" s="88"/>
      <c r="S2429" s="88"/>
      <c r="T2429" s="88"/>
      <c r="U2429" s="88"/>
      <c r="V2429" s="88"/>
      <c r="W2429" s="88"/>
      <c r="X2429" s="88"/>
      <c r="Y2429" s="88"/>
      <c r="Z2429" s="88"/>
    </row>
    <row r="2430" ht="17.25" customHeight="1">
      <c r="A2430" s="88"/>
      <c r="B2430" s="88"/>
      <c r="C2430" s="88"/>
      <c r="D2430" s="88"/>
      <c r="E2430" s="88"/>
      <c r="F2430" s="89"/>
      <c r="G2430" s="89"/>
      <c r="H2430" s="89"/>
      <c r="I2430" s="88"/>
      <c r="J2430" s="88"/>
      <c r="K2430" s="88"/>
      <c r="L2430" s="88"/>
      <c r="M2430" s="88"/>
      <c r="N2430" s="88"/>
      <c r="O2430" s="88"/>
      <c r="P2430" s="88"/>
      <c r="Q2430" s="88"/>
      <c r="R2430" s="88"/>
      <c r="S2430" s="88"/>
      <c r="T2430" s="88"/>
      <c r="U2430" s="88"/>
      <c r="V2430" s="88"/>
      <c r="W2430" s="88"/>
      <c r="X2430" s="88"/>
      <c r="Y2430" s="88"/>
      <c r="Z2430" s="88"/>
    </row>
    <row r="2431" ht="17.25" customHeight="1">
      <c r="A2431" s="88"/>
      <c r="B2431" s="88"/>
      <c r="C2431" s="88"/>
      <c r="D2431" s="88"/>
      <c r="E2431" s="88"/>
      <c r="F2431" s="89"/>
      <c r="G2431" s="89"/>
      <c r="H2431" s="89"/>
      <c r="I2431" s="88"/>
      <c r="J2431" s="88"/>
      <c r="K2431" s="88"/>
      <c r="L2431" s="88"/>
      <c r="M2431" s="88"/>
      <c r="N2431" s="88"/>
      <c r="O2431" s="88"/>
      <c r="P2431" s="88"/>
      <c r="Q2431" s="88"/>
      <c r="R2431" s="88"/>
      <c r="S2431" s="88"/>
      <c r="T2431" s="88"/>
      <c r="U2431" s="88"/>
      <c r="V2431" s="88"/>
      <c r="W2431" s="88"/>
      <c r="X2431" s="88"/>
      <c r="Y2431" s="88"/>
      <c r="Z2431" s="88"/>
    </row>
    <row r="2432" ht="17.25" customHeight="1">
      <c r="A2432" s="88"/>
      <c r="B2432" s="88"/>
      <c r="C2432" s="88"/>
      <c r="D2432" s="88"/>
      <c r="E2432" s="88"/>
      <c r="F2432" s="89"/>
      <c r="G2432" s="89"/>
      <c r="H2432" s="89"/>
      <c r="I2432" s="88"/>
      <c r="J2432" s="88"/>
      <c r="K2432" s="88"/>
      <c r="L2432" s="88"/>
      <c r="M2432" s="88"/>
      <c r="N2432" s="88"/>
      <c r="O2432" s="88"/>
      <c r="P2432" s="88"/>
      <c r="Q2432" s="88"/>
      <c r="R2432" s="88"/>
      <c r="S2432" s="88"/>
      <c r="T2432" s="88"/>
      <c r="U2432" s="88"/>
      <c r="V2432" s="88"/>
      <c r="W2432" s="88"/>
      <c r="X2432" s="88"/>
      <c r="Y2432" s="88"/>
      <c r="Z2432" s="88"/>
    </row>
    <row r="2433" ht="17.25" customHeight="1">
      <c r="A2433" s="88"/>
      <c r="B2433" s="88"/>
      <c r="C2433" s="88"/>
      <c r="D2433" s="88"/>
      <c r="E2433" s="88"/>
      <c r="F2433" s="89"/>
      <c r="G2433" s="89"/>
      <c r="H2433" s="89"/>
      <c r="I2433" s="88"/>
      <c r="J2433" s="88"/>
      <c r="K2433" s="88"/>
      <c r="L2433" s="88"/>
      <c r="M2433" s="88"/>
      <c r="N2433" s="88"/>
      <c r="O2433" s="88"/>
      <c r="P2433" s="88"/>
      <c r="Q2433" s="88"/>
      <c r="R2433" s="88"/>
      <c r="S2433" s="88"/>
      <c r="T2433" s="88"/>
      <c r="U2433" s="88"/>
      <c r="V2433" s="88"/>
      <c r="W2433" s="88"/>
      <c r="X2433" s="88"/>
      <c r="Y2433" s="88"/>
      <c r="Z2433" s="88"/>
    </row>
    <row r="2434" ht="17.25" customHeight="1">
      <c r="A2434" s="88"/>
      <c r="B2434" s="88"/>
      <c r="C2434" s="88"/>
      <c r="D2434" s="88"/>
      <c r="E2434" s="88"/>
      <c r="F2434" s="89"/>
      <c r="G2434" s="89"/>
      <c r="H2434" s="89"/>
      <c r="I2434" s="88"/>
      <c r="J2434" s="88"/>
      <c r="K2434" s="88"/>
      <c r="L2434" s="88"/>
      <c r="M2434" s="88"/>
      <c r="N2434" s="88"/>
      <c r="O2434" s="88"/>
      <c r="P2434" s="88"/>
      <c r="Q2434" s="88"/>
      <c r="R2434" s="88"/>
      <c r="S2434" s="88"/>
      <c r="T2434" s="88"/>
      <c r="U2434" s="88"/>
      <c r="V2434" s="88"/>
      <c r="W2434" s="88"/>
      <c r="X2434" s="88"/>
      <c r="Y2434" s="88"/>
      <c r="Z2434" s="88"/>
    </row>
    <row r="2435" ht="17.25" customHeight="1">
      <c r="A2435" s="88"/>
      <c r="B2435" s="88"/>
      <c r="C2435" s="88"/>
      <c r="D2435" s="88"/>
      <c r="E2435" s="88"/>
      <c r="F2435" s="89"/>
      <c r="G2435" s="89"/>
      <c r="H2435" s="89"/>
      <c r="I2435" s="88"/>
      <c r="J2435" s="88"/>
      <c r="K2435" s="88"/>
      <c r="L2435" s="88"/>
      <c r="M2435" s="88"/>
      <c r="N2435" s="88"/>
      <c r="O2435" s="88"/>
      <c r="P2435" s="88"/>
      <c r="Q2435" s="88"/>
      <c r="R2435" s="88"/>
      <c r="S2435" s="88"/>
      <c r="T2435" s="88"/>
      <c r="U2435" s="88"/>
      <c r="V2435" s="88"/>
      <c r="W2435" s="88"/>
      <c r="X2435" s="88"/>
      <c r="Y2435" s="88"/>
      <c r="Z2435" s="88"/>
    </row>
    <row r="2436" ht="17.25" customHeight="1">
      <c r="A2436" s="88"/>
      <c r="B2436" s="88"/>
      <c r="C2436" s="88"/>
      <c r="D2436" s="88"/>
      <c r="E2436" s="88"/>
      <c r="F2436" s="89"/>
      <c r="G2436" s="89"/>
      <c r="H2436" s="89"/>
      <c r="I2436" s="88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U2436" s="88"/>
      <c r="V2436" s="88"/>
      <c r="W2436" s="88"/>
      <c r="X2436" s="88"/>
      <c r="Y2436" s="88"/>
      <c r="Z2436" s="88"/>
    </row>
    <row r="2437" ht="17.25" customHeight="1">
      <c r="A2437" s="88"/>
      <c r="B2437" s="88"/>
      <c r="C2437" s="88"/>
      <c r="D2437" s="88"/>
      <c r="E2437" s="88"/>
      <c r="F2437" s="89"/>
      <c r="G2437" s="89"/>
      <c r="H2437" s="89"/>
      <c r="I2437" s="88"/>
      <c r="J2437" s="88"/>
      <c r="K2437" s="88"/>
      <c r="L2437" s="88"/>
      <c r="M2437" s="88"/>
      <c r="N2437" s="88"/>
      <c r="O2437" s="88"/>
      <c r="P2437" s="88"/>
      <c r="Q2437" s="88"/>
      <c r="R2437" s="88"/>
      <c r="S2437" s="88"/>
      <c r="T2437" s="88"/>
      <c r="U2437" s="88"/>
      <c r="V2437" s="88"/>
      <c r="W2437" s="88"/>
      <c r="X2437" s="88"/>
      <c r="Y2437" s="88"/>
      <c r="Z2437" s="88"/>
    </row>
    <row r="2438" ht="17.25" customHeight="1">
      <c r="A2438" s="88"/>
      <c r="B2438" s="88"/>
      <c r="C2438" s="88"/>
      <c r="D2438" s="88"/>
      <c r="E2438" s="88"/>
      <c r="F2438" s="89"/>
      <c r="G2438" s="89"/>
      <c r="H2438" s="89"/>
      <c r="I2438" s="88"/>
      <c r="J2438" s="88"/>
      <c r="K2438" s="88"/>
      <c r="L2438" s="88"/>
      <c r="M2438" s="88"/>
      <c r="N2438" s="88"/>
      <c r="O2438" s="88"/>
      <c r="P2438" s="88"/>
      <c r="Q2438" s="88"/>
      <c r="R2438" s="88"/>
      <c r="S2438" s="88"/>
      <c r="T2438" s="88"/>
      <c r="U2438" s="88"/>
      <c r="V2438" s="88"/>
      <c r="W2438" s="88"/>
      <c r="X2438" s="88"/>
      <c r="Y2438" s="88"/>
      <c r="Z2438" s="88"/>
    </row>
    <row r="2439" ht="17.25" customHeight="1">
      <c r="A2439" s="88"/>
      <c r="B2439" s="88"/>
      <c r="C2439" s="88"/>
      <c r="D2439" s="88"/>
      <c r="E2439" s="88"/>
      <c r="F2439" s="89"/>
      <c r="G2439" s="89"/>
      <c r="H2439" s="89"/>
      <c r="I2439" s="88"/>
      <c r="J2439" s="88"/>
      <c r="K2439" s="88"/>
      <c r="L2439" s="88"/>
      <c r="M2439" s="88"/>
      <c r="N2439" s="88"/>
      <c r="O2439" s="88"/>
      <c r="P2439" s="88"/>
      <c r="Q2439" s="88"/>
      <c r="R2439" s="88"/>
      <c r="S2439" s="88"/>
      <c r="T2439" s="88"/>
      <c r="U2439" s="88"/>
      <c r="V2439" s="88"/>
      <c r="W2439" s="88"/>
      <c r="X2439" s="88"/>
      <c r="Y2439" s="88"/>
      <c r="Z2439" s="88"/>
    </row>
    <row r="2440" ht="17.25" customHeight="1">
      <c r="A2440" s="88"/>
      <c r="B2440" s="88"/>
      <c r="C2440" s="88"/>
      <c r="D2440" s="88"/>
      <c r="E2440" s="88"/>
      <c r="F2440" s="89"/>
      <c r="G2440" s="89"/>
      <c r="H2440" s="89"/>
      <c r="I2440" s="88"/>
      <c r="J2440" s="88"/>
      <c r="K2440" s="88"/>
      <c r="L2440" s="88"/>
      <c r="M2440" s="88"/>
      <c r="N2440" s="88"/>
      <c r="O2440" s="88"/>
      <c r="P2440" s="88"/>
      <c r="Q2440" s="88"/>
      <c r="R2440" s="88"/>
      <c r="S2440" s="88"/>
      <c r="T2440" s="88"/>
      <c r="U2440" s="88"/>
      <c r="V2440" s="88"/>
      <c r="W2440" s="88"/>
      <c r="X2440" s="88"/>
      <c r="Y2440" s="88"/>
      <c r="Z2440" s="88"/>
    </row>
    <row r="2441" ht="17.25" customHeight="1">
      <c r="A2441" s="88"/>
      <c r="B2441" s="88"/>
      <c r="C2441" s="88"/>
      <c r="D2441" s="88"/>
      <c r="E2441" s="88"/>
      <c r="F2441" s="89"/>
      <c r="G2441" s="89"/>
      <c r="H2441" s="89"/>
      <c r="I2441" s="88"/>
      <c r="J2441" s="88"/>
      <c r="K2441" s="88"/>
      <c r="L2441" s="88"/>
      <c r="M2441" s="88"/>
      <c r="N2441" s="88"/>
      <c r="O2441" s="88"/>
      <c r="P2441" s="88"/>
      <c r="Q2441" s="88"/>
      <c r="R2441" s="88"/>
      <c r="S2441" s="88"/>
      <c r="T2441" s="88"/>
      <c r="U2441" s="88"/>
      <c r="V2441" s="88"/>
      <c r="W2441" s="88"/>
      <c r="X2441" s="88"/>
      <c r="Y2441" s="88"/>
      <c r="Z2441" s="88"/>
    </row>
    <row r="2442" ht="17.25" customHeight="1">
      <c r="A2442" s="88"/>
      <c r="B2442" s="88"/>
      <c r="C2442" s="88"/>
      <c r="D2442" s="88"/>
      <c r="E2442" s="88"/>
      <c r="F2442" s="89"/>
      <c r="G2442" s="89"/>
      <c r="H2442" s="89"/>
      <c r="I2442" s="88"/>
      <c r="J2442" s="88"/>
      <c r="K2442" s="88"/>
      <c r="L2442" s="88"/>
      <c r="M2442" s="88"/>
      <c r="N2442" s="88"/>
      <c r="O2442" s="88"/>
      <c r="P2442" s="88"/>
      <c r="Q2442" s="88"/>
      <c r="R2442" s="88"/>
      <c r="S2442" s="88"/>
      <c r="T2442" s="88"/>
      <c r="U2442" s="88"/>
      <c r="V2442" s="88"/>
      <c r="W2442" s="88"/>
      <c r="X2442" s="88"/>
      <c r="Y2442" s="88"/>
      <c r="Z2442" s="88"/>
    </row>
    <row r="2443" ht="17.25" customHeight="1">
      <c r="A2443" s="88"/>
      <c r="B2443" s="88"/>
      <c r="C2443" s="88"/>
      <c r="D2443" s="88"/>
      <c r="E2443" s="88"/>
      <c r="F2443" s="89"/>
      <c r="G2443" s="89"/>
      <c r="H2443" s="89"/>
      <c r="I2443" s="88"/>
      <c r="J2443" s="88"/>
      <c r="K2443" s="88"/>
      <c r="L2443" s="88"/>
      <c r="M2443" s="88"/>
      <c r="N2443" s="88"/>
      <c r="O2443" s="88"/>
      <c r="P2443" s="88"/>
      <c r="Q2443" s="88"/>
      <c r="R2443" s="88"/>
      <c r="S2443" s="88"/>
      <c r="T2443" s="88"/>
      <c r="U2443" s="88"/>
      <c r="V2443" s="88"/>
      <c r="W2443" s="88"/>
      <c r="X2443" s="88"/>
      <c r="Y2443" s="88"/>
      <c r="Z2443" s="88"/>
    </row>
    <row r="2444" ht="17.25" customHeight="1">
      <c r="A2444" s="88"/>
      <c r="B2444" s="88"/>
      <c r="C2444" s="88"/>
      <c r="D2444" s="88"/>
      <c r="E2444" s="88"/>
      <c r="F2444" s="89"/>
      <c r="G2444" s="89"/>
      <c r="H2444" s="89"/>
      <c r="I2444" s="88"/>
      <c r="J2444" s="88"/>
      <c r="K2444" s="88"/>
      <c r="L2444" s="88"/>
      <c r="M2444" s="88"/>
      <c r="N2444" s="88"/>
      <c r="O2444" s="88"/>
      <c r="P2444" s="88"/>
      <c r="Q2444" s="88"/>
      <c r="R2444" s="88"/>
      <c r="S2444" s="88"/>
      <c r="T2444" s="88"/>
      <c r="U2444" s="88"/>
      <c r="V2444" s="88"/>
      <c r="W2444" s="88"/>
      <c r="X2444" s="88"/>
      <c r="Y2444" s="88"/>
      <c r="Z2444" s="88"/>
    </row>
    <row r="2445" ht="17.25" customHeight="1">
      <c r="A2445" s="88"/>
      <c r="B2445" s="88"/>
      <c r="C2445" s="88"/>
      <c r="D2445" s="88"/>
      <c r="E2445" s="88"/>
      <c r="F2445" s="89"/>
      <c r="G2445" s="89"/>
      <c r="H2445" s="89"/>
      <c r="I2445" s="88"/>
      <c r="J2445" s="88"/>
      <c r="K2445" s="88"/>
      <c r="L2445" s="88"/>
      <c r="M2445" s="88"/>
      <c r="N2445" s="88"/>
      <c r="O2445" s="88"/>
      <c r="P2445" s="88"/>
      <c r="Q2445" s="88"/>
      <c r="R2445" s="88"/>
      <c r="S2445" s="88"/>
      <c r="T2445" s="88"/>
      <c r="U2445" s="88"/>
      <c r="V2445" s="88"/>
      <c r="W2445" s="88"/>
      <c r="X2445" s="88"/>
      <c r="Y2445" s="88"/>
      <c r="Z2445" s="88"/>
    </row>
    <row r="2446" ht="17.25" customHeight="1">
      <c r="A2446" s="88"/>
      <c r="B2446" s="88"/>
      <c r="C2446" s="88"/>
      <c r="D2446" s="88"/>
      <c r="E2446" s="88"/>
      <c r="F2446" s="89"/>
      <c r="G2446" s="89"/>
      <c r="H2446" s="89"/>
      <c r="I2446" s="88"/>
      <c r="J2446" s="88"/>
      <c r="K2446" s="88"/>
      <c r="L2446" s="88"/>
      <c r="M2446" s="88"/>
      <c r="N2446" s="88"/>
      <c r="O2446" s="88"/>
      <c r="P2446" s="88"/>
      <c r="Q2446" s="88"/>
      <c r="R2446" s="88"/>
      <c r="S2446" s="88"/>
      <c r="T2446" s="88"/>
      <c r="U2446" s="88"/>
      <c r="V2446" s="88"/>
      <c r="W2446" s="88"/>
      <c r="X2446" s="88"/>
      <c r="Y2446" s="88"/>
      <c r="Z2446" s="88"/>
    </row>
    <row r="2447" ht="17.25" customHeight="1">
      <c r="A2447" s="88"/>
      <c r="B2447" s="88"/>
      <c r="C2447" s="88"/>
      <c r="D2447" s="88"/>
      <c r="E2447" s="88"/>
      <c r="F2447" s="89"/>
      <c r="G2447" s="89"/>
      <c r="H2447" s="89"/>
      <c r="I2447" s="88"/>
      <c r="J2447" s="88"/>
      <c r="K2447" s="88"/>
      <c r="L2447" s="88"/>
      <c r="M2447" s="88"/>
      <c r="N2447" s="88"/>
      <c r="O2447" s="88"/>
      <c r="P2447" s="88"/>
      <c r="Q2447" s="88"/>
      <c r="R2447" s="88"/>
      <c r="S2447" s="88"/>
      <c r="T2447" s="88"/>
      <c r="U2447" s="88"/>
      <c r="V2447" s="88"/>
      <c r="W2447" s="88"/>
      <c r="X2447" s="88"/>
      <c r="Y2447" s="88"/>
      <c r="Z2447" s="88"/>
    </row>
    <row r="2448" ht="17.25" customHeight="1">
      <c r="A2448" s="88"/>
      <c r="B2448" s="88"/>
      <c r="C2448" s="88"/>
      <c r="D2448" s="88"/>
      <c r="E2448" s="88"/>
      <c r="F2448" s="89"/>
      <c r="G2448" s="89"/>
      <c r="H2448" s="89"/>
      <c r="I2448" s="88"/>
      <c r="J2448" s="88"/>
      <c r="K2448" s="88"/>
      <c r="L2448" s="88"/>
      <c r="M2448" s="88"/>
      <c r="N2448" s="88"/>
      <c r="O2448" s="88"/>
      <c r="P2448" s="88"/>
      <c r="Q2448" s="88"/>
      <c r="R2448" s="88"/>
      <c r="S2448" s="88"/>
      <c r="T2448" s="88"/>
      <c r="U2448" s="88"/>
      <c r="V2448" s="88"/>
      <c r="W2448" s="88"/>
      <c r="X2448" s="88"/>
      <c r="Y2448" s="88"/>
      <c r="Z2448" s="88"/>
    </row>
    <row r="2449" ht="17.25" customHeight="1">
      <c r="A2449" s="88"/>
      <c r="B2449" s="88"/>
      <c r="C2449" s="88"/>
      <c r="D2449" s="88"/>
      <c r="E2449" s="88"/>
      <c r="F2449" s="89"/>
      <c r="G2449" s="89"/>
      <c r="H2449" s="89"/>
      <c r="I2449" s="88"/>
      <c r="J2449" s="88"/>
      <c r="K2449" s="88"/>
      <c r="L2449" s="88"/>
      <c r="M2449" s="88"/>
      <c r="N2449" s="88"/>
      <c r="O2449" s="88"/>
      <c r="P2449" s="88"/>
      <c r="Q2449" s="88"/>
      <c r="R2449" s="88"/>
      <c r="S2449" s="88"/>
      <c r="T2449" s="88"/>
      <c r="U2449" s="88"/>
      <c r="V2449" s="88"/>
      <c r="W2449" s="88"/>
      <c r="X2449" s="88"/>
      <c r="Y2449" s="88"/>
      <c r="Z2449" s="88"/>
    </row>
    <row r="2450" ht="17.25" customHeight="1">
      <c r="A2450" s="88"/>
      <c r="B2450" s="88"/>
      <c r="C2450" s="88"/>
      <c r="D2450" s="88"/>
      <c r="E2450" s="88"/>
      <c r="F2450" s="89"/>
      <c r="G2450" s="89"/>
      <c r="H2450" s="89"/>
      <c r="I2450" s="88"/>
      <c r="J2450" s="88"/>
      <c r="K2450" s="88"/>
      <c r="L2450" s="88"/>
      <c r="M2450" s="88"/>
      <c r="N2450" s="88"/>
      <c r="O2450" s="88"/>
      <c r="P2450" s="88"/>
      <c r="Q2450" s="88"/>
      <c r="R2450" s="88"/>
      <c r="S2450" s="88"/>
      <c r="T2450" s="88"/>
      <c r="U2450" s="88"/>
      <c r="V2450" s="88"/>
      <c r="W2450" s="88"/>
      <c r="X2450" s="88"/>
      <c r="Y2450" s="88"/>
      <c r="Z2450" s="88"/>
    </row>
    <row r="2451" ht="17.25" customHeight="1">
      <c r="A2451" s="88"/>
      <c r="B2451" s="88"/>
      <c r="C2451" s="88"/>
      <c r="D2451" s="88"/>
      <c r="E2451" s="88"/>
      <c r="F2451" s="89"/>
      <c r="G2451" s="89"/>
      <c r="H2451" s="89"/>
      <c r="I2451" s="88"/>
      <c r="J2451" s="88"/>
      <c r="K2451" s="88"/>
      <c r="L2451" s="88"/>
      <c r="M2451" s="88"/>
      <c r="N2451" s="88"/>
      <c r="O2451" s="88"/>
      <c r="P2451" s="88"/>
      <c r="Q2451" s="88"/>
      <c r="R2451" s="88"/>
      <c r="S2451" s="88"/>
      <c r="T2451" s="88"/>
      <c r="U2451" s="88"/>
      <c r="V2451" s="88"/>
      <c r="W2451" s="88"/>
      <c r="X2451" s="88"/>
      <c r="Y2451" s="88"/>
      <c r="Z2451" s="88"/>
    </row>
    <row r="2452" ht="17.25" customHeight="1">
      <c r="A2452" s="88"/>
      <c r="B2452" s="88"/>
      <c r="C2452" s="88"/>
      <c r="D2452" s="88"/>
      <c r="E2452" s="88"/>
      <c r="F2452" s="89"/>
      <c r="G2452" s="89"/>
      <c r="H2452" s="89"/>
      <c r="I2452" s="88"/>
      <c r="J2452" s="88"/>
      <c r="K2452" s="88"/>
      <c r="L2452" s="88"/>
      <c r="M2452" s="88"/>
      <c r="N2452" s="88"/>
      <c r="O2452" s="88"/>
      <c r="P2452" s="88"/>
      <c r="Q2452" s="88"/>
      <c r="R2452" s="88"/>
      <c r="S2452" s="88"/>
      <c r="T2452" s="88"/>
      <c r="U2452" s="88"/>
      <c r="V2452" s="88"/>
      <c r="W2452" s="88"/>
      <c r="X2452" s="88"/>
      <c r="Y2452" s="88"/>
      <c r="Z2452" s="88"/>
    </row>
    <row r="2453" ht="17.25" customHeight="1">
      <c r="A2453" s="88"/>
      <c r="B2453" s="88"/>
      <c r="C2453" s="88"/>
      <c r="D2453" s="88"/>
      <c r="E2453" s="88"/>
      <c r="F2453" s="89"/>
      <c r="G2453" s="89"/>
      <c r="H2453" s="89"/>
      <c r="I2453" s="88"/>
      <c r="J2453" s="88"/>
      <c r="K2453" s="88"/>
      <c r="L2453" s="88"/>
      <c r="M2453" s="88"/>
      <c r="N2453" s="88"/>
      <c r="O2453" s="88"/>
      <c r="P2453" s="88"/>
      <c r="Q2453" s="88"/>
      <c r="R2453" s="88"/>
      <c r="S2453" s="88"/>
      <c r="T2453" s="88"/>
      <c r="U2453" s="88"/>
      <c r="V2453" s="88"/>
      <c r="W2453" s="88"/>
      <c r="X2453" s="88"/>
      <c r="Y2453" s="88"/>
      <c r="Z2453" s="88"/>
    </row>
    <row r="2454" ht="17.25" customHeight="1">
      <c r="A2454" s="88"/>
      <c r="B2454" s="88"/>
      <c r="C2454" s="88"/>
      <c r="D2454" s="88"/>
      <c r="E2454" s="88"/>
      <c r="F2454" s="89"/>
      <c r="G2454" s="89"/>
      <c r="H2454" s="89"/>
      <c r="I2454" s="88"/>
      <c r="J2454" s="88"/>
      <c r="K2454" s="88"/>
      <c r="L2454" s="88"/>
      <c r="M2454" s="88"/>
      <c r="N2454" s="88"/>
      <c r="O2454" s="88"/>
      <c r="P2454" s="88"/>
      <c r="Q2454" s="88"/>
      <c r="R2454" s="88"/>
      <c r="S2454" s="88"/>
      <c r="T2454" s="88"/>
      <c r="U2454" s="88"/>
      <c r="V2454" s="88"/>
      <c r="W2454" s="88"/>
      <c r="X2454" s="88"/>
      <c r="Y2454" s="88"/>
      <c r="Z2454" s="88"/>
    </row>
  </sheetData>
  <autoFilter ref="$A$5:$K$1455"/>
  <dataValidations>
    <dataValidation type="list" allowBlank="1" showErrorMessage="1" sqref="B6:B281 B304:B1117 B1444:B2454">
      <formula1>"농산물,축산물,가공식품"</formula1>
    </dataValidation>
  </dataValidations>
  <printOptions/>
  <pageMargins bottom="0.7480314960629921" footer="0.0" header="0.0" left="0.7086614173228347" right="0.7086614173228347" top="0.7480314960629921"/>
  <pageSetup paperSize="9" scale="36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14"/>
    <col customWidth="1" min="3" max="3" width="18.43"/>
    <col customWidth="1" min="4" max="4" width="34.0"/>
    <col customWidth="1" min="5" max="5" width="13.14"/>
    <col customWidth="1" min="6" max="6" width="12.71"/>
    <col customWidth="1" min="7" max="7" width="17.14"/>
    <col customWidth="1" min="8" max="8" width="12.71"/>
    <col customWidth="1" min="9" max="9" width="16.86"/>
    <col customWidth="1" min="10" max="26" width="8.71"/>
  </cols>
  <sheetData>
    <row r="1" ht="17.25" customHeight="1">
      <c r="A1" s="1"/>
      <c r="B1" s="4"/>
      <c r="C1" s="4"/>
      <c r="D1" s="1"/>
      <c r="E1" s="4"/>
      <c r="F1" s="8">
        <f t="shared" ref="F1:H1" si="1">SUM(F3:F57)</f>
        <v>280907</v>
      </c>
      <c r="G1" s="8">
        <f t="shared" si="1"/>
        <v>1453132570</v>
      </c>
      <c r="H1" s="8">
        <f t="shared" si="1"/>
        <v>44341569</v>
      </c>
      <c r="I1" s="10">
        <v>32.0</v>
      </c>
    </row>
    <row r="2" ht="17.25" customHeight="1">
      <c r="A2" s="12" t="s">
        <v>3</v>
      </c>
      <c r="B2" s="12" t="s">
        <v>5</v>
      </c>
      <c r="C2" s="12" t="s">
        <v>6</v>
      </c>
      <c r="D2" s="12" t="s">
        <v>7</v>
      </c>
      <c r="E2" s="12" t="s">
        <v>8</v>
      </c>
      <c r="F2" s="16" t="s">
        <v>9</v>
      </c>
      <c r="G2" s="16" t="s">
        <v>12</v>
      </c>
      <c r="H2" s="16" t="s">
        <v>13</v>
      </c>
      <c r="I2" s="21" t="s">
        <v>14</v>
      </c>
    </row>
    <row r="3" ht="17.25" customHeight="1">
      <c r="A3" s="24">
        <v>1.0</v>
      </c>
      <c r="B3" s="24" t="s">
        <v>16</v>
      </c>
      <c r="C3" s="24" t="s">
        <v>17</v>
      </c>
      <c r="D3" s="28" t="s">
        <v>18</v>
      </c>
      <c r="E3" s="24" t="s">
        <v>21</v>
      </c>
      <c r="F3" s="33">
        <f>SUMIF('②유기농raw'!$D:$D,$C3,'②유기농raw'!$F:$F)</f>
        <v>27317</v>
      </c>
      <c r="G3" s="33">
        <f>SUMIF('②유기농raw'!$D:$D,$C3,'②유기농raw'!$G:$G)</f>
        <v>172019750</v>
      </c>
      <c r="H3" s="33">
        <f>SUMIF('②유기농raw'!$D:$D,$C3,'②유기농raw'!$H:$H)</f>
        <v>2012484</v>
      </c>
      <c r="I3" s="24" t="s">
        <v>33</v>
      </c>
    </row>
    <row r="4" ht="17.25" customHeight="1">
      <c r="A4" s="24">
        <v>2.0</v>
      </c>
      <c r="B4" s="24" t="s">
        <v>16</v>
      </c>
      <c r="C4" s="24" t="s">
        <v>34</v>
      </c>
      <c r="D4" s="28" t="s">
        <v>35</v>
      </c>
      <c r="E4" s="24" t="s">
        <v>25</v>
      </c>
      <c r="F4" s="33">
        <f>SUMIF('②유기농raw'!$D:$D,$C4,'②유기농raw'!$F:$F)</f>
        <v>423</v>
      </c>
      <c r="G4" s="33">
        <f>SUMIF('②유기농raw'!$D:$D,$C4,'②유기농raw'!$G:$G)</f>
        <v>15579700</v>
      </c>
      <c r="H4" s="33">
        <f>SUMIF('②유기농raw'!$D:$D,$C4,'②유기농raw'!$H:$H)</f>
        <v>1852660</v>
      </c>
      <c r="I4" s="24" t="s">
        <v>33</v>
      </c>
    </row>
    <row r="5" ht="17.25" customHeight="1">
      <c r="A5" s="24">
        <v>3.0</v>
      </c>
      <c r="B5" s="24" t="s">
        <v>38</v>
      </c>
      <c r="C5" s="24" t="s">
        <v>39</v>
      </c>
      <c r="D5" s="28" t="s">
        <v>40</v>
      </c>
      <c r="E5" s="24" t="s">
        <v>21</v>
      </c>
      <c r="F5" s="33">
        <f>SUMIF('②유기농raw'!$D:$D,$C5,'②유기농raw'!$F:$F)</f>
        <v>1</v>
      </c>
      <c r="G5" s="33">
        <f>SUMIF('②유기농raw'!$D:$D,$C5,'②유기농raw'!$G:$G)</f>
        <v>14400</v>
      </c>
      <c r="H5" s="33">
        <f>SUMIF('②유기농raw'!$D:$D,$C5,'②유기농raw'!$H:$H)</f>
        <v>2880</v>
      </c>
      <c r="I5" s="28"/>
    </row>
    <row r="6" ht="17.25" customHeight="1">
      <c r="A6" s="24">
        <v>4.0</v>
      </c>
      <c r="B6" s="24" t="s">
        <v>38</v>
      </c>
      <c r="C6" s="24" t="s">
        <v>44</v>
      </c>
      <c r="D6" s="28" t="s">
        <v>45</v>
      </c>
      <c r="E6" s="24" t="s">
        <v>21</v>
      </c>
      <c r="F6" s="33">
        <f>SUMIF('②유기농raw'!$D:$D,$C6,'②유기농raw'!$F:$F)</f>
        <v>0</v>
      </c>
      <c r="G6" s="33">
        <f>SUMIF('②유기농raw'!$D:$D,$C6,'②유기농raw'!$G:$G)</f>
        <v>0</v>
      </c>
      <c r="H6" s="33">
        <f>SUMIF('②유기농raw'!$D:$D,$C6,'②유기농raw'!$H:$H)</f>
        <v>0</v>
      </c>
      <c r="I6" s="28"/>
    </row>
    <row r="7" ht="17.25" customHeight="1">
      <c r="A7" s="24">
        <v>5.0</v>
      </c>
      <c r="B7" s="24" t="s">
        <v>46</v>
      </c>
      <c r="C7" s="24" t="s">
        <v>54</v>
      </c>
      <c r="D7" s="28" t="s">
        <v>55</v>
      </c>
      <c r="E7" s="24" t="s">
        <v>21</v>
      </c>
      <c r="F7" s="33">
        <f>SUMIF('②유기농raw'!$D:$D,$C7,'②유기농raw'!$F:$F)</f>
        <v>44</v>
      </c>
      <c r="G7" s="33">
        <f>SUMIF('②유기농raw'!$D:$D,$C7,'②유기농raw'!$G:$G)</f>
        <v>1787000</v>
      </c>
      <c r="H7" s="33">
        <f>SUMIF('②유기농raw'!$D:$D,$C7,'②유기농raw'!$H:$H)</f>
        <v>155200</v>
      </c>
      <c r="I7" s="24" t="s">
        <v>33</v>
      </c>
    </row>
    <row r="8" ht="17.25" customHeight="1">
      <c r="A8" s="24">
        <v>6.0</v>
      </c>
      <c r="B8" s="24" t="s">
        <v>16</v>
      </c>
      <c r="C8" s="24" t="s">
        <v>58</v>
      </c>
      <c r="D8" s="28" t="s">
        <v>59</v>
      </c>
      <c r="E8" s="24" t="s">
        <v>21</v>
      </c>
      <c r="F8" s="33">
        <f>SUMIF('②유기농raw'!$D:$D,$C8,'②유기농raw'!$F:$F)</f>
        <v>0</v>
      </c>
      <c r="G8" s="33">
        <f>SUMIF('②유기농raw'!$D:$D,$C8,'②유기농raw'!$G:$G)</f>
        <v>0</v>
      </c>
      <c r="H8" s="33">
        <f>SUMIF('②유기농raw'!$D:$D,$C8,'②유기농raw'!$H:$H)</f>
        <v>0</v>
      </c>
      <c r="I8" s="28"/>
    </row>
    <row r="9" ht="17.25" customHeight="1">
      <c r="A9" s="24">
        <v>7.0</v>
      </c>
      <c r="B9" s="24" t="s">
        <v>16</v>
      </c>
      <c r="C9" s="24" t="s">
        <v>61</v>
      </c>
      <c r="D9" s="28" t="s">
        <v>62</v>
      </c>
      <c r="E9" s="24" t="s">
        <v>25</v>
      </c>
      <c r="F9" s="33">
        <f>SUMIF('②유기농raw'!$D:$D,$C9,'②유기농raw'!$F:$F)</f>
        <v>40</v>
      </c>
      <c r="G9" s="33">
        <f>SUMIF('②유기농raw'!$D:$D,$C9,'②유기농raw'!$G:$G)</f>
        <v>1322500</v>
      </c>
      <c r="H9" s="33">
        <f>SUMIF('②유기농raw'!$D:$D,$C9,'②유기농raw'!$H:$H)</f>
        <v>207680</v>
      </c>
      <c r="I9" s="24" t="s">
        <v>33</v>
      </c>
    </row>
    <row r="10" ht="17.25" customHeight="1">
      <c r="A10" s="24">
        <v>8.0</v>
      </c>
      <c r="B10" s="24" t="s">
        <v>38</v>
      </c>
      <c r="C10" s="24" t="s">
        <v>64</v>
      </c>
      <c r="D10" s="28" t="s">
        <v>65</v>
      </c>
      <c r="E10" s="24" t="s">
        <v>25</v>
      </c>
      <c r="F10" s="33">
        <f>SUMIF('②유기농raw'!$D:$D,$C10,'②유기농raw'!$F:$F)</f>
        <v>8</v>
      </c>
      <c r="G10" s="33">
        <f>SUMIF('②유기농raw'!$D:$D,$C10,'②유기농raw'!$G:$G)</f>
        <v>168650</v>
      </c>
      <c r="H10" s="33">
        <f>SUMIF('②유기농raw'!$D:$D,$C10,'②유기농raw'!$H:$H)</f>
        <v>24730</v>
      </c>
      <c r="I10" s="24" t="s">
        <v>33</v>
      </c>
    </row>
    <row r="11" ht="17.25" customHeight="1">
      <c r="A11" s="24">
        <v>9.0</v>
      </c>
      <c r="B11" s="24" t="s">
        <v>16</v>
      </c>
      <c r="C11" s="24" t="s">
        <v>71</v>
      </c>
      <c r="D11" s="28" t="s">
        <v>72</v>
      </c>
      <c r="E11" s="24" t="s">
        <v>21</v>
      </c>
      <c r="F11" s="33">
        <f>SUMIF('②유기농raw'!$D:$D,$C11,'②유기농raw'!$F:$F)</f>
        <v>68</v>
      </c>
      <c r="G11" s="33">
        <f>SUMIF('②유기농raw'!$D:$D,$C11,'②유기농raw'!$G:$G)</f>
        <v>1101800</v>
      </c>
      <c r="H11" s="33">
        <f>SUMIF('②유기농raw'!$D:$D,$C11,'②유기농raw'!$H:$H)</f>
        <v>115480</v>
      </c>
      <c r="I11" s="24" t="s">
        <v>33</v>
      </c>
    </row>
    <row r="12" ht="17.25" customHeight="1">
      <c r="A12" s="24">
        <v>10.0</v>
      </c>
      <c r="B12" s="24" t="s">
        <v>16</v>
      </c>
      <c r="C12" s="24" t="s">
        <v>78</v>
      </c>
      <c r="D12" s="28" t="s">
        <v>79</v>
      </c>
      <c r="E12" s="24" t="s">
        <v>25</v>
      </c>
      <c r="F12" s="33">
        <f>SUMIF('②유기농raw'!$D:$D,$C12,'②유기농raw'!$F:$F)</f>
        <v>287</v>
      </c>
      <c r="G12" s="33">
        <f>SUMIF('②유기농raw'!$D:$D,$C12,'②유기농raw'!$G:$G)</f>
        <v>9430500</v>
      </c>
      <c r="H12" s="33">
        <f>SUMIF('②유기농raw'!$D:$D,$C12,'②유기농raw'!$H:$H)</f>
        <v>1015420</v>
      </c>
      <c r="I12" s="24" t="s">
        <v>33</v>
      </c>
    </row>
    <row r="13" ht="17.25" customHeight="1">
      <c r="A13" s="24">
        <v>11.0</v>
      </c>
      <c r="B13" s="24" t="s">
        <v>16</v>
      </c>
      <c r="C13" s="24" t="s">
        <v>86</v>
      </c>
      <c r="D13" s="28" t="s">
        <v>87</v>
      </c>
      <c r="E13" s="24" t="s">
        <v>21</v>
      </c>
      <c r="F13" s="33">
        <f>SUMIF('②유기농raw'!$D:$D,$C13,'②유기농raw'!$F:$F)</f>
        <v>0</v>
      </c>
      <c r="G13" s="33">
        <f>SUMIF('②유기농raw'!$D:$D,$C13,'②유기농raw'!$G:$G)</f>
        <v>0</v>
      </c>
      <c r="H13" s="33">
        <f>SUMIF('②유기농raw'!$D:$D,$C13,'②유기농raw'!$H:$H)</f>
        <v>0</v>
      </c>
      <c r="I13" s="28"/>
    </row>
    <row r="14" ht="17.25" customHeight="1">
      <c r="A14" s="24">
        <v>12.0</v>
      </c>
      <c r="B14" s="24" t="s">
        <v>16</v>
      </c>
      <c r="C14" s="24" t="s">
        <v>97</v>
      </c>
      <c r="D14" s="28" t="s">
        <v>98</v>
      </c>
      <c r="E14" s="24" t="s">
        <v>21</v>
      </c>
      <c r="F14" s="33">
        <f>SUMIF('②유기농raw'!$D:$D,$C14,'②유기농raw'!$F:$F)</f>
        <v>0</v>
      </c>
      <c r="G14" s="33">
        <f>SUMIF('②유기농raw'!$D:$D,$C14,'②유기농raw'!$G:$G)</f>
        <v>0</v>
      </c>
      <c r="H14" s="33">
        <f>SUMIF('②유기농raw'!$D:$D,$C14,'②유기농raw'!$H:$H)</f>
        <v>0</v>
      </c>
      <c r="I14" s="28"/>
    </row>
    <row r="15" ht="17.25" customHeight="1">
      <c r="A15" s="24">
        <v>13.0</v>
      </c>
      <c r="B15" s="24" t="s">
        <v>16</v>
      </c>
      <c r="C15" s="24" t="s">
        <v>106</v>
      </c>
      <c r="D15" s="28" t="s">
        <v>107</v>
      </c>
      <c r="E15" s="24" t="s">
        <v>21</v>
      </c>
      <c r="F15" s="33">
        <f>SUMIF('②유기농raw'!$D:$D,$C15,'②유기농raw'!$F:$F)</f>
        <v>0</v>
      </c>
      <c r="G15" s="33">
        <f>SUMIF('②유기농raw'!$D:$D,$C15,'②유기농raw'!$G:$G)</f>
        <v>0</v>
      </c>
      <c r="H15" s="33">
        <f>SUMIF('②유기농raw'!$D:$D,$C15,'②유기농raw'!$H:$H)</f>
        <v>0</v>
      </c>
      <c r="I15" s="28"/>
    </row>
    <row r="16" ht="17.25" customHeight="1">
      <c r="A16" s="24">
        <v>14.0</v>
      </c>
      <c r="B16" s="24" t="s">
        <v>16</v>
      </c>
      <c r="C16" s="24" t="s">
        <v>112</v>
      </c>
      <c r="D16" s="28" t="s">
        <v>113</v>
      </c>
      <c r="E16" s="24" t="s">
        <v>21</v>
      </c>
      <c r="F16" s="33">
        <f>SUMIF('②유기농raw'!$D:$D,$C16,'②유기농raw'!$F:$F)</f>
        <v>21696</v>
      </c>
      <c r="G16" s="33">
        <f>SUMIF('②유기농raw'!$D:$D,$C16,'②유기농raw'!$G:$G)</f>
        <v>45354130</v>
      </c>
      <c r="H16" s="33">
        <f>SUMIF('②유기농raw'!$D:$D,$C16,'②유기농raw'!$H:$H)</f>
        <v>2157497</v>
      </c>
      <c r="I16" s="24" t="s">
        <v>33</v>
      </c>
    </row>
    <row r="17" ht="17.25" customHeight="1">
      <c r="A17" s="24">
        <v>15.0</v>
      </c>
      <c r="B17" s="24" t="s">
        <v>16</v>
      </c>
      <c r="C17" s="24" t="s">
        <v>124</v>
      </c>
      <c r="D17" s="28" t="s">
        <v>125</v>
      </c>
      <c r="E17" s="24" t="s">
        <v>25</v>
      </c>
      <c r="F17" s="33">
        <f>SUMIF('②유기농raw'!$D:$D,$C17,'②유기농raw'!$F:$F)</f>
        <v>547</v>
      </c>
      <c r="G17" s="33">
        <f>SUMIF('②유기농raw'!$D:$D,$C17,'②유기농raw'!$G:$G)</f>
        <v>14845800</v>
      </c>
      <c r="H17" s="33">
        <f>SUMIF('②유기농raw'!$D:$D,$C17,'②유기농raw'!$H:$H)</f>
        <v>1669930</v>
      </c>
      <c r="I17" s="24" t="s">
        <v>33</v>
      </c>
    </row>
    <row r="18" ht="17.25" customHeight="1">
      <c r="A18" s="24">
        <v>16.0</v>
      </c>
      <c r="B18" s="24" t="s">
        <v>38</v>
      </c>
      <c r="C18" s="24" t="s">
        <v>147</v>
      </c>
      <c r="D18" s="28" t="s">
        <v>148</v>
      </c>
      <c r="E18" s="24" t="s">
        <v>21</v>
      </c>
      <c r="F18" s="33">
        <f>SUMIF('②유기농raw'!$D:$D,$C18,'②유기농raw'!$F:$F)</f>
        <v>0</v>
      </c>
      <c r="G18" s="33">
        <f>SUMIF('②유기농raw'!$D:$D,$C18,'②유기농raw'!$G:$G)</f>
        <v>0</v>
      </c>
      <c r="H18" s="33">
        <f>SUMIF('②유기농raw'!$D:$D,$C18,'②유기농raw'!$H:$H)</f>
        <v>0</v>
      </c>
      <c r="I18" s="28"/>
    </row>
    <row r="19" ht="17.25" customHeight="1">
      <c r="A19" s="24">
        <v>17.0</v>
      </c>
      <c r="B19" s="24" t="s">
        <v>46</v>
      </c>
      <c r="C19" s="24" t="s">
        <v>169</v>
      </c>
      <c r="D19" s="28" t="s">
        <v>170</v>
      </c>
      <c r="E19" s="24" t="s">
        <v>25</v>
      </c>
      <c r="F19" s="33">
        <f>SUMIF('②유기농raw'!$D:$D,$C19,'②유기농raw'!$F:$F)</f>
        <v>258</v>
      </c>
      <c r="G19" s="33">
        <f>SUMIF('②유기농raw'!$D:$D,$C19,'②유기농raw'!$G:$G)</f>
        <v>5728190</v>
      </c>
      <c r="H19" s="33">
        <f>SUMIF('②유기농raw'!$D:$D,$C19,'②유기농raw'!$H:$H)</f>
        <v>669670</v>
      </c>
      <c r="I19" s="24" t="s">
        <v>33</v>
      </c>
    </row>
    <row r="20" ht="17.25" customHeight="1">
      <c r="A20" s="24">
        <v>18.0</v>
      </c>
      <c r="B20" s="24" t="s">
        <v>16</v>
      </c>
      <c r="C20" s="24" t="s">
        <v>182</v>
      </c>
      <c r="D20" s="28" t="s">
        <v>183</v>
      </c>
      <c r="E20" s="24" t="s">
        <v>25</v>
      </c>
      <c r="F20" s="33">
        <f>SUMIF('②유기농raw'!$D:$D,$C20,'②유기농raw'!$F:$F)</f>
        <v>4513</v>
      </c>
      <c r="G20" s="33">
        <f>SUMIF('②유기농raw'!$D:$D,$C20,'②유기농raw'!$G:$G)</f>
        <v>81437410</v>
      </c>
      <c r="H20" s="33">
        <f>SUMIF('②유기농raw'!$D:$D,$C20,'②유기농raw'!$H:$H)</f>
        <v>4726320</v>
      </c>
      <c r="I20" s="24" t="s">
        <v>33</v>
      </c>
    </row>
    <row r="21" ht="17.25" customHeight="1">
      <c r="A21" s="24">
        <v>19.0</v>
      </c>
      <c r="B21" s="24" t="s">
        <v>38</v>
      </c>
      <c r="C21" s="24" t="s">
        <v>198</v>
      </c>
      <c r="D21" s="28" t="s">
        <v>199</v>
      </c>
      <c r="E21" s="24" t="s">
        <v>25</v>
      </c>
      <c r="F21" s="33">
        <f>SUMIF('②유기농raw'!$D:$D,$C21,'②유기농raw'!$F:$F)</f>
        <v>0</v>
      </c>
      <c r="G21" s="33">
        <f>SUMIF('②유기농raw'!$D:$D,$C21,'②유기농raw'!$G:$G)</f>
        <v>0</v>
      </c>
      <c r="H21" s="33">
        <f>SUMIF('②유기농raw'!$D:$D,$C21,'②유기농raw'!$H:$H)</f>
        <v>0</v>
      </c>
      <c r="I21" s="28"/>
    </row>
    <row r="22" ht="17.25" customHeight="1">
      <c r="A22" s="24">
        <v>20.0</v>
      </c>
      <c r="B22" s="24" t="s">
        <v>16</v>
      </c>
      <c r="C22" s="24" t="s">
        <v>214</v>
      </c>
      <c r="D22" s="28" t="s">
        <v>215</v>
      </c>
      <c r="E22" s="24" t="s">
        <v>21</v>
      </c>
      <c r="F22" s="33">
        <f>SUMIF('②유기농raw'!$D:$D,$C22,'②유기농raw'!$F:$F)</f>
        <v>4106</v>
      </c>
      <c r="G22" s="33">
        <f>SUMIF('②유기농raw'!$D:$D,$C22,'②유기농raw'!$G:$G)</f>
        <v>44964220</v>
      </c>
      <c r="H22" s="33">
        <f>SUMIF('②유기농raw'!$D:$D,$C22,'②유기농raw'!$H:$H)</f>
        <v>1981384</v>
      </c>
      <c r="I22" s="24" t="s">
        <v>33</v>
      </c>
    </row>
    <row r="23" ht="17.25" customHeight="1">
      <c r="A23" s="24">
        <v>21.0</v>
      </c>
      <c r="B23" s="24" t="s">
        <v>16</v>
      </c>
      <c r="C23" s="24" t="s">
        <v>234</v>
      </c>
      <c r="D23" s="28" t="s">
        <v>235</v>
      </c>
      <c r="E23" s="24" t="s">
        <v>21</v>
      </c>
      <c r="F23" s="33">
        <f>SUMIF('②유기농raw'!$D:$D,$C23,'②유기농raw'!$F:$F)</f>
        <v>1567</v>
      </c>
      <c r="G23" s="33">
        <f>SUMIF('②유기농raw'!$D:$D,$C23,'②유기농raw'!$G:$G)</f>
        <v>7314600</v>
      </c>
      <c r="H23" s="33">
        <f>SUMIF('②유기농raw'!$D:$D,$C23,'②유기농raw'!$H:$H)</f>
        <v>353700</v>
      </c>
      <c r="I23" s="24" t="s">
        <v>33</v>
      </c>
    </row>
    <row r="24" ht="17.25" customHeight="1">
      <c r="A24" s="24">
        <v>22.0</v>
      </c>
      <c r="B24" s="24" t="s">
        <v>16</v>
      </c>
      <c r="C24" s="24" t="s">
        <v>250</v>
      </c>
      <c r="D24" s="28" t="s">
        <v>251</v>
      </c>
      <c r="E24" s="24" t="s">
        <v>25</v>
      </c>
      <c r="F24" s="33">
        <f>SUMIF('②유기농raw'!$D:$D,$C24,'②유기농raw'!$F:$F)</f>
        <v>283</v>
      </c>
      <c r="G24" s="33">
        <f>SUMIF('②유기농raw'!$D:$D,$C24,'②유기농raw'!$G:$G)</f>
        <v>5837350</v>
      </c>
      <c r="H24" s="33">
        <f>SUMIF('②유기농raw'!$D:$D,$C24,'②유기농raw'!$H:$H)</f>
        <v>609310</v>
      </c>
      <c r="I24" s="24" t="s">
        <v>33</v>
      </c>
    </row>
    <row r="25" ht="17.25" customHeight="1">
      <c r="A25" s="24">
        <v>23.0</v>
      </c>
      <c r="B25" s="24" t="s">
        <v>16</v>
      </c>
      <c r="C25" s="24" t="s">
        <v>275</v>
      </c>
      <c r="D25" s="28" t="s">
        <v>276</v>
      </c>
      <c r="E25" s="24" t="s">
        <v>21</v>
      </c>
      <c r="F25" s="33">
        <f>SUMIF('②유기농raw'!$D:$D,$C25,'②유기농raw'!$F:$F)</f>
        <v>3243</v>
      </c>
      <c r="G25" s="33">
        <f>SUMIF('②유기농raw'!$D:$D,$C25,'②유기농raw'!$G:$G)</f>
        <v>7528400</v>
      </c>
      <c r="H25" s="33">
        <f>SUMIF('②유기농raw'!$D:$D,$C25,'②유기농raw'!$H:$H)</f>
        <v>612556</v>
      </c>
      <c r="I25" s="24" t="s">
        <v>33</v>
      </c>
    </row>
    <row r="26" ht="17.25" customHeight="1">
      <c r="A26" s="24">
        <v>24.0</v>
      </c>
      <c r="B26" s="24" t="s">
        <v>16</v>
      </c>
      <c r="C26" s="24" t="s">
        <v>299</v>
      </c>
      <c r="D26" s="28" t="s">
        <v>300</v>
      </c>
      <c r="E26" s="24" t="s">
        <v>21</v>
      </c>
      <c r="F26" s="33">
        <f>SUMIF('②유기농raw'!$D:$D,$C26,'②유기농raw'!$F:$F)</f>
        <v>14326</v>
      </c>
      <c r="G26" s="33">
        <f>SUMIF('②유기농raw'!$D:$D,$C26,'②유기농raw'!$G:$G)</f>
        <v>41928380</v>
      </c>
      <c r="H26" s="33">
        <f>SUMIF('②유기농raw'!$D:$D,$C26,'②유기농raw'!$H:$H)</f>
        <v>2130483</v>
      </c>
      <c r="I26" s="24" t="s">
        <v>33</v>
      </c>
    </row>
    <row r="27" ht="17.25" customHeight="1">
      <c r="A27" s="24">
        <v>25.0</v>
      </c>
      <c r="B27" s="24" t="s">
        <v>16</v>
      </c>
      <c r="C27" s="24" t="s">
        <v>323</v>
      </c>
      <c r="D27" s="28" t="s">
        <v>325</v>
      </c>
      <c r="E27" s="24" t="s">
        <v>25</v>
      </c>
      <c r="F27" s="33">
        <f>SUMIF('②유기농raw'!$D:$D,$C27,'②유기농raw'!$F:$F)</f>
        <v>82</v>
      </c>
      <c r="G27" s="33">
        <f>SUMIF('②유기농raw'!$D:$D,$C27,'②유기농raw'!$G:$G)</f>
        <v>4760000</v>
      </c>
      <c r="H27" s="33">
        <f>SUMIF('②유기농raw'!$D:$D,$C27,'②유기농raw'!$H:$H)</f>
        <v>720000</v>
      </c>
      <c r="I27" s="24" t="s">
        <v>33</v>
      </c>
    </row>
    <row r="28" ht="17.25" customHeight="1">
      <c r="A28" s="24">
        <v>26.0</v>
      </c>
      <c r="B28" s="24" t="s">
        <v>38</v>
      </c>
      <c r="C28" s="24" t="s">
        <v>345</v>
      </c>
      <c r="D28" s="28" t="s">
        <v>346</v>
      </c>
      <c r="E28" s="24" t="s">
        <v>25</v>
      </c>
      <c r="F28" s="33">
        <f>SUMIF('②유기농raw'!$D:$D,$C28,'②유기농raw'!$F:$F)</f>
        <v>0</v>
      </c>
      <c r="G28" s="33">
        <f>SUMIF('②유기농raw'!$D:$D,$C28,'②유기농raw'!$G:$G)</f>
        <v>0</v>
      </c>
      <c r="H28" s="33">
        <f>SUMIF('②유기농raw'!$D:$D,$C28,'②유기농raw'!$H:$H)</f>
        <v>0</v>
      </c>
      <c r="I28" s="28"/>
    </row>
    <row r="29" ht="17.25" customHeight="1">
      <c r="A29" s="24">
        <v>27.0</v>
      </c>
      <c r="B29" s="24" t="s">
        <v>46</v>
      </c>
      <c r="C29" s="24" t="s">
        <v>379</v>
      </c>
      <c r="D29" s="28" t="s">
        <v>381</v>
      </c>
      <c r="E29" s="24" t="s">
        <v>25</v>
      </c>
      <c r="F29" s="33">
        <f>SUMIF('②유기농raw'!$D:$D,$C29,'②유기농raw'!$F:$F)</f>
        <v>520</v>
      </c>
      <c r="G29" s="33">
        <f>SUMIF('②유기농raw'!$D:$D,$C29,'②유기농raw'!$G:$G)</f>
        <v>13123000</v>
      </c>
      <c r="H29" s="33">
        <f>SUMIF('②유기농raw'!$D:$D,$C29,'②유기농raw'!$H:$H)</f>
        <v>1043580</v>
      </c>
      <c r="I29" s="24" t="s">
        <v>33</v>
      </c>
    </row>
    <row r="30" ht="17.25" customHeight="1">
      <c r="A30" s="24">
        <v>28.0</v>
      </c>
      <c r="B30" s="24" t="s">
        <v>16</v>
      </c>
      <c r="C30" s="24" t="s">
        <v>402</v>
      </c>
      <c r="D30" s="28" t="s">
        <v>403</v>
      </c>
      <c r="E30" s="24" t="s">
        <v>25</v>
      </c>
      <c r="F30" s="33">
        <f>SUMIF('②유기농raw'!$D:$D,$C30,'②유기농raw'!$F:$F)</f>
        <v>0</v>
      </c>
      <c r="G30" s="33">
        <f>SUMIF('②유기농raw'!$D:$D,$C30,'②유기농raw'!$G:$G)</f>
        <v>0</v>
      </c>
      <c r="H30" s="33">
        <f>SUMIF('②유기농raw'!$D:$D,$C30,'②유기농raw'!$H:$H)</f>
        <v>0</v>
      </c>
      <c r="I30" s="28"/>
    </row>
    <row r="31" ht="17.25" customHeight="1">
      <c r="A31" s="24">
        <v>29.0</v>
      </c>
      <c r="B31" s="24" t="s">
        <v>46</v>
      </c>
      <c r="C31" s="24" t="s">
        <v>432</v>
      </c>
      <c r="D31" s="28" t="s">
        <v>433</v>
      </c>
      <c r="E31" s="24" t="s">
        <v>21</v>
      </c>
      <c r="F31" s="33">
        <f>SUMIF('②유기농raw'!$D:$D,$C31,'②유기농raw'!$F:$F)</f>
        <v>13</v>
      </c>
      <c r="G31" s="33">
        <f>SUMIF('②유기농raw'!$D:$D,$C31,'②유기농raw'!$G:$G)</f>
        <v>249500</v>
      </c>
      <c r="H31" s="33">
        <f>SUMIF('②유기농raw'!$D:$D,$C31,'②유기농raw'!$H:$H)</f>
        <v>36600</v>
      </c>
      <c r="I31" s="24" t="s">
        <v>33</v>
      </c>
    </row>
    <row r="32" ht="17.25" customHeight="1">
      <c r="A32" s="24">
        <v>30.0</v>
      </c>
      <c r="B32" s="24" t="s">
        <v>16</v>
      </c>
      <c r="C32" s="24" t="s">
        <v>455</v>
      </c>
      <c r="D32" s="28" t="s">
        <v>456</v>
      </c>
      <c r="E32" s="24" t="s">
        <v>21</v>
      </c>
      <c r="F32" s="33">
        <f>SUMIF('②유기농raw'!$D:$D,$C32,'②유기농raw'!$F:$F)</f>
        <v>37</v>
      </c>
      <c r="G32" s="33">
        <f>SUMIF('②유기농raw'!$D:$D,$C32,'②유기농raw'!$G:$G)</f>
        <v>555000</v>
      </c>
      <c r="H32" s="33">
        <f>SUMIF('②유기농raw'!$D:$D,$C32,'②유기농raw'!$H:$H)</f>
        <v>103000</v>
      </c>
      <c r="I32" s="24" t="s">
        <v>33</v>
      </c>
    </row>
    <row r="33" ht="17.25" customHeight="1">
      <c r="A33" s="24">
        <v>31.0</v>
      </c>
      <c r="B33" s="24" t="s">
        <v>16</v>
      </c>
      <c r="C33" s="24" t="s">
        <v>484</v>
      </c>
      <c r="D33" s="28" t="s">
        <v>486</v>
      </c>
      <c r="E33" s="24" t="s">
        <v>21</v>
      </c>
      <c r="F33" s="33">
        <f>SUMIF('②유기농raw'!$D:$D,$C33,'②유기농raw'!$F:$F)</f>
        <v>0</v>
      </c>
      <c r="G33" s="33">
        <f>SUMIF('②유기농raw'!$D:$D,$C33,'②유기농raw'!$G:$G)</f>
        <v>0</v>
      </c>
      <c r="H33" s="33">
        <f>SUMIF('②유기농raw'!$D:$D,$C33,'②유기농raw'!$H:$H)</f>
        <v>0</v>
      </c>
      <c r="I33" s="28"/>
    </row>
    <row r="34" ht="17.25" customHeight="1">
      <c r="A34" s="24">
        <v>32.0</v>
      </c>
      <c r="B34" s="24" t="s">
        <v>16</v>
      </c>
      <c r="C34" s="24" t="s">
        <v>508</v>
      </c>
      <c r="D34" s="28" t="s">
        <v>509</v>
      </c>
      <c r="E34" s="24" t="s">
        <v>21</v>
      </c>
      <c r="F34" s="33">
        <f>SUMIF('②유기농raw'!$D:$D,$C34,'②유기농raw'!$F:$F)</f>
        <v>162090</v>
      </c>
      <c r="G34" s="33">
        <f>SUMIF('②유기농raw'!$D:$D,$C34,'②유기농raw'!$G:$G)</f>
        <v>121036230</v>
      </c>
      <c r="H34" s="33">
        <f>SUMIF('②유기농raw'!$D:$D,$C34,'②유기농raw'!$H:$H)</f>
        <v>2211447</v>
      </c>
      <c r="I34" s="24" t="s">
        <v>33</v>
      </c>
    </row>
    <row r="35" ht="17.25" customHeight="1">
      <c r="A35" s="24">
        <v>33.0</v>
      </c>
      <c r="B35" s="24" t="s">
        <v>46</v>
      </c>
      <c r="C35" s="24" t="s">
        <v>539</v>
      </c>
      <c r="D35" s="28" t="s">
        <v>540</v>
      </c>
      <c r="E35" s="24" t="s">
        <v>25</v>
      </c>
      <c r="F35" s="33">
        <f>SUMIF('②유기농raw'!$D:$D,$C35,'②유기농raw'!$F:$F)</f>
        <v>0</v>
      </c>
      <c r="G35" s="33">
        <f>SUMIF('②유기농raw'!$D:$D,$C35,'②유기농raw'!$G:$G)</f>
        <v>0</v>
      </c>
      <c r="H35" s="33">
        <f>SUMIF('②유기농raw'!$D:$D,$C35,'②유기농raw'!$H:$H)</f>
        <v>0</v>
      </c>
      <c r="I35" s="28"/>
    </row>
    <row r="36" ht="17.25" customHeight="1">
      <c r="A36" s="24">
        <v>34.0</v>
      </c>
      <c r="B36" s="24" t="s">
        <v>16</v>
      </c>
      <c r="C36" s="24" t="s">
        <v>566</v>
      </c>
      <c r="D36" s="28" t="s">
        <v>567</v>
      </c>
      <c r="E36" s="24" t="s">
        <v>21</v>
      </c>
      <c r="F36" s="33">
        <f>SUMIF('②유기농raw'!$D:$D,$C36,'②유기농raw'!$F:$F)</f>
        <v>8</v>
      </c>
      <c r="G36" s="33">
        <f>SUMIF('②유기농raw'!$D:$D,$C36,'②유기농raw'!$G:$G)</f>
        <v>218000</v>
      </c>
      <c r="H36" s="33">
        <f>SUMIF('②유기농raw'!$D:$D,$C36,'②유기농raw'!$H:$H)</f>
        <v>43600</v>
      </c>
      <c r="I36" s="24" t="s">
        <v>33</v>
      </c>
    </row>
    <row r="37" ht="17.25" customHeight="1">
      <c r="A37" s="24">
        <v>35.0</v>
      </c>
      <c r="B37" s="24" t="s">
        <v>46</v>
      </c>
      <c r="C37" s="24" t="s">
        <v>571</v>
      </c>
      <c r="D37" s="28" t="s">
        <v>572</v>
      </c>
      <c r="E37" s="24" t="s">
        <v>25</v>
      </c>
      <c r="F37" s="33">
        <f>SUMIF('②유기농raw'!$D:$D,$C37,'②유기농raw'!$F:$F)</f>
        <v>0</v>
      </c>
      <c r="G37" s="33">
        <f>SUMIF('②유기농raw'!$D:$D,$C37,'②유기농raw'!$G:$G)</f>
        <v>0</v>
      </c>
      <c r="H37" s="33">
        <f>SUMIF('②유기농raw'!$D:$D,$C37,'②유기농raw'!$H:$H)</f>
        <v>0</v>
      </c>
      <c r="I37" s="28"/>
    </row>
    <row r="38" ht="17.25" customHeight="1">
      <c r="A38" s="24">
        <v>36.0</v>
      </c>
      <c r="B38" s="24" t="s">
        <v>46</v>
      </c>
      <c r="C38" s="24" t="s">
        <v>585</v>
      </c>
      <c r="D38" s="28" t="s">
        <v>586</v>
      </c>
      <c r="E38" s="24" t="s">
        <v>21</v>
      </c>
      <c r="F38" s="33">
        <f>SUMIF('②유기농raw'!$D:$D,$C38,'②유기농raw'!$F:$F)</f>
        <v>0</v>
      </c>
      <c r="G38" s="33">
        <f>SUMIF('②유기농raw'!$D:$D,$C38,'②유기농raw'!$G:$G)</f>
        <v>0</v>
      </c>
      <c r="H38" s="33">
        <f>SUMIF('②유기농raw'!$D:$D,$C38,'②유기농raw'!$H:$H)</f>
        <v>0</v>
      </c>
      <c r="I38" s="28"/>
    </row>
    <row r="39" ht="17.25" customHeight="1">
      <c r="A39" s="24">
        <v>37.0</v>
      </c>
      <c r="B39" s="24" t="s">
        <v>16</v>
      </c>
      <c r="C39" s="24" t="s">
        <v>599</v>
      </c>
      <c r="D39" s="28" t="s">
        <v>602</v>
      </c>
      <c r="E39" s="24" t="s">
        <v>21</v>
      </c>
      <c r="F39" s="33">
        <f>SUMIF('②유기농raw'!$D:$D,$C39,'②유기농raw'!$F:$F)</f>
        <v>26055</v>
      </c>
      <c r="G39" s="33">
        <f>SUMIF('②유기농raw'!$D:$D,$C39,'②유기농raw'!$G:$G)</f>
        <v>681718500</v>
      </c>
      <c r="H39" s="33">
        <f>SUMIF('②유기농raw'!$D:$D,$C39,'②유기농raw'!$H:$H)</f>
        <v>2748795</v>
      </c>
      <c r="I39" s="24" t="s">
        <v>33</v>
      </c>
    </row>
    <row r="40" ht="17.25" customHeight="1">
      <c r="A40" s="24">
        <v>38.0</v>
      </c>
      <c r="B40" s="24" t="s">
        <v>38</v>
      </c>
      <c r="C40" s="24" t="s">
        <v>615</v>
      </c>
      <c r="D40" s="28" t="s">
        <v>616</v>
      </c>
      <c r="E40" s="24" t="s">
        <v>21</v>
      </c>
      <c r="F40" s="33">
        <f>SUMIF('②유기농raw'!$D:$D,$C40,'②유기농raw'!$F:$F)</f>
        <v>544</v>
      </c>
      <c r="G40" s="33">
        <f>SUMIF('②유기농raw'!$D:$D,$C40,'②유기농raw'!$G:$G)</f>
        <v>13688860</v>
      </c>
      <c r="H40" s="33">
        <f>SUMIF('②유기농raw'!$D:$D,$C40,'②유기농raw'!$H:$H)</f>
        <v>1457959</v>
      </c>
      <c r="I40" s="24" t="s">
        <v>33</v>
      </c>
    </row>
    <row r="41" ht="17.25" customHeight="1">
      <c r="A41" s="24">
        <v>39.0</v>
      </c>
      <c r="B41" s="24" t="s">
        <v>46</v>
      </c>
      <c r="C41" s="24" t="s">
        <v>628</v>
      </c>
      <c r="D41" s="28" t="s">
        <v>629</v>
      </c>
      <c r="E41" s="24" t="s">
        <v>25</v>
      </c>
      <c r="F41" s="33">
        <f>SUMIF('②유기농raw'!$D:$D,$C41,'②유기농raw'!$F:$F)</f>
        <v>174</v>
      </c>
      <c r="G41" s="33">
        <f>SUMIF('②유기농raw'!$D:$D,$C41,'②유기농raw'!$G:$G)</f>
        <v>4674000</v>
      </c>
      <c r="H41" s="33">
        <f>SUMIF('②유기농raw'!$D:$D,$C41,'②유기농raw'!$H:$H)</f>
        <v>575800</v>
      </c>
      <c r="I41" s="24" t="s">
        <v>33</v>
      </c>
    </row>
    <row r="42" ht="17.25" customHeight="1">
      <c r="A42" s="24">
        <v>40.0</v>
      </c>
      <c r="B42" s="24" t="s">
        <v>16</v>
      </c>
      <c r="C42" s="24" t="s">
        <v>645</v>
      </c>
      <c r="D42" s="28" t="s">
        <v>646</v>
      </c>
      <c r="E42" s="24" t="s">
        <v>21</v>
      </c>
      <c r="F42" s="33">
        <f>SUMIF('②유기농raw'!$D:$D,$C42,'②유기농raw'!$F:$F)</f>
        <v>0</v>
      </c>
      <c r="G42" s="33">
        <f>SUMIF('②유기농raw'!$D:$D,$C42,'②유기농raw'!$G:$G)</f>
        <v>0</v>
      </c>
      <c r="H42" s="33">
        <f>SUMIF('②유기농raw'!$D:$D,$C42,'②유기농raw'!$H:$H)</f>
        <v>0</v>
      </c>
      <c r="I42" s="28"/>
    </row>
    <row r="43" ht="17.25" customHeight="1">
      <c r="A43" s="24">
        <v>41.0</v>
      </c>
      <c r="B43" s="24" t="s">
        <v>16</v>
      </c>
      <c r="C43" s="24" t="s">
        <v>659</v>
      </c>
      <c r="D43" s="28" t="s">
        <v>660</v>
      </c>
      <c r="E43" s="24" t="s">
        <v>25</v>
      </c>
      <c r="F43" s="33">
        <f>SUMIF('②유기농raw'!$D:$D,$C43,'②유기농raw'!$F:$F)</f>
        <v>2047</v>
      </c>
      <c r="G43" s="33">
        <f>SUMIF('②유기농raw'!$D:$D,$C43,'②유기농raw'!$G:$G)</f>
        <v>63191000</v>
      </c>
      <c r="H43" s="33">
        <f>SUMIF('②유기농raw'!$D:$D,$C43,'②유기농raw'!$H:$H)</f>
        <v>7617120</v>
      </c>
      <c r="I43" s="24" t="s">
        <v>33</v>
      </c>
    </row>
    <row r="44" ht="17.25" customHeight="1">
      <c r="A44" s="24">
        <v>42.0</v>
      </c>
      <c r="B44" s="24" t="s">
        <v>16</v>
      </c>
      <c r="C44" s="24" t="s">
        <v>678</v>
      </c>
      <c r="D44" s="28" t="s">
        <v>679</v>
      </c>
      <c r="E44" s="24" t="s">
        <v>25</v>
      </c>
      <c r="F44" s="33">
        <f>SUMIF('②유기농raw'!$D:$D,$C44,'②유기농raw'!$F:$F)</f>
        <v>59</v>
      </c>
      <c r="G44" s="33">
        <f>SUMIF('②유기농raw'!$D:$D,$C44,'②유기농raw'!$G:$G)</f>
        <v>2502300</v>
      </c>
      <c r="H44" s="33">
        <f>SUMIF('②유기농raw'!$D:$D,$C44,'②유기농raw'!$H:$H)</f>
        <v>253260</v>
      </c>
      <c r="I44" s="24" t="s">
        <v>33</v>
      </c>
    </row>
    <row r="45" ht="17.25" customHeight="1">
      <c r="A45" s="24">
        <v>43.0</v>
      </c>
      <c r="B45" s="24" t="s">
        <v>38</v>
      </c>
      <c r="C45" s="24" t="s">
        <v>692</v>
      </c>
      <c r="D45" s="28" t="s">
        <v>693</v>
      </c>
      <c r="E45" s="24" t="s">
        <v>25</v>
      </c>
      <c r="F45" s="33">
        <f>SUMIF('②유기농raw'!$D:$D,$C45,'②유기농raw'!$F:$F)</f>
        <v>0</v>
      </c>
      <c r="G45" s="33">
        <f>SUMIF('②유기농raw'!$D:$D,$C45,'②유기농raw'!$G:$G)</f>
        <v>0</v>
      </c>
      <c r="H45" s="33">
        <f>SUMIF('②유기농raw'!$D:$D,$C45,'②유기농raw'!$H:$H)</f>
        <v>0</v>
      </c>
      <c r="I45" s="28"/>
    </row>
    <row r="46" ht="17.25" customHeight="1">
      <c r="A46" s="24">
        <v>44.0</v>
      </c>
      <c r="B46" s="24" t="s">
        <v>46</v>
      </c>
      <c r="C46" s="24" t="s">
        <v>706</v>
      </c>
      <c r="D46" s="28" t="s">
        <v>707</v>
      </c>
      <c r="E46" s="24" t="s">
        <v>21</v>
      </c>
      <c r="F46" s="33">
        <f>SUMIF('②유기농raw'!$D:$D,$C46,'②유기농raw'!$F:$F)</f>
        <v>0</v>
      </c>
      <c r="G46" s="33">
        <f>SUMIF('②유기농raw'!$D:$D,$C46,'②유기농raw'!$G:$G)</f>
        <v>0</v>
      </c>
      <c r="H46" s="33">
        <f>SUMIF('②유기농raw'!$D:$D,$C46,'②유기농raw'!$H:$H)</f>
        <v>0</v>
      </c>
      <c r="I46" s="28"/>
    </row>
    <row r="47" ht="17.25" customHeight="1">
      <c r="A47" s="24">
        <v>45.0</v>
      </c>
      <c r="B47" s="24" t="s">
        <v>16</v>
      </c>
      <c r="C47" s="24" t="s">
        <v>721</v>
      </c>
      <c r="D47" s="28" t="s">
        <v>722</v>
      </c>
      <c r="E47" s="24" t="s">
        <v>21</v>
      </c>
      <c r="F47" s="33">
        <f>SUMIF('②유기농raw'!$D:$D,$C47,'②유기농raw'!$F:$F)</f>
        <v>2172</v>
      </c>
      <c r="G47" s="33">
        <f>SUMIF('②유기농raw'!$D:$D,$C47,'②유기농raw'!$G:$G)</f>
        <v>16996050</v>
      </c>
      <c r="H47" s="33">
        <f>SUMIF('②유기농raw'!$D:$D,$C47,'②유기농raw'!$H:$H)</f>
        <v>1827293</v>
      </c>
      <c r="I47" s="24" t="s">
        <v>33</v>
      </c>
    </row>
    <row r="48" ht="17.25" customHeight="1">
      <c r="A48" s="24">
        <v>46.0</v>
      </c>
      <c r="B48" s="24" t="s">
        <v>16</v>
      </c>
      <c r="C48" s="24" t="s">
        <v>735</v>
      </c>
      <c r="D48" s="28" t="s">
        <v>736</v>
      </c>
      <c r="E48" s="24" t="s">
        <v>25</v>
      </c>
      <c r="F48" s="33">
        <f>SUMIF('②유기농raw'!$D:$D,$C48,'②유기농raw'!$F:$F)</f>
        <v>892</v>
      </c>
      <c r="G48" s="33">
        <f>SUMIF('②유기농raw'!$D:$D,$C48,'②유기농raw'!$G:$G)</f>
        <v>30263600</v>
      </c>
      <c r="H48" s="33">
        <f>SUMIF('②유기농raw'!$D:$D,$C48,'②유기농raw'!$H:$H)</f>
        <v>2593180</v>
      </c>
      <c r="I48" s="24" t="s">
        <v>33</v>
      </c>
    </row>
    <row r="49" ht="17.25" customHeight="1">
      <c r="A49" s="24">
        <v>47.0</v>
      </c>
      <c r="B49" s="24" t="s">
        <v>38</v>
      </c>
      <c r="C49" s="24" t="s">
        <v>759</v>
      </c>
      <c r="D49" s="28" t="s">
        <v>760</v>
      </c>
      <c r="E49" s="24" t="s">
        <v>25</v>
      </c>
      <c r="F49" s="33">
        <f>SUMIF('②유기농raw'!$D:$D,$C49,'②유기농raw'!$F:$F)</f>
        <v>8</v>
      </c>
      <c r="G49" s="33">
        <f>SUMIF('②유기농raw'!$D:$D,$C49,'②유기농raw'!$G:$G)</f>
        <v>347000</v>
      </c>
      <c r="H49" s="33">
        <f>SUMIF('②유기농raw'!$D:$D,$C49,'②유기농raw'!$H:$H)</f>
        <v>26000</v>
      </c>
      <c r="I49" s="24" t="s">
        <v>33</v>
      </c>
    </row>
    <row r="50" ht="17.25" customHeight="1">
      <c r="A50" s="24">
        <v>48.0</v>
      </c>
      <c r="B50" s="24" t="s">
        <v>16</v>
      </c>
      <c r="C50" s="24" t="s">
        <v>771</v>
      </c>
      <c r="D50" s="28" t="s">
        <v>772</v>
      </c>
      <c r="E50" s="24" t="s">
        <v>21</v>
      </c>
      <c r="F50" s="33">
        <f>SUMIF('②유기농raw'!$D:$D,$C50,'②유기농raw'!$F:$F)</f>
        <v>0</v>
      </c>
      <c r="G50" s="33">
        <f>SUMIF('②유기농raw'!$D:$D,$C50,'②유기농raw'!$G:$G)</f>
        <v>0</v>
      </c>
      <c r="H50" s="33">
        <f>SUMIF('②유기농raw'!$D:$D,$C50,'②유기농raw'!$H:$H)</f>
        <v>0</v>
      </c>
      <c r="I50" s="28"/>
    </row>
    <row r="51" ht="17.25" customHeight="1">
      <c r="A51" s="24">
        <v>49.0</v>
      </c>
      <c r="B51" s="24" t="s">
        <v>46</v>
      </c>
      <c r="C51" s="24" t="s">
        <v>788</v>
      </c>
      <c r="D51" s="28" t="s">
        <v>789</v>
      </c>
      <c r="E51" s="24" t="s">
        <v>25</v>
      </c>
      <c r="F51" s="33">
        <f>SUMIF('②유기농raw'!$D:$D,$C51,'②유기농raw'!$F:$F)</f>
        <v>206</v>
      </c>
      <c r="G51" s="33">
        <f>SUMIF('②유기농raw'!$D:$D,$C51,'②유기농raw'!$G:$G)</f>
        <v>4424250</v>
      </c>
      <c r="H51" s="33">
        <f>SUMIF('②유기농raw'!$D:$D,$C51,'②유기농raw'!$H:$H)</f>
        <v>703630</v>
      </c>
      <c r="I51" s="28"/>
    </row>
    <row r="52" ht="17.25" customHeight="1">
      <c r="A52" s="24">
        <v>50.0</v>
      </c>
      <c r="B52" s="24" t="s">
        <v>38</v>
      </c>
      <c r="C52" s="24" t="s">
        <v>810</v>
      </c>
      <c r="D52" s="28" t="s">
        <v>812</v>
      </c>
      <c r="E52" s="24" t="s">
        <v>25</v>
      </c>
      <c r="F52" s="33">
        <f>SUMIF('②유기농raw'!$D:$D,$C52,'②유기농raw'!$F:$F)</f>
        <v>0</v>
      </c>
      <c r="G52" s="33">
        <f>SUMIF('②유기농raw'!$D:$D,$C52,'②유기농raw'!$G:$G)</f>
        <v>0</v>
      </c>
      <c r="H52" s="33">
        <f>SUMIF('②유기농raw'!$D:$D,$C52,'②유기농raw'!$H:$H)</f>
        <v>0</v>
      </c>
      <c r="I52" s="28"/>
    </row>
    <row r="53" ht="17.25" customHeight="1">
      <c r="A53" s="24">
        <v>51.0</v>
      </c>
      <c r="B53" s="24" t="s">
        <v>16</v>
      </c>
      <c r="C53" s="24" t="s">
        <v>827</v>
      </c>
      <c r="D53" s="28" t="s">
        <v>828</v>
      </c>
      <c r="E53" s="24" t="s">
        <v>21</v>
      </c>
      <c r="F53" s="33">
        <f>SUMIF('②유기농raw'!$D:$D,$C53,'②유기농raw'!$F:$F)</f>
        <v>6722</v>
      </c>
      <c r="G53" s="33">
        <f>SUMIF('②유기농raw'!$D:$D,$C53,'②유기농raw'!$G:$G)</f>
        <v>25131030</v>
      </c>
      <c r="H53" s="33">
        <f>SUMIF('②유기농raw'!$D:$D,$C53,'②유기농raw'!$H:$H)</f>
        <v>2082921</v>
      </c>
      <c r="I53" s="24" t="s">
        <v>33</v>
      </c>
    </row>
    <row r="54" ht="17.25" customHeight="1">
      <c r="A54" s="24">
        <v>52.0</v>
      </c>
      <c r="B54" s="24" t="s">
        <v>16</v>
      </c>
      <c r="C54" s="24" t="s">
        <v>850</v>
      </c>
      <c r="D54" s="28" t="s">
        <v>851</v>
      </c>
      <c r="E54" s="24" t="s">
        <v>25</v>
      </c>
      <c r="F54" s="33">
        <f>SUMIF('②유기농raw'!$D:$D,$C54,'②유기농raw'!$F:$F)</f>
        <v>544</v>
      </c>
      <c r="G54" s="33">
        <f>SUMIF('②유기농raw'!$D:$D,$C54,'②유기농raw'!$G:$G)</f>
        <v>13693470</v>
      </c>
      <c r="H54" s="33">
        <f>SUMIF('②유기농raw'!$D:$D,$C54,'②유기농raw'!$H:$H)</f>
        <v>0</v>
      </c>
      <c r="I54" s="24" t="s">
        <v>33</v>
      </c>
    </row>
    <row r="55" ht="17.25" customHeight="1">
      <c r="A55" s="24">
        <v>53.0</v>
      </c>
      <c r="B55" s="24" t="s">
        <v>38</v>
      </c>
      <c r="C55" s="24" t="s">
        <v>865</v>
      </c>
      <c r="D55" s="28" t="s">
        <v>867</v>
      </c>
      <c r="E55" s="24" t="s">
        <v>25</v>
      </c>
      <c r="F55" s="33">
        <f>SUMIF('②유기농raw'!$D:$D,$C55,'②유기농raw'!$F:$F)</f>
        <v>7</v>
      </c>
      <c r="G55" s="33">
        <f>SUMIF('②유기농raw'!$D:$D,$C55,'②유기농raw'!$G:$G)</f>
        <v>198000</v>
      </c>
      <c r="H55" s="33">
        <f>SUMIF('②유기농raw'!$D:$D,$C55,'②유기농raw'!$H:$H)</f>
        <v>0</v>
      </c>
      <c r="I55" s="28"/>
    </row>
    <row r="56" ht="17.25" customHeight="1">
      <c r="A56" s="24">
        <v>54.0</v>
      </c>
      <c r="B56" s="24" t="s">
        <v>46</v>
      </c>
      <c r="C56" s="24" t="s">
        <v>881</v>
      </c>
      <c r="D56" s="28" t="s">
        <v>882</v>
      </c>
      <c r="E56" s="24" t="s">
        <v>25</v>
      </c>
      <c r="F56" s="33">
        <f>SUMIF('②유기농raw'!$D:$D,$C56,'②유기농raw'!$F:$F)</f>
        <v>0</v>
      </c>
      <c r="G56" s="33">
        <f>SUMIF('②유기농raw'!$D:$D,$C56,'②유기농raw'!$G:$G)</f>
        <v>0</v>
      </c>
      <c r="H56" s="33">
        <f>SUMIF('②유기농raw'!$D:$D,$C56,'②유기농raw'!$H:$H)</f>
        <v>0</v>
      </c>
      <c r="I56" s="28"/>
    </row>
    <row r="57" ht="17.25" customHeight="1">
      <c r="A57" s="24">
        <v>55.0</v>
      </c>
      <c r="B57" s="24" t="s">
        <v>38</v>
      </c>
      <c r="C57" s="24" t="s">
        <v>898</v>
      </c>
      <c r="D57" s="28" t="s">
        <v>899</v>
      </c>
      <c r="E57" s="24" t="s">
        <v>21</v>
      </c>
      <c r="F57" s="33">
        <f>SUMIF('②유기농raw'!$D:$D,$C57,'②유기농raw'!$F:$F)</f>
        <v>0</v>
      </c>
      <c r="G57" s="33">
        <f>SUMIF('②유기농raw'!$D:$D,$C57,'②유기농raw'!$G:$G)</f>
        <v>0</v>
      </c>
      <c r="H57" s="33">
        <f>SUMIF('②유기농raw'!$D:$D,$C57,'②유기농raw'!$H:$H)</f>
        <v>0</v>
      </c>
      <c r="I57" s="28"/>
    </row>
    <row r="58" ht="17.25" customHeight="1">
      <c r="A58" s="1"/>
      <c r="B58" s="4"/>
      <c r="C58" s="4"/>
      <c r="D58" s="1"/>
      <c r="E58" s="4"/>
      <c r="F58" s="1"/>
      <c r="G58" s="1"/>
      <c r="H58" s="1"/>
      <c r="I58" s="4"/>
    </row>
    <row r="59" ht="17.25" customHeight="1">
      <c r="A59" s="1"/>
      <c r="B59" s="4"/>
      <c r="C59" s="4"/>
      <c r="D59" s="1"/>
      <c r="E59" s="4"/>
      <c r="F59" s="1"/>
      <c r="G59" s="1"/>
      <c r="H59" s="1"/>
      <c r="I59" s="4"/>
    </row>
    <row r="60" ht="17.25" customHeight="1">
      <c r="A60" s="1"/>
      <c r="B60" s="4"/>
      <c r="C60" s="4"/>
      <c r="D60" s="1"/>
      <c r="E60" s="4"/>
      <c r="F60" s="1"/>
      <c r="G60" s="1"/>
      <c r="H60" s="1"/>
      <c r="I60" s="4"/>
    </row>
    <row r="61" ht="17.25" customHeight="1">
      <c r="A61" s="1"/>
      <c r="B61" s="4"/>
      <c r="C61" s="4"/>
      <c r="D61" s="1"/>
      <c r="E61" s="4"/>
      <c r="F61" s="1"/>
      <c r="G61" s="1"/>
      <c r="H61" s="1"/>
      <c r="I61" s="4"/>
    </row>
    <row r="62" ht="17.25" customHeight="1">
      <c r="A62" s="1"/>
      <c r="B62" s="4"/>
      <c r="C62" s="4"/>
      <c r="D62" s="1"/>
      <c r="E62" s="4"/>
      <c r="F62" s="1"/>
      <c r="G62" s="1"/>
      <c r="H62" s="1"/>
      <c r="I62" s="4"/>
    </row>
    <row r="63" ht="17.25" customHeight="1">
      <c r="A63" s="1"/>
      <c r="B63" s="4"/>
      <c r="C63" s="4"/>
      <c r="D63" s="1"/>
      <c r="E63" s="4"/>
      <c r="F63" s="1"/>
      <c r="G63" s="1"/>
      <c r="H63" s="1"/>
      <c r="I63" s="4"/>
    </row>
    <row r="64" ht="17.25" customHeight="1">
      <c r="A64" s="1"/>
      <c r="B64" s="4"/>
      <c r="C64" s="4"/>
      <c r="D64" s="1"/>
      <c r="E64" s="4"/>
      <c r="F64" s="1"/>
      <c r="G64" s="1"/>
      <c r="H64" s="1"/>
      <c r="I64" s="4"/>
    </row>
    <row r="65" ht="17.25" customHeight="1">
      <c r="A65" s="1"/>
      <c r="B65" s="4"/>
      <c r="C65" s="4"/>
      <c r="D65" s="1"/>
      <c r="E65" s="4"/>
      <c r="F65" s="1"/>
      <c r="G65" s="1"/>
      <c r="H65" s="1"/>
      <c r="I65" s="4"/>
    </row>
    <row r="66" ht="17.25" customHeight="1">
      <c r="A66" s="1"/>
      <c r="B66" s="4"/>
      <c r="C66" s="4"/>
      <c r="D66" s="1"/>
      <c r="E66" s="4"/>
      <c r="F66" s="1"/>
      <c r="G66" s="1"/>
      <c r="H66" s="1"/>
      <c r="I66" s="4"/>
    </row>
    <row r="67" ht="17.25" customHeight="1">
      <c r="A67" s="1"/>
      <c r="B67" s="4"/>
      <c r="C67" s="4"/>
      <c r="D67" s="1"/>
      <c r="E67" s="4"/>
      <c r="F67" s="1"/>
      <c r="G67" s="1"/>
      <c r="H67" s="1"/>
      <c r="I67" s="4"/>
    </row>
    <row r="68" ht="17.25" customHeight="1">
      <c r="A68" s="1"/>
      <c r="B68" s="4"/>
      <c r="C68" s="4"/>
      <c r="D68" s="1"/>
      <c r="E68" s="4"/>
      <c r="F68" s="1"/>
      <c r="G68" s="1"/>
      <c r="H68" s="1"/>
      <c r="I68" s="4"/>
    </row>
    <row r="69" ht="17.25" customHeight="1">
      <c r="A69" s="1"/>
      <c r="B69" s="4"/>
      <c r="C69" s="4"/>
      <c r="D69" s="1"/>
      <c r="E69" s="4"/>
      <c r="F69" s="1"/>
      <c r="G69" s="1"/>
      <c r="H69" s="1"/>
      <c r="I69" s="4"/>
    </row>
    <row r="70" ht="17.25" customHeight="1">
      <c r="A70" s="1"/>
      <c r="B70" s="4"/>
      <c r="C70" s="4"/>
      <c r="D70" s="1"/>
      <c r="E70" s="4"/>
      <c r="F70" s="1"/>
      <c r="G70" s="1"/>
      <c r="H70" s="1"/>
      <c r="I70" s="4"/>
    </row>
    <row r="71" ht="17.25" customHeight="1">
      <c r="A71" s="1"/>
      <c r="B71" s="4"/>
      <c r="C71" s="4"/>
      <c r="D71" s="1"/>
      <c r="E71" s="4"/>
      <c r="F71" s="1"/>
      <c r="G71" s="1"/>
      <c r="H71" s="1"/>
      <c r="I71" s="4"/>
    </row>
    <row r="72" ht="17.25" customHeight="1">
      <c r="A72" s="1"/>
      <c r="B72" s="4"/>
      <c r="C72" s="4"/>
      <c r="D72" s="1"/>
      <c r="E72" s="4"/>
      <c r="F72" s="1"/>
      <c r="G72" s="1"/>
      <c r="H72" s="1"/>
      <c r="I72" s="4"/>
    </row>
    <row r="73" ht="17.25" customHeight="1">
      <c r="A73" s="1"/>
      <c r="B73" s="4"/>
      <c r="C73" s="4"/>
      <c r="D73" s="1"/>
      <c r="E73" s="4"/>
      <c r="F73" s="1"/>
      <c r="G73" s="1"/>
      <c r="H73" s="1"/>
      <c r="I73" s="4"/>
    </row>
    <row r="74" ht="17.25" customHeight="1">
      <c r="A74" s="1"/>
      <c r="B74" s="4"/>
      <c r="C74" s="4"/>
      <c r="D74" s="1"/>
      <c r="E74" s="4"/>
      <c r="F74" s="1"/>
      <c r="G74" s="1"/>
      <c r="H74" s="1"/>
      <c r="I74" s="4"/>
    </row>
    <row r="75" ht="17.25" customHeight="1">
      <c r="A75" s="1"/>
      <c r="B75" s="4"/>
      <c r="C75" s="4"/>
      <c r="D75" s="1"/>
      <c r="E75" s="4"/>
      <c r="F75" s="1"/>
      <c r="G75" s="1"/>
      <c r="H75" s="1"/>
      <c r="I75" s="4"/>
    </row>
    <row r="76" ht="17.25" customHeight="1">
      <c r="A76" s="1"/>
      <c r="B76" s="4"/>
      <c r="C76" s="4"/>
      <c r="D76" s="1"/>
      <c r="E76" s="4"/>
      <c r="F76" s="1"/>
      <c r="G76" s="1"/>
      <c r="H76" s="1"/>
      <c r="I76" s="4"/>
    </row>
    <row r="77" ht="17.25" customHeight="1">
      <c r="A77" s="1"/>
      <c r="B77" s="4"/>
      <c r="C77" s="4"/>
      <c r="D77" s="1"/>
      <c r="E77" s="4"/>
      <c r="F77" s="1"/>
      <c r="G77" s="1"/>
      <c r="H77" s="1"/>
      <c r="I77" s="4"/>
    </row>
    <row r="78" ht="17.25" customHeight="1">
      <c r="A78" s="1"/>
      <c r="B78" s="4"/>
      <c r="C78" s="4"/>
      <c r="D78" s="1"/>
      <c r="E78" s="4"/>
      <c r="F78" s="1"/>
      <c r="G78" s="1"/>
      <c r="H78" s="1"/>
      <c r="I78" s="4"/>
    </row>
    <row r="79" ht="17.25" customHeight="1">
      <c r="A79" s="1"/>
      <c r="B79" s="4"/>
      <c r="C79" s="4"/>
      <c r="D79" s="1"/>
      <c r="E79" s="4"/>
      <c r="F79" s="1"/>
      <c r="G79" s="1"/>
      <c r="H79" s="1"/>
      <c r="I79" s="4"/>
    </row>
    <row r="80" ht="17.25" customHeight="1">
      <c r="A80" s="1"/>
      <c r="B80" s="4"/>
      <c r="C80" s="4"/>
      <c r="D80" s="1"/>
      <c r="E80" s="4"/>
      <c r="F80" s="1"/>
      <c r="G80" s="1"/>
      <c r="H80" s="1"/>
      <c r="I80" s="4"/>
    </row>
    <row r="81" ht="17.25" customHeight="1">
      <c r="A81" s="1"/>
      <c r="B81" s="4"/>
      <c r="C81" s="4"/>
      <c r="D81" s="1"/>
      <c r="E81" s="4"/>
      <c r="F81" s="1"/>
      <c r="G81" s="1"/>
      <c r="H81" s="1"/>
      <c r="I81" s="4"/>
    </row>
    <row r="82" ht="17.25" customHeight="1">
      <c r="A82" s="1"/>
      <c r="B82" s="4"/>
      <c r="C82" s="4"/>
      <c r="D82" s="1"/>
      <c r="E82" s="4"/>
      <c r="F82" s="1"/>
      <c r="G82" s="1"/>
      <c r="H82" s="1"/>
      <c r="I82" s="4"/>
    </row>
    <row r="83" ht="17.25" customHeight="1">
      <c r="A83" s="1"/>
      <c r="B83" s="4"/>
      <c r="C83" s="4"/>
      <c r="D83" s="1"/>
      <c r="E83" s="4"/>
      <c r="F83" s="1"/>
      <c r="G83" s="1"/>
      <c r="H83" s="1"/>
      <c r="I83" s="4"/>
    </row>
    <row r="84" ht="17.25" customHeight="1">
      <c r="A84" s="1"/>
      <c r="B84" s="4"/>
      <c r="C84" s="4"/>
      <c r="D84" s="1"/>
      <c r="E84" s="4"/>
      <c r="F84" s="1"/>
      <c r="G84" s="1"/>
      <c r="H84" s="1"/>
      <c r="I84" s="4"/>
    </row>
    <row r="85" ht="17.25" customHeight="1">
      <c r="A85" s="1"/>
      <c r="B85" s="4"/>
      <c r="C85" s="4"/>
      <c r="D85" s="1"/>
      <c r="E85" s="4"/>
      <c r="F85" s="1"/>
      <c r="G85" s="1"/>
      <c r="H85" s="1"/>
      <c r="I85" s="4"/>
    </row>
    <row r="86" ht="17.25" customHeight="1">
      <c r="A86" s="1"/>
      <c r="B86" s="4"/>
      <c r="C86" s="4"/>
      <c r="D86" s="1"/>
      <c r="E86" s="4"/>
      <c r="F86" s="1"/>
      <c r="G86" s="1"/>
      <c r="H86" s="1"/>
      <c r="I86" s="4"/>
    </row>
    <row r="87" ht="17.25" customHeight="1">
      <c r="A87" s="1"/>
      <c r="B87" s="4"/>
      <c r="C87" s="4"/>
      <c r="D87" s="1"/>
      <c r="E87" s="4"/>
      <c r="F87" s="1"/>
      <c r="G87" s="1"/>
      <c r="H87" s="1"/>
      <c r="I87" s="4"/>
    </row>
    <row r="88" ht="17.25" customHeight="1">
      <c r="A88" s="1"/>
      <c r="B88" s="4"/>
      <c r="C88" s="4"/>
      <c r="D88" s="1"/>
      <c r="E88" s="4"/>
      <c r="F88" s="1"/>
      <c r="G88" s="1"/>
      <c r="H88" s="1"/>
      <c r="I88" s="4"/>
    </row>
    <row r="89" ht="17.25" customHeight="1">
      <c r="A89" s="1"/>
      <c r="B89" s="4"/>
      <c r="C89" s="4"/>
      <c r="D89" s="1"/>
      <c r="E89" s="4"/>
      <c r="F89" s="1"/>
      <c r="G89" s="1"/>
      <c r="H89" s="1"/>
      <c r="I89" s="4"/>
    </row>
    <row r="90" ht="17.25" customHeight="1">
      <c r="A90" s="1"/>
      <c r="B90" s="4"/>
      <c r="C90" s="4"/>
      <c r="D90" s="1"/>
      <c r="E90" s="4"/>
      <c r="F90" s="1"/>
      <c r="G90" s="1"/>
      <c r="H90" s="1"/>
      <c r="I90" s="4"/>
    </row>
    <row r="91" ht="17.25" customHeight="1">
      <c r="A91" s="1"/>
      <c r="B91" s="4"/>
      <c r="C91" s="4"/>
      <c r="D91" s="1"/>
      <c r="E91" s="4"/>
      <c r="F91" s="1"/>
      <c r="G91" s="1"/>
      <c r="H91" s="1"/>
      <c r="I91" s="4"/>
    </row>
    <row r="92" ht="17.25" customHeight="1">
      <c r="A92" s="1"/>
      <c r="B92" s="4"/>
      <c r="C92" s="4"/>
      <c r="D92" s="1"/>
      <c r="E92" s="4"/>
      <c r="F92" s="1"/>
      <c r="G92" s="1"/>
      <c r="H92" s="1"/>
      <c r="I92" s="4"/>
    </row>
    <row r="93" ht="17.25" customHeight="1">
      <c r="A93" s="1"/>
      <c r="B93" s="4"/>
      <c r="C93" s="4"/>
      <c r="D93" s="1"/>
      <c r="E93" s="4"/>
      <c r="F93" s="1"/>
      <c r="G93" s="1"/>
      <c r="H93" s="1"/>
      <c r="I93" s="4"/>
    </row>
    <row r="94" ht="17.25" customHeight="1">
      <c r="A94" s="1"/>
      <c r="B94" s="4"/>
      <c r="C94" s="4"/>
      <c r="D94" s="1"/>
      <c r="E94" s="4"/>
      <c r="F94" s="1"/>
      <c r="G94" s="1"/>
      <c r="H94" s="1"/>
      <c r="I94" s="4"/>
    </row>
    <row r="95" ht="17.25" customHeight="1">
      <c r="A95" s="1"/>
      <c r="B95" s="4"/>
      <c r="C95" s="4"/>
      <c r="D95" s="1"/>
      <c r="E95" s="4"/>
      <c r="F95" s="1"/>
      <c r="G95" s="1"/>
      <c r="H95" s="1"/>
      <c r="I95" s="4"/>
    </row>
    <row r="96" ht="17.25" customHeight="1">
      <c r="A96" s="1"/>
      <c r="B96" s="4"/>
      <c r="C96" s="4"/>
      <c r="D96" s="1"/>
      <c r="E96" s="4"/>
      <c r="F96" s="1"/>
      <c r="G96" s="1"/>
      <c r="H96" s="1"/>
      <c r="I96" s="4"/>
    </row>
    <row r="97" ht="17.25" customHeight="1">
      <c r="A97" s="1"/>
      <c r="B97" s="4"/>
      <c r="C97" s="4"/>
      <c r="D97" s="1"/>
      <c r="E97" s="4"/>
      <c r="F97" s="1"/>
      <c r="G97" s="1"/>
      <c r="H97" s="1"/>
      <c r="I97" s="4"/>
    </row>
    <row r="98" ht="17.25" customHeight="1">
      <c r="A98" s="1"/>
      <c r="B98" s="4"/>
      <c r="C98" s="4"/>
      <c r="D98" s="1"/>
      <c r="E98" s="4"/>
      <c r="F98" s="1"/>
      <c r="G98" s="1"/>
      <c r="H98" s="1"/>
      <c r="I98" s="4"/>
    </row>
    <row r="99" ht="17.25" customHeight="1">
      <c r="A99" s="1"/>
      <c r="B99" s="4"/>
      <c r="C99" s="4"/>
      <c r="D99" s="1"/>
      <c r="E99" s="4"/>
      <c r="F99" s="1"/>
      <c r="G99" s="1"/>
      <c r="H99" s="1"/>
      <c r="I99" s="4"/>
    </row>
    <row r="100" ht="17.25" customHeight="1">
      <c r="A100" s="1"/>
      <c r="B100" s="4"/>
      <c r="C100" s="4"/>
      <c r="D100" s="1"/>
      <c r="E100" s="4"/>
      <c r="F100" s="1"/>
      <c r="G100" s="1"/>
      <c r="H100" s="1"/>
      <c r="I100" s="4"/>
    </row>
    <row r="101" ht="17.25" customHeight="1">
      <c r="A101" s="1"/>
      <c r="B101" s="4"/>
      <c r="C101" s="4"/>
      <c r="D101" s="1"/>
      <c r="E101" s="4"/>
      <c r="F101" s="1"/>
      <c r="G101" s="1"/>
      <c r="H101" s="1"/>
      <c r="I101" s="4"/>
    </row>
    <row r="102" ht="17.25" customHeight="1">
      <c r="A102" s="1"/>
      <c r="B102" s="4"/>
      <c r="C102" s="4"/>
      <c r="D102" s="1"/>
      <c r="E102" s="4"/>
      <c r="F102" s="1"/>
      <c r="G102" s="1"/>
      <c r="H102" s="1"/>
      <c r="I102" s="4"/>
    </row>
    <row r="103" ht="17.25" customHeight="1">
      <c r="A103" s="1"/>
      <c r="B103" s="4"/>
      <c r="C103" s="4"/>
      <c r="D103" s="1"/>
      <c r="E103" s="4"/>
      <c r="F103" s="1"/>
      <c r="G103" s="1"/>
      <c r="H103" s="1"/>
      <c r="I103" s="4"/>
    </row>
    <row r="104" ht="17.25" customHeight="1">
      <c r="A104" s="1"/>
      <c r="B104" s="4"/>
      <c r="C104" s="4"/>
      <c r="D104" s="1"/>
      <c r="E104" s="4"/>
      <c r="F104" s="1"/>
      <c r="G104" s="1"/>
      <c r="H104" s="1"/>
      <c r="I104" s="4"/>
    </row>
    <row r="105" ht="17.25" customHeight="1">
      <c r="A105" s="1"/>
      <c r="B105" s="4"/>
      <c r="C105" s="4"/>
      <c r="D105" s="1"/>
      <c r="E105" s="4"/>
      <c r="F105" s="1"/>
      <c r="G105" s="1"/>
      <c r="H105" s="1"/>
      <c r="I105" s="4"/>
    </row>
    <row r="106" ht="17.25" customHeight="1">
      <c r="A106" s="1"/>
      <c r="B106" s="4"/>
      <c r="C106" s="4"/>
      <c r="D106" s="1"/>
      <c r="E106" s="4"/>
      <c r="F106" s="1"/>
      <c r="G106" s="1"/>
      <c r="H106" s="1"/>
      <c r="I106" s="4"/>
    </row>
    <row r="107" ht="17.25" customHeight="1">
      <c r="A107" s="1"/>
      <c r="B107" s="4"/>
      <c r="C107" s="4"/>
      <c r="D107" s="1"/>
      <c r="E107" s="4"/>
      <c r="F107" s="1"/>
      <c r="G107" s="1"/>
      <c r="H107" s="1"/>
      <c r="I107" s="4"/>
    </row>
    <row r="108" ht="17.25" customHeight="1">
      <c r="A108" s="1"/>
      <c r="B108" s="4"/>
      <c r="C108" s="4"/>
      <c r="D108" s="1"/>
      <c r="E108" s="4"/>
      <c r="F108" s="1"/>
      <c r="G108" s="1"/>
      <c r="H108" s="1"/>
      <c r="I108" s="4"/>
    </row>
    <row r="109" ht="17.25" customHeight="1">
      <c r="A109" s="1"/>
      <c r="B109" s="4"/>
      <c r="C109" s="4"/>
      <c r="D109" s="1"/>
      <c r="E109" s="4"/>
      <c r="F109" s="1"/>
      <c r="G109" s="1"/>
      <c r="H109" s="1"/>
      <c r="I109" s="4"/>
    </row>
    <row r="110" ht="17.25" customHeight="1">
      <c r="A110" s="1"/>
      <c r="B110" s="4"/>
      <c r="C110" s="4"/>
      <c r="D110" s="1"/>
      <c r="E110" s="4"/>
      <c r="F110" s="1"/>
      <c r="G110" s="1"/>
      <c r="H110" s="1"/>
      <c r="I110" s="4"/>
    </row>
    <row r="111" ht="17.25" customHeight="1">
      <c r="A111" s="1"/>
      <c r="B111" s="4"/>
      <c r="C111" s="4"/>
      <c r="D111" s="1"/>
      <c r="E111" s="4"/>
      <c r="F111" s="1"/>
      <c r="G111" s="1"/>
      <c r="H111" s="1"/>
      <c r="I111" s="4"/>
    </row>
    <row r="112" ht="17.25" customHeight="1">
      <c r="A112" s="1"/>
      <c r="B112" s="4"/>
      <c r="C112" s="4"/>
      <c r="D112" s="1"/>
      <c r="E112" s="4"/>
      <c r="F112" s="1"/>
      <c r="G112" s="1"/>
      <c r="H112" s="1"/>
      <c r="I112" s="4"/>
    </row>
    <row r="113" ht="17.25" customHeight="1">
      <c r="A113" s="1"/>
      <c r="B113" s="4"/>
      <c r="C113" s="4"/>
      <c r="D113" s="1"/>
      <c r="E113" s="4"/>
      <c r="F113" s="1"/>
      <c r="G113" s="1"/>
      <c r="H113" s="1"/>
      <c r="I113" s="4"/>
    </row>
    <row r="114" ht="17.25" customHeight="1">
      <c r="A114" s="1"/>
      <c r="B114" s="4"/>
      <c r="C114" s="4"/>
      <c r="D114" s="1"/>
      <c r="E114" s="4"/>
      <c r="F114" s="1"/>
      <c r="G114" s="1"/>
      <c r="H114" s="1"/>
      <c r="I114" s="4"/>
    </row>
    <row r="115" ht="17.25" customHeight="1">
      <c r="A115" s="1"/>
      <c r="B115" s="4"/>
      <c r="C115" s="4"/>
      <c r="D115" s="1"/>
      <c r="E115" s="4"/>
      <c r="F115" s="1"/>
      <c r="G115" s="1"/>
      <c r="H115" s="1"/>
      <c r="I115" s="4"/>
    </row>
    <row r="116" ht="17.25" customHeight="1">
      <c r="A116" s="1"/>
      <c r="B116" s="4"/>
      <c r="C116" s="4"/>
      <c r="D116" s="1"/>
      <c r="E116" s="4"/>
      <c r="F116" s="1"/>
      <c r="G116" s="1"/>
      <c r="H116" s="1"/>
      <c r="I116" s="4"/>
    </row>
    <row r="117" ht="17.25" customHeight="1">
      <c r="A117" s="1"/>
      <c r="B117" s="4"/>
      <c r="C117" s="4"/>
      <c r="D117" s="1"/>
      <c r="E117" s="4"/>
      <c r="F117" s="1"/>
      <c r="G117" s="1"/>
      <c r="H117" s="1"/>
      <c r="I117" s="4"/>
    </row>
    <row r="118" ht="17.25" customHeight="1">
      <c r="A118" s="1"/>
      <c r="B118" s="4"/>
      <c r="C118" s="4"/>
      <c r="D118" s="1"/>
      <c r="E118" s="4"/>
      <c r="F118" s="1"/>
      <c r="G118" s="1"/>
      <c r="H118" s="1"/>
      <c r="I118" s="4"/>
    </row>
    <row r="119" ht="17.25" customHeight="1">
      <c r="A119" s="1"/>
      <c r="B119" s="4"/>
      <c r="C119" s="4"/>
      <c r="D119" s="1"/>
      <c r="E119" s="4"/>
      <c r="F119" s="1"/>
      <c r="G119" s="1"/>
      <c r="H119" s="1"/>
      <c r="I119" s="4"/>
    </row>
    <row r="120" ht="17.25" customHeight="1">
      <c r="A120" s="1"/>
      <c r="B120" s="4"/>
      <c r="C120" s="4"/>
      <c r="D120" s="1"/>
      <c r="E120" s="4"/>
      <c r="F120" s="1"/>
      <c r="G120" s="1"/>
      <c r="H120" s="1"/>
      <c r="I120" s="4"/>
    </row>
    <row r="121" ht="17.25" customHeight="1">
      <c r="A121" s="1"/>
      <c r="B121" s="4"/>
      <c r="C121" s="4"/>
      <c r="D121" s="1"/>
      <c r="E121" s="4"/>
      <c r="F121" s="1"/>
      <c r="G121" s="1"/>
      <c r="H121" s="1"/>
      <c r="I121" s="4"/>
    </row>
    <row r="122" ht="17.25" customHeight="1">
      <c r="A122" s="1"/>
      <c r="B122" s="4"/>
      <c r="C122" s="4"/>
      <c r="D122" s="1"/>
      <c r="E122" s="4"/>
      <c r="F122" s="1"/>
      <c r="G122" s="1"/>
      <c r="H122" s="1"/>
      <c r="I122" s="4"/>
    </row>
    <row r="123" ht="17.25" customHeight="1">
      <c r="A123" s="1"/>
      <c r="B123" s="4"/>
      <c r="C123" s="4"/>
      <c r="D123" s="1"/>
      <c r="E123" s="4"/>
      <c r="F123" s="1"/>
      <c r="G123" s="1"/>
      <c r="H123" s="1"/>
      <c r="I123" s="4"/>
    </row>
    <row r="124" ht="17.25" customHeight="1">
      <c r="A124" s="1"/>
      <c r="B124" s="4"/>
      <c r="C124" s="4"/>
      <c r="D124" s="1"/>
      <c r="E124" s="4"/>
      <c r="F124" s="1"/>
      <c r="G124" s="1"/>
      <c r="H124" s="1"/>
      <c r="I124" s="4"/>
    </row>
    <row r="125" ht="17.25" customHeight="1">
      <c r="A125" s="1"/>
      <c r="B125" s="4"/>
      <c r="C125" s="4"/>
      <c r="D125" s="1"/>
      <c r="E125" s="4"/>
      <c r="F125" s="1"/>
      <c r="G125" s="1"/>
      <c r="H125" s="1"/>
      <c r="I125" s="4"/>
    </row>
    <row r="126" ht="17.25" customHeight="1">
      <c r="A126" s="1"/>
      <c r="B126" s="4"/>
      <c r="C126" s="4"/>
      <c r="D126" s="1"/>
      <c r="E126" s="4"/>
      <c r="F126" s="1"/>
      <c r="G126" s="1"/>
      <c r="H126" s="1"/>
      <c r="I126" s="4"/>
    </row>
    <row r="127" ht="17.25" customHeight="1">
      <c r="A127" s="1"/>
      <c r="B127" s="4"/>
      <c r="C127" s="4"/>
      <c r="D127" s="1"/>
      <c r="E127" s="4"/>
      <c r="F127" s="1"/>
      <c r="G127" s="1"/>
      <c r="H127" s="1"/>
      <c r="I127" s="4"/>
    </row>
    <row r="128" ht="17.25" customHeight="1">
      <c r="A128" s="1"/>
      <c r="B128" s="4"/>
      <c r="C128" s="4"/>
      <c r="D128" s="1"/>
      <c r="E128" s="4"/>
      <c r="F128" s="1"/>
      <c r="G128" s="1"/>
      <c r="H128" s="1"/>
      <c r="I128" s="4"/>
    </row>
    <row r="129" ht="17.25" customHeight="1">
      <c r="A129" s="1"/>
      <c r="B129" s="4"/>
      <c r="C129" s="4"/>
      <c r="D129" s="1"/>
      <c r="E129" s="4"/>
      <c r="F129" s="1"/>
      <c r="G129" s="1"/>
      <c r="H129" s="1"/>
      <c r="I129" s="4"/>
    </row>
    <row r="130" ht="17.25" customHeight="1">
      <c r="A130" s="1"/>
      <c r="B130" s="4"/>
      <c r="C130" s="4"/>
      <c r="D130" s="1"/>
      <c r="E130" s="4"/>
      <c r="F130" s="1"/>
      <c r="G130" s="1"/>
      <c r="H130" s="1"/>
      <c r="I130" s="4"/>
    </row>
    <row r="131" ht="17.25" customHeight="1">
      <c r="A131" s="1"/>
      <c r="B131" s="4"/>
      <c r="C131" s="4"/>
      <c r="D131" s="1"/>
      <c r="E131" s="4"/>
      <c r="F131" s="1"/>
      <c r="G131" s="1"/>
      <c r="H131" s="1"/>
      <c r="I131" s="4"/>
    </row>
    <row r="132" ht="17.25" customHeight="1">
      <c r="A132" s="1"/>
      <c r="B132" s="4"/>
      <c r="C132" s="4"/>
      <c r="D132" s="1"/>
      <c r="E132" s="4"/>
      <c r="F132" s="1"/>
      <c r="G132" s="1"/>
      <c r="H132" s="1"/>
      <c r="I132" s="4"/>
    </row>
    <row r="133" ht="17.25" customHeight="1">
      <c r="A133" s="1"/>
      <c r="B133" s="4"/>
      <c r="C133" s="4"/>
      <c r="D133" s="1"/>
      <c r="E133" s="4"/>
      <c r="F133" s="1"/>
      <c r="G133" s="1"/>
      <c r="H133" s="1"/>
      <c r="I133" s="4"/>
    </row>
    <row r="134" ht="17.25" customHeight="1">
      <c r="A134" s="1"/>
      <c r="B134" s="4"/>
      <c r="C134" s="4"/>
      <c r="D134" s="1"/>
      <c r="E134" s="4"/>
      <c r="F134" s="1"/>
      <c r="G134" s="1"/>
      <c r="H134" s="1"/>
      <c r="I134" s="4"/>
    </row>
    <row r="135" ht="17.25" customHeight="1">
      <c r="A135" s="1"/>
      <c r="B135" s="4"/>
      <c r="C135" s="4"/>
      <c r="D135" s="1"/>
      <c r="E135" s="4"/>
      <c r="F135" s="1"/>
      <c r="G135" s="1"/>
      <c r="H135" s="1"/>
      <c r="I135" s="4"/>
    </row>
    <row r="136" ht="17.25" customHeight="1">
      <c r="A136" s="1"/>
      <c r="B136" s="4"/>
      <c r="C136" s="4"/>
      <c r="D136" s="1"/>
      <c r="E136" s="4"/>
      <c r="F136" s="1"/>
      <c r="G136" s="1"/>
      <c r="H136" s="1"/>
      <c r="I136" s="4"/>
    </row>
    <row r="137" ht="17.25" customHeight="1">
      <c r="A137" s="1"/>
      <c r="B137" s="4"/>
      <c r="C137" s="4"/>
      <c r="D137" s="1"/>
      <c r="E137" s="4"/>
      <c r="F137" s="1"/>
      <c r="G137" s="1"/>
      <c r="H137" s="1"/>
      <c r="I137" s="4"/>
    </row>
    <row r="138" ht="17.25" customHeight="1">
      <c r="A138" s="1"/>
      <c r="B138" s="4"/>
      <c r="C138" s="4"/>
      <c r="D138" s="1"/>
      <c r="E138" s="4"/>
      <c r="F138" s="1"/>
      <c r="G138" s="1"/>
      <c r="H138" s="1"/>
      <c r="I138" s="4"/>
    </row>
    <row r="139" ht="17.25" customHeight="1">
      <c r="A139" s="1"/>
      <c r="B139" s="4"/>
      <c r="C139" s="4"/>
      <c r="D139" s="1"/>
      <c r="E139" s="4"/>
      <c r="F139" s="1"/>
      <c r="G139" s="1"/>
      <c r="H139" s="1"/>
      <c r="I139" s="4"/>
    </row>
    <row r="140" ht="17.25" customHeight="1">
      <c r="A140" s="1"/>
      <c r="B140" s="4"/>
      <c r="C140" s="4"/>
      <c r="D140" s="1"/>
      <c r="E140" s="4"/>
      <c r="F140" s="1"/>
      <c r="G140" s="1"/>
      <c r="H140" s="1"/>
      <c r="I140" s="4"/>
    </row>
    <row r="141" ht="17.25" customHeight="1">
      <c r="A141" s="1"/>
      <c r="B141" s="4"/>
      <c r="C141" s="4"/>
      <c r="D141" s="1"/>
      <c r="E141" s="4"/>
      <c r="F141" s="1"/>
      <c r="G141" s="1"/>
      <c r="H141" s="1"/>
      <c r="I141" s="4"/>
    </row>
    <row r="142" ht="17.25" customHeight="1">
      <c r="A142" s="1"/>
      <c r="B142" s="4"/>
      <c r="C142" s="4"/>
      <c r="D142" s="1"/>
      <c r="E142" s="4"/>
      <c r="F142" s="1"/>
      <c r="G142" s="1"/>
      <c r="H142" s="1"/>
      <c r="I142" s="4"/>
    </row>
    <row r="143" ht="17.25" customHeight="1">
      <c r="A143" s="1"/>
      <c r="B143" s="4"/>
      <c r="C143" s="4"/>
      <c r="D143" s="1"/>
      <c r="E143" s="4"/>
      <c r="F143" s="1"/>
      <c r="G143" s="1"/>
      <c r="H143" s="1"/>
      <c r="I143" s="4"/>
    </row>
    <row r="144" ht="17.25" customHeight="1">
      <c r="A144" s="1"/>
      <c r="B144" s="4"/>
      <c r="C144" s="4"/>
      <c r="D144" s="1"/>
      <c r="E144" s="4"/>
      <c r="F144" s="1"/>
      <c r="G144" s="1"/>
      <c r="H144" s="1"/>
      <c r="I144" s="4"/>
    </row>
    <row r="145" ht="17.25" customHeight="1">
      <c r="A145" s="1"/>
      <c r="B145" s="4"/>
      <c r="C145" s="4"/>
      <c r="D145" s="1"/>
      <c r="E145" s="4"/>
      <c r="F145" s="1"/>
      <c r="G145" s="1"/>
      <c r="H145" s="1"/>
      <c r="I145" s="4"/>
    </row>
    <row r="146" ht="17.25" customHeight="1">
      <c r="A146" s="1"/>
      <c r="B146" s="4"/>
      <c r="C146" s="4"/>
      <c r="D146" s="1"/>
      <c r="E146" s="4"/>
      <c r="F146" s="1"/>
      <c r="G146" s="1"/>
      <c r="H146" s="1"/>
      <c r="I146" s="4"/>
    </row>
    <row r="147" ht="17.25" customHeight="1">
      <c r="A147" s="1"/>
      <c r="B147" s="4"/>
      <c r="C147" s="4"/>
      <c r="D147" s="1"/>
      <c r="E147" s="4"/>
      <c r="F147" s="1"/>
      <c r="G147" s="1"/>
      <c r="H147" s="1"/>
      <c r="I147" s="4"/>
    </row>
    <row r="148" ht="17.25" customHeight="1">
      <c r="A148" s="1"/>
      <c r="B148" s="4"/>
      <c r="C148" s="4"/>
      <c r="D148" s="1"/>
      <c r="E148" s="4"/>
      <c r="F148" s="1"/>
      <c r="G148" s="1"/>
      <c r="H148" s="1"/>
      <c r="I148" s="4"/>
    </row>
    <row r="149" ht="17.25" customHeight="1">
      <c r="A149" s="1"/>
      <c r="B149" s="4"/>
      <c r="C149" s="4"/>
      <c r="D149" s="1"/>
      <c r="E149" s="4"/>
      <c r="F149" s="1"/>
      <c r="G149" s="1"/>
      <c r="H149" s="1"/>
      <c r="I149" s="4"/>
    </row>
    <row r="150" ht="17.25" customHeight="1">
      <c r="A150" s="1"/>
      <c r="B150" s="4"/>
      <c r="C150" s="4"/>
      <c r="D150" s="1"/>
      <c r="E150" s="4"/>
      <c r="F150" s="1"/>
      <c r="G150" s="1"/>
      <c r="H150" s="1"/>
      <c r="I150" s="4"/>
    </row>
    <row r="151" ht="17.25" customHeight="1">
      <c r="A151" s="1"/>
      <c r="B151" s="4"/>
      <c r="C151" s="4"/>
      <c r="D151" s="1"/>
      <c r="E151" s="4"/>
      <c r="F151" s="1"/>
      <c r="G151" s="1"/>
      <c r="H151" s="1"/>
      <c r="I151" s="4"/>
    </row>
    <row r="152" ht="17.25" customHeight="1">
      <c r="A152" s="1"/>
      <c r="B152" s="4"/>
      <c r="C152" s="4"/>
      <c r="D152" s="1"/>
      <c r="E152" s="4"/>
      <c r="F152" s="1"/>
      <c r="G152" s="1"/>
      <c r="H152" s="1"/>
      <c r="I152" s="4"/>
    </row>
    <row r="153" ht="17.25" customHeight="1">
      <c r="A153" s="1"/>
      <c r="B153" s="4"/>
      <c r="C153" s="4"/>
      <c r="D153" s="1"/>
      <c r="E153" s="4"/>
      <c r="F153" s="1"/>
      <c r="G153" s="1"/>
      <c r="H153" s="1"/>
      <c r="I153" s="4"/>
    </row>
    <row r="154" ht="17.25" customHeight="1">
      <c r="A154" s="1"/>
      <c r="B154" s="4"/>
      <c r="C154" s="4"/>
      <c r="D154" s="1"/>
      <c r="E154" s="4"/>
      <c r="F154" s="1"/>
      <c r="G154" s="1"/>
      <c r="H154" s="1"/>
      <c r="I154" s="4"/>
    </row>
    <row r="155" ht="17.25" customHeight="1">
      <c r="A155" s="1"/>
      <c r="B155" s="4"/>
      <c r="C155" s="4"/>
      <c r="D155" s="1"/>
      <c r="E155" s="4"/>
      <c r="F155" s="1"/>
      <c r="G155" s="1"/>
      <c r="H155" s="1"/>
      <c r="I155" s="4"/>
    </row>
    <row r="156" ht="17.25" customHeight="1">
      <c r="A156" s="1"/>
      <c r="B156" s="4"/>
      <c r="C156" s="4"/>
      <c r="D156" s="1"/>
      <c r="E156" s="4"/>
      <c r="F156" s="1"/>
      <c r="G156" s="1"/>
      <c r="H156" s="1"/>
      <c r="I156" s="4"/>
    </row>
    <row r="157" ht="17.25" customHeight="1">
      <c r="A157" s="1"/>
      <c r="B157" s="4"/>
      <c r="C157" s="4"/>
      <c r="D157" s="1"/>
      <c r="E157" s="4"/>
      <c r="F157" s="1"/>
      <c r="G157" s="1"/>
      <c r="H157" s="1"/>
      <c r="I157" s="4"/>
    </row>
    <row r="158" ht="17.25" customHeight="1">
      <c r="A158" s="1"/>
      <c r="B158" s="4"/>
      <c r="C158" s="4"/>
      <c r="D158" s="1"/>
      <c r="E158" s="4"/>
      <c r="F158" s="1"/>
      <c r="G158" s="1"/>
      <c r="H158" s="1"/>
      <c r="I158" s="4"/>
    </row>
    <row r="159" ht="17.25" customHeight="1">
      <c r="A159" s="1"/>
      <c r="B159" s="4"/>
      <c r="C159" s="4"/>
      <c r="D159" s="1"/>
      <c r="E159" s="4"/>
      <c r="F159" s="1"/>
      <c r="G159" s="1"/>
      <c r="H159" s="1"/>
      <c r="I159" s="4"/>
    </row>
    <row r="160" ht="17.25" customHeight="1">
      <c r="A160" s="1"/>
      <c r="B160" s="4"/>
      <c r="C160" s="4"/>
      <c r="D160" s="1"/>
      <c r="E160" s="4"/>
      <c r="F160" s="1"/>
      <c r="G160" s="1"/>
      <c r="H160" s="1"/>
      <c r="I160" s="4"/>
    </row>
    <row r="161" ht="17.25" customHeight="1">
      <c r="A161" s="1"/>
      <c r="B161" s="4"/>
      <c r="C161" s="4"/>
      <c r="D161" s="1"/>
      <c r="E161" s="4"/>
      <c r="F161" s="1"/>
      <c r="G161" s="1"/>
      <c r="H161" s="1"/>
      <c r="I161" s="4"/>
    </row>
    <row r="162" ht="17.25" customHeight="1">
      <c r="A162" s="1"/>
      <c r="B162" s="4"/>
      <c r="C162" s="4"/>
      <c r="D162" s="1"/>
      <c r="E162" s="4"/>
      <c r="F162" s="1"/>
      <c r="G162" s="1"/>
      <c r="H162" s="1"/>
      <c r="I162" s="4"/>
    </row>
    <row r="163" ht="17.25" customHeight="1">
      <c r="A163" s="1"/>
      <c r="B163" s="4"/>
      <c r="C163" s="4"/>
      <c r="D163" s="1"/>
      <c r="E163" s="4"/>
      <c r="F163" s="1"/>
      <c r="G163" s="1"/>
      <c r="H163" s="1"/>
      <c r="I163" s="4"/>
    </row>
    <row r="164" ht="17.25" customHeight="1">
      <c r="A164" s="1"/>
      <c r="B164" s="4"/>
      <c r="C164" s="4"/>
      <c r="D164" s="1"/>
      <c r="E164" s="4"/>
      <c r="F164" s="1"/>
      <c r="G164" s="1"/>
      <c r="H164" s="1"/>
      <c r="I164" s="4"/>
    </row>
    <row r="165" ht="17.25" customHeight="1">
      <c r="A165" s="1"/>
      <c r="B165" s="4"/>
      <c r="C165" s="4"/>
      <c r="D165" s="1"/>
      <c r="E165" s="4"/>
      <c r="F165" s="1"/>
      <c r="G165" s="1"/>
      <c r="H165" s="1"/>
      <c r="I165" s="4"/>
    </row>
    <row r="166" ht="17.25" customHeight="1">
      <c r="A166" s="1"/>
      <c r="B166" s="4"/>
      <c r="C166" s="4"/>
      <c r="D166" s="1"/>
      <c r="E166" s="4"/>
      <c r="F166" s="1"/>
      <c r="G166" s="1"/>
      <c r="H166" s="1"/>
      <c r="I166" s="4"/>
    </row>
    <row r="167" ht="17.25" customHeight="1">
      <c r="A167" s="1"/>
      <c r="B167" s="4"/>
      <c r="C167" s="4"/>
      <c r="D167" s="1"/>
      <c r="E167" s="4"/>
      <c r="F167" s="1"/>
      <c r="G167" s="1"/>
      <c r="H167" s="1"/>
      <c r="I167" s="4"/>
    </row>
    <row r="168" ht="17.25" customHeight="1">
      <c r="A168" s="1"/>
      <c r="B168" s="4"/>
      <c r="C168" s="4"/>
      <c r="D168" s="1"/>
      <c r="E168" s="4"/>
      <c r="F168" s="1"/>
      <c r="G168" s="1"/>
      <c r="H168" s="1"/>
      <c r="I168" s="4"/>
    </row>
    <row r="169" ht="17.25" customHeight="1">
      <c r="A169" s="1"/>
      <c r="B169" s="4"/>
      <c r="C169" s="4"/>
      <c r="D169" s="1"/>
      <c r="E169" s="4"/>
      <c r="F169" s="1"/>
      <c r="G169" s="1"/>
      <c r="H169" s="1"/>
      <c r="I169" s="4"/>
    </row>
    <row r="170" ht="17.25" customHeight="1">
      <c r="A170" s="1"/>
      <c r="B170" s="4"/>
      <c r="C170" s="4"/>
      <c r="D170" s="1"/>
      <c r="E170" s="4"/>
      <c r="F170" s="1"/>
      <c r="G170" s="1"/>
      <c r="H170" s="1"/>
      <c r="I170" s="4"/>
    </row>
    <row r="171" ht="17.25" customHeight="1">
      <c r="A171" s="1"/>
      <c r="B171" s="4"/>
      <c r="C171" s="4"/>
      <c r="D171" s="1"/>
      <c r="E171" s="4"/>
      <c r="F171" s="1"/>
      <c r="G171" s="1"/>
      <c r="H171" s="1"/>
      <c r="I171" s="4"/>
    </row>
    <row r="172" ht="17.25" customHeight="1">
      <c r="A172" s="1"/>
      <c r="B172" s="4"/>
      <c r="C172" s="4"/>
      <c r="D172" s="1"/>
      <c r="E172" s="4"/>
      <c r="F172" s="1"/>
      <c r="G172" s="1"/>
      <c r="H172" s="1"/>
      <c r="I172" s="4"/>
    </row>
    <row r="173" ht="17.25" customHeight="1">
      <c r="A173" s="1"/>
      <c r="B173" s="4"/>
      <c r="C173" s="4"/>
      <c r="D173" s="1"/>
      <c r="E173" s="4"/>
      <c r="F173" s="1"/>
      <c r="G173" s="1"/>
      <c r="H173" s="1"/>
      <c r="I173" s="4"/>
    </row>
    <row r="174" ht="17.25" customHeight="1">
      <c r="A174" s="1"/>
      <c r="B174" s="4"/>
      <c r="C174" s="4"/>
      <c r="D174" s="1"/>
      <c r="E174" s="4"/>
      <c r="F174" s="1"/>
      <c r="G174" s="1"/>
      <c r="H174" s="1"/>
      <c r="I174" s="4"/>
    </row>
    <row r="175" ht="17.25" customHeight="1">
      <c r="A175" s="1"/>
      <c r="B175" s="4"/>
      <c r="C175" s="4"/>
      <c r="D175" s="1"/>
      <c r="E175" s="4"/>
      <c r="F175" s="1"/>
      <c r="G175" s="1"/>
      <c r="H175" s="1"/>
      <c r="I175" s="4"/>
    </row>
    <row r="176" ht="17.25" customHeight="1">
      <c r="A176" s="1"/>
      <c r="B176" s="4"/>
      <c r="C176" s="4"/>
      <c r="D176" s="1"/>
      <c r="E176" s="4"/>
      <c r="F176" s="1"/>
      <c r="G176" s="1"/>
      <c r="H176" s="1"/>
      <c r="I176" s="4"/>
    </row>
    <row r="177" ht="17.25" customHeight="1">
      <c r="A177" s="1"/>
      <c r="B177" s="4"/>
      <c r="C177" s="4"/>
      <c r="D177" s="1"/>
      <c r="E177" s="4"/>
      <c r="F177" s="1"/>
      <c r="G177" s="1"/>
      <c r="H177" s="1"/>
      <c r="I177" s="4"/>
    </row>
    <row r="178" ht="17.25" customHeight="1">
      <c r="A178" s="1"/>
      <c r="B178" s="4"/>
      <c r="C178" s="4"/>
      <c r="D178" s="1"/>
      <c r="E178" s="4"/>
      <c r="F178" s="1"/>
      <c r="G178" s="1"/>
      <c r="H178" s="1"/>
      <c r="I178" s="4"/>
    </row>
    <row r="179" ht="17.25" customHeight="1">
      <c r="A179" s="1"/>
      <c r="B179" s="4"/>
      <c r="C179" s="4"/>
      <c r="D179" s="1"/>
      <c r="E179" s="4"/>
      <c r="F179" s="1"/>
      <c r="G179" s="1"/>
      <c r="H179" s="1"/>
      <c r="I179" s="4"/>
    </row>
    <row r="180" ht="17.25" customHeight="1">
      <c r="A180" s="1"/>
      <c r="B180" s="4"/>
      <c r="C180" s="4"/>
      <c r="D180" s="1"/>
      <c r="E180" s="4"/>
      <c r="F180" s="1"/>
      <c r="G180" s="1"/>
      <c r="H180" s="1"/>
      <c r="I180" s="4"/>
    </row>
    <row r="181" ht="17.25" customHeight="1">
      <c r="A181" s="1"/>
      <c r="B181" s="4"/>
      <c r="C181" s="4"/>
      <c r="D181" s="1"/>
      <c r="E181" s="4"/>
      <c r="F181" s="1"/>
      <c r="G181" s="1"/>
      <c r="H181" s="1"/>
      <c r="I181" s="4"/>
    </row>
    <row r="182" ht="17.25" customHeight="1">
      <c r="A182" s="1"/>
      <c r="B182" s="4"/>
      <c r="C182" s="4"/>
      <c r="D182" s="1"/>
      <c r="E182" s="4"/>
      <c r="F182" s="1"/>
      <c r="G182" s="1"/>
      <c r="H182" s="1"/>
      <c r="I182" s="4"/>
    </row>
    <row r="183" ht="17.25" customHeight="1">
      <c r="A183" s="1"/>
      <c r="B183" s="4"/>
      <c r="C183" s="4"/>
      <c r="D183" s="1"/>
      <c r="E183" s="4"/>
      <c r="F183" s="1"/>
      <c r="G183" s="1"/>
      <c r="H183" s="1"/>
      <c r="I183" s="4"/>
    </row>
    <row r="184" ht="17.25" customHeight="1">
      <c r="A184" s="1"/>
      <c r="B184" s="4"/>
      <c r="C184" s="4"/>
      <c r="D184" s="1"/>
      <c r="E184" s="4"/>
      <c r="F184" s="1"/>
      <c r="G184" s="1"/>
      <c r="H184" s="1"/>
      <c r="I184" s="4"/>
    </row>
    <row r="185" ht="17.25" customHeight="1">
      <c r="A185" s="1"/>
      <c r="B185" s="4"/>
      <c r="C185" s="4"/>
      <c r="D185" s="1"/>
      <c r="E185" s="4"/>
      <c r="F185" s="1"/>
      <c r="G185" s="1"/>
      <c r="H185" s="1"/>
      <c r="I185" s="4"/>
    </row>
    <row r="186" ht="17.25" customHeight="1">
      <c r="A186" s="1"/>
      <c r="B186" s="4"/>
      <c r="C186" s="4"/>
      <c r="D186" s="1"/>
      <c r="E186" s="4"/>
      <c r="F186" s="1"/>
      <c r="G186" s="1"/>
      <c r="H186" s="1"/>
      <c r="I186" s="4"/>
    </row>
    <row r="187" ht="17.25" customHeight="1">
      <c r="A187" s="1"/>
      <c r="B187" s="4"/>
      <c r="C187" s="4"/>
      <c r="D187" s="1"/>
      <c r="E187" s="4"/>
      <c r="F187" s="1"/>
      <c r="G187" s="1"/>
      <c r="H187" s="1"/>
      <c r="I187" s="4"/>
    </row>
    <row r="188" ht="17.25" customHeight="1">
      <c r="A188" s="1"/>
      <c r="B188" s="4"/>
      <c r="C188" s="4"/>
      <c r="D188" s="1"/>
      <c r="E188" s="4"/>
      <c r="F188" s="1"/>
      <c r="G188" s="1"/>
      <c r="H188" s="1"/>
      <c r="I188" s="4"/>
    </row>
    <row r="189" ht="17.25" customHeight="1">
      <c r="A189" s="1"/>
      <c r="B189" s="4"/>
      <c r="C189" s="4"/>
      <c r="D189" s="1"/>
      <c r="E189" s="4"/>
      <c r="F189" s="1"/>
      <c r="G189" s="1"/>
      <c r="H189" s="1"/>
      <c r="I189" s="4"/>
    </row>
    <row r="190" ht="17.25" customHeight="1">
      <c r="A190" s="1"/>
      <c r="B190" s="4"/>
      <c r="C190" s="4"/>
      <c r="D190" s="1"/>
      <c r="E190" s="4"/>
      <c r="F190" s="1"/>
      <c r="G190" s="1"/>
      <c r="H190" s="1"/>
      <c r="I190" s="4"/>
    </row>
    <row r="191" ht="17.25" customHeight="1">
      <c r="A191" s="1"/>
      <c r="B191" s="4"/>
      <c r="C191" s="4"/>
      <c r="D191" s="1"/>
      <c r="E191" s="4"/>
      <c r="F191" s="1"/>
      <c r="G191" s="1"/>
      <c r="H191" s="1"/>
      <c r="I191" s="4"/>
    </row>
    <row r="192" ht="17.25" customHeight="1">
      <c r="A192" s="1"/>
      <c r="B192" s="4"/>
      <c r="C192" s="4"/>
      <c r="D192" s="1"/>
      <c r="E192" s="4"/>
      <c r="F192" s="1"/>
      <c r="G192" s="1"/>
      <c r="H192" s="1"/>
      <c r="I192" s="4"/>
    </row>
    <row r="193" ht="17.25" customHeight="1">
      <c r="A193" s="1"/>
      <c r="B193" s="4"/>
      <c r="C193" s="4"/>
      <c r="D193" s="1"/>
      <c r="E193" s="4"/>
      <c r="F193" s="1"/>
      <c r="G193" s="1"/>
      <c r="H193" s="1"/>
      <c r="I193" s="4"/>
    </row>
    <row r="194" ht="17.25" customHeight="1">
      <c r="A194" s="1"/>
      <c r="B194" s="4"/>
      <c r="C194" s="4"/>
      <c r="D194" s="1"/>
      <c r="E194" s="4"/>
      <c r="F194" s="1"/>
      <c r="G194" s="1"/>
      <c r="H194" s="1"/>
      <c r="I194" s="4"/>
    </row>
    <row r="195" ht="17.25" customHeight="1">
      <c r="A195" s="1"/>
      <c r="B195" s="4"/>
      <c r="C195" s="4"/>
      <c r="D195" s="1"/>
      <c r="E195" s="4"/>
      <c r="F195" s="1"/>
      <c r="G195" s="1"/>
      <c r="H195" s="1"/>
      <c r="I195" s="4"/>
    </row>
    <row r="196" ht="17.25" customHeight="1">
      <c r="A196" s="1"/>
      <c r="B196" s="4"/>
      <c r="C196" s="4"/>
      <c r="D196" s="1"/>
      <c r="E196" s="4"/>
      <c r="F196" s="1"/>
      <c r="G196" s="1"/>
      <c r="H196" s="1"/>
      <c r="I196" s="4"/>
    </row>
    <row r="197" ht="17.25" customHeight="1">
      <c r="A197" s="1"/>
      <c r="B197" s="4"/>
      <c r="C197" s="4"/>
      <c r="D197" s="1"/>
      <c r="E197" s="4"/>
      <c r="F197" s="1"/>
      <c r="G197" s="1"/>
      <c r="H197" s="1"/>
      <c r="I197" s="4"/>
    </row>
    <row r="198" ht="17.25" customHeight="1">
      <c r="A198" s="1"/>
      <c r="B198" s="4"/>
      <c r="C198" s="4"/>
      <c r="D198" s="1"/>
      <c r="E198" s="4"/>
      <c r="F198" s="1"/>
      <c r="G198" s="1"/>
      <c r="H198" s="1"/>
      <c r="I198" s="4"/>
    </row>
    <row r="199" ht="17.25" customHeight="1">
      <c r="A199" s="1"/>
      <c r="B199" s="4"/>
      <c r="C199" s="4"/>
      <c r="D199" s="1"/>
      <c r="E199" s="4"/>
      <c r="F199" s="1"/>
      <c r="G199" s="1"/>
      <c r="H199" s="1"/>
      <c r="I199" s="4"/>
    </row>
    <row r="200" ht="17.25" customHeight="1">
      <c r="A200" s="1"/>
      <c r="B200" s="4"/>
      <c r="C200" s="4"/>
      <c r="D200" s="1"/>
      <c r="E200" s="4"/>
      <c r="F200" s="1"/>
      <c r="G200" s="1"/>
      <c r="H200" s="1"/>
      <c r="I200" s="4"/>
    </row>
    <row r="201" ht="17.25" customHeight="1">
      <c r="A201" s="1"/>
      <c r="B201" s="4"/>
      <c r="C201" s="4"/>
      <c r="D201" s="1"/>
      <c r="E201" s="4"/>
      <c r="F201" s="1"/>
      <c r="G201" s="1"/>
      <c r="H201" s="1"/>
      <c r="I201" s="4"/>
    </row>
    <row r="202" ht="17.25" customHeight="1">
      <c r="A202" s="1"/>
      <c r="B202" s="4"/>
      <c r="C202" s="4"/>
      <c r="D202" s="1"/>
      <c r="E202" s="4"/>
      <c r="F202" s="1"/>
      <c r="G202" s="1"/>
      <c r="H202" s="1"/>
      <c r="I202" s="4"/>
    </row>
    <row r="203" ht="17.25" customHeight="1">
      <c r="A203" s="1"/>
      <c r="B203" s="4"/>
      <c r="C203" s="4"/>
      <c r="D203" s="1"/>
      <c r="E203" s="4"/>
      <c r="F203" s="1"/>
      <c r="G203" s="1"/>
      <c r="H203" s="1"/>
      <c r="I203" s="4"/>
    </row>
    <row r="204" ht="17.25" customHeight="1">
      <c r="A204" s="1"/>
      <c r="B204" s="4"/>
      <c r="C204" s="4"/>
      <c r="D204" s="1"/>
      <c r="E204" s="4"/>
      <c r="F204" s="1"/>
      <c r="G204" s="1"/>
      <c r="H204" s="1"/>
      <c r="I204" s="4"/>
    </row>
    <row r="205" ht="17.25" customHeight="1">
      <c r="A205" s="1"/>
      <c r="B205" s="4"/>
      <c r="C205" s="4"/>
      <c r="D205" s="1"/>
      <c r="E205" s="4"/>
      <c r="F205" s="1"/>
      <c r="G205" s="1"/>
      <c r="H205" s="1"/>
      <c r="I205" s="4"/>
    </row>
    <row r="206" ht="17.25" customHeight="1">
      <c r="A206" s="1"/>
      <c r="B206" s="4"/>
      <c r="C206" s="4"/>
      <c r="D206" s="1"/>
      <c r="E206" s="4"/>
      <c r="F206" s="1"/>
      <c r="G206" s="1"/>
      <c r="H206" s="1"/>
      <c r="I206" s="4"/>
    </row>
    <row r="207" ht="17.25" customHeight="1">
      <c r="A207" s="1"/>
      <c r="B207" s="4"/>
      <c r="C207" s="4"/>
      <c r="D207" s="1"/>
      <c r="E207" s="4"/>
      <c r="F207" s="1"/>
      <c r="G207" s="1"/>
      <c r="H207" s="1"/>
      <c r="I207" s="4"/>
    </row>
    <row r="208" ht="17.25" customHeight="1">
      <c r="A208" s="1"/>
      <c r="B208" s="4"/>
      <c r="C208" s="4"/>
      <c r="D208" s="1"/>
      <c r="E208" s="4"/>
      <c r="F208" s="1"/>
      <c r="G208" s="1"/>
      <c r="H208" s="1"/>
      <c r="I208" s="4"/>
    </row>
    <row r="209" ht="17.25" customHeight="1">
      <c r="A209" s="1"/>
      <c r="B209" s="4"/>
      <c r="C209" s="4"/>
      <c r="D209" s="1"/>
      <c r="E209" s="4"/>
      <c r="F209" s="1"/>
      <c r="G209" s="1"/>
      <c r="H209" s="1"/>
      <c r="I209" s="4"/>
    </row>
    <row r="210" ht="17.25" customHeight="1">
      <c r="A210" s="1"/>
      <c r="B210" s="4"/>
      <c r="C210" s="4"/>
      <c r="D210" s="1"/>
      <c r="E210" s="4"/>
      <c r="F210" s="1"/>
      <c r="G210" s="1"/>
      <c r="H210" s="1"/>
      <c r="I210" s="4"/>
    </row>
    <row r="211" ht="17.25" customHeight="1">
      <c r="A211" s="1"/>
      <c r="B211" s="4"/>
      <c r="C211" s="4"/>
      <c r="D211" s="1"/>
      <c r="E211" s="4"/>
      <c r="F211" s="1"/>
      <c r="G211" s="1"/>
      <c r="H211" s="1"/>
      <c r="I211" s="4"/>
    </row>
    <row r="212" ht="17.25" customHeight="1">
      <c r="A212" s="1"/>
      <c r="B212" s="4"/>
      <c r="C212" s="4"/>
      <c r="D212" s="1"/>
      <c r="E212" s="4"/>
      <c r="F212" s="1"/>
      <c r="G212" s="1"/>
      <c r="H212" s="1"/>
      <c r="I212" s="4"/>
    </row>
    <row r="213" ht="17.25" customHeight="1">
      <c r="A213" s="1"/>
      <c r="B213" s="4"/>
      <c r="C213" s="4"/>
      <c r="D213" s="1"/>
      <c r="E213" s="4"/>
      <c r="F213" s="1"/>
      <c r="G213" s="1"/>
      <c r="H213" s="1"/>
      <c r="I213" s="4"/>
    </row>
    <row r="214" ht="17.25" customHeight="1">
      <c r="A214" s="1"/>
      <c r="B214" s="4"/>
      <c r="C214" s="4"/>
      <c r="D214" s="1"/>
      <c r="E214" s="4"/>
      <c r="F214" s="1"/>
      <c r="G214" s="1"/>
      <c r="H214" s="1"/>
      <c r="I214" s="4"/>
    </row>
    <row r="215" ht="17.25" customHeight="1">
      <c r="A215" s="1"/>
      <c r="B215" s="4"/>
      <c r="C215" s="4"/>
      <c r="D215" s="1"/>
      <c r="E215" s="4"/>
      <c r="F215" s="1"/>
      <c r="G215" s="1"/>
      <c r="H215" s="1"/>
      <c r="I215" s="4"/>
    </row>
    <row r="216" ht="17.25" customHeight="1">
      <c r="A216" s="1"/>
      <c r="B216" s="4"/>
      <c r="C216" s="4"/>
      <c r="D216" s="1"/>
      <c r="E216" s="4"/>
      <c r="F216" s="1"/>
      <c r="G216" s="1"/>
      <c r="H216" s="1"/>
      <c r="I216" s="4"/>
    </row>
    <row r="217" ht="17.25" customHeight="1">
      <c r="A217" s="1"/>
      <c r="B217" s="4"/>
      <c r="C217" s="4"/>
      <c r="D217" s="1"/>
      <c r="E217" s="4"/>
      <c r="F217" s="1"/>
      <c r="G217" s="1"/>
      <c r="H217" s="1"/>
      <c r="I217" s="4"/>
    </row>
    <row r="218" ht="17.25" customHeight="1">
      <c r="A218" s="1"/>
      <c r="B218" s="4"/>
      <c r="C218" s="4"/>
      <c r="D218" s="1"/>
      <c r="E218" s="4"/>
      <c r="F218" s="1"/>
      <c r="G218" s="1"/>
      <c r="H218" s="1"/>
      <c r="I218" s="4"/>
    </row>
    <row r="219" ht="17.25" customHeight="1">
      <c r="A219" s="1"/>
      <c r="B219" s="4"/>
      <c r="C219" s="4"/>
      <c r="D219" s="1"/>
      <c r="E219" s="4"/>
      <c r="F219" s="1"/>
      <c r="G219" s="1"/>
      <c r="H219" s="1"/>
      <c r="I219" s="4"/>
    </row>
    <row r="220" ht="17.25" customHeight="1">
      <c r="A220" s="1"/>
      <c r="B220" s="4"/>
      <c r="C220" s="4"/>
      <c r="D220" s="1"/>
      <c r="E220" s="4"/>
      <c r="F220" s="1"/>
      <c r="G220" s="1"/>
      <c r="H220" s="1"/>
      <c r="I220" s="4"/>
    </row>
    <row r="221" ht="17.25" customHeight="1">
      <c r="A221" s="1"/>
      <c r="B221" s="4"/>
      <c r="C221" s="4"/>
      <c r="D221" s="1"/>
      <c r="E221" s="4"/>
      <c r="F221" s="1"/>
      <c r="G221" s="1"/>
      <c r="H221" s="1"/>
      <c r="I221" s="4"/>
    </row>
    <row r="222" ht="17.25" customHeight="1">
      <c r="A222" s="1"/>
      <c r="B222" s="4"/>
      <c r="C222" s="4"/>
      <c r="D222" s="1"/>
      <c r="E222" s="4"/>
      <c r="F222" s="1"/>
      <c r="G222" s="1"/>
      <c r="H222" s="1"/>
      <c r="I222" s="4"/>
    </row>
    <row r="223" ht="17.25" customHeight="1">
      <c r="A223" s="1"/>
      <c r="B223" s="4"/>
      <c r="C223" s="4"/>
      <c r="D223" s="1"/>
      <c r="E223" s="4"/>
      <c r="F223" s="1"/>
      <c r="G223" s="1"/>
      <c r="H223" s="1"/>
      <c r="I223" s="4"/>
    </row>
    <row r="224" ht="17.25" customHeight="1">
      <c r="A224" s="1"/>
      <c r="B224" s="4"/>
      <c r="C224" s="4"/>
      <c r="D224" s="1"/>
      <c r="E224" s="4"/>
      <c r="F224" s="1"/>
      <c r="G224" s="1"/>
      <c r="H224" s="1"/>
      <c r="I224" s="4"/>
    </row>
    <row r="225" ht="17.25" customHeight="1">
      <c r="A225" s="1"/>
      <c r="B225" s="4"/>
      <c r="C225" s="4"/>
      <c r="D225" s="1"/>
      <c r="E225" s="4"/>
      <c r="F225" s="1"/>
      <c r="G225" s="1"/>
      <c r="H225" s="1"/>
      <c r="I225" s="4"/>
    </row>
    <row r="226" ht="17.25" customHeight="1">
      <c r="A226" s="1"/>
      <c r="B226" s="4"/>
      <c r="C226" s="4"/>
      <c r="D226" s="1"/>
      <c r="E226" s="4"/>
      <c r="F226" s="1"/>
      <c r="G226" s="1"/>
      <c r="H226" s="1"/>
      <c r="I226" s="4"/>
    </row>
    <row r="227" ht="17.25" customHeight="1">
      <c r="A227" s="1"/>
      <c r="B227" s="4"/>
      <c r="C227" s="4"/>
      <c r="D227" s="1"/>
      <c r="E227" s="4"/>
      <c r="F227" s="1"/>
      <c r="G227" s="1"/>
      <c r="H227" s="1"/>
      <c r="I227" s="4"/>
    </row>
    <row r="228" ht="17.25" customHeight="1">
      <c r="A228" s="1"/>
      <c r="B228" s="4"/>
      <c r="C228" s="4"/>
      <c r="D228" s="1"/>
      <c r="E228" s="4"/>
      <c r="F228" s="1"/>
      <c r="G228" s="1"/>
      <c r="H228" s="1"/>
      <c r="I228" s="4"/>
    </row>
    <row r="229" ht="17.25" customHeight="1">
      <c r="A229" s="1"/>
      <c r="B229" s="4"/>
      <c r="C229" s="4"/>
      <c r="D229" s="1"/>
      <c r="E229" s="4"/>
      <c r="F229" s="1"/>
      <c r="G229" s="1"/>
      <c r="H229" s="1"/>
      <c r="I229" s="4"/>
    </row>
    <row r="230" ht="17.25" customHeight="1">
      <c r="A230" s="1"/>
      <c r="B230" s="4"/>
      <c r="C230" s="4"/>
      <c r="D230" s="1"/>
      <c r="E230" s="4"/>
      <c r="F230" s="1"/>
      <c r="G230" s="1"/>
      <c r="H230" s="1"/>
      <c r="I230" s="4"/>
    </row>
    <row r="231" ht="17.25" customHeight="1">
      <c r="A231" s="1"/>
      <c r="B231" s="4"/>
      <c r="C231" s="4"/>
      <c r="D231" s="1"/>
      <c r="E231" s="4"/>
      <c r="F231" s="1"/>
      <c r="G231" s="1"/>
      <c r="H231" s="1"/>
      <c r="I231" s="4"/>
    </row>
    <row r="232" ht="17.25" customHeight="1">
      <c r="A232" s="1"/>
      <c r="B232" s="4"/>
      <c r="C232" s="4"/>
      <c r="D232" s="1"/>
      <c r="E232" s="4"/>
      <c r="F232" s="1"/>
      <c r="G232" s="1"/>
      <c r="H232" s="1"/>
      <c r="I232" s="4"/>
    </row>
    <row r="233" ht="17.25" customHeight="1">
      <c r="A233" s="1"/>
      <c r="B233" s="4"/>
      <c r="C233" s="4"/>
      <c r="D233" s="1"/>
      <c r="E233" s="4"/>
      <c r="F233" s="1"/>
      <c r="G233" s="1"/>
      <c r="H233" s="1"/>
      <c r="I233" s="4"/>
    </row>
    <row r="234" ht="17.25" customHeight="1">
      <c r="A234" s="1"/>
      <c r="B234" s="4"/>
      <c r="C234" s="4"/>
      <c r="D234" s="1"/>
      <c r="E234" s="4"/>
      <c r="F234" s="1"/>
      <c r="G234" s="1"/>
      <c r="H234" s="1"/>
      <c r="I234" s="4"/>
    </row>
    <row r="235" ht="17.25" customHeight="1">
      <c r="A235" s="1"/>
      <c r="B235" s="4"/>
      <c r="C235" s="4"/>
      <c r="D235" s="1"/>
      <c r="E235" s="4"/>
      <c r="F235" s="1"/>
      <c r="G235" s="1"/>
      <c r="H235" s="1"/>
      <c r="I235" s="4"/>
    </row>
    <row r="236" ht="17.25" customHeight="1">
      <c r="A236" s="1"/>
      <c r="B236" s="4"/>
      <c r="C236" s="4"/>
      <c r="D236" s="1"/>
      <c r="E236" s="4"/>
      <c r="F236" s="1"/>
      <c r="G236" s="1"/>
      <c r="H236" s="1"/>
      <c r="I236" s="4"/>
    </row>
    <row r="237" ht="17.25" customHeight="1">
      <c r="A237" s="1"/>
      <c r="B237" s="4"/>
      <c r="C237" s="4"/>
      <c r="D237" s="1"/>
      <c r="E237" s="4"/>
      <c r="F237" s="1"/>
      <c r="G237" s="1"/>
      <c r="H237" s="1"/>
      <c r="I237" s="4"/>
    </row>
    <row r="238" ht="17.25" customHeight="1">
      <c r="A238" s="1"/>
      <c r="B238" s="4"/>
      <c r="C238" s="4"/>
      <c r="D238" s="1"/>
      <c r="E238" s="4"/>
      <c r="F238" s="1"/>
      <c r="G238" s="1"/>
      <c r="H238" s="1"/>
      <c r="I238" s="4"/>
    </row>
    <row r="239" ht="17.25" customHeight="1">
      <c r="A239" s="1"/>
      <c r="B239" s="4"/>
      <c r="C239" s="4"/>
      <c r="D239" s="1"/>
      <c r="E239" s="4"/>
      <c r="F239" s="1"/>
      <c r="G239" s="1"/>
      <c r="H239" s="1"/>
      <c r="I239" s="4"/>
    </row>
    <row r="240" ht="17.25" customHeight="1">
      <c r="A240" s="1"/>
      <c r="B240" s="4"/>
      <c r="C240" s="4"/>
      <c r="D240" s="1"/>
      <c r="E240" s="4"/>
      <c r="F240" s="1"/>
      <c r="G240" s="1"/>
      <c r="H240" s="1"/>
      <c r="I240" s="4"/>
    </row>
    <row r="241" ht="17.25" customHeight="1">
      <c r="A241" s="1"/>
      <c r="B241" s="4"/>
      <c r="C241" s="4"/>
      <c r="D241" s="1"/>
      <c r="E241" s="4"/>
      <c r="F241" s="1"/>
      <c r="G241" s="1"/>
      <c r="H241" s="1"/>
      <c r="I241" s="4"/>
    </row>
    <row r="242" ht="17.25" customHeight="1">
      <c r="A242" s="1"/>
      <c r="B242" s="4"/>
      <c r="C242" s="4"/>
      <c r="D242" s="1"/>
      <c r="E242" s="4"/>
      <c r="F242" s="1"/>
      <c r="G242" s="1"/>
      <c r="H242" s="1"/>
      <c r="I242" s="4"/>
    </row>
    <row r="243" ht="17.25" customHeight="1">
      <c r="A243" s="1"/>
      <c r="B243" s="4"/>
      <c r="C243" s="4"/>
      <c r="D243" s="1"/>
      <c r="E243" s="4"/>
      <c r="F243" s="1"/>
      <c r="G243" s="1"/>
      <c r="H243" s="1"/>
      <c r="I243" s="4"/>
    </row>
    <row r="244" ht="17.25" customHeight="1">
      <c r="A244" s="1"/>
      <c r="B244" s="4"/>
      <c r="C244" s="4"/>
      <c r="D244" s="1"/>
      <c r="E244" s="4"/>
      <c r="F244" s="1"/>
      <c r="G244" s="1"/>
      <c r="H244" s="1"/>
      <c r="I244" s="4"/>
    </row>
    <row r="245" ht="17.25" customHeight="1">
      <c r="A245" s="1"/>
      <c r="B245" s="4"/>
      <c r="C245" s="4"/>
      <c r="D245" s="1"/>
      <c r="E245" s="4"/>
      <c r="F245" s="1"/>
      <c r="G245" s="1"/>
      <c r="H245" s="1"/>
      <c r="I245" s="4"/>
    </row>
    <row r="246" ht="17.25" customHeight="1">
      <c r="A246" s="1"/>
      <c r="B246" s="4"/>
      <c r="C246" s="4"/>
      <c r="D246" s="1"/>
      <c r="E246" s="4"/>
      <c r="F246" s="1"/>
      <c r="G246" s="1"/>
      <c r="H246" s="1"/>
      <c r="I246" s="4"/>
    </row>
    <row r="247" ht="17.25" customHeight="1">
      <c r="A247" s="1"/>
      <c r="B247" s="4"/>
      <c r="C247" s="4"/>
      <c r="D247" s="1"/>
      <c r="E247" s="4"/>
      <c r="F247" s="1"/>
      <c r="G247" s="1"/>
      <c r="H247" s="1"/>
      <c r="I247" s="4"/>
    </row>
    <row r="248" ht="17.25" customHeight="1">
      <c r="A248" s="1"/>
      <c r="B248" s="4"/>
      <c r="C248" s="4"/>
      <c r="D248" s="1"/>
      <c r="E248" s="4"/>
      <c r="F248" s="1"/>
      <c r="G248" s="1"/>
      <c r="H248" s="1"/>
      <c r="I248" s="4"/>
    </row>
    <row r="249" ht="17.25" customHeight="1">
      <c r="A249" s="1"/>
      <c r="B249" s="4"/>
      <c r="C249" s="4"/>
      <c r="D249" s="1"/>
      <c r="E249" s="4"/>
      <c r="F249" s="1"/>
      <c r="G249" s="1"/>
      <c r="H249" s="1"/>
      <c r="I249" s="4"/>
    </row>
    <row r="250" ht="17.25" customHeight="1">
      <c r="A250" s="1"/>
      <c r="B250" s="4"/>
      <c r="C250" s="4"/>
      <c r="D250" s="1"/>
      <c r="E250" s="4"/>
      <c r="F250" s="1"/>
      <c r="G250" s="1"/>
      <c r="H250" s="1"/>
      <c r="I250" s="4"/>
    </row>
    <row r="251" ht="17.25" customHeight="1">
      <c r="A251" s="1"/>
      <c r="B251" s="4"/>
      <c r="C251" s="4"/>
      <c r="D251" s="1"/>
      <c r="E251" s="4"/>
      <c r="F251" s="1"/>
      <c r="G251" s="1"/>
      <c r="H251" s="1"/>
      <c r="I251" s="4"/>
    </row>
    <row r="252" ht="17.25" customHeight="1">
      <c r="A252" s="1"/>
      <c r="B252" s="4"/>
      <c r="C252" s="4"/>
      <c r="D252" s="1"/>
      <c r="E252" s="4"/>
      <c r="F252" s="1"/>
      <c r="G252" s="1"/>
      <c r="H252" s="1"/>
      <c r="I252" s="4"/>
    </row>
    <row r="253" ht="17.25" customHeight="1">
      <c r="A253" s="1"/>
      <c r="B253" s="4"/>
      <c r="C253" s="4"/>
      <c r="D253" s="1"/>
      <c r="E253" s="4"/>
      <c r="F253" s="1"/>
      <c r="G253" s="1"/>
      <c r="H253" s="1"/>
      <c r="I253" s="4"/>
    </row>
    <row r="254" ht="17.25" customHeight="1">
      <c r="A254" s="1"/>
      <c r="B254" s="4"/>
      <c r="C254" s="4"/>
      <c r="D254" s="1"/>
      <c r="E254" s="4"/>
      <c r="F254" s="1"/>
      <c r="G254" s="1"/>
      <c r="H254" s="1"/>
      <c r="I254" s="4"/>
    </row>
    <row r="255" ht="17.25" customHeight="1">
      <c r="A255" s="1"/>
      <c r="B255" s="4"/>
      <c r="C255" s="4"/>
      <c r="D255" s="1"/>
      <c r="E255" s="4"/>
      <c r="F255" s="1"/>
      <c r="G255" s="1"/>
      <c r="H255" s="1"/>
      <c r="I255" s="4"/>
    </row>
    <row r="256" ht="17.25" customHeight="1">
      <c r="A256" s="1"/>
      <c r="B256" s="4"/>
      <c r="C256" s="4"/>
      <c r="D256" s="1"/>
      <c r="E256" s="4"/>
      <c r="F256" s="1"/>
      <c r="G256" s="1"/>
      <c r="H256" s="1"/>
      <c r="I256" s="4"/>
    </row>
    <row r="257" ht="17.25" customHeight="1">
      <c r="A257" s="1"/>
      <c r="B257" s="4"/>
      <c r="C257" s="4"/>
      <c r="D257" s="1"/>
      <c r="E257" s="4"/>
      <c r="F257" s="1"/>
      <c r="G257" s="1"/>
      <c r="H257" s="1"/>
      <c r="I257" s="4"/>
    </row>
    <row r="258" ht="17.25" customHeight="1">
      <c r="A258" s="1"/>
      <c r="B258" s="4"/>
      <c r="C258" s="4"/>
      <c r="D258" s="1"/>
      <c r="E258" s="4"/>
      <c r="F258" s="1"/>
      <c r="G258" s="1"/>
      <c r="H258" s="1"/>
      <c r="I258" s="4"/>
    </row>
    <row r="259" ht="17.25" customHeight="1">
      <c r="A259" s="1"/>
      <c r="B259" s="4"/>
      <c r="C259" s="4"/>
      <c r="D259" s="1"/>
      <c r="E259" s="4"/>
      <c r="F259" s="1"/>
      <c r="G259" s="1"/>
      <c r="H259" s="1"/>
      <c r="I259" s="4"/>
    </row>
    <row r="260" ht="17.25" customHeight="1">
      <c r="A260" s="1"/>
      <c r="B260" s="4"/>
      <c r="C260" s="4"/>
      <c r="D260" s="1"/>
      <c r="E260" s="4"/>
      <c r="F260" s="1"/>
      <c r="G260" s="1"/>
      <c r="H260" s="1"/>
      <c r="I260" s="4"/>
    </row>
    <row r="261" ht="17.25" customHeight="1">
      <c r="A261" s="1"/>
      <c r="B261" s="4"/>
      <c r="C261" s="4"/>
      <c r="D261" s="1"/>
      <c r="E261" s="4"/>
      <c r="F261" s="1"/>
      <c r="G261" s="1"/>
      <c r="H261" s="1"/>
      <c r="I261" s="4"/>
    </row>
    <row r="262" ht="17.25" customHeight="1">
      <c r="A262" s="1"/>
      <c r="B262" s="4"/>
      <c r="C262" s="4"/>
      <c r="D262" s="1"/>
      <c r="E262" s="4"/>
      <c r="F262" s="1"/>
      <c r="G262" s="1"/>
      <c r="H262" s="1"/>
      <c r="I262" s="4"/>
    </row>
    <row r="263" ht="17.25" customHeight="1">
      <c r="A263" s="1"/>
      <c r="B263" s="4"/>
      <c r="C263" s="4"/>
      <c r="D263" s="1"/>
      <c r="E263" s="4"/>
      <c r="F263" s="1"/>
      <c r="G263" s="1"/>
      <c r="H263" s="1"/>
      <c r="I263" s="4"/>
    </row>
    <row r="264" ht="17.25" customHeight="1">
      <c r="A264" s="1"/>
      <c r="B264" s="4"/>
      <c r="C264" s="4"/>
      <c r="D264" s="1"/>
      <c r="E264" s="4"/>
      <c r="F264" s="1"/>
      <c r="G264" s="1"/>
      <c r="H264" s="1"/>
      <c r="I264" s="4"/>
    </row>
    <row r="265" ht="17.25" customHeight="1">
      <c r="A265" s="1"/>
      <c r="B265" s="4"/>
      <c r="C265" s="4"/>
      <c r="D265" s="1"/>
      <c r="E265" s="4"/>
      <c r="F265" s="1"/>
      <c r="G265" s="1"/>
      <c r="H265" s="1"/>
      <c r="I265" s="4"/>
    </row>
    <row r="266" ht="17.25" customHeight="1">
      <c r="A266" s="1"/>
      <c r="B266" s="4"/>
      <c r="C266" s="4"/>
      <c r="D266" s="1"/>
      <c r="E266" s="4"/>
      <c r="F266" s="1"/>
      <c r="G266" s="1"/>
      <c r="H266" s="1"/>
      <c r="I266" s="4"/>
    </row>
    <row r="267" ht="17.25" customHeight="1">
      <c r="A267" s="1"/>
      <c r="B267" s="4"/>
      <c r="C267" s="4"/>
      <c r="D267" s="1"/>
      <c r="E267" s="4"/>
      <c r="F267" s="1"/>
      <c r="G267" s="1"/>
      <c r="H267" s="1"/>
      <c r="I267" s="4"/>
    </row>
    <row r="268" ht="17.25" customHeight="1">
      <c r="A268" s="1"/>
      <c r="B268" s="4"/>
      <c r="C268" s="4"/>
      <c r="D268" s="1"/>
      <c r="E268" s="4"/>
      <c r="F268" s="1"/>
      <c r="G268" s="1"/>
      <c r="H268" s="1"/>
      <c r="I268" s="4"/>
    </row>
    <row r="269" ht="17.25" customHeight="1">
      <c r="A269" s="1"/>
      <c r="B269" s="4"/>
      <c r="C269" s="4"/>
      <c r="D269" s="1"/>
      <c r="E269" s="4"/>
      <c r="F269" s="1"/>
      <c r="G269" s="1"/>
      <c r="H269" s="1"/>
      <c r="I269" s="4"/>
    </row>
    <row r="270" ht="17.25" customHeight="1">
      <c r="A270" s="1"/>
      <c r="B270" s="4"/>
      <c r="C270" s="4"/>
      <c r="D270" s="1"/>
      <c r="E270" s="4"/>
      <c r="F270" s="1"/>
      <c r="G270" s="1"/>
      <c r="H270" s="1"/>
      <c r="I270" s="4"/>
    </row>
    <row r="271" ht="17.25" customHeight="1">
      <c r="A271" s="1"/>
      <c r="B271" s="4"/>
      <c r="C271" s="4"/>
      <c r="D271" s="1"/>
      <c r="E271" s="4"/>
      <c r="F271" s="1"/>
      <c r="G271" s="1"/>
      <c r="H271" s="1"/>
      <c r="I271" s="4"/>
    </row>
    <row r="272" ht="17.25" customHeight="1">
      <c r="A272" s="1"/>
      <c r="B272" s="4"/>
      <c r="C272" s="4"/>
      <c r="D272" s="1"/>
      <c r="E272" s="4"/>
      <c r="F272" s="1"/>
      <c r="G272" s="1"/>
      <c r="H272" s="1"/>
      <c r="I272" s="4"/>
    </row>
    <row r="273" ht="17.25" customHeight="1">
      <c r="A273" s="1"/>
      <c r="B273" s="4"/>
      <c r="C273" s="4"/>
      <c r="D273" s="1"/>
      <c r="E273" s="4"/>
      <c r="F273" s="1"/>
      <c r="G273" s="1"/>
      <c r="H273" s="1"/>
      <c r="I273" s="4"/>
    </row>
    <row r="274" ht="17.25" customHeight="1">
      <c r="A274" s="1"/>
      <c r="B274" s="4"/>
      <c r="C274" s="4"/>
      <c r="D274" s="1"/>
      <c r="E274" s="4"/>
      <c r="F274" s="1"/>
      <c r="G274" s="1"/>
      <c r="H274" s="1"/>
      <c r="I274" s="4"/>
    </row>
    <row r="275" ht="17.25" customHeight="1">
      <c r="A275" s="1"/>
      <c r="B275" s="4"/>
      <c r="C275" s="4"/>
      <c r="D275" s="1"/>
      <c r="E275" s="4"/>
      <c r="F275" s="1"/>
      <c r="G275" s="1"/>
      <c r="H275" s="1"/>
      <c r="I275" s="4"/>
    </row>
    <row r="276" ht="17.25" customHeight="1">
      <c r="A276" s="1"/>
      <c r="B276" s="4"/>
      <c r="C276" s="4"/>
      <c r="D276" s="1"/>
      <c r="E276" s="4"/>
      <c r="F276" s="1"/>
      <c r="G276" s="1"/>
      <c r="H276" s="1"/>
      <c r="I276" s="4"/>
    </row>
    <row r="277" ht="17.25" customHeight="1">
      <c r="A277" s="1"/>
      <c r="B277" s="4"/>
      <c r="C277" s="4"/>
      <c r="D277" s="1"/>
      <c r="E277" s="4"/>
      <c r="F277" s="1"/>
      <c r="G277" s="1"/>
      <c r="H277" s="1"/>
      <c r="I277" s="4"/>
    </row>
    <row r="278" ht="17.25" customHeight="1">
      <c r="A278" s="1"/>
      <c r="B278" s="4"/>
      <c r="C278" s="4"/>
      <c r="D278" s="1"/>
      <c r="E278" s="4"/>
      <c r="F278" s="1"/>
      <c r="G278" s="1"/>
      <c r="H278" s="1"/>
      <c r="I278" s="4"/>
    </row>
    <row r="279" ht="17.25" customHeight="1">
      <c r="A279" s="1"/>
      <c r="B279" s="4"/>
      <c r="C279" s="4"/>
      <c r="D279" s="1"/>
      <c r="E279" s="4"/>
      <c r="F279" s="1"/>
      <c r="G279" s="1"/>
      <c r="H279" s="1"/>
      <c r="I279" s="4"/>
    </row>
    <row r="280" ht="17.25" customHeight="1">
      <c r="A280" s="1"/>
      <c r="B280" s="4"/>
      <c r="C280" s="4"/>
      <c r="D280" s="1"/>
      <c r="E280" s="4"/>
      <c r="F280" s="1"/>
      <c r="G280" s="1"/>
      <c r="H280" s="1"/>
      <c r="I280" s="4"/>
    </row>
    <row r="281" ht="17.25" customHeight="1">
      <c r="A281" s="1"/>
      <c r="B281" s="4"/>
      <c r="C281" s="4"/>
      <c r="D281" s="1"/>
      <c r="E281" s="4"/>
      <c r="F281" s="1"/>
      <c r="G281" s="1"/>
      <c r="H281" s="1"/>
      <c r="I281" s="4"/>
    </row>
    <row r="282" ht="17.25" customHeight="1">
      <c r="A282" s="1"/>
      <c r="B282" s="4"/>
      <c r="C282" s="4"/>
      <c r="D282" s="1"/>
      <c r="E282" s="4"/>
      <c r="F282" s="1"/>
      <c r="G282" s="1"/>
      <c r="H282" s="1"/>
      <c r="I282" s="4"/>
    </row>
    <row r="283" ht="17.25" customHeight="1">
      <c r="A283" s="1"/>
      <c r="B283" s="4"/>
      <c r="C283" s="4"/>
      <c r="D283" s="1"/>
      <c r="E283" s="4"/>
      <c r="F283" s="1"/>
      <c r="G283" s="1"/>
      <c r="H283" s="1"/>
      <c r="I283" s="4"/>
    </row>
    <row r="284" ht="17.25" customHeight="1">
      <c r="A284" s="1"/>
      <c r="B284" s="4"/>
      <c r="C284" s="4"/>
      <c r="D284" s="1"/>
      <c r="E284" s="4"/>
      <c r="F284" s="1"/>
      <c r="G284" s="1"/>
      <c r="H284" s="1"/>
      <c r="I284" s="4"/>
    </row>
    <row r="285" ht="17.25" customHeight="1">
      <c r="A285" s="1"/>
      <c r="B285" s="4"/>
      <c r="C285" s="4"/>
      <c r="D285" s="1"/>
      <c r="E285" s="4"/>
      <c r="F285" s="1"/>
      <c r="G285" s="1"/>
      <c r="H285" s="1"/>
      <c r="I285" s="4"/>
    </row>
    <row r="286" ht="17.25" customHeight="1">
      <c r="A286" s="1"/>
      <c r="B286" s="4"/>
      <c r="C286" s="4"/>
      <c r="D286" s="1"/>
      <c r="E286" s="4"/>
      <c r="F286" s="1"/>
      <c r="G286" s="1"/>
      <c r="H286" s="1"/>
      <c r="I286" s="4"/>
    </row>
    <row r="287" ht="17.25" customHeight="1">
      <c r="A287" s="1"/>
      <c r="B287" s="4"/>
      <c r="C287" s="4"/>
      <c r="D287" s="1"/>
      <c r="E287" s="4"/>
      <c r="F287" s="1"/>
      <c r="G287" s="1"/>
      <c r="H287" s="1"/>
      <c r="I287" s="4"/>
    </row>
    <row r="288" ht="17.25" customHeight="1">
      <c r="A288" s="1"/>
      <c r="B288" s="4"/>
      <c r="C288" s="4"/>
      <c r="D288" s="1"/>
      <c r="E288" s="4"/>
      <c r="F288" s="1"/>
      <c r="G288" s="1"/>
      <c r="H288" s="1"/>
      <c r="I288" s="4"/>
    </row>
    <row r="289" ht="17.25" customHeight="1">
      <c r="A289" s="1"/>
      <c r="B289" s="4"/>
      <c r="C289" s="4"/>
      <c r="D289" s="1"/>
      <c r="E289" s="4"/>
      <c r="F289" s="1"/>
      <c r="G289" s="1"/>
      <c r="H289" s="1"/>
      <c r="I289" s="4"/>
    </row>
    <row r="290" ht="17.25" customHeight="1">
      <c r="A290" s="1"/>
      <c r="B290" s="4"/>
      <c r="C290" s="4"/>
      <c r="D290" s="1"/>
      <c r="E290" s="4"/>
      <c r="F290" s="1"/>
      <c r="G290" s="1"/>
      <c r="H290" s="1"/>
      <c r="I290" s="4"/>
    </row>
    <row r="291" ht="17.25" customHeight="1">
      <c r="A291" s="1"/>
      <c r="B291" s="4"/>
      <c r="C291" s="4"/>
      <c r="D291" s="1"/>
      <c r="E291" s="4"/>
      <c r="F291" s="1"/>
      <c r="G291" s="1"/>
      <c r="H291" s="1"/>
      <c r="I291" s="4"/>
    </row>
    <row r="292" ht="17.25" customHeight="1">
      <c r="A292" s="1"/>
      <c r="B292" s="4"/>
      <c r="C292" s="4"/>
      <c r="D292" s="1"/>
      <c r="E292" s="4"/>
      <c r="F292" s="1"/>
      <c r="G292" s="1"/>
      <c r="H292" s="1"/>
      <c r="I292" s="4"/>
    </row>
    <row r="293" ht="17.25" customHeight="1">
      <c r="A293" s="1"/>
      <c r="B293" s="4"/>
      <c r="C293" s="4"/>
      <c r="D293" s="1"/>
      <c r="E293" s="4"/>
      <c r="F293" s="1"/>
      <c r="G293" s="1"/>
      <c r="H293" s="1"/>
      <c r="I293" s="4"/>
    </row>
    <row r="294" ht="17.25" customHeight="1">
      <c r="A294" s="1"/>
      <c r="B294" s="4"/>
      <c r="C294" s="4"/>
      <c r="D294" s="1"/>
      <c r="E294" s="4"/>
      <c r="F294" s="1"/>
      <c r="G294" s="1"/>
      <c r="H294" s="1"/>
      <c r="I294" s="4"/>
    </row>
    <row r="295" ht="17.25" customHeight="1">
      <c r="A295" s="1"/>
      <c r="B295" s="4"/>
      <c r="C295" s="4"/>
      <c r="D295" s="1"/>
      <c r="E295" s="4"/>
      <c r="F295" s="1"/>
      <c r="G295" s="1"/>
      <c r="H295" s="1"/>
      <c r="I295" s="4"/>
    </row>
    <row r="296" ht="17.25" customHeight="1">
      <c r="A296" s="1"/>
      <c r="B296" s="4"/>
      <c r="C296" s="4"/>
      <c r="D296" s="1"/>
      <c r="E296" s="4"/>
      <c r="F296" s="1"/>
      <c r="G296" s="1"/>
      <c r="H296" s="1"/>
      <c r="I296" s="4"/>
    </row>
    <row r="297" ht="17.25" customHeight="1">
      <c r="A297" s="1"/>
      <c r="B297" s="4"/>
      <c r="C297" s="4"/>
      <c r="D297" s="1"/>
      <c r="E297" s="4"/>
      <c r="F297" s="1"/>
      <c r="G297" s="1"/>
      <c r="H297" s="1"/>
      <c r="I297" s="4"/>
    </row>
    <row r="298" ht="17.25" customHeight="1">
      <c r="A298" s="1"/>
      <c r="B298" s="4"/>
      <c r="C298" s="4"/>
      <c r="D298" s="1"/>
      <c r="E298" s="4"/>
      <c r="F298" s="1"/>
      <c r="G298" s="1"/>
      <c r="H298" s="1"/>
      <c r="I298" s="4"/>
    </row>
    <row r="299" ht="17.25" customHeight="1">
      <c r="A299" s="1"/>
      <c r="B299" s="4"/>
      <c r="C299" s="4"/>
      <c r="D299" s="1"/>
      <c r="E299" s="4"/>
      <c r="F299" s="1"/>
      <c r="G299" s="1"/>
      <c r="H299" s="1"/>
      <c r="I299" s="4"/>
    </row>
    <row r="300" ht="17.25" customHeight="1">
      <c r="A300" s="1"/>
      <c r="B300" s="4"/>
      <c r="C300" s="4"/>
      <c r="D300" s="1"/>
      <c r="E300" s="4"/>
      <c r="F300" s="1"/>
      <c r="G300" s="1"/>
      <c r="H300" s="1"/>
      <c r="I300" s="4"/>
    </row>
    <row r="301" ht="17.25" customHeight="1">
      <c r="A301" s="1"/>
      <c r="B301" s="4"/>
      <c r="C301" s="4"/>
      <c r="D301" s="1"/>
      <c r="E301" s="4"/>
      <c r="F301" s="1"/>
      <c r="G301" s="1"/>
      <c r="H301" s="1"/>
      <c r="I301" s="4"/>
    </row>
    <row r="302" ht="17.25" customHeight="1">
      <c r="A302" s="1"/>
      <c r="B302" s="4"/>
      <c r="C302" s="4"/>
      <c r="D302" s="1"/>
      <c r="E302" s="4"/>
      <c r="F302" s="1"/>
      <c r="G302" s="1"/>
      <c r="H302" s="1"/>
      <c r="I302" s="4"/>
    </row>
    <row r="303" ht="17.25" customHeight="1">
      <c r="A303" s="1"/>
      <c r="B303" s="4"/>
      <c r="C303" s="4"/>
      <c r="D303" s="1"/>
      <c r="E303" s="4"/>
      <c r="F303" s="1"/>
      <c r="G303" s="1"/>
      <c r="H303" s="1"/>
      <c r="I303" s="4"/>
    </row>
    <row r="304" ht="17.25" customHeight="1">
      <c r="A304" s="1"/>
      <c r="B304" s="4"/>
      <c r="C304" s="4"/>
      <c r="D304" s="1"/>
      <c r="E304" s="4"/>
      <c r="F304" s="1"/>
      <c r="G304" s="1"/>
      <c r="H304" s="1"/>
      <c r="I304" s="4"/>
    </row>
    <row r="305" ht="17.25" customHeight="1">
      <c r="A305" s="1"/>
      <c r="B305" s="4"/>
      <c r="C305" s="4"/>
      <c r="D305" s="1"/>
      <c r="E305" s="4"/>
      <c r="F305" s="1"/>
      <c r="G305" s="1"/>
      <c r="H305" s="1"/>
      <c r="I305" s="4"/>
    </row>
    <row r="306" ht="17.25" customHeight="1">
      <c r="A306" s="1"/>
      <c r="B306" s="4"/>
      <c r="C306" s="4"/>
      <c r="D306" s="1"/>
      <c r="E306" s="4"/>
      <c r="F306" s="1"/>
      <c r="G306" s="1"/>
      <c r="H306" s="1"/>
      <c r="I306" s="4"/>
    </row>
    <row r="307" ht="17.25" customHeight="1">
      <c r="A307" s="1"/>
      <c r="B307" s="4"/>
      <c r="C307" s="4"/>
      <c r="D307" s="1"/>
      <c r="E307" s="4"/>
      <c r="F307" s="1"/>
      <c r="G307" s="1"/>
      <c r="H307" s="1"/>
      <c r="I307" s="4"/>
    </row>
    <row r="308" ht="17.25" customHeight="1">
      <c r="A308" s="1"/>
      <c r="B308" s="4"/>
      <c r="C308" s="4"/>
      <c r="D308" s="1"/>
      <c r="E308" s="4"/>
      <c r="F308" s="1"/>
      <c r="G308" s="1"/>
      <c r="H308" s="1"/>
      <c r="I308" s="4"/>
    </row>
    <row r="309" ht="17.25" customHeight="1">
      <c r="A309" s="1"/>
      <c r="B309" s="4"/>
      <c r="C309" s="4"/>
      <c r="D309" s="1"/>
      <c r="E309" s="4"/>
      <c r="F309" s="1"/>
      <c r="G309" s="1"/>
      <c r="H309" s="1"/>
      <c r="I309" s="4"/>
    </row>
    <row r="310" ht="17.25" customHeight="1">
      <c r="A310" s="1"/>
      <c r="B310" s="4"/>
      <c r="C310" s="4"/>
      <c r="D310" s="1"/>
      <c r="E310" s="4"/>
      <c r="F310" s="1"/>
      <c r="G310" s="1"/>
      <c r="H310" s="1"/>
      <c r="I310" s="4"/>
    </row>
    <row r="311" ht="17.25" customHeight="1">
      <c r="A311" s="1"/>
      <c r="B311" s="4"/>
      <c r="C311" s="4"/>
      <c r="D311" s="1"/>
      <c r="E311" s="4"/>
      <c r="F311" s="1"/>
      <c r="G311" s="1"/>
      <c r="H311" s="1"/>
      <c r="I311" s="4"/>
    </row>
    <row r="312" ht="17.25" customHeight="1">
      <c r="A312" s="1"/>
      <c r="B312" s="4"/>
      <c r="C312" s="4"/>
      <c r="D312" s="1"/>
      <c r="E312" s="4"/>
      <c r="F312" s="1"/>
      <c r="G312" s="1"/>
      <c r="H312" s="1"/>
      <c r="I312" s="4"/>
    </row>
    <row r="313" ht="17.25" customHeight="1">
      <c r="A313" s="1"/>
      <c r="B313" s="4"/>
      <c r="C313" s="4"/>
      <c r="D313" s="1"/>
      <c r="E313" s="4"/>
      <c r="F313" s="1"/>
      <c r="G313" s="1"/>
      <c r="H313" s="1"/>
      <c r="I313" s="4"/>
    </row>
    <row r="314" ht="17.25" customHeight="1">
      <c r="A314" s="1"/>
      <c r="B314" s="4"/>
      <c r="C314" s="4"/>
      <c r="D314" s="1"/>
      <c r="E314" s="4"/>
      <c r="F314" s="1"/>
      <c r="G314" s="1"/>
      <c r="H314" s="1"/>
      <c r="I314" s="4"/>
    </row>
    <row r="315" ht="17.25" customHeight="1">
      <c r="A315" s="1"/>
      <c r="B315" s="4"/>
      <c r="C315" s="4"/>
      <c r="D315" s="1"/>
      <c r="E315" s="4"/>
      <c r="F315" s="1"/>
      <c r="G315" s="1"/>
      <c r="H315" s="1"/>
      <c r="I315" s="4"/>
    </row>
    <row r="316" ht="17.25" customHeight="1">
      <c r="A316" s="1"/>
      <c r="B316" s="4"/>
      <c r="C316" s="4"/>
      <c r="D316" s="1"/>
      <c r="E316" s="4"/>
      <c r="F316" s="1"/>
      <c r="G316" s="1"/>
      <c r="H316" s="1"/>
      <c r="I316" s="4"/>
    </row>
    <row r="317" ht="17.25" customHeight="1">
      <c r="A317" s="1"/>
      <c r="B317" s="4"/>
      <c r="C317" s="4"/>
      <c r="D317" s="1"/>
      <c r="E317" s="4"/>
      <c r="F317" s="1"/>
      <c r="G317" s="1"/>
      <c r="H317" s="1"/>
      <c r="I317" s="4"/>
    </row>
    <row r="318" ht="17.25" customHeight="1">
      <c r="A318" s="1"/>
      <c r="B318" s="4"/>
      <c r="C318" s="4"/>
      <c r="D318" s="1"/>
      <c r="E318" s="4"/>
      <c r="F318" s="1"/>
      <c r="G318" s="1"/>
      <c r="H318" s="1"/>
      <c r="I318" s="4"/>
    </row>
    <row r="319" ht="17.25" customHeight="1">
      <c r="A319" s="1"/>
      <c r="B319" s="4"/>
      <c r="C319" s="4"/>
      <c r="D319" s="1"/>
      <c r="E319" s="4"/>
      <c r="F319" s="1"/>
      <c r="G319" s="1"/>
      <c r="H319" s="1"/>
      <c r="I319" s="4"/>
    </row>
    <row r="320" ht="17.25" customHeight="1">
      <c r="A320" s="1"/>
      <c r="B320" s="4"/>
      <c r="C320" s="4"/>
      <c r="D320" s="1"/>
      <c r="E320" s="4"/>
      <c r="F320" s="1"/>
      <c r="G320" s="1"/>
      <c r="H320" s="1"/>
      <c r="I320" s="4"/>
    </row>
    <row r="321" ht="17.25" customHeight="1">
      <c r="A321" s="1"/>
      <c r="B321" s="4"/>
      <c r="C321" s="4"/>
      <c r="D321" s="1"/>
      <c r="E321" s="4"/>
      <c r="F321" s="1"/>
      <c r="G321" s="1"/>
      <c r="H321" s="1"/>
      <c r="I321" s="4"/>
    </row>
    <row r="322" ht="17.25" customHeight="1">
      <c r="A322" s="1"/>
      <c r="B322" s="4"/>
      <c r="C322" s="4"/>
      <c r="D322" s="1"/>
      <c r="E322" s="4"/>
      <c r="F322" s="1"/>
      <c r="G322" s="1"/>
      <c r="H322" s="1"/>
      <c r="I322" s="4"/>
    </row>
    <row r="323" ht="17.25" customHeight="1">
      <c r="A323" s="1"/>
      <c r="B323" s="4"/>
      <c r="C323" s="4"/>
      <c r="D323" s="1"/>
      <c r="E323" s="4"/>
      <c r="F323" s="1"/>
      <c r="G323" s="1"/>
      <c r="H323" s="1"/>
      <c r="I323" s="4"/>
    </row>
    <row r="324" ht="17.25" customHeight="1">
      <c r="A324" s="1"/>
      <c r="B324" s="4"/>
      <c r="C324" s="4"/>
      <c r="D324" s="1"/>
      <c r="E324" s="4"/>
      <c r="F324" s="1"/>
      <c r="G324" s="1"/>
      <c r="H324" s="1"/>
      <c r="I324" s="4"/>
    </row>
    <row r="325" ht="17.25" customHeight="1">
      <c r="A325" s="1"/>
      <c r="B325" s="4"/>
      <c r="C325" s="4"/>
      <c r="D325" s="1"/>
      <c r="E325" s="4"/>
      <c r="F325" s="1"/>
      <c r="G325" s="1"/>
      <c r="H325" s="1"/>
      <c r="I325" s="4"/>
    </row>
    <row r="326" ht="17.25" customHeight="1">
      <c r="A326" s="1"/>
      <c r="B326" s="4"/>
      <c r="C326" s="4"/>
      <c r="D326" s="1"/>
      <c r="E326" s="4"/>
      <c r="F326" s="1"/>
      <c r="G326" s="1"/>
      <c r="H326" s="1"/>
      <c r="I326" s="4"/>
    </row>
    <row r="327" ht="17.25" customHeight="1">
      <c r="A327" s="1"/>
      <c r="B327" s="4"/>
      <c r="C327" s="4"/>
      <c r="D327" s="1"/>
      <c r="E327" s="4"/>
      <c r="F327" s="1"/>
      <c r="G327" s="1"/>
      <c r="H327" s="1"/>
      <c r="I327" s="4"/>
    </row>
    <row r="328" ht="17.25" customHeight="1">
      <c r="A328" s="1"/>
      <c r="B328" s="4"/>
      <c r="C328" s="4"/>
      <c r="D328" s="1"/>
      <c r="E328" s="4"/>
      <c r="F328" s="1"/>
      <c r="G328" s="1"/>
      <c r="H328" s="1"/>
      <c r="I328" s="4"/>
    </row>
    <row r="329" ht="17.25" customHeight="1">
      <c r="A329" s="1"/>
      <c r="B329" s="4"/>
      <c r="C329" s="4"/>
      <c r="D329" s="1"/>
      <c r="E329" s="4"/>
      <c r="F329" s="1"/>
      <c r="G329" s="1"/>
      <c r="H329" s="1"/>
      <c r="I329" s="4"/>
    </row>
    <row r="330" ht="17.25" customHeight="1">
      <c r="A330" s="1"/>
      <c r="B330" s="4"/>
      <c r="C330" s="4"/>
      <c r="D330" s="1"/>
      <c r="E330" s="4"/>
      <c r="F330" s="1"/>
      <c r="G330" s="1"/>
      <c r="H330" s="1"/>
      <c r="I330" s="4"/>
    </row>
    <row r="331" ht="17.25" customHeight="1">
      <c r="A331" s="1"/>
      <c r="B331" s="4"/>
      <c r="C331" s="4"/>
      <c r="D331" s="1"/>
      <c r="E331" s="4"/>
      <c r="F331" s="1"/>
      <c r="G331" s="1"/>
      <c r="H331" s="1"/>
      <c r="I331" s="4"/>
    </row>
    <row r="332" ht="17.25" customHeight="1">
      <c r="A332" s="1"/>
      <c r="B332" s="4"/>
      <c r="C332" s="4"/>
      <c r="D332" s="1"/>
      <c r="E332" s="4"/>
      <c r="F332" s="1"/>
      <c r="G332" s="1"/>
      <c r="H332" s="1"/>
      <c r="I332" s="4"/>
    </row>
    <row r="333" ht="17.25" customHeight="1">
      <c r="A333" s="1"/>
      <c r="B333" s="4"/>
      <c r="C333" s="4"/>
      <c r="D333" s="1"/>
      <c r="E333" s="4"/>
      <c r="F333" s="1"/>
      <c r="G333" s="1"/>
      <c r="H333" s="1"/>
      <c r="I333" s="4"/>
    </row>
    <row r="334" ht="17.25" customHeight="1">
      <c r="A334" s="1"/>
      <c r="B334" s="4"/>
      <c r="C334" s="4"/>
      <c r="D334" s="1"/>
      <c r="E334" s="4"/>
      <c r="F334" s="1"/>
      <c r="G334" s="1"/>
      <c r="H334" s="1"/>
      <c r="I334" s="4"/>
    </row>
    <row r="335" ht="17.25" customHeight="1">
      <c r="A335" s="1"/>
      <c r="B335" s="4"/>
      <c r="C335" s="4"/>
      <c r="D335" s="1"/>
      <c r="E335" s="4"/>
      <c r="F335" s="1"/>
      <c r="G335" s="1"/>
      <c r="H335" s="1"/>
      <c r="I335" s="4"/>
    </row>
    <row r="336" ht="17.25" customHeight="1">
      <c r="A336" s="1"/>
      <c r="B336" s="4"/>
      <c r="C336" s="4"/>
      <c r="D336" s="1"/>
      <c r="E336" s="4"/>
      <c r="F336" s="1"/>
      <c r="G336" s="1"/>
      <c r="H336" s="1"/>
      <c r="I336" s="4"/>
    </row>
    <row r="337" ht="17.25" customHeight="1">
      <c r="A337" s="1"/>
      <c r="B337" s="4"/>
      <c r="C337" s="4"/>
      <c r="D337" s="1"/>
      <c r="E337" s="4"/>
      <c r="F337" s="1"/>
      <c r="G337" s="1"/>
      <c r="H337" s="1"/>
      <c r="I337" s="4"/>
    </row>
    <row r="338" ht="17.25" customHeight="1">
      <c r="A338" s="1"/>
      <c r="B338" s="4"/>
      <c r="C338" s="4"/>
      <c r="D338" s="1"/>
      <c r="E338" s="4"/>
      <c r="F338" s="1"/>
      <c r="G338" s="1"/>
      <c r="H338" s="1"/>
      <c r="I338" s="4"/>
    </row>
    <row r="339" ht="17.25" customHeight="1">
      <c r="A339" s="1"/>
      <c r="B339" s="4"/>
      <c r="C339" s="4"/>
      <c r="D339" s="1"/>
      <c r="E339" s="4"/>
      <c r="F339" s="1"/>
      <c r="G339" s="1"/>
      <c r="H339" s="1"/>
      <c r="I339" s="4"/>
    </row>
    <row r="340" ht="17.25" customHeight="1">
      <c r="A340" s="1"/>
      <c r="B340" s="4"/>
      <c r="C340" s="4"/>
      <c r="D340" s="1"/>
      <c r="E340" s="4"/>
      <c r="F340" s="1"/>
      <c r="G340" s="1"/>
      <c r="H340" s="1"/>
      <c r="I340" s="4"/>
    </row>
    <row r="341" ht="17.25" customHeight="1">
      <c r="A341" s="1"/>
      <c r="B341" s="4"/>
      <c r="C341" s="4"/>
      <c r="D341" s="1"/>
      <c r="E341" s="4"/>
      <c r="F341" s="1"/>
      <c r="G341" s="1"/>
      <c r="H341" s="1"/>
      <c r="I341" s="4"/>
    </row>
    <row r="342" ht="17.25" customHeight="1">
      <c r="A342" s="1"/>
      <c r="B342" s="4"/>
      <c r="C342" s="4"/>
      <c r="D342" s="1"/>
      <c r="E342" s="4"/>
      <c r="F342" s="1"/>
      <c r="G342" s="1"/>
      <c r="H342" s="1"/>
      <c r="I342" s="4"/>
    </row>
    <row r="343" ht="17.25" customHeight="1">
      <c r="A343" s="1"/>
      <c r="B343" s="4"/>
      <c r="C343" s="4"/>
      <c r="D343" s="1"/>
      <c r="E343" s="4"/>
      <c r="F343" s="1"/>
      <c r="G343" s="1"/>
      <c r="H343" s="1"/>
      <c r="I343" s="4"/>
    </row>
    <row r="344" ht="17.25" customHeight="1">
      <c r="A344" s="1"/>
      <c r="B344" s="4"/>
      <c r="C344" s="4"/>
      <c r="D344" s="1"/>
      <c r="E344" s="4"/>
      <c r="F344" s="1"/>
      <c r="G344" s="1"/>
      <c r="H344" s="1"/>
      <c r="I344" s="4"/>
    </row>
    <row r="345" ht="17.25" customHeight="1">
      <c r="A345" s="1"/>
      <c r="B345" s="4"/>
      <c r="C345" s="4"/>
      <c r="D345" s="1"/>
      <c r="E345" s="4"/>
      <c r="F345" s="1"/>
      <c r="G345" s="1"/>
      <c r="H345" s="1"/>
      <c r="I345" s="4"/>
    </row>
    <row r="346" ht="17.25" customHeight="1">
      <c r="A346" s="1"/>
      <c r="B346" s="4"/>
      <c r="C346" s="4"/>
      <c r="D346" s="1"/>
      <c r="E346" s="4"/>
      <c r="F346" s="1"/>
      <c r="G346" s="1"/>
      <c r="H346" s="1"/>
      <c r="I346" s="4"/>
    </row>
    <row r="347" ht="17.25" customHeight="1">
      <c r="A347" s="1"/>
      <c r="B347" s="4"/>
      <c r="C347" s="4"/>
      <c r="D347" s="1"/>
      <c r="E347" s="4"/>
      <c r="F347" s="1"/>
      <c r="G347" s="1"/>
      <c r="H347" s="1"/>
      <c r="I347" s="4"/>
    </row>
    <row r="348" ht="17.25" customHeight="1">
      <c r="A348" s="1"/>
      <c r="B348" s="4"/>
      <c r="C348" s="4"/>
      <c r="D348" s="1"/>
      <c r="E348" s="4"/>
      <c r="F348" s="1"/>
      <c r="G348" s="1"/>
      <c r="H348" s="1"/>
      <c r="I348" s="4"/>
    </row>
    <row r="349" ht="17.25" customHeight="1">
      <c r="A349" s="1"/>
      <c r="B349" s="4"/>
      <c r="C349" s="4"/>
      <c r="D349" s="1"/>
      <c r="E349" s="4"/>
      <c r="F349" s="1"/>
      <c r="G349" s="1"/>
      <c r="H349" s="1"/>
      <c r="I349" s="4"/>
    </row>
    <row r="350" ht="17.25" customHeight="1">
      <c r="A350" s="1"/>
      <c r="B350" s="4"/>
      <c r="C350" s="4"/>
      <c r="D350" s="1"/>
      <c r="E350" s="4"/>
      <c r="F350" s="1"/>
      <c r="G350" s="1"/>
      <c r="H350" s="1"/>
      <c r="I350" s="4"/>
    </row>
    <row r="351" ht="17.25" customHeight="1">
      <c r="A351" s="1"/>
      <c r="B351" s="4"/>
      <c r="C351" s="4"/>
      <c r="D351" s="1"/>
      <c r="E351" s="4"/>
      <c r="F351" s="1"/>
      <c r="G351" s="1"/>
      <c r="H351" s="1"/>
      <c r="I351" s="4"/>
    </row>
    <row r="352" ht="17.25" customHeight="1">
      <c r="A352" s="1"/>
      <c r="B352" s="4"/>
      <c r="C352" s="4"/>
      <c r="D352" s="1"/>
      <c r="E352" s="4"/>
      <c r="F352" s="1"/>
      <c r="G352" s="1"/>
      <c r="H352" s="1"/>
      <c r="I352" s="4"/>
    </row>
    <row r="353" ht="17.25" customHeight="1">
      <c r="A353" s="1"/>
      <c r="B353" s="4"/>
      <c r="C353" s="4"/>
      <c r="D353" s="1"/>
      <c r="E353" s="4"/>
      <c r="F353" s="1"/>
      <c r="G353" s="1"/>
      <c r="H353" s="1"/>
      <c r="I353" s="4"/>
    </row>
    <row r="354" ht="17.25" customHeight="1">
      <c r="A354" s="1"/>
      <c r="B354" s="4"/>
      <c r="C354" s="4"/>
      <c r="D354" s="1"/>
      <c r="E354" s="4"/>
      <c r="F354" s="1"/>
      <c r="G354" s="1"/>
      <c r="H354" s="1"/>
      <c r="I354" s="4"/>
    </row>
    <row r="355" ht="17.25" customHeight="1">
      <c r="A355" s="1"/>
      <c r="B355" s="4"/>
      <c r="C355" s="4"/>
      <c r="D355" s="1"/>
      <c r="E355" s="4"/>
      <c r="F355" s="1"/>
      <c r="G355" s="1"/>
      <c r="H355" s="1"/>
      <c r="I355" s="4"/>
    </row>
    <row r="356" ht="17.25" customHeight="1">
      <c r="A356" s="1"/>
      <c r="B356" s="4"/>
      <c r="C356" s="4"/>
      <c r="D356" s="1"/>
      <c r="E356" s="4"/>
      <c r="F356" s="1"/>
      <c r="G356" s="1"/>
      <c r="H356" s="1"/>
      <c r="I356" s="4"/>
    </row>
    <row r="357" ht="17.25" customHeight="1">
      <c r="A357" s="1"/>
      <c r="B357" s="4"/>
      <c r="C357" s="4"/>
      <c r="D357" s="1"/>
      <c r="E357" s="4"/>
      <c r="F357" s="1"/>
      <c r="G357" s="1"/>
      <c r="H357" s="1"/>
      <c r="I357" s="4"/>
    </row>
    <row r="358" ht="17.25" customHeight="1">
      <c r="A358" s="1"/>
      <c r="B358" s="4"/>
      <c r="C358" s="4"/>
      <c r="D358" s="1"/>
      <c r="E358" s="4"/>
      <c r="F358" s="1"/>
      <c r="G358" s="1"/>
      <c r="H358" s="1"/>
      <c r="I358" s="4"/>
    </row>
    <row r="359" ht="17.25" customHeight="1">
      <c r="A359" s="1"/>
      <c r="B359" s="4"/>
      <c r="C359" s="4"/>
      <c r="D359" s="1"/>
      <c r="E359" s="4"/>
      <c r="F359" s="1"/>
      <c r="G359" s="1"/>
      <c r="H359" s="1"/>
      <c r="I359" s="4"/>
    </row>
    <row r="360" ht="17.25" customHeight="1">
      <c r="A360" s="1"/>
      <c r="B360" s="4"/>
      <c r="C360" s="4"/>
      <c r="D360" s="1"/>
      <c r="E360" s="4"/>
      <c r="F360" s="1"/>
      <c r="G360" s="1"/>
      <c r="H360" s="1"/>
      <c r="I360" s="4"/>
    </row>
    <row r="361" ht="17.25" customHeight="1">
      <c r="A361" s="1"/>
      <c r="B361" s="4"/>
      <c r="C361" s="4"/>
      <c r="D361" s="1"/>
      <c r="E361" s="4"/>
      <c r="F361" s="1"/>
      <c r="G361" s="1"/>
      <c r="H361" s="1"/>
      <c r="I361" s="4"/>
    </row>
    <row r="362" ht="17.25" customHeight="1">
      <c r="A362" s="1"/>
      <c r="B362" s="4"/>
      <c r="C362" s="4"/>
      <c r="D362" s="1"/>
      <c r="E362" s="4"/>
      <c r="F362" s="1"/>
      <c r="G362" s="1"/>
      <c r="H362" s="1"/>
      <c r="I362" s="4"/>
    </row>
    <row r="363" ht="17.25" customHeight="1">
      <c r="A363" s="1"/>
      <c r="B363" s="4"/>
      <c r="C363" s="4"/>
      <c r="D363" s="1"/>
      <c r="E363" s="4"/>
      <c r="F363" s="1"/>
      <c r="G363" s="1"/>
      <c r="H363" s="1"/>
      <c r="I363" s="4"/>
    </row>
    <row r="364" ht="17.25" customHeight="1">
      <c r="A364" s="1"/>
      <c r="B364" s="4"/>
      <c r="C364" s="4"/>
      <c r="D364" s="1"/>
      <c r="E364" s="4"/>
      <c r="F364" s="1"/>
      <c r="G364" s="1"/>
      <c r="H364" s="1"/>
      <c r="I364" s="4"/>
    </row>
    <row r="365" ht="17.25" customHeight="1">
      <c r="A365" s="1"/>
      <c r="B365" s="4"/>
      <c r="C365" s="4"/>
      <c r="D365" s="1"/>
      <c r="E365" s="4"/>
      <c r="F365" s="1"/>
      <c r="G365" s="1"/>
      <c r="H365" s="1"/>
      <c r="I365" s="4"/>
    </row>
    <row r="366" ht="17.25" customHeight="1">
      <c r="A366" s="1"/>
      <c r="B366" s="4"/>
      <c r="C366" s="4"/>
      <c r="D366" s="1"/>
      <c r="E366" s="4"/>
      <c r="F366" s="1"/>
      <c r="G366" s="1"/>
      <c r="H366" s="1"/>
      <c r="I366" s="4"/>
    </row>
    <row r="367" ht="17.25" customHeight="1">
      <c r="A367" s="1"/>
      <c r="B367" s="4"/>
      <c r="C367" s="4"/>
      <c r="D367" s="1"/>
      <c r="E367" s="4"/>
      <c r="F367" s="1"/>
      <c r="G367" s="1"/>
      <c r="H367" s="1"/>
      <c r="I367" s="4"/>
    </row>
    <row r="368" ht="17.25" customHeight="1">
      <c r="A368" s="1"/>
      <c r="B368" s="4"/>
      <c r="C368" s="4"/>
      <c r="D368" s="1"/>
      <c r="E368" s="4"/>
      <c r="F368" s="1"/>
      <c r="G368" s="1"/>
      <c r="H368" s="1"/>
      <c r="I368" s="4"/>
    </row>
    <row r="369" ht="17.25" customHeight="1">
      <c r="A369" s="1"/>
      <c r="B369" s="4"/>
      <c r="C369" s="4"/>
      <c r="D369" s="1"/>
      <c r="E369" s="4"/>
      <c r="F369" s="1"/>
      <c r="G369" s="1"/>
      <c r="H369" s="1"/>
      <c r="I369" s="4"/>
    </row>
    <row r="370" ht="17.25" customHeight="1">
      <c r="A370" s="1"/>
      <c r="B370" s="4"/>
      <c r="C370" s="4"/>
      <c r="D370" s="1"/>
      <c r="E370" s="4"/>
      <c r="F370" s="1"/>
      <c r="G370" s="1"/>
      <c r="H370" s="1"/>
      <c r="I370" s="4"/>
    </row>
    <row r="371" ht="17.25" customHeight="1">
      <c r="A371" s="1"/>
      <c r="B371" s="4"/>
      <c r="C371" s="4"/>
      <c r="D371" s="1"/>
      <c r="E371" s="4"/>
      <c r="F371" s="1"/>
      <c r="G371" s="1"/>
      <c r="H371" s="1"/>
      <c r="I371" s="4"/>
    </row>
    <row r="372" ht="17.25" customHeight="1">
      <c r="A372" s="1"/>
      <c r="B372" s="4"/>
      <c r="C372" s="4"/>
      <c r="D372" s="1"/>
      <c r="E372" s="4"/>
      <c r="F372" s="1"/>
      <c r="G372" s="1"/>
      <c r="H372" s="1"/>
      <c r="I372" s="4"/>
    </row>
    <row r="373" ht="17.25" customHeight="1">
      <c r="A373" s="1"/>
      <c r="B373" s="4"/>
      <c r="C373" s="4"/>
      <c r="D373" s="1"/>
      <c r="E373" s="4"/>
      <c r="F373" s="1"/>
      <c r="G373" s="1"/>
      <c r="H373" s="1"/>
      <c r="I373" s="4"/>
    </row>
    <row r="374" ht="17.25" customHeight="1">
      <c r="A374" s="1"/>
      <c r="B374" s="4"/>
      <c r="C374" s="4"/>
      <c r="D374" s="1"/>
      <c r="E374" s="4"/>
      <c r="F374" s="1"/>
      <c r="G374" s="1"/>
      <c r="H374" s="1"/>
      <c r="I374" s="4"/>
    </row>
    <row r="375" ht="17.25" customHeight="1">
      <c r="A375" s="1"/>
      <c r="B375" s="4"/>
      <c r="C375" s="4"/>
      <c r="D375" s="1"/>
      <c r="E375" s="4"/>
      <c r="F375" s="1"/>
      <c r="G375" s="1"/>
      <c r="H375" s="1"/>
      <c r="I375" s="4"/>
    </row>
    <row r="376" ht="17.25" customHeight="1">
      <c r="A376" s="1"/>
      <c r="B376" s="4"/>
      <c r="C376" s="4"/>
      <c r="D376" s="1"/>
      <c r="E376" s="4"/>
      <c r="F376" s="1"/>
      <c r="G376" s="1"/>
      <c r="H376" s="1"/>
      <c r="I376" s="4"/>
    </row>
    <row r="377" ht="17.25" customHeight="1">
      <c r="A377" s="1"/>
      <c r="B377" s="4"/>
      <c r="C377" s="4"/>
      <c r="D377" s="1"/>
      <c r="E377" s="4"/>
      <c r="F377" s="1"/>
      <c r="G377" s="1"/>
      <c r="H377" s="1"/>
      <c r="I377" s="4"/>
    </row>
    <row r="378" ht="17.25" customHeight="1">
      <c r="A378" s="1"/>
      <c r="B378" s="4"/>
      <c r="C378" s="4"/>
      <c r="D378" s="1"/>
      <c r="E378" s="4"/>
      <c r="F378" s="1"/>
      <c r="G378" s="1"/>
      <c r="H378" s="1"/>
      <c r="I378" s="4"/>
    </row>
    <row r="379" ht="17.25" customHeight="1">
      <c r="A379" s="1"/>
      <c r="B379" s="4"/>
      <c r="C379" s="4"/>
      <c r="D379" s="1"/>
      <c r="E379" s="4"/>
      <c r="F379" s="1"/>
      <c r="G379" s="1"/>
      <c r="H379" s="1"/>
      <c r="I379" s="4"/>
    </row>
    <row r="380" ht="17.25" customHeight="1">
      <c r="A380" s="1"/>
      <c r="B380" s="4"/>
      <c r="C380" s="4"/>
      <c r="D380" s="1"/>
      <c r="E380" s="4"/>
      <c r="F380" s="1"/>
      <c r="G380" s="1"/>
      <c r="H380" s="1"/>
      <c r="I380" s="4"/>
    </row>
    <row r="381" ht="17.25" customHeight="1">
      <c r="A381" s="1"/>
      <c r="B381" s="4"/>
      <c r="C381" s="4"/>
      <c r="D381" s="1"/>
      <c r="E381" s="4"/>
      <c r="F381" s="1"/>
      <c r="G381" s="1"/>
      <c r="H381" s="1"/>
      <c r="I381" s="4"/>
    </row>
    <row r="382" ht="17.25" customHeight="1">
      <c r="A382" s="1"/>
      <c r="B382" s="4"/>
      <c r="C382" s="4"/>
      <c r="D382" s="1"/>
      <c r="E382" s="4"/>
      <c r="F382" s="1"/>
      <c r="G382" s="1"/>
      <c r="H382" s="1"/>
      <c r="I382" s="4"/>
    </row>
    <row r="383" ht="17.25" customHeight="1">
      <c r="A383" s="1"/>
      <c r="B383" s="4"/>
      <c r="C383" s="4"/>
      <c r="D383" s="1"/>
      <c r="E383" s="4"/>
      <c r="F383" s="1"/>
      <c r="G383" s="1"/>
      <c r="H383" s="1"/>
      <c r="I383" s="4"/>
    </row>
    <row r="384" ht="17.25" customHeight="1">
      <c r="A384" s="1"/>
      <c r="B384" s="4"/>
      <c r="C384" s="4"/>
      <c r="D384" s="1"/>
      <c r="E384" s="4"/>
      <c r="F384" s="1"/>
      <c r="G384" s="1"/>
      <c r="H384" s="1"/>
      <c r="I384" s="4"/>
    </row>
    <row r="385" ht="17.25" customHeight="1">
      <c r="A385" s="1"/>
      <c r="B385" s="4"/>
      <c r="C385" s="4"/>
      <c r="D385" s="1"/>
      <c r="E385" s="4"/>
      <c r="F385" s="1"/>
      <c r="G385" s="1"/>
      <c r="H385" s="1"/>
      <c r="I385" s="4"/>
    </row>
    <row r="386" ht="17.25" customHeight="1">
      <c r="A386" s="1"/>
      <c r="B386" s="4"/>
      <c r="C386" s="4"/>
      <c r="D386" s="1"/>
      <c r="E386" s="4"/>
      <c r="F386" s="1"/>
      <c r="G386" s="1"/>
      <c r="H386" s="1"/>
      <c r="I386" s="4"/>
    </row>
    <row r="387" ht="17.25" customHeight="1">
      <c r="A387" s="1"/>
      <c r="B387" s="4"/>
      <c r="C387" s="4"/>
      <c r="D387" s="1"/>
      <c r="E387" s="4"/>
      <c r="F387" s="1"/>
      <c r="G387" s="1"/>
      <c r="H387" s="1"/>
      <c r="I387" s="4"/>
    </row>
    <row r="388" ht="17.25" customHeight="1">
      <c r="A388" s="1"/>
      <c r="B388" s="4"/>
      <c r="C388" s="4"/>
      <c r="D388" s="1"/>
      <c r="E388" s="4"/>
      <c r="F388" s="1"/>
      <c r="G388" s="1"/>
      <c r="H388" s="1"/>
      <c r="I388" s="4"/>
    </row>
    <row r="389" ht="17.25" customHeight="1">
      <c r="A389" s="1"/>
      <c r="B389" s="4"/>
      <c r="C389" s="4"/>
      <c r="D389" s="1"/>
      <c r="E389" s="4"/>
      <c r="F389" s="1"/>
      <c r="G389" s="1"/>
      <c r="H389" s="1"/>
      <c r="I389" s="4"/>
    </row>
    <row r="390" ht="17.25" customHeight="1">
      <c r="A390" s="1"/>
      <c r="B390" s="4"/>
      <c r="C390" s="4"/>
      <c r="D390" s="1"/>
      <c r="E390" s="4"/>
      <c r="F390" s="1"/>
      <c r="G390" s="1"/>
      <c r="H390" s="1"/>
      <c r="I390" s="4"/>
    </row>
    <row r="391" ht="17.25" customHeight="1">
      <c r="A391" s="1"/>
      <c r="B391" s="4"/>
      <c r="C391" s="4"/>
      <c r="D391" s="1"/>
      <c r="E391" s="4"/>
      <c r="F391" s="1"/>
      <c r="G391" s="1"/>
      <c r="H391" s="1"/>
      <c r="I391" s="4"/>
    </row>
    <row r="392" ht="17.25" customHeight="1">
      <c r="A392" s="1"/>
      <c r="B392" s="4"/>
      <c r="C392" s="4"/>
      <c r="D392" s="1"/>
      <c r="E392" s="4"/>
      <c r="F392" s="1"/>
      <c r="G392" s="1"/>
      <c r="H392" s="1"/>
      <c r="I392" s="4"/>
    </row>
    <row r="393" ht="17.25" customHeight="1">
      <c r="A393" s="1"/>
      <c r="B393" s="4"/>
      <c r="C393" s="4"/>
      <c r="D393" s="1"/>
      <c r="E393" s="4"/>
      <c r="F393" s="1"/>
      <c r="G393" s="1"/>
      <c r="H393" s="1"/>
      <c r="I393" s="4"/>
    </row>
    <row r="394" ht="17.25" customHeight="1">
      <c r="A394" s="1"/>
      <c r="B394" s="4"/>
      <c r="C394" s="4"/>
      <c r="D394" s="1"/>
      <c r="E394" s="4"/>
      <c r="F394" s="1"/>
      <c r="G394" s="1"/>
      <c r="H394" s="1"/>
      <c r="I394" s="4"/>
    </row>
    <row r="395" ht="17.25" customHeight="1">
      <c r="A395" s="1"/>
      <c r="B395" s="4"/>
      <c r="C395" s="4"/>
      <c r="D395" s="1"/>
      <c r="E395" s="4"/>
      <c r="F395" s="1"/>
      <c r="G395" s="1"/>
      <c r="H395" s="1"/>
      <c r="I395" s="4"/>
    </row>
    <row r="396" ht="17.25" customHeight="1">
      <c r="A396" s="1"/>
      <c r="B396" s="4"/>
      <c r="C396" s="4"/>
      <c r="D396" s="1"/>
      <c r="E396" s="4"/>
      <c r="F396" s="1"/>
      <c r="G396" s="1"/>
      <c r="H396" s="1"/>
      <c r="I396" s="4"/>
    </row>
    <row r="397" ht="17.25" customHeight="1">
      <c r="A397" s="1"/>
      <c r="B397" s="4"/>
      <c r="C397" s="4"/>
      <c r="D397" s="1"/>
      <c r="E397" s="4"/>
      <c r="F397" s="1"/>
      <c r="G397" s="1"/>
      <c r="H397" s="1"/>
      <c r="I397" s="4"/>
    </row>
    <row r="398" ht="17.25" customHeight="1">
      <c r="A398" s="1"/>
      <c r="B398" s="4"/>
      <c r="C398" s="4"/>
      <c r="D398" s="1"/>
      <c r="E398" s="4"/>
      <c r="F398" s="1"/>
      <c r="G398" s="1"/>
      <c r="H398" s="1"/>
      <c r="I398" s="4"/>
    </row>
    <row r="399" ht="17.25" customHeight="1">
      <c r="A399" s="1"/>
      <c r="B399" s="4"/>
      <c r="C399" s="4"/>
      <c r="D399" s="1"/>
      <c r="E399" s="4"/>
      <c r="F399" s="1"/>
      <c r="G399" s="1"/>
      <c r="H399" s="1"/>
      <c r="I399" s="4"/>
    </row>
    <row r="400" ht="17.25" customHeight="1">
      <c r="A400" s="1"/>
      <c r="B400" s="4"/>
      <c r="C400" s="4"/>
      <c r="D400" s="1"/>
      <c r="E400" s="4"/>
      <c r="F400" s="1"/>
      <c r="G400" s="1"/>
      <c r="H400" s="1"/>
      <c r="I400" s="4"/>
    </row>
    <row r="401" ht="17.25" customHeight="1">
      <c r="A401" s="1"/>
      <c r="B401" s="4"/>
      <c r="C401" s="4"/>
      <c r="D401" s="1"/>
      <c r="E401" s="4"/>
      <c r="F401" s="1"/>
      <c r="G401" s="1"/>
      <c r="H401" s="1"/>
      <c r="I401" s="4"/>
    </row>
    <row r="402" ht="17.25" customHeight="1">
      <c r="A402" s="1"/>
      <c r="B402" s="4"/>
      <c r="C402" s="4"/>
      <c r="D402" s="1"/>
      <c r="E402" s="4"/>
      <c r="F402" s="1"/>
      <c r="G402" s="1"/>
      <c r="H402" s="1"/>
      <c r="I402" s="4"/>
    </row>
    <row r="403" ht="17.25" customHeight="1">
      <c r="A403" s="1"/>
      <c r="B403" s="4"/>
      <c r="C403" s="4"/>
      <c r="D403" s="1"/>
      <c r="E403" s="4"/>
      <c r="F403" s="1"/>
      <c r="G403" s="1"/>
      <c r="H403" s="1"/>
      <c r="I403" s="4"/>
    </row>
    <row r="404" ht="17.25" customHeight="1">
      <c r="A404" s="1"/>
      <c r="B404" s="4"/>
      <c r="C404" s="4"/>
      <c r="D404" s="1"/>
      <c r="E404" s="4"/>
      <c r="F404" s="1"/>
      <c r="G404" s="1"/>
      <c r="H404" s="1"/>
      <c r="I404" s="4"/>
    </row>
    <row r="405" ht="17.25" customHeight="1">
      <c r="A405" s="1"/>
      <c r="B405" s="4"/>
      <c r="C405" s="4"/>
      <c r="D405" s="1"/>
      <c r="E405" s="4"/>
      <c r="F405" s="1"/>
      <c r="G405" s="1"/>
      <c r="H405" s="1"/>
      <c r="I405" s="4"/>
    </row>
    <row r="406" ht="17.25" customHeight="1">
      <c r="A406" s="1"/>
      <c r="B406" s="4"/>
      <c r="C406" s="4"/>
      <c r="D406" s="1"/>
      <c r="E406" s="4"/>
      <c r="F406" s="1"/>
      <c r="G406" s="1"/>
      <c r="H406" s="1"/>
      <c r="I406" s="4"/>
    </row>
    <row r="407" ht="17.25" customHeight="1">
      <c r="A407" s="1"/>
      <c r="B407" s="4"/>
      <c r="C407" s="4"/>
      <c r="D407" s="1"/>
      <c r="E407" s="4"/>
      <c r="F407" s="1"/>
      <c r="G407" s="1"/>
      <c r="H407" s="1"/>
      <c r="I407" s="4"/>
    </row>
    <row r="408" ht="17.25" customHeight="1">
      <c r="A408" s="1"/>
      <c r="B408" s="4"/>
      <c r="C408" s="4"/>
      <c r="D408" s="1"/>
      <c r="E408" s="4"/>
      <c r="F408" s="1"/>
      <c r="G408" s="1"/>
      <c r="H408" s="1"/>
      <c r="I408" s="4"/>
    </row>
    <row r="409" ht="17.25" customHeight="1">
      <c r="A409" s="1"/>
      <c r="B409" s="4"/>
      <c r="C409" s="4"/>
      <c r="D409" s="1"/>
      <c r="E409" s="4"/>
      <c r="F409" s="1"/>
      <c r="G409" s="1"/>
      <c r="H409" s="1"/>
      <c r="I409" s="4"/>
    </row>
    <row r="410" ht="17.25" customHeight="1">
      <c r="A410" s="1"/>
      <c r="B410" s="4"/>
      <c r="C410" s="4"/>
      <c r="D410" s="1"/>
      <c r="E410" s="4"/>
      <c r="F410" s="1"/>
      <c r="G410" s="1"/>
      <c r="H410" s="1"/>
      <c r="I410" s="4"/>
    </row>
    <row r="411" ht="17.25" customHeight="1">
      <c r="A411" s="1"/>
      <c r="B411" s="4"/>
      <c r="C411" s="4"/>
      <c r="D411" s="1"/>
      <c r="E411" s="4"/>
      <c r="F411" s="1"/>
      <c r="G411" s="1"/>
      <c r="H411" s="1"/>
      <c r="I411" s="4"/>
    </row>
    <row r="412" ht="17.25" customHeight="1">
      <c r="A412" s="1"/>
      <c r="B412" s="4"/>
      <c r="C412" s="4"/>
      <c r="D412" s="1"/>
      <c r="E412" s="4"/>
      <c r="F412" s="1"/>
      <c r="G412" s="1"/>
      <c r="H412" s="1"/>
      <c r="I412" s="4"/>
    </row>
    <row r="413" ht="17.25" customHeight="1">
      <c r="A413" s="1"/>
      <c r="B413" s="4"/>
      <c r="C413" s="4"/>
      <c r="D413" s="1"/>
      <c r="E413" s="4"/>
      <c r="F413" s="1"/>
      <c r="G413" s="1"/>
      <c r="H413" s="1"/>
      <c r="I413" s="4"/>
    </row>
    <row r="414" ht="17.25" customHeight="1">
      <c r="A414" s="1"/>
      <c r="B414" s="4"/>
      <c r="C414" s="4"/>
      <c r="D414" s="1"/>
      <c r="E414" s="4"/>
      <c r="F414" s="1"/>
      <c r="G414" s="1"/>
      <c r="H414" s="1"/>
      <c r="I414" s="4"/>
    </row>
    <row r="415" ht="17.25" customHeight="1">
      <c r="A415" s="1"/>
      <c r="B415" s="4"/>
      <c r="C415" s="4"/>
      <c r="D415" s="1"/>
      <c r="E415" s="4"/>
      <c r="F415" s="1"/>
      <c r="G415" s="1"/>
      <c r="H415" s="1"/>
      <c r="I415" s="4"/>
    </row>
    <row r="416" ht="17.25" customHeight="1">
      <c r="A416" s="1"/>
      <c r="B416" s="4"/>
      <c r="C416" s="4"/>
      <c r="D416" s="1"/>
      <c r="E416" s="4"/>
      <c r="F416" s="1"/>
      <c r="G416" s="1"/>
      <c r="H416" s="1"/>
      <c r="I416" s="4"/>
    </row>
    <row r="417" ht="17.25" customHeight="1">
      <c r="A417" s="1"/>
      <c r="B417" s="4"/>
      <c r="C417" s="4"/>
      <c r="D417" s="1"/>
      <c r="E417" s="4"/>
      <c r="F417" s="1"/>
      <c r="G417" s="1"/>
      <c r="H417" s="1"/>
      <c r="I417" s="4"/>
    </row>
    <row r="418" ht="17.25" customHeight="1">
      <c r="A418" s="1"/>
      <c r="B418" s="4"/>
      <c r="C418" s="4"/>
      <c r="D418" s="1"/>
      <c r="E418" s="4"/>
      <c r="F418" s="1"/>
      <c r="G418" s="1"/>
      <c r="H418" s="1"/>
      <c r="I418" s="4"/>
    </row>
    <row r="419" ht="17.25" customHeight="1">
      <c r="A419" s="1"/>
      <c r="B419" s="4"/>
      <c r="C419" s="4"/>
      <c r="D419" s="1"/>
      <c r="E419" s="4"/>
      <c r="F419" s="1"/>
      <c r="G419" s="1"/>
      <c r="H419" s="1"/>
      <c r="I419" s="4"/>
    </row>
    <row r="420" ht="17.25" customHeight="1">
      <c r="A420" s="1"/>
      <c r="B420" s="4"/>
      <c r="C420" s="4"/>
      <c r="D420" s="1"/>
      <c r="E420" s="4"/>
      <c r="F420" s="1"/>
      <c r="G420" s="1"/>
      <c r="H420" s="1"/>
      <c r="I420" s="4"/>
    </row>
    <row r="421" ht="17.25" customHeight="1">
      <c r="A421" s="1"/>
      <c r="B421" s="4"/>
      <c r="C421" s="4"/>
      <c r="D421" s="1"/>
      <c r="E421" s="4"/>
      <c r="F421" s="1"/>
      <c r="G421" s="1"/>
      <c r="H421" s="1"/>
      <c r="I421" s="4"/>
    </row>
    <row r="422" ht="17.25" customHeight="1">
      <c r="A422" s="1"/>
      <c r="B422" s="4"/>
      <c r="C422" s="4"/>
      <c r="D422" s="1"/>
      <c r="E422" s="4"/>
      <c r="F422" s="1"/>
      <c r="G422" s="1"/>
      <c r="H422" s="1"/>
      <c r="I422" s="4"/>
    </row>
    <row r="423" ht="17.25" customHeight="1">
      <c r="A423" s="1"/>
      <c r="B423" s="4"/>
      <c r="C423" s="4"/>
      <c r="D423" s="1"/>
      <c r="E423" s="4"/>
      <c r="F423" s="1"/>
      <c r="G423" s="1"/>
      <c r="H423" s="1"/>
      <c r="I423" s="4"/>
    </row>
    <row r="424" ht="17.25" customHeight="1">
      <c r="A424" s="1"/>
      <c r="B424" s="4"/>
      <c r="C424" s="4"/>
      <c r="D424" s="1"/>
      <c r="E424" s="4"/>
      <c r="F424" s="1"/>
      <c r="G424" s="1"/>
      <c r="H424" s="1"/>
      <c r="I424" s="4"/>
    </row>
    <row r="425" ht="17.25" customHeight="1">
      <c r="A425" s="1"/>
      <c r="B425" s="4"/>
      <c r="C425" s="4"/>
      <c r="D425" s="1"/>
      <c r="E425" s="4"/>
      <c r="F425" s="1"/>
      <c r="G425" s="1"/>
      <c r="H425" s="1"/>
      <c r="I425" s="4"/>
    </row>
    <row r="426" ht="17.25" customHeight="1">
      <c r="A426" s="1"/>
      <c r="B426" s="4"/>
      <c r="C426" s="4"/>
      <c r="D426" s="1"/>
      <c r="E426" s="4"/>
      <c r="F426" s="1"/>
      <c r="G426" s="1"/>
      <c r="H426" s="1"/>
      <c r="I426" s="4"/>
    </row>
    <row r="427" ht="17.25" customHeight="1">
      <c r="A427" s="1"/>
      <c r="B427" s="4"/>
      <c r="C427" s="4"/>
      <c r="D427" s="1"/>
      <c r="E427" s="4"/>
      <c r="F427" s="1"/>
      <c r="G427" s="1"/>
      <c r="H427" s="1"/>
      <c r="I427" s="4"/>
    </row>
    <row r="428" ht="17.25" customHeight="1">
      <c r="A428" s="1"/>
      <c r="B428" s="4"/>
      <c r="C428" s="4"/>
      <c r="D428" s="1"/>
      <c r="E428" s="4"/>
      <c r="F428" s="1"/>
      <c r="G428" s="1"/>
      <c r="H428" s="1"/>
      <c r="I428" s="4"/>
    </row>
    <row r="429" ht="17.25" customHeight="1">
      <c r="A429" s="1"/>
      <c r="B429" s="4"/>
      <c r="C429" s="4"/>
      <c r="D429" s="1"/>
      <c r="E429" s="4"/>
      <c r="F429" s="1"/>
      <c r="G429" s="1"/>
      <c r="H429" s="1"/>
      <c r="I429" s="4"/>
    </row>
    <row r="430" ht="17.25" customHeight="1">
      <c r="A430" s="1"/>
      <c r="B430" s="4"/>
      <c r="C430" s="4"/>
      <c r="D430" s="1"/>
      <c r="E430" s="4"/>
      <c r="F430" s="1"/>
      <c r="G430" s="1"/>
      <c r="H430" s="1"/>
      <c r="I430" s="4"/>
    </row>
    <row r="431" ht="17.25" customHeight="1">
      <c r="A431" s="1"/>
      <c r="B431" s="4"/>
      <c r="C431" s="4"/>
      <c r="D431" s="1"/>
      <c r="E431" s="4"/>
      <c r="F431" s="1"/>
      <c r="G431" s="1"/>
      <c r="H431" s="1"/>
      <c r="I431" s="4"/>
    </row>
    <row r="432" ht="17.25" customHeight="1">
      <c r="A432" s="1"/>
      <c r="B432" s="4"/>
      <c r="C432" s="4"/>
      <c r="D432" s="1"/>
      <c r="E432" s="4"/>
      <c r="F432" s="1"/>
      <c r="G432" s="1"/>
      <c r="H432" s="1"/>
      <c r="I432" s="4"/>
    </row>
    <row r="433" ht="17.25" customHeight="1">
      <c r="A433" s="1"/>
      <c r="B433" s="4"/>
      <c r="C433" s="4"/>
      <c r="D433" s="1"/>
      <c r="E433" s="4"/>
      <c r="F433" s="1"/>
      <c r="G433" s="1"/>
      <c r="H433" s="1"/>
      <c r="I433" s="4"/>
    </row>
    <row r="434" ht="17.25" customHeight="1">
      <c r="A434" s="1"/>
      <c r="B434" s="4"/>
      <c r="C434" s="4"/>
      <c r="D434" s="1"/>
      <c r="E434" s="4"/>
      <c r="F434" s="1"/>
      <c r="G434" s="1"/>
      <c r="H434" s="1"/>
      <c r="I434" s="4"/>
    </row>
    <row r="435" ht="17.25" customHeight="1">
      <c r="A435" s="1"/>
      <c r="B435" s="4"/>
      <c r="C435" s="4"/>
      <c r="D435" s="1"/>
      <c r="E435" s="4"/>
      <c r="F435" s="1"/>
      <c r="G435" s="1"/>
      <c r="H435" s="1"/>
      <c r="I435" s="4"/>
    </row>
    <row r="436" ht="17.25" customHeight="1">
      <c r="A436" s="1"/>
      <c r="B436" s="4"/>
      <c r="C436" s="4"/>
      <c r="D436" s="1"/>
      <c r="E436" s="4"/>
      <c r="F436" s="1"/>
      <c r="G436" s="1"/>
      <c r="H436" s="1"/>
      <c r="I436" s="4"/>
    </row>
    <row r="437" ht="17.25" customHeight="1">
      <c r="A437" s="1"/>
      <c r="B437" s="4"/>
      <c r="C437" s="4"/>
      <c r="D437" s="1"/>
      <c r="E437" s="4"/>
      <c r="F437" s="1"/>
      <c r="G437" s="1"/>
      <c r="H437" s="1"/>
      <c r="I437" s="4"/>
    </row>
    <row r="438" ht="17.25" customHeight="1">
      <c r="A438" s="1"/>
      <c r="B438" s="4"/>
      <c r="C438" s="4"/>
      <c r="D438" s="1"/>
      <c r="E438" s="4"/>
      <c r="F438" s="1"/>
      <c r="G438" s="1"/>
      <c r="H438" s="1"/>
      <c r="I438" s="4"/>
    </row>
    <row r="439" ht="17.25" customHeight="1">
      <c r="A439" s="1"/>
      <c r="B439" s="4"/>
      <c r="C439" s="4"/>
      <c r="D439" s="1"/>
      <c r="E439" s="4"/>
      <c r="F439" s="1"/>
      <c r="G439" s="1"/>
      <c r="H439" s="1"/>
      <c r="I439" s="4"/>
    </row>
    <row r="440" ht="17.25" customHeight="1">
      <c r="A440" s="1"/>
      <c r="B440" s="4"/>
      <c r="C440" s="4"/>
      <c r="D440" s="1"/>
      <c r="E440" s="4"/>
      <c r="F440" s="1"/>
      <c r="G440" s="1"/>
      <c r="H440" s="1"/>
      <c r="I440" s="4"/>
    </row>
    <row r="441" ht="17.25" customHeight="1">
      <c r="A441" s="1"/>
      <c r="B441" s="4"/>
      <c r="C441" s="4"/>
      <c r="D441" s="1"/>
      <c r="E441" s="4"/>
      <c r="F441" s="1"/>
      <c r="G441" s="1"/>
      <c r="H441" s="1"/>
      <c r="I441" s="4"/>
    </row>
    <row r="442" ht="17.25" customHeight="1">
      <c r="A442" s="1"/>
      <c r="B442" s="4"/>
      <c r="C442" s="4"/>
      <c r="D442" s="1"/>
      <c r="E442" s="4"/>
      <c r="F442" s="1"/>
      <c r="G442" s="1"/>
      <c r="H442" s="1"/>
      <c r="I442" s="4"/>
    </row>
    <row r="443" ht="17.25" customHeight="1">
      <c r="A443" s="1"/>
      <c r="B443" s="4"/>
      <c r="C443" s="4"/>
      <c r="D443" s="1"/>
      <c r="E443" s="4"/>
      <c r="F443" s="1"/>
      <c r="G443" s="1"/>
      <c r="H443" s="1"/>
      <c r="I443" s="4"/>
    </row>
    <row r="444" ht="17.25" customHeight="1">
      <c r="A444" s="1"/>
      <c r="B444" s="4"/>
      <c r="C444" s="4"/>
      <c r="D444" s="1"/>
      <c r="E444" s="4"/>
      <c r="F444" s="1"/>
      <c r="G444" s="1"/>
      <c r="H444" s="1"/>
      <c r="I444" s="4"/>
    </row>
    <row r="445" ht="17.25" customHeight="1">
      <c r="A445" s="1"/>
      <c r="B445" s="4"/>
      <c r="C445" s="4"/>
      <c r="D445" s="1"/>
      <c r="E445" s="4"/>
      <c r="F445" s="1"/>
      <c r="G445" s="1"/>
      <c r="H445" s="1"/>
      <c r="I445" s="4"/>
    </row>
    <row r="446" ht="17.25" customHeight="1">
      <c r="A446" s="1"/>
      <c r="B446" s="4"/>
      <c r="C446" s="4"/>
      <c r="D446" s="1"/>
      <c r="E446" s="4"/>
      <c r="F446" s="1"/>
      <c r="G446" s="1"/>
      <c r="H446" s="1"/>
      <c r="I446" s="4"/>
    </row>
    <row r="447" ht="17.25" customHeight="1">
      <c r="A447" s="1"/>
      <c r="B447" s="4"/>
      <c r="C447" s="4"/>
      <c r="D447" s="1"/>
      <c r="E447" s="4"/>
      <c r="F447" s="1"/>
      <c r="G447" s="1"/>
      <c r="H447" s="1"/>
      <c r="I447" s="4"/>
    </row>
    <row r="448" ht="17.25" customHeight="1">
      <c r="A448" s="1"/>
      <c r="B448" s="4"/>
      <c r="C448" s="4"/>
      <c r="D448" s="1"/>
      <c r="E448" s="4"/>
      <c r="F448" s="1"/>
      <c r="G448" s="1"/>
      <c r="H448" s="1"/>
      <c r="I448" s="4"/>
    </row>
    <row r="449" ht="17.25" customHeight="1">
      <c r="A449" s="1"/>
      <c r="B449" s="4"/>
      <c r="C449" s="4"/>
      <c r="D449" s="1"/>
      <c r="E449" s="4"/>
      <c r="F449" s="1"/>
      <c r="G449" s="1"/>
      <c r="H449" s="1"/>
      <c r="I449" s="4"/>
    </row>
    <row r="450" ht="17.25" customHeight="1">
      <c r="A450" s="1"/>
      <c r="B450" s="4"/>
      <c r="C450" s="4"/>
      <c r="D450" s="1"/>
      <c r="E450" s="4"/>
      <c r="F450" s="1"/>
      <c r="G450" s="1"/>
      <c r="H450" s="1"/>
      <c r="I450" s="4"/>
    </row>
    <row r="451" ht="17.25" customHeight="1">
      <c r="A451" s="1"/>
      <c r="B451" s="4"/>
      <c r="C451" s="4"/>
      <c r="D451" s="1"/>
      <c r="E451" s="4"/>
      <c r="F451" s="1"/>
      <c r="G451" s="1"/>
      <c r="H451" s="1"/>
      <c r="I451" s="4"/>
    </row>
    <row r="452" ht="17.25" customHeight="1">
      <c r="A452" s="1"/>
      <c r="B452" s="4"/>
      <c r="C452" s="4"/>
      <c r="D452" s="1"/>
      <c r="E452" s="4"/>
      <c r="F452" s="1"/>
      <c r="G452" s="1"/>
      <c r="H452" s="1"/>
      <c r="I452" s="4"/>
    </row>
    <row r="453" ht="17.25" customHeight="1">
      <c r="A453" s="1"/>
      <c r="B453" s="4"/>
      <c r="C453" s="4"/>
      <c r="D453" s="1"/>
      <c r="E453" s="4"/>
      <c r="F453" s="1"/>
      <c r="G453" s="1"/>
      <c r="H453" s="1"/>
      <c r="I453" s="4"/>
    </row>
    <row r="454" ht="17.25" customHeight="1">
      <c r="A454" s="1"/>
      <c r="B454" s="4"/>
      <c r="C454" s="4"/>
      <c r="D454" s="1"/>
      <c r="E454" s="4"/>
      <c r="F454" s="1"/>
      <c r="G454" s="1"/>
      <c r="H454" s="1"/>
      <c r="I454" s="4"/>
    </row>
    <row r="455" ht="17.25" customHeight="1">
      <c r="A455" s="1"/>
      <c r="B455" s="4"/>
      <c r="C455" s="4"/>
      <c r="D455" s="1"/>
      <c r="E455" s="4"/>
      <c r="F455" s="1"/>
      <c r="G455" s="1"/>
      <c r="H455" s="1"/>
      <c r="I455" s="4"/>
    </row>
    <row r="456" ht="17.25" customHeight="1">
      <c r="A456" s="1"/>
      <c r="B456" s="4"/>
      <c r="C456" s="4"/>
      <c r="D456" s="1"/>
      <c r="E456" s="4"/>
      <c r="F456" s="1"/>
      <c r="G456" s="1"/>
      <c r="H456" s="1"/>
      <c r="I456" s="4"/>
    </row>
    <row r="457" ht="17.25" customHeight="1">
      <c r="A457" s="1"/>
      <c r="B457" s="4"/>
      <c r="C457" s="4"/>
      <c r="D457" s="1"/>
      <c r="E457" s="4"/>
      <c r="F457" s="1"/>
      <c r="G457" s="1"/>
      <c r="H457" s="1"/>
      <c r="I457" s="4"/>
    </row>
    <row r="458" ht="17.25" customHeight="1">
      <c r="A458" s="1"/>
      <c r="B458" s="4"/>
      <c r="C458" s="4"/>
      <c r="D458" s="1"/>
      <c r="E458" s="4"/>
      <c r="F458" s="1"/>
      <c r="G458" s="1"/>
      <c r="H458" s="1"/>
      <c r="I458" s="4"/>
    </row>
    <row r="459" ht="17.25" customHeight="1">
      <c r="A459" s="1"/>
      <c r="B459" s="4"/>
      <c r="C459" s="4"/>
      <c r="D459" s="1"/>
      <c r="E459" s="4"/>
      <c r="F459" s="1"/>
      <c r="G459" s="1"/>
      <c r="H459" s="1"/>
      <c r="I459" s="4"/>
    </row>
    <row r="460" ht="17.25" customHeight="1">
      <c r="A460" s="1"/>
      <c r="B460" s="4"/>
      <c r="C460" s="4"/>
      <c r="D460" s="1"/>
      <c r="E460" s="4"/>
      <c r="F460" s="1"/>
      <c r="G460" s="1"/>
      <c r="H460" s="1"/>
      <c r="I460" s="4"/>
    </row>
    <row r="461" ht="17.25" customHeight="1">
      <c r="A461" s="1"/>
      <c r="B461" s="4"/>
      <c r="C461" s="4"/>
      <c r="D461" s="1"/>
      <c r="E461" s="4"/>
      <c r="F461" s="1"/>
      <c r="G461" s="1"/>
      <c r="H461" s="1"/>
      <c r="I461" s="4"/>
    </row>
    <row r="462" ht="17.25" customHeight="1">
      <c r="A462" s="1"/>
      <c r="B462" s="4"/>
      <c r="C462" s="4"/>
      <c r="D462" s="1"/>
      <c r="E462" s="4"/>
      <c r="F462" s="1"/>
      <c r="G462" s="1"/>
      <c r="H462" s="1"/>
      <c r="I462" s="4"/>
    </row>
    <row r="463" ht="17.25" customHeight="1">
      <c r="A463" s="1"/>
      <c r="B463" s="4"/>
      <c r="C463" s="4"/>
      <c r="D463" s="1"/>
      <c r="E463" s="4"/>
      <c r="F463" s="1"/>
      <c r="G463" s="1"/>
      <c r="H463" s="1"/>
      <c r="I463" s="4"/>
    </row>
    <row r="464" ht="17.25" customHeight="1">
      <c r="A464" s="1"/>
      <c r="B464" s="4"/>
      <c r="C464" s="4"/>
      <c r="D464" s="1"/>
      <c r="E464" s="4"/>
      <c r="F464" s="1"/>
      <c r="G464" s="1"/>
      <c r="H464" s="1"/>
      <c r="I464" s="4"/>
    </row>
    <row r="465" ht="17.25" customHeight="1">
      <c r="A465" s="1"/>
      <c r="B465" s="4"/>
      <c r="C465" s="4"/>
      <c r="D465" s="1"/>
      <c r="E465" s="4"/>
      <c r="F465" s="1"/>
      <c r="G465" s="1"/>
      <c r="H465" s="1"/>
      <c r="I465" s="4"/>
    </row>
    <row r="466" ht="17.25" customHeight="1">
      <c r="A466" s="1"/>
      <c r="B466" s="4"/>
      <c r="C466" s="4"/>
      <c r="D466" s="1"/>
      <c r="E466" s="4"/>
      <c r="F466" s="1"/>
      <c r="G466" s="1"/>
      <c r="H466" s="1"/>
      <c r="I466" s="4"/>
    </row>
    <row r="467" ht="17.25" customHeight="1">
      <c r="A467" s="1"/>
      <c r="B467" s="4"/>
      <c r="C467" s="4"/>
      <c r="D467" s="1"/>
      <c r="E467" s="4"/>
      <c r="F467" s="1"/>
      <c r="G467" s="1"/>
      <c r="H467" s="1"/>
      <c r="I467" s="4"/>
    </row>
    <row r="468" ht="17.25" customHeight="1">
      <c r="A468" s="1"/>
      <c r="B468" s="4"/>
      <c r="C468" s="4"/>
      <c r="D468" s="1"/>
      <c r="E468" s="4"/>
      <c r="F468" s="1"/>
      <c r="G468" s="1"/>
      <c r="H468" s="1"/>
      <c r="I468" s="4"/>
    </row>
    <row r="469" ht="17.25" customHeight="1">
      <c r="A469" s="1"/>
      <c r="B469" s="4"/>
      <c r="C469" s="4"/>
      <c r="D469" s="1"/>
      <c r="E469" s="4"/>
      <c r="F469" s="1"/>
      <c r="G469" s="1"/>
      <c r="H469" s="1"/>
      <c r="I469" s="4"/>
    </row>
    <row r="470" ht="17.25" customHeight="1">
      <c r="A470" s="1"/>
      <c r="B470" s="4"/>
      <c r="C470" s="4"/>
      <c r="D470" s="1"/>
      <c r="E470" s="4"/>
      <c r="F470" s="1"/>
      <c r="G470" s="1"/>
      <c r="H470" s="1"/>
      <c r="I470" s="4"/>
    </row>
    <row r="471" ht="17.25" customHeight="1">
      <c r="A471" s="1"/>
      <c r="B471" s="4"/>
      <c r="C471" s="4"/>
      <c r="D471" s="1"/>
      <c r="E471" s="4"/>
      <c r="F471" s="1"/>
      <c r="G471" s="1"/>
      <c r="H471" s="1"/>
      <c r="I471" s="4"/>
    </row>
    <row r="472" ht="17.25" customHeight="1">
      <c r="A472" s="1"/>
      <c r="B472" s="4"/>
      <c r="C472" s="4"/>
      <c r="D472" s="1"/>
      <c r="E472" s="4"/>
      <c r="F472" s="1"/>
      <c r="G472" s="1"/>
      <c r="H472" s="1"/>
      <c r="I472" s="4"/>
    </row>
    <row r="473" ht="17.25" customHeight="1">
      <c r="A473" s="1"/>
      <c r="B473" s="4"/>
      <c r="C473" s="4"/>
      <c r="D473" s="1"/>
      <c r="E473" s="4"/>
      <c r="F473" s="1"/>
      <c r="G473" s="1"/>
      <c r="H473" s="1"/>
      <c r="I473" s="4"/>
    </row>
    <row r="474" ht="17.25" customHeight="1">
      <c r="A474" s="1"/>
      <c r="B474" s="4"/>
      <c r="C474" s="4"/>
      <c r="D474" s="1"/>
      <c r="E474" s="4"/>
      <c r="F474" s="1"/>
      <c r="G474" s="1"/>
      <c r="H474" s="1"/>
      <c r="I474" s="4"/>
    </row>
    <row r="475" ht="17.25" customHeight="1">
      <c r="A475" s="1"/>
      <c r="B475" s="4"/>
      <c r="C475" s="4"/>
      <c r="D475" s="1"/>
      <c r="E475" s="4"/>
      <c r="F475" s="1"/>
      <c r="G475" s="1"/>
      <c r="H475" s="1"/>
      <c r="I475" s="4"/>
    </row>
    <row r="476" ht="17.25" customHeight="1">
      <c r="A476" s="1"/>
      <c r="B476" s="4"/>
      <c r="C476" s="4"/>
      <c r="D476" s="1"/>
      <c r="E476" s="4"/>
      <c r="F476" s="1"/>
      <c r="G476" s="1"/>
      <c r="H476" s="1"/>
      <c r="I476" s="4"/>
    </row>
    <row r="477" ht="17.25" customHeight="1">
      <c r="A477" s="1"/>
      <c r="B477" s="4"/>
      <c r="C477" s="4"/>
      <c r="D477" s="1"/>
      <c r="E477" s="4"/>
      <c r="F477" s="1"/>
      <c r="G477" s="1"/>
      <c r="H477" s="1"/>
      <c r="I477" s="4"/>
    </row>
    <row r="478" ht="17.25" customHeight="1">
      <c r="A478" s="1"/>
      <c r="B478" s="4"/>
      <c r="C478" s="4"/>
      <c r="D478" s="1"/>
      <c r="E478" s="4"/>
      <c r="F478" s="1"/>
      <c r="G478" s="1"/>
      <c r="H478" s="1"/>
      <c r="I478" s="4"/>
    </row>
    <row r="479" ht="17.25" customHeight="1">
      <c r="A479" s="1"/>
      <c r="B479" s="4"/>
      <c r="C479" s="4"/>
      <c r="D479" s="1"/>
      <c r="E479" s="4"/>
      <c r="F479" s="1"/>
      <c r="G479" s="1"/>
      <c r="H479" s="1"/>
      <c r="I479" s="4"/>
    </row>
    <row r="480" ht="17.25" customHeight="1">
      <c r="A480" s="1"/>
      <c r="B480" s="4"/>
      <c r="C480" s="4"/>
      <c r="D480" s="1"/>
      <c r="E480" s="4"/>
      <c r="F480" s="1"/>
      <c r="G480" s="1"/>
      <c r="H480" s="1"/>
      <c r="I480" s="4"/>
    </row>
    <row r="481" ht="17.25" customHeight="1">
      <c r="A481" s="1"/>
      <c r="B481" s="4"/>
      <c r="C481" s="4"/>
      <c r="D481" s="1"/>
      <c r="E481" s="4"/>
      <c r="F481" s="1"/>
      <c r="G481" s="1"/>
      <c r="H481" s="1"/>
      <c r="I481" s="4"/>
    </row>
    <row r="482" ht="17.25" customHeight="1">
      <c r="A482" s="1"/>
      <c r="B482" s="4"/>
      <c r="C482" s="4"/>
      <c r="D482" s="1"/>
      <c r="E482" s="4"/>
      <c r="F482" s="1"/>
      <c r="G482" s="1"/>
      <c r="H482" s="1"/>
      <c r="I482" s="4"/>
    </row>
    <row r="483" ht="17.25" customHeight="1">
      <c r="A483" s="1"/>
      <c r="B483" s="4"/>
      <c r="C483" s="4"/>
      <c r="D483" s="1"/>
      <c r="E483" s="4"/>
      <c r="F483" s="1"/>
      <c r="G483" s="1"/>
      <c r="H483" s="1"/>
      <c r="I483" s="4"/>
    </row>
    <row r="484" ht="17.25" customHeight="1">
      <c r="A484" s="1"/>
      <c r="B484" s="4"/>
      <c r="C484" s="4"/>
      <c r="D484" s="1"/>
      <c r="E484" s="4"/>
      <c r="F484" s="1"/>
      <c r="G484" s="1"/>
      <c r="H484" s="1"/>
      <c r="I484" s="4"/>
    </row>
    <row r="485" ht="17.25" customHeight="1">
      <c r="A485" s="1"/>
      <c r="B485" s="4"/>
      <c r="C485" s="4"/>
      <c r="D485" s="1"/>
      <c r="E485" s="4"/>
      <c r="F485" s="1"/>
      <c r="G485" s="1"/>
      <c r="H485" s="1"/>
      <c r="I485" s="4"/>
    </row>
    <row r="486" ht="17.25" customHeight="1">
      <c r="A486" s="1"/>
      <c r="B486" s="4"/>
      <c r="C486" s="4"/>
      <c r="D486" s="1"/>
      <c r="E486" s="4"/>
      <c r="F486" s="1"/>
      <c r="G486" s="1"/>
      <c r="H486" s="1"/>
      <c r="I486" s="4"/>
    </row>
    <row r="487" ht="17.25" customHeight="1">
      <c r="A487" s="1"/>
      <c r="B487" s="4"/>
      <c r="C487" s="4"/>
      <c r="D487" s="1"/>
      <c r="E487" s="4"/>
      <c r="F487" s="1"/>
      <c r="G487" s="1"/>
      <c r="H487" s="1"/>
      <c r="I487" s="4"/>
    </row>
    <row r="488" ht="17.25" customHeight="1">
      <c r="A488" s="1"/>
      <c r="B488" s="4"/>
      <c r="C488" s="4"/>
      <c r="D488" s="1"/>
      <c r="E488" s="4"/>
      <c r="F488" s="1"/>
      <c r="G488" s="1"/>
      <c r="H488" s="1"/>
      <c r="I488" s="4"/>
    </row>
    <row r="489" ht="17.25" customHeight="1">
      <c r="A489" s="1"/>
      <c r="B489" s="4"/>
      <c r="C489" s="4"/>
      <c r="D489" s="1"/>
      <c r="E489" s="4"/>
      <c r="F489" s="1"/>
      <c r="G489" s="1"/>
      <c r="H489" s="1"/>
      <c r="I489" s="4"/>
    </row>
    <row r="490" ht="17.25" customHeight="1">
      <c r="A490" s="1"/>
      <c r="B490" s="4"/>
      <c r="C490" s="4"/>
      <c r="D490" s="1"/>
      <c r="E490" s="4"/>
      <c r="F490" s="1"/>
      <c r="G490" s="1"/>
      <c r="H490" s="1"/>
      <c r="I490" s="4"/>
    </row>
    <row r="491" ht="17.25" customHeight="1">
      <c r="A491" s="1"/>
      <c r="B491" s="4"/>
      <c r="C491" s="4"/>
      <c r="D491" s="1"/>
      <c r="E491" s="4"/>
      <c r="F491" s="1"/>
      <c r="G491" s="1"/>
      <c r="H491" s="1"/>
      <c r="I491" s="4"/>
    </row>
    <row r="492" ht="17.25" customHeight="1">
      <c r="A492" s="1"/>
      <c r="B492" s="4"/>
      <c r="C492" s="4"/>
      <c r="D492" s="1"/>
      <c r="E492" s="4"/>
      <c r="F492" s="1"/>
      <c r="G492" s="1"/>
      <c r="H492" s="1"/>
      <c r="I492" s="4"/>
    </row>
    <row r="493" ht="17.25" customHeight="1">
      <c r="A493" s="1"/>
      <c r="B493" s="4"/>
      <c r="C493" s="4"/>
      <c r="D493" s="1"/>
      <c r="E493" s="4"/>
      <c r="F493" s="1"/>
      <c r="G493" s="1"/>
      <c r="H493" s="1"/>
      <c r="I493" s="4"/>
    </row>
    <row r="494" ht="17.25" customHeight="1">
      <c r="A494" s="1"/>
      <c r="B494" s="4"/>
      <c r="C494" s="4"/>
      <c r="D494" s="1"/>
      <c r="E494" s="4"/>
      <c r="F494" s="1"/>
      <c r="G494" s="1"/>
      <c r="H494" s="1"/>
      <c r="I494" s="4"/>
    </row>
    <row r="495" ht="17.25" customHeight="1">
      <c r="A495" s="1"/>
      <c r="B495" s="4"/>
      <c r="C495" s="4"/>
      <c r="D495" s="1"/>
      <c r="E495" s="4"/>
      <c r="F495" s="1"/>
      <c r="G495" s="1"/>
      <c r="H495" s="1"/>
      <c r="I495" s="4"/>
    </row>
    <row r="496" ht="17.25" customHeight="1">
      <c r="A496" s="1"/>
      <c r="B496" s="4"/>
      <c r="C496" s="4"/>
      <c r="D496" s="1"/>
      <c r="E496" s="4"/>
      <c r="F496" s="1"/>
      <c r="G496" s="1"/>
      <c r="H496" s="1"/>
      <c r="I496" s="4"/>
    </row>
    <row r="497" ht="17.25" customHeight="1">
      <c r="A497" s="1"/>
      <c r="B497" s="4"/>
      <c r="C497" s="4"/>
      <c r="D497" s="1"/>
      <c r="E497" s="4"/>
      <c r="F497" s="1"/>
      <c r="G497" s="1"/>
      <c r="H497" s="1"/>
      <c r="I497" s="4"/>
    </row>
    <row r="498" ht="17.25" customHeight="1">
      <c r="A498" s="1"/>
      <c r="B498" s="4"/>
      <c r="C498" s="4"/>
      <c r="D498" s="1"/>
      <c r="E498" s="4"/>
      <c r="F498" s="1"/>
      <c r="G498" s="1"/>
      <c r="H498" s="1"/>
      <c r="I498" s="4"/>
    </row>
    <row r="499" ht="17.25" customHeight="1">
      <c r="A499" s="1"/>
      <c r="B499" s="4"/>
      <c r="C499" s="4"/>
      <c r="D499" s="1"/>
      <c r="E499" s="4"/>
      <c r="F499" s="1"/>
      <c r="G499" s="1"/>
      <c r="H499" s="1"/>
      <c r="I499" s="4"/>
    </row>
    <row r="500" ht="17.25" customHeight="1">
      <c r="A500" s="1"/>
      <c r="B500" s="4"/>
      <c r="C500" s="4"/>
      <c r="D500" s="1"/>
      <c r="E500" s="4"/>
      <c r="F500" s="1"/>
      <c r="G500" s="1"/>
      <c r="H500" s="1"/>
      <c r="I500" s="4"/>
    </row>
    <row r="501" ht="17.25" customHeight="1">
      <c r="A501" s="1"/>
      <c r="B501" s="4"/>
      <c r="C501" s="4"/>
      <c r="D501" s="1"/>
      <c r="E501" s="4"/>
      <c r="F501" s="1"/>
      <c r="G501" s="1"/>
      <c r="H501" s="1"/>
      <c r="I501" s="4"/>
    </row>
    <row r="502" ht="17.25" customHeight="1">
      <c r="A502" s="1"/>
      <c r="B502" s="4"/>
      <c r="C502" s="4"/>
      <c r="D502" s="1"/>
      <c r="E502" s="4"/>
      <c r="F502" s="1"/>
      <c r="G502" s="1"/>
      <c r="H502" s="1"/>
      <c r="I502" s="4"/>
    </row>
    <row r="503" ht="17.25" customHeight="1">
      <c r="A503" s="1"/>
      <c r="B503" s="4"/>
      <c r="C503" s="4"/>
      <c r="D503" s="1"/>
      <c r="E503" s="4"/>
      <c r="F503" s="1"/>
      <c r="G503" s="1"/>
      <c r="H503" s="1"/>
      <c r="I503" s="4"/>
    </row>
    <row r="504" ht="17.25" customHeight="1">
      <c r="A504" s="1"/>
      <c r="B504" s="4"/>
      <c r="C504" s="4"/>
      <c r="D504" s="1"/>
      <c r="E504" s="4"/>
      <c r="F504" s="1"/>
      <c r="G504" s="1"/>
      <c r="H504" s="1"/>
      <c r="I504" s="4"/>
    </row>
    <row r="505" ht="17.25" customHeight="1">
      <c r="A505" s="1"/>
      <c r="B505" s="4"/>
      <c r="C505" s="4"/>
      <c r="D505" s="1"/>
      <c r="E505" s="4"/>
      <c r="F505" s="1"/>
      <c r="G505" s="1"/>
      <c r="H505" s="1"/>
      <c r="I505" s="4"/>
    </row>
    <row r="506" ht="17.25" customHeight="1">
      <c r="A506" s="1"/>
      <c r="B506" s="4"/>
      <c r="C506" s="4"/>
      <c r="D506" s="1"/>
      <c r="E506" s="4"/>
      <c r="F506" s="1"/>
      <c r="G506" s="1"/>
      <c r="H506" s="1"/>
      <c r="I506" s="4"/>
    </row>
    <row r="507" ht="17.25" customHeight="1">
      <c r="A507" s="1"/>
      <c r="B507" s="4"/>
      <c r="C507" s="4"/>
      <c r="D507" s="1"/>
      <c r="E507" s="4"/>
      <c r="F507" s="1"/>
      <c r="G507" s="1"/>
      <c r="H507" s="1"/>
      <c r="I507" s="4"/>
    </row>
    <row r="508" ht="17.25" customHeight="1">
      <c r="A508" s="1"/>
      <c r="B508" s="4"/>
      <c r="C508" s="4"/>
      <c r="D508" s="1"/>
      <c r="E508" s="4"/>
      <c r="F508" s="1"/>
      <c r="G508" s="1"/>
      <c r="H508" s="1"/>
      <c r="I508" s="4"/>
    </row>
    <row r="509" ht="17.25" customHeight="1">
      <c r="A509" s="1"/>
      <c r="B509" s="4"/>
      <c r="C509" s="4"/>
      <c r="D509" s="1"/>
      <c r="E509" s="4"/>
      <c r="F509" s="1"/>
      <c r="G509" s="1"/>
      <c r="H509" s="1"/>
      <c r="I509" s="4"/>
    </row>
    <row r="510" ht="17.25" customHeight="1">
      <c r="A510" s="1"/>
      <c r="B510" s="4"/>
      <c r="C510" s="4"/>
      <c r="D510" s="1"/>
      <c r="E510" s="4"/>
      <c r="F510" s="1"/>
      <c r="G510" s="1"/>
      <c r="H510" s="1"/>
      <c r="I510" s="4"/>
    </row>
    <row r="511" ht="17.25" customHeight="1">
      <c r="A511" s="1"/>
      <c r="B511" s="4"/>
      <c r="C511" s="4"/>
      <c r="D511" s="1"/>
      <c r="E511" s="4"/>
      <c r="F511" s="1"/>
      <c r="G511" s="1"/>
      <c r="H511" s="1"/>
      <c r="I511" s="4"/>
    </row>
    <row r="512" ht="17.25" customHeight="1">
      <c r="A512" s="1"/>
      <c r="B512" s="4"/>
      <c r="C512" s="4"/>
      <c r="D512" s="1"/>
      <c r="E512" s="4"/>
      <c r="F512" s="1"/>
      <c r="G512" s="1"/>
      <c r="H512" s="1"/>
      <c r="I512" s="4"/>
    </row>
    <row r="513" ht="17.25" customHeight="1">
      <c r="A513" s="1"/>
      <c r="B513" s="4"/>
      <c r="C513" s="4"/>
      <c r="D513" s="1"/>
      <c r="E513" s="4"/>
      <c r="F513" s="1"/>
      <c r="G513" s="1"/>
      <c r="H513" s="1"/>
      <c r="I513" s="4"/>
    </row>
    <row r="514" ht="17.25" customHeight="1">
      <c r="A514" s="1"/>
      <c r="B514" s="4"/>
      <c r="C514" s="4"/>
      <c r="D514" s="1"/>
      <c r="E514" s="4"/>
      <c r="F514" s="1"/>
      <c r="G514" s="1"/>
      <c r="H514" s="1"/>
      <c r="I514" s="4"/>
    </row>
    <row r="515" ht="17.25" customHeight="1">
      <c r="A515" s="1"/>
      <c r="B515" s="4"/>
      <c r="C515" s="4"/>
      <c r="D515" s="1"/>
      <c r="E515" s="4"/>
      <c r="F515" s="1"/>
      <c r="G515" s="1"/>
      <c r="H515" s="1"/>
      <c r="I515" s="4"/>
    </row>
    <row r="516" ht="17.25" customHeight="1">
      <c r="A516" s="1"/>
      <c r="B516" s="4"/>
      <c r="C516" s="4"/>
      <c r="D516" s="1"/>
      <c r="E516" s="4"/>
      <c r="F516" s="1"/>
      <c r="G516" s="1"/>
      <c r="H516" s="1"/>
      <c r="I516" s="4"/>
    </row>
    <row r="517" ht="17.25" customHeight="1">
      <c r="A517" s="1"/>
      <c r="B517" s="4"/>
      <c r="C517" s="4"/>
      <c r="D517" s="1"/>
      <c r="E517" s="4"/>
      <c r="F517" s="1"/>
      <c r="G517" s="1"/>
      <c r="H517" s="1"/>
      <c r="I517" s="4"/>
    </row>
    <row r="518" ht="17.25" customHeight="1">
      <c r="A518" s="1"/>
      <c r="B518" s="4"/>
      <c r="C518" s="4"/>
      <c r="D518" s="1"/>
      <c r="E518" s="4"/>
      <c r="F518" s="1"/>
      <c r="G518" s="1"/>
      <c r="H518" s="1"/>
      <c r="I518" s="4"/>
    </row>
    <row r="519" ht="17.25" customHeight="1">
      <c r="A519" s="1"/>
      <c r="B519" s="4"/>
      <c r="C519" s="4"/>
      <c r="D519" s="1"/>
      <c r="E519" s="4"/>
      <c r="F519" s="1"/>
      <c r="G519" s="1"/>
      <c r="H519" s="1"/>
      <c r="I519" s="4"/>
    </row>
    <row r="520" ht="17.25" customHeight="1">
      <c r="A520" s="1"/>
      <c r="B520" s="4"/>
      <c r="C520" s="4"/>
      <c r="D520" s="1"/>
      <c r="E520" s="4"/>
      <c r="F520" s="1"/>
      <c r="G520" s="1"/>
      <c r="H520" s="1"/>
      <c r="I520" s="4"/>
    </row>
    <row r="521" ht="17.25" customHeight="1">
      <c r="A521" s="1"/>
      <c r="B521" s="4"/>
      <c r="C521" s="4"/>
      <c r="D521" s="1"/>
      <c r="E521" s="4"/>
      <c r="F521" s="1"/>
      <c r="G521" s="1"/>
      <c r="H521" s="1"/>
      <c r="I521" s="4"/>
    </row>
    <row r="522" ht="17.25" customHeight="1">
      <c r="A522" s="1"/>
      <c r="B522" s="4"/>
      <c r="C522" s="4"/>
      <c r="D522" s="1"/>
      <c r="E522" s="4"/>
      <c r="F522" s="1"/>
      <c r="G522" s="1"/>
      <c r="H522" s="1"/>
      <c r="I522" s="4"/>
    </row>
    <row r="523" ht="17.25" customHeight="1">
      <c r="A523" s="1"/>
      <c r="B523" s="4"/>
      <c r="C523" s="4"/>
      <c r="D523" s="1"/>
      <c r="E523" s="4"/>
      <c r="F523" s="1"/>
      <c r="G523" s="1"/>
      <c r="H523" s="1"/>
      <c r="I523" s="4"/>
    </row>
    <row r="524" ht="17.25" customHeight="1">
      <c r="A524" s="1"/>
      <c r="B524" s="4"/>
      <c r="C524" s="4"/>
      <c r="D524" s="1"/>
      <c r="E524" s="4"/>
      <c r="F524" s="1"/>
      <c r="G524" s="1"/>
      <c r="H524" s="1"/>
      <c r="I524" s="4"/>
    </row>
    <row r="525" ht="17.25" customHeight="1">
      <c r="A525" s="1"/>
      <c r="B525" s="4"/>
      <c r="C525" s="4"/>
      <c r="D525" s="1"/>
      <c r="E525" s="4"/>
      <c r="F525" s="1"/>
      <c r="G525" s="1"/>
      <c r="H525" s="1"/>
      <c r="I525" s="4"/>
    </row>
    <row r="526" ht="17.25" customHeight="1">
      <c r="A526" s="1"/>
      <c r="B526" s="4"/>
      <c r="C526" s="4"/>
      <c r="D526" s="1"/>
      <c r="E526" s="4"/>
      <c r="F526" s="1"/>
      <c r="G526" s="1"/>
      <c r="H526" s="1"/>
      <c r="I526" s="4"/>
    </row>
    <row r="527" ht="17.25" customHeight="1">
      <c r="A527" s="1"/>
      <c r="B527" s="4"/>
      <c r="C527" s="4"/>
      <c r="D527" s="1"/>
      <c r="E527" s="4"/>
      <c r="F527" s="1"/>
      <c r="G527" s="1"/>
      <c r="H527" s="1"/>
      <c r="I527" s="4"/>
    </row>
    <row r="528" ht="17.25" customHeight="1">
      <c r="A528" s="1"/>
      <c r="B528" s="4"/>
      <c r="C528" s="4"/>
      <c r="D528" s="1"/>
      <c r="E528" s="4"/>
      <c r="F528" s="1"/>
      <c r="G528" s="1"/>
      <c r="H528" s="1"/>
      <c r="I528" s="4"/>
    </row>
    <row r="529" ht="17.25" customHeight="1">
      <c r="A529" s="1"/>
      <c r="B529" s="4"/>
      <c r="C529" s="4"/>
      <c r="D529" s="1"/>
      <c r="E529" s="4"/>
      <c r="F529" s="1"/>
      <c r="G529" s="1"/>
      <c r="H529" s="1"/>
      <c r="I529" s="4"/>
    </row>
    <row r="530" ht="17.25" customHeight="1">
      <c r="A530" s="1"/>
      <c r="B530" s="4"/>
      <c r="C530" s="4"/>
      <c r="D530" s="1"/>
      <c r="E530" s="4"/>
      <c r="F530" s="1"/>
      <c r="G530" s="1"/>
      <c r="H530" s="1"/>
      <c r="I530" s="4"/>
    </row>
    <row r="531" ht="17.25" customHeight="1">
      <c r="A531" s="1"/>
      <c r="B531" s="4"/>
      <c r="C531" s="4"/>
      <c r="D531" s="1"/>
      <c r="E531" s="4"/>
      <c r="F531" s="1"/>
      <c r="G531" s="1"/>
      <c r="H531" s="1"/>
      <c r="I531" s="4"/>
    </row>
    <row r="532" ht="17.25" customHeight="1">
      <c r="A532" s="1"/>
      <c r="B532" s="4"/>
      <c r="C532" s="4"/>
      <c r="D532" s="1"/>
      <c r="E532" s="4"/>
      <c r="F532" s="1"/>
      <c r="G532" s="1"/>
      <c r="H532" s="1"/>
      <c r="I532" s="4"/>
    </row>
    <row r="533" ht="17.25" customHeight="1">
      <c r="A533" s="1"/>
      <c r="B533" s="4"/>
      <c r="C533" s="4"/>
      <c r="D533" s="1"/>
      <c r="E533" s="4"/>
      <c r="F533" s="1"/>
      <c r="G533" s="1"/>
      <c r="H533" s="1"/>
      <c r="I533" s="4"/>
    </row>
    <row r="534" ht="17.25" customHeight="1">
      <c r="A534" s="1"/>
      <c r="B534" s="4"/>
      <c r="C534" s="4"/>
      <c r="D534" s="1"/>
      <c r="E534" s="4"/>
      <c r="F534" s="1"/>
      <c r="G534" s="1"/>
      <c r="H534" s="1"/>
      <c r="I534" s="4"/>
    </row>
    <row r="535" ht="17.25" customHeight="1">
      <c r="A535" s="1"/>
      <c r="B535" s="4"/>
      <c r="C535" s="4"/>
      <c r="D535" s="1"/>
      <c r="E535" s="4"/>
      <c r="F535" s="1"/>
      <c r="G535" s="1"/>
      <c r="H535" s="1"/>
      <c r="I535" s="4"/>
    </row>
    <row r="536" ht="17.25" customHeight="1">
      <c r="A536" s="1"/>
      <c r="B536" s="4"/>
      <c r="C536" s="4"/>
      <c r="D536" s="1"/>
      <c r="E536" s="4"/>
      <c r="F536" s="1"/>
      <c r="G536" s="1"/>
      <c r="H536" s="1"/>
      <c r="I536" s="4"/>
    </row>
    <row r="537" ht="17.25" customHeight="1">
      <c r="A537" s="1"/>
      <c r="B537" s="4"/>
      <c r="C537" s="4"/>
      <c r="D537" s="1"/>
      <c r="E537" s="4"/>
      <c r="F537" s="1"/>
      <c r="G537" s="1"/>
      <c r="H537" s="1"/>
      <c r="I537" s="4"/>
    </row>
    <row r="538" ht="17.25" customHeight="1">
      <c r="A538" s="1"/>
      <c r="B538" s="4"/>
      <c r="C538" s="4"/>
      <c r="D538" s="1"/>
      <c r="E538" s="4"/>
      <c r="F538" s="1"/>
      <c r="G538" s="1"/>
      <c r="H538" s="1"/>
      <c r="I538" s="4"/>
    </row>
    <row r="539" ht="17.25" customHeight="1">
      <c r="A539" s="1"/>
      <c r="B539" s="4"/>
      <c r="C539" s="4"/>
      <c r="D539" s="1"/>
      <c r="E539" s="4"/>
      <c r="F539" s="1"/>
      <c r="G539" s="1"/>
      <c r="H539" s="1"/>
      <c r="I539" s="4"/>
    </row>
    <row r="540" ht="17.25" customHeight="1">
      <c r="A540" s="1"/>
      <c r="B540" s="4"/>
      <c r="C540" s="4"/>
      <c r="D540" s="1"/>
      <c r="E540" s="4"/>
      <c r="F540" s="1"/>
      <c r="G540" s="1"/>
      <c r="H540" s="1"/>
      <c r="I540" s="4"/>
    </row>
    <row r="541" ht="17.25" customHeight="1">
      <c r="A541" s="1"/>
      <c r="B541" s="4"/>
      <c r="C541" s="4"/>
      <c r="D541" s="1"/>
      <c r="E541" s="4"/>
      <c r="F541" s="1"/>
      <c r="G541" s="1"/>
      <c r="H541" s="1"/>
      <c r="I541" s="4"/>
    </row>
    <row r="542" ht="17.25" customHeight="1">
      <c r="A542" s="1"/>
      <c r="B542" s="4"/>
      <c r="C542" s="4"/>
      <c r="D542" s="1"/>
      <c r="E542" s="4"/>
      <c r="F542" s="1"/>
      <c r="G542" s="1"/>
      <c r="H542" s="1"/>
      <c r="I542" s="4"/>
    </row>
    <row r="543" ht="17.25" customHeight="1">
      <c r="A543" s="1"/>
      <c r="B543" s="4"/>
      <c r="C543" s="4"/>
      <c r="D543" s="1"/>
      <c r="E543" s="4"/>
      <c r="F543" s="1"/>
      <c r="G543" s="1"/>
      <c r="H543" s="1"/>
      <c r="I543" s="4"/>
    </row>
    <row r="544" ht="17.25" customHeight="1">
      <c r="A544" s="1"/>
      <c r="B544" s="4"/>
      <c r="C544" s="4"/>
      <c r="D544" s="1"/>
      <c r="E544" s="4"/>
      <c r="F544" s="1"/>
      <c r="G544" s="1"/>
      <c r="H544" s="1"/>
      <c r="I544" s="4"/>
    </row>
    <row r="545" ht="17.25" customHeight="1">
      <c r="A545" s="1"/>
      <c r="B545" s="4"/>
      <c r="C545" s="4"/>
      <c r="D545" s="1"/>
      <c r="E545" s="4"/>
      <c r="F545" s="1"/>
      <c r="G545" s="1"/>
      <c r="H545" s="1"/>
      <c r="I545" s="4"/>
    </row>
    <row r="546" ht="17.25" customHeight="1">
      <c r="A546" s="1"/>
      <c r="B546" s="4"/>
      <c r="C546" s="4"/>
      <c r="D546" s="1"/>
      <c r="E546" s="4"/>
      <c r="F546" s="1"/>
      <c r="G546" s="1"/>
      <c r="H546" s="1"/>
      <c r="I546" s="4"/>
    </row>
    <row r="547" ht="17.25" customHeight="1">
      <c r="A547" s="1"/>
      <c r="B547" s="4"/>
      <c r="C547" s="4"/>
      <c r="D547" s="1"/>
      <c r="E547" s="4"/>
      <c r="F547" s="1"/>
      <c r="G547" s="1"/>
      <c r="H547" s="1"/>
      <c r="I547" s="4"/>
    </row>
    <row r="548" ht="17.25" customHeight="1">
      <c r="A548" s="1"/>
      <c r="B548" s="4"/>
      <c r="C548" s="4"/>
      <c r="D548" s="1"/>
      <c r="E548" s="4"/>
      <c r="F548" s="1"/>
      <c r="G548" s="1"/>
      <c r="H548" s="1"/>
      <c r="I548" s="4"/>
    </row>
    <row r="549" ht="17.25" customHeight="1">
      <c r="A549" s="1"/>
      <c r="B549" s="4"/>
      <c r="C549" s="4"/>
      <c r="D549" s="1"/>
      <c r="E549" s="4"/>
      <c r="F549" s="1"/>
      <c r="G549" s="1"/>
      <c r="H549" s="1"/>
      <c r="I549" s="4"/>
    </row>
    <row r="550" ht="17.25" customHeight="1">
      <c r="A550" s="1"/>
      <c r="B550" s="4"/>
      <c r="C550" s="4"/>
      <c r="D550" s="1"/>
      <c r="E550" s="4"/>
      <c r="F550" s="1"/>
      <c r="G550" s="1"/>
      <c r="H550" s="1"/>
      <c r="I550" s="4"/>
    </row>
    <row r="551" ht="17.25" customHeight="1">
      <c r="A551" s="1"/>
      <c r="B551" s="4"/>
      <c r="C551" s="4"/>
      <c r="D551" s="1"/>
      <c r="E551" s="4"/>
      <c r="F551" s="1"/>
      <c r="G551" s="1"/>
      <c r="H551" s="1"/>
      <c r="I551" s="4"/>
    </row>
    <row r="552" ht="17.25" customHeight="1">
      <c r="A552" s="1"/>
      <c r="B552" s="4"/>
      <c r="C552" s="4"/>
      <c r="D552" s="1"/>
      <c r="E552" s="4"/>
      <c r="F552" s="1"/>
      <c r="G552" s="1"/>
      <c r="H552" s="1"/>
      <c r="I552" s="4"/>
    </row>
    <row r="553" ht="17.25" customHeight="1">
      <c r="A553" s="1"/>
      <c r="B553" s="4"/>
      <c r="C553" s="4"/>
      <c r="D553" s="1"/>
      <c r="E553" s="4"/>
      <c r="F553" s="1"/>
      <c r="G553" s="1"/>
      <c r="H553" s="1"/>
      <c r="I553" s="4"/>
    </row>
    <row r="554" ht="17.25" customHeight="1">
      <c r="A554" s="1"/>
      <c r="B554" s="4"/>
      <c r="C554" s="4"/>
      <c r="D554" s="1"/>
      <c r="E554" s="4"/>
      <c r="F554" s="1"/>
      <c r="G554" s="1"/>
      <c r="H554" s="1"/>
      <c r="I554" s="4"/>
    </row>
    <row r="555" ht="17.25" customHeight="1">
      <c r="A555" s="1"/>
      <c r="B555" s="4"/>
      <c r="C555" s="4"/>
      <c r="D555" s="1"/>
      <c r="E555" s="4"/>
      <c r="F555" s="1"/>
      <c r="G555" s="1"/>
      <c r="H555" s="1"/>
      <c r="I555" s="4"/>
    </row>
    <row r="556" ht="17.25" customHeight="1">
      <c r="A556" s="1"/>
      <c r="B556" s="4"/>
      <c r="C556" s="4"/>
      <c r="D556" s="1"/>
      <c r="E556" s="4"/>
      <c r="F556" s="1"/>
      <c r="G556" s="1"/>
      <c r="H556" s="1"/>
      <c r="I556" s="4"/>
    </row>
    <row r="557" ht="17.25" customHeight="1">
      <c r="A557" s="1"/>
      <c r="B557" s="4"/>
      <c r="C557" s="4"/>
      <c r="D557" s="1"/>
      <c r="E557" s="4"/>
      <c r="F557" s="1"/>
      <c r="G557" s="1"/>
      <c r="H557" s="1"/>
      <c r="I557" s="4"/>
    </row>
    <row r="558" ht="17.25" customHeight="1">
      <c r="A558" s="1"/>
      <c r="B558" s="4"/>
      <c r="C558" s="4"/>
      <c r="D558" s="1"/>
      <c r="E558" s="4"/>
      <c r="F558" s="1"/>
      <c r="G558" s="1"/>
      <c r="H558" s="1"/>
      <c r="I558" s="4"/>
    </row>
    <row r="559" ht="17.25" customHeight="1">
      <c r="A559" s="1"/>
      <c r="B559" s="4"/>
      <c r="C559" s="4"/>
      <c r="D559" s="1"/>
      <c r="E559" s="4"/>
      <c r="F559" s="1"/>
      <c r="G559" s="1"/>
      <c r="H559" s="1"/>
      <c r="I559" s="4"/>
    </row>
    <row r="560" ht="17.25" customHeight="1">
      <c r="A560" s="1"/>
      <c r="B560" s="4"/>
      <c r="C560" s="4"/>
      <c r="D560" s="1"/>
      <c r="E560" s="4"/>
      <c r="F560" s="1"/>
      <c r="G560" s="1"/>
      <c r="H560" s="1"/>
      <c r="I560" s="4"/>
    </row>
    <row r="561" ht="17.25" customHeight="1">
      <c r="A561" s="1"/>
      <c r="B561" s="4"/>
      <c r="C561" s="4"/>
      <c r="D561" s="1"/>
      <c r="E561" s="4"/>
      <c r="F561" s="1"/>
      <c r="G561" s="1"/>
      <c r="H561" s="1"/>
      <c r="I561" s="4"/>
    </row>
    <row r="562" ht="17.25" customHeight="1">
      <c r="A562" s="1"/>
      <c r="B562" s="4"/>
      <c r="C562" s="4"/>
      <c r="D562" s="1"/>
      <c r="E562" s="4"/>
      <c r="F562" s="1"/>
      <c r="G562" s="1"/>
      <c r="H562" s="1"/>
      <c r="I562" s="4"/>
    </row>
    <row r="563" ht="17.25" customHeight="1">
      <c r="A563" s="1"/>
      <c r="B563" s="4"/>
      <c r="C563" s="4"/>
      <c r="D563" s="1"/>
      <c r="E563" s="4"/>
      <c r="F563" s="1"/>
      <c r="G563" s="1"/>
      <c r="H563" s="1"/>
      <c r="I563" s="4"/>
    </row>
    <row r="564" ht="17.25" customHeight="1">
      <c r="A564" s="1"/>
      <c r="B564" s="4"/>
      <c r="C564" s="4"/>
      <c r="D564" s="1"/>
      <c r="E564" s="4"/>
      <c r="F564" s="1"/>
      <c r="G564" s="1"/>
      <c r="H564" s="1"/>
      <c r="I564" s="4"/>
    </row>
    <row r="565" ht="17.25" customHeight="1">
      <c r="A565" s="1"/>
      <c r="B565" s="4"/>
      <c r="C565" s="4"/>
      <c r="D565" s="1"/>
      <c r="E565" s="4"/>
      <c r="F565" s="1"/>
      <c r="G565" s="1"/>
      <c r="H565" s="1"/>
      <c r="I565" s="4"/>
    </row>
    <row r="566" ht="17.25" customHeight="1">
      <c r="A566" s="1"/>
      <c r="B566" s="4"/>
      <c r="C566" s="4"/>
      <c r="D566" s="1"/>
      <c r="E566" s="4"/>
      <c r="F566" s="1"/>
      <c r="G566" s="1"/>
      <c r="H566" s="1"/>
      <c r="I566" s="4"/>
    </row>
    <row r="567" ht="17.25" customHeight="1">
      <c r="A567" s="1"/>
      <c r="B567" s="4"/>
      <c r="C567" s="4"/>
      <c r="D567" s="1"/>
      <c r="E567" s="4"/>
      <c r="F567" s="1"/>
      <c r="G567" s="1"/>
      <c r="H567" s="1"/>
      <c r="I567" s="4"/>
    </row>
    <row r="568" ht="17.25" customHeight="1">
      <c r="A568" s="1"/>
      <c r="B568" s="4"/>
      <c r="C568" s="4"/>
      <c r="D568" s="1"/>
      <c r="E568" s="4"/>
      <c r="F568" s="1"/>
      <c r="G568" s="1"/>
      <c r="H568" s="1"/>
      <c r="I568" s="4"/>
    </row>
    <row r="569" ht="17.25" customHeight="1">
      <c r="A569" s="1"/>
      <c r="B569" s="4"/>
      <c r="C569" s="4"/>
      <c r="D569" s="1"/>
      <c r="E569" s="4"/>
      <c r="F569" s="1"/>
      <c r="G569" s="1"/>
      <c r="H569" s="1"/>
      <c r="I569" s="4"/>
    </row>
    <row r="570" ht="17.25" customHeight="1">
      <c r="A570" s="1"/>
      <c r="B570" s="4"/>
      <c r="C570" s="4"/>
      <c r="D570" s="1"/>
      <c r="E570" s="4"/>
      <c r="F570" s="1"/>
      <c r="G570" s="1"/>
      <c r="H570" s="1"/>
      <c r="I570" s="4"/>
    </row>
    <row r="571" ht="17.25" customHeight="1">
      <c r="A571" s="1"/>
      <c r="B571" s="4"/>
      <c r="C571" s="4"/>
      <c r="D571" s="1"/>
      <c r="E571" s="4"/>
      <c r="F571" s="1"/>
      <c r="G571" s="1"/>
      <c r="H571" s="1"/>
      <c r="I571" s="4"/>
    </row>
    <row r="572" ht="17.25" customHeight="1">
      <c r="A572" s="1"/>
      <c r="B572" s="4"/>
      <c r="C572" s="4"/>
      <c r="D572" s="1"/>
      <c r="E572" s="4"/>
      <c r="F572" s="1"/>
      <c r="G572" s="1"/>
      <c r="H572" s="1"/>
      <c r="I572" s="4"/>
    </row>
    <row r="573" ht="17.25" customHeight="1">
      <c r="A573" s="1"/>
      <c r="B573" s="4"/>
      <c r="C573" s="4"/>
      <c r="D573" s="1"/>
      <c r="E573" s="4"/>
      <c r="F573" s="1"/>
      <c r="G573" s="1"/>
      <c r="H573" s="1"/>
      <c r="I573" s="4"/>
    </row>
    <row r="574" ht="17.25" customHeight="1">
      <c r="A574" s="1"/>
      <c r="B574" s="4"/>
      <c r="C574" s="4"/>
      <c r="D574" s="1"/>
      <c r="E574" s="4"/>
      <c r="F574" s="1"/>
      <c r="G574" s="1"/>
      <c r="H574" s="1"/>
      <c r="I574" s="4"/>
    </row>
    <row r="575" ht="17.25" customHeight="1">
      <c r="A575" s="1"/>
      <c r="B575" s="4"/>
      <c r="C575" s="4"/>
      <c r="D575" s="1"/>
      <c r="E575" s="4"/>
      <c r="F575" s="1"/>
      <c r="G575" s="1"/>
      <c r="H575" s="1"/>
      <c r="I575" s="4"/>
    </row>
    <row r="576" ht="17.25" customHeight="1">
      <c r="A576" s="1"/>
      <c r="B576" s="4"/>
      <c r="C576" s="4"/>
      <c r="D576" s="1"/>
      <c r="E576" s="4"/>
      <c r="F576" s="1"/>
      <c r="G576" s="1"/>
      <c r="H576" s="1"/>
      <c r="I576" s="4"/>
    </row>
    <row r="577" ht="17.25" customHeight="1">
      <c r="A577" s="1"/>
      <c r="B577" s="4"/>
      <c r="C577" s="4"/>
      <c r="D577" s="1"/>
      <c r="E577" s="4"/>
      <c r="F577" s="1"/>
      <c r="G577" s="1"/>
      <c r="H577" s="1"/>
      <c r="I577" s="4"/>
    </row>
    <row r="578" ht="17.25" customHeight="1">
      <c r="A578" s="1"/>
      <c r="B578" s="4"/>
      <c r="C578" s="4"/>
      <c r="D578" s="1"/>
      <c r="E578" s="4"/>
      <c r="F578" s="1"/>
      <c r="G578" s="1"/>
      <c r="H578" s="1"/>
      <c r="I578" s="4"/>
    </row>
    <row r="579" ht="17.25" customHeight="1">
      <c r="A579" s="1"/>
      <c r="B579" s="4"/>
      <c r="C579" s="4"/>
      <c r="D579" s="1"/>
      <c r="E579" s="4"/>
      <c r="F579" s="1"/>
      <c r="G579" s="1"/>
      <c r="H579" s="1"/>
      <c r="I579" s="4"/>
    </row>
    <row r="580" ht="17.25" customHeight="1">
      <c r="A580" s="1"/>
      <c r="B580" s="4"/>
      <c r="C580" s="4"/>
      <c r="D580" s="1"/>
      <c r="E580" s="4"/>
      <c r="F580" s="1"/>
      <c r="G580" s="1"/>
      <c r="H580" s="1"/>
      <c r="I580" s="4"/>
    </row>
    <row r="581" ht="17.25" customHeight="1">
      <c r="A581" s="1"/>
      <c r="B581" s="4"/>
      <c r="C581" s="4"/>
      <c r="D581" s="1"/>
      <c r="E581" s="4"/>
      <c r="F581" s="1"/>
      <c r="G581" s="1"/>
      <c r="H581" s="1"/>
      <c r="I581" s="4"/>
    </row>
    <row r="582" ht="17.25" customHeight="1">
      <c r="A582" s="1"/>
      <c r="B582" s="4"/>
      <c r="C582" s="4"/>
      <c r="D582" s="1"/>
      <c r="E582" s="4"/>
      <c r="F582" s="1"/>
      <c r="G582" s="1"/>
      <c r="H582" s="1"/>
      <c r="I582" s="4"/>
    </row>
    <row r="583" ht="17.25" customHeight="1">
      <c r="A583" s="1"/>
      <c r="B583" s="4"/>
      <c r="C583" s="4"/>
      <c r="D583" s="1"/>
      <c r="E583" s="4"/>
      <c r="F583" s="1"/>
      <c r="G583" s="1"/>
      <c r="H583" s="1"/>
      <c r="I583" s="4"/>
    </row>
    <row r="584" ht="17.25" customHeight="1">
      <c r="A584" s="1"/>
      <c r="B584" s="4"/>
      <c r="C584" s="4"/>
      <c r="D584" s="1"/>
      <c r="E584" s="4"/>
      <c r="F584" s="1"/>
      <c r="G584" s="1"/>
      <c r="H584" s="1"/>
      <c r="I584" s="4"/>
    </row>
    <row r="585" ht="17.25" customHeight="1">
      <c r="A585" s="1"/>
      <c r="B585" s="4"/>
      <c r="C585" s="4"/>
      <c r="D585" s="1"/>
      <c r="E585" s="4"/>
      <c r="F585" s="1"/>
      <c r="G585" s="1"/>
      <c r="H585" s="1"/>
      <c r="I585" s="4"/>
    </row>
    <row r="586" ht="17.25" customHeight="1">
      <c r="A586" s="1"/>
      <c r="B586" s="4"/>
      <c r="C586" s="4"/>
      <c r="D586" s="1"/>
      <c r="E586" s="4"/>
      <c r="F586" s="1"/>
      <c r="G586" s="1"/>
      <c r="H586" s="1"/>
      <c r="I586" s="4"/>
    </row>
    <row r="587" ht="17.25" customHeight="1">
      <c r="A587" s="1"/>
      <c r="B587" s="4"/>
      <c r="C587" s="4"/>
      <c r="D587" s="1"/>
      <c r="E587" s="4"/>
      <c r="F587" s="1"/>
      <c r="G587" s="1"/>
      <c r="H587" s="1"/>
      <c r="I587" s="4"/>
    </row>
    <row r="588" ht="17.25" customHeight="1">
      <c r="A588" s="1"/>
      <c r="B588" s="4"/>
      <c r="C588" s="4"/>
      <c r="D588" s="1"/>
      <c r="E588" s="4"/>
      <c r="F588" s="1"/>
      <c r="G588" s="1"/>
      <c r="H588" s="1"/>
      <c r="I588" s="4"/>
    </row>
    <row r="589" ht="17.25" customHeight="1">
      <c r="A589" s="1"/>
      <c r="B589" s="4"/>
      <c r="C589" s="4"/>
      <c r="D589" s="1"/>
      <c r="E589" s="4"/>
      <c r="F589" s="1"/>
      <c r="G589" s="1"/>
      <c r="H589" s="1"/>
      <c r="I589" s="4"/>
    </row>
    <row r="590" ht="17.25" customHeight="1">
      <c r="A590" s="1"/>
      <c r="B590" s="4"/>
      <c r="C590" s="4"/>
      <c r="D590" s="1"/>
      <c r="E590" s="4"/>
      <c r="F590" s="1"/>
      <c r="G590" s="1"/>
      <c r="H590" s="1"/>
      <c r="I590" s="4"/>
    </row>
    <row r="591" ht="17.25" customHeight="1">
      <c r="A591" s="1"/>
      <c r="B591" s="4"/>
      <c r="C591" s="4"/>
      <c r="D591" s="1"/>
      <c r="E591" s="4"/>
      <c r="F591" s="1"/>
      <c r="G591" s="1"/>
      <c r="H591" s="1"/>
      <c r="I591" s="4"/>
    </row>
    <row r="592" ht="17.25" customHeight="1">
      <c r="A592" s="1"/>
      <c r="B592" s="4"/>
      <c r="C592" s="4"/>
      <c r="D592" s="1"/>
      <c r="E592" s="4"/>
      <c r="F592" s="1"/>
      <c r="G592" s="1"/>
      <c r="H592" s="1"/>
      <c r="I592" s="4"/>
    </row>
    <row r="593" ht="17.25" customHeight="1">
      <c r="A593" s="1"/>
      <c r="B593" s="4"/>
      <c r="C593" s="4"/>
      <c r="D593" s="1"/>
      <c r="E593" s="4"/>
      <c r="F593" s="1"/>
      <c r="G593" s="1"/>
      <c r="H593" s="1"/>
      <c r="I593" s="4"/>
    </row>
    <row r="594" ht="17.25" customHeight="1">
      <c r="A594" s="1"/>
      <c r="B594" s="4"/>
      <c r="C594" s="4"/>
      <c r="D594" s="1"/>
      <c r="E594" s="4"/>
      <c r="F594" s="1"/>
      <c r="G594" s="1"/>
      <c r="H594" s="1"/>
      <c r="I594" s="4"/>
    </row>
    <row r="595" ht="17.25" customHeight="1">
      <c r="A595" s="1"/>
      <c r="B595" s="4"/>
      <c r="C595" s="4"/>
      <c r="D595" s="1"/>
      <c r="E595" s="4"/>
      <c r="F595" s="1"/>
      <c r="G595" s="1"/>
      <c r="H595" s="1"/>
      <c r="I595" s="4"/>
    </row>
    <row r="596" ht="17.25" customHeight="1">
      <c r="A596" s="1"/>
      <c r="B596" s="4"/>
      <c r="C596" s="4"/>
      <c r="D596" s="1"/>
      <c r="E596" s="4"/>
      <c r="F596" s="1"/>
      <c r="G596" s="1"/>
      <c r="H596" s="1"/>
      <c r="I596" s="4"/>
    </row>
    <row r="597" ht="17.25" customHeight="1">
      <c r="A597" s="1"/>
      <c r="B597" s="4"/>
      <c r="C597" s="4"/>
      <c r="D597" s="1"/>
      <c r="E597" s="4"/>
      <c r="F597" s="1"/>
      <c r="G597" s="1"/>
      <c r="H597" s="1"/>
      <c r="I597" s="4"/>
    </row>
    <row r="598" ht="17.25" customHeight="1">
      <c r="A598" s="1"/>
      <c r="B598" s="4"/>
      <c r="C598" s="4"/>
      <c r="D598" s="1"/>
      <c r="E598" s="4"/>
      <c r="F598" s="1"/>
      <c r="G598" s="1"/>
      <c r="H598" s="1"/>
      <c r="I598" s="4"/>
    </row>
    <row r="599" ht="17.25" customHeight="1">
      <c r="A599" s="1"/>
      <c r="B599" s="4"/>
      <c r="C599" s="4"/>
      <c r="D599" s="1"/>
      <c r="E599" s="4"/>
      <c r="F599" s="1"/>
      <c r="G599" s="1"/>
      <c r="H599" s="1"/>
      <c r="I599" s="4"/>
    </row>
    <row r="600" ht="17.25" customHeight="1">
      <c r="A600" s="1"/>
      <c r="B600" s="4"/>
      <c r="C600" s="4"/>
      <c r="D600" s="1"/>
      <c r="E600" s="4"/>
      <c r="F600" s="1"/>
      <c r="G600" s="1"/>
      <c r="H600" s="1"/>
      <c r="I600" s="4"/>
    </row>
    <row r="601" ht="17.25" customHeight="1">
      <c r="A601" s="1"/>
      <c r="B601" s="4"/>
      <c r="C601" s="4"/>
      <c r="D601" s="1"/>
      <c r="E601" s="4"/>
      <c r="F601" s="1"/>
      <c r="G601" s="1"/>
      <c r="H601" s="1"/>
      <c r="I601" s="4"/>
    </row>
    <row r="602" ht="17.25" customHeight="1">
      <c r="A602" s="1"/>
      <c r="B602" s="4"/>
      <c r="C602" s="4"/>
      <c r="D602" s="1"/>
      <c r="E602" s="4"/>
      <c r="F602" s="1"/>
      <c r="G602" s="1"/>
      <c r="H602" s="1"/>
      <c r="I602" s="4"/>
    </row>
    <row r="603" ht="17.25" customHeight="1">
      <c r="A603" s="1"/>
      <c r="B603" s="4"/>
      <c r="C603" s="4"/>
      <c r="D603" s="1"/>
      <c r="E603" s="4"/>
      <c r="F603" s="1"/>
      <c r="G603" s="1"/>
      <c r="H603" s="1"/>
      <c r="I603" s="4"/>
    </row>
    <row r="604" ht="17.25" customHeight="1">
      <c r="A604" s="1"/>
      <c r="B604" s="4"/>
      <c r="C604" s="4"/>
      <c r="D604" s="1"/>
      <c r="E604" s="4"/>
      <c r="F604" s="1"/>
      <c r="G604" s="1"/>
      <c r="H604" s="1"/>
      <c r="I604" s="4"/>
    </row>
    <row r="605" ht="17.25" customHeight="1">
      <c r="A605" s="1"/>
      <c r="B605" s="4"/>
      <c r="C605" s="4"/>
      <c r="D605" s="1"/>
      <c r="E605" s="4"/>
      <c r="F605" s="1"/>
      <c r="G605" s="1"/>
      <c r="H605" s="1"/>
      <c r="I605" s="4"/>
    </row>
    <row r="606" ht="17.25" customHeight="1">
      <c r="A606" s="1"/>
      <c r="B606" s="4"/>
      <c r="C606" s="4"/>
      <c r="D606" s="1"/>
      <c r="E606" s="4"/>
      <c r="F606" s="1"/>
      <c r="G606" s="1"/>
      <c r="H606" s="1"/>
      <c r="I606" s="4"/>
    </row>
    <row r="607" ht="17.25" customHeight="1">
      <c r="A607" s="1"/>
      <c r="B607" s="4"/>
      <c r="C607" s="4"/>
      <c r="D607" s="1"/>
      <c r="E607" s="4"/>
      <c r="F607" s="1"/>
      <c r="G607" s="1"/>
      <c r="H607" s="1"/>
      <c r="I607" s="4"/>
    </row>
    <row r="608" ht="17.25" customHeight="1">
      <c r="A608" s="1"/>
      <c r="B608" s="4"/>
      <c r="C608" s="4"/>
      <c r="D608" s="1"/>
      <c r="E608" s="4"/>
      <c r="F608" s="1"/>
      <c r="G608" s="1"/>
      <c r="H608" s="1"/>
      <c r="I608" s="4"/>
    </row>
    <row r="609" ht="17.25" customHeight="1">
      <c r="A609" s="1"/>
      <c r="B609" s="4"/>
      <c r="C609" s="4"/>
      <c r="D609" s="1"/>
      <c r="E609" s="4"/>
      <c r="F609" s="1"/>
      <c r="G609" s="1"/>
      <c r="H609" s="1"/>
      <c r="I609" s="4"/>
    </row>
    <row r="610" ht="17.25" customHeight="1">
      <c r="A610" s="1"/>
      <c r="B610" s="4"/>
      <c r="C610" s="4"/>
      <c r="D610" s="1"/>
      <c r="E610" s="4"/>
      <c r="F610" s="1"/>
      <c r="G610" s="1"/>
      <c r="H610" s="1"/>
      <c r="I610" s="4"/>
    </row>
    <row r="611" ht="17.25" customHeight="1">
      <c r="A611" s="1"/>
      <c r="B611" s="4"/>
      <c r="C611" s="4"/>
      <c r="D611" s="1"/>
      <c r="E611" s="4"/>
      <c r="F611" s="1"/>
      <c r="G611" s="1"/>
      <c r="H611" s="1"/>
      <c r="I611" s="4"/>
    </row>
    <row r="612" ht="17.25" customHeight="1">
      <c r="A612" s="1"/>
      <c r="B612" s="4"/>
      <c r="C612" s="4"/>
      <c r="D612" s="1"/>
      <c r="E612" s="4"/>
      <c r="F612" s="1"/>
      <c r="G612" s="1"/>
      <c r="H612" s="1"/>
      <c r="I612" s="4"/>
    </row>
    <row r="613" ht="17.25" customHeight="1">
      <c r="A613" s="1"/>
      <c r="B613" s="4"/>
      <c r="C613" s="4"/>
      <c r="D613" s="1"/>
      <c r="E613" s="4"/>
      <c r="F613" s="1"/>
      <c r="G613" s="1"/>
      <c r="H613" s="1"/>
      <c r="I613" s="4"/>
    </row>
    <row r="614" ht="17.25" customHeight="1">
      <c r="A614" s="1"/>
      <c r="B614" s="4"/>
      <c r="C614" s="4"/>
      <c r="D614" s="1"/>
      <c r="E614" s="4"/>
      <c r="F614" s="1"/>
      <c r="G614" s="1"/>
      <c r="H614" s="1"/>
      <c r="I614" s="4"/>
    </row>
    <row r="615" ht="17.25" customHeight="1">
      <c r="A615" s="1"/>
      <c r="B615" s="4"/>
      <c r="C615" s="4"/>
      <c r="D615" s="1"/>
      <c r="E615" s="4"/>
      <c r="F615" s="1"/>
      <c r="G615" s="1"/>
      <c r="H615" s="1"/>
      <c r="I615" s="4"/>
    </row>
    <row r="616" ht="17.25" customHeight="1">
      <c r="A616" s="1"/>
      <c r="B616" s="4"/>
      <c r="C616" s="4"/>
      <c r="D616" s="1"/>
      <c r="E616" s="4"/>
      <c r="F616" s="1"/>
      <c r="G616" s="1"/>
      <c r="H616" s="1"/>
      <c r="I616" s="4"/>
    </row>
    <row r="617" ht="17.25" customHeight="1">
      <c r="A617" s="1"/>
      <c r="B617" s="4"/>
      <c r="C617" s="4"/>
      <c r="D617" s="1"/>
      <c r="E617" s="4"/>
      <c r="F617" s="1"/>
      <c r="G617" s="1"/>
      <c r="H617" s="1"/>
      <c r="I617" s="4"/>
    </row>
    <row r="618" ht="17.25" customHeight="1">
      <c r="A618" s="1"/>
      <c r="B618" s="4"/>
      <c r="C618" s="4"/>
      <c r="D618" s="1"/>
      <c r="E618" s="4"/>
      <c r="F618" s="1"/>
      <c r="G618" s="1"/>
      <c r="H618" s="1"/>
      <c r="I618" s="4"/>
    </row>
    <row r="619" ht="17.25" customHeight="1">
      <c r="A619" s="1"/>
      <c r="B619" s="4"/>
      <c r="C619" s="4"/>
      <c r="D619" s="1"/>
      <c r="E619" s="4"/>
      <c r="F619" s="1"/>
      <c r="G619" s="1"/>
      <c r="H619" s="1"/>
      <c r="I619" s="4"/>
    </row>
    <row r="620" ht="17.25" customHeight="1">
      <c r="A620" s="1"/>
      <c r="B620" s="4"/>
      <c r="C620" s="4"/>
      <c r="D620" s="1"/>
      <c r="E620" s="4"/>
      <c r="F620" s="1"/>
      <c r="G620" s="1"/>
      <c r="H620" s="1"/>
      <c r="I620" s="4"/>
    </row>
    <row r="621" ht="17.25" customHeight="1">
      <c r="A621" s="1"/>
      <c r="B621" s="4"/>
      <c r="C621" s="4"/>
      <c r="D621" s="1"/>
      <c r="E621" s="4"/>
      <c r="F621" s="1"/>
      <c r="G621" s="1"/>
      <c r="H621" s="1"/>
      <c r="I621" s="4"/>
    </row>
    <row r="622" ht="17.25" customHeight="1">
      <c r="A622" s="1"/>
      <c r="B622" s="4"/>
      <c r="C622" s="4"/>
      <c r="D622" s="1"/>
      <c r="E622" s="4"/>
      <c r="F622" s="1"/>
      <c r="G622" s="1"/>
      <c r="H622" s="1"/>
      <c r="I622" s="4"/>
    </row>
    <row r="623" ht="17.25" customHeight="1">
      <c r="A623" s="1"/>
      <c r="B623" s="4"/>
      <c r="C623" s="4"/>
      <c r="D623" s="1"/>
      <c r="E623" s="4"/>
      <c r="F623" s="1"/>
      <c r="G623" s="1"/>
      <c r="H623" s="1"/>
      <c r="I623" s="4"/>
    </row>
    <row r="624" ht="17.25" customHeight="1">
      <c r="A624" s="1"/>
      <c r="B624" s="4"/>
      <c r="C624" s="4"/>
      <c r="D624" s="1"/>
      <c r="E624" s="4"/>
      <c r="F624" s="1"/>
      <c r="G624" s="1"/>
      <c r="H624" s="1"/>
      <c r="I624" s="4"/>
    </row>
    <row r="625" ht="17.25" customHeight="1">
      <c r="A625" s="1"/>
      <c r="B625" s="4"/>
      <c r="C625" s="4"/>
      <c r="D625" s="1"/>
      <c r="E625" s="4"/>
      <c r="F625" s="1"/>
      <c r="G625" s="1"/>
      <c r="H625" s="1"/>
      <c r="I625" s="4"/>
    </row>
    <row r="626" ht="17.25" customHeight="1">
      <c r="A626" s="1"/>
      <c r="B626" s="4"/>
      <c r="C626" s="4"/>
      <c r="D626" s="1"/>
      <c r="E626" s="4"/>
      <c r="F626" s="1"/>
      <c r="G626" s="1"/>
      <c r="H626" s="1"/>
      <c r="I626" s="4"/>
    </row>
    <row r="627" ht="17.25" customHeight="1">
      <c r="A627" s="1"/>
      <c r="B627" s="4"/>
      <c r="C627" s="4"/>
      <c r="D627" s="1"/>
      <c r="E627" s="4"/>
      <c r="F627" s="1"/>
      <c r="G627" s="1"/>
      <c r="H627" s="1"/>
      <c r="I627" s="4"/>
    </row>
    <row r="628" ht="17.25" customHeight="1">
      <c r="A628" s="1"/>
      <c r="B628" s="4"/>
      <c r="C628" s="4"/>
      <c r="D628" s="1"/>
      <c r="E628" s="4"/>
      <c r="F628" s="1"/>
      <c r="G628" s="1"/>
      <c r="H628" s="1"/>
      <c r="I628" s="4"/>
    </row>
    <row r="629" ht="17.25" customHeight="1">
      <c r="A629" s="1"/>
      <c r="B629" s="4"/>
      <c r="C629" s="4"/>
      <c r="D629" s="1"/>
      <c r="E629" s="4"/>
      <c r="F629" s="1"/>
      <c r="G629" s="1"/>
      <c r="H629" s="1"/>
      <c r="I629" s="4"/>
    </row>
    <row r="630" ht="17.25" customHeight="1">
      <c r="A630" s="1"/>
      <c r="B630" s="4"/>
      <c r="C630" s="4"/>
      <c r="D630" s="1"/>
      <c r="E630" s="4"/>
      <c r="F630" s="1"/>
      <c r="G630" s="1"/>
      <c r="H630" s="1"/>
      <c r="I630" s="4"/>
    </row>
    <row r="631" ht="17.25" customHeight="1">
      <c r="A631" s="1"/>
      <c r="B631" s="4"/>
      <c r="C631" s="4"/>
      <c r="D631" s="1"/>
      <c r="E631" s="4"/>
      <c r="F631" s="1"/>
      <c r="G631" s="1"/>
      <c r="H631" s="1"/>
      <c r="I631" s="4"/>
    </row>
    <row r="632" ht="17.25" customHeight="1">
      <c r="A632" s="1"/>
      <c r="B632" s="4"/>
      <c r="C632" s="4"/>
      <c r="D632" s="1"/>
      <c r="E632" s="4"/>
      <c r="F632" s="1"/>
      <c r="G632" s="1"/>
      <c r="H632" s="1"/>
      <c r="I632" s="4"/>
    </row>
    <row r="633" ht="17.25" customHeight="1">
      <c r="A633" s="1"/>
      <c r="B633" s="4"/>
      <c r="C633" s="4"/>
      <c r="D633" s="1"/>
      <c r="E633" s="4"/>
      <c r="F633" s="1"/>
      <c r="G633" s="1"/>
      <c r="H633" s="1"/>
      <c r="I633" s="4"/>
    </row>
    <row r="634" ht="17.25" customHeight="1">
      <c r="A634" s="1"/>
      <c r="B634" s="4"/>
      <c r="C634" s="4"/>
      <c r="D634" s="1"/>
      <c r="E634" s="4"/>
      <c r="F634" s="1"/>
      <c r="G634" s="1"/>
      <c r="H634" s="1"/>
      <c r="I634" s="4"/>
    </row>
    <row r="635" ht="17.25" customHeight="1">
      <c r="A635" s="1"/>
      <c r="B635" s="4"/>
      <c r="C635" s="4"/>
      <c r="D635" s="1"/>
      <c r="E635" s="4"/>
      <c r="F635" s="1"/>
      <c r="G635" s="1"/>
      <c r="H635" s="1"/>
      <c r="I635" s="4"/>
    </row>
    <row r="636" ht="17.25" customHeight="1">
      <c r="A636" s="1"/>
      <c r="B636" s="4"/>
      <c r="C636" s="4"/>
      <c r="D636" s="1"/>
      <c r="E636" s="4"/>
      <c r="F636" s="1"/>
      <c r="G636" s="1"/>
      <c r="H636" s="1"/>
      <c r="I636" s="4"/>
    </row>
    <row r="637" ht="17.25" customHeight="1">
      <c r="A637" s="1"/>
      <c r="B637" s="4"/>
      <c r="C637" s="4"/>
      <c r="D637" s="1"/>
      <c r="E637" s="4"/>
      <c r="F637" s="1"/>
      <c r="G637" s="1"/>
      <c r="H637" s="1"/>
      <c r="I637" s="4"/>
    </row>
    <row r="638" ht="17.25" customHeight="1">
      <c r="A638" s="1"/>
      <c r="B638" s="4"/>
      <c r="C638" s="4"/>
      <c r="D638" s="1"/>
      <c r="E638" s="4"/>
      <c r="F638" s="1"/>
      <c r="G638" s="1"/>
      <c r="H638" s="1"/>
      <c r="I638" s="4"/>
    </row>
    <row r="639" ht="17.25" customHeight="1">
      <c r="A639" s="1"/>
      <c r="B639" s="4"/>
      <c r="C639" s="4"/>
      <c r="D639" s="1"/>
      <c r="E639" s="4"/>
      <c r="F639" s="1"/>
      <c r="G639" s="1"/>
      <c r="H639" s="1"/>
      <c r="I639" s="4"/>
    </row>
    <row r="640" ht="17.25" customHeight="1">
      <c r="A640" s="1"/>
      <c r="B640" s="4"/>
      <c r="C640" s="4"/>
      <c r="D640" s="1"/>
      <c r="E640" s="4"/>
      <c r="F640" s="1"/>
      <c r="G640" s="1"/>
      <c r="H640" s="1"/>
      <c r="I640" s="4"/>
    </row>
    <row r="641" ht="17.25" customHeight="1">
      <c r="A641" s="1"/>
      <c r="B641" s="4"/>
      <c r="C641" s="4"/>
      <c r="D641" s="1"/>
      <c r="E641" s="4"/>
      <c r="F641" s="1"/>
      <c r="G641" s="1"/>
      <c r="H641" s="1"/>
      <c r="I641" s="4"/>
    </row>
    <row r="642" ht="17.25" customHeight="1">
      <c r="A642" s="1"/>
      <c r="B642" s="4"/>
      <c r="C642" s="4"/>
      <c r="D642" s="1"/>
      <c r="E642" s="4"/>
      <c r="F642" s="1"/>
      <c r="G642" s="1"/>
      <c r="H642" s="1"/>
      <c r="I642" s="4"/>
    </row>
    <row r="643" ht="17.25" customHeight="1">
      <c r="A643" s="1"/>
      <c r="B643" s="4"/>
      <c r="C643" s="4"/>
      <c r="D643" s="1"/>
      <c r="E643" s="4"/>
      <c r="F643" s="1"/>
      <c r="G643" s="1"/>
      <c r="H643" s="1"/>
      <c r="I643" s="4"/>
    </row>
    <row r="644" ht="17.25" customHeight="1">
      <c r="A644" s="1"/>
      <c r="B644" s="4"/>
      <c r="C644" s="4"/>
      <c r="D644" s="1"/>
      <c r="E644" s="4"/>
      <c r="F644" s="1"/>
      <c r="G644" s="1"/>
      <c r="H644" s="1"/>
      <c r="I644" s="4"/>
    </row>
    <row r="645" ht="17.25" customHeight="1">
      <c r="A645" s="1"/>
      <c r="B645" s="4"/>
      <c r="C645" s="4"/>
      <c r="D645" s="1"/>
      <c r="E645" s="4"/>
      <c r="F645" s="1"/>
      <c r="G645" s="1"/>
      <c r="H645" s="1"/>
      <c r="I645" s="4"/>
    </row>
    <row r="646" ht="17.25" customHeight="1">
      <c r="A646" s="1"/>
      <c r="B646" s="4"/>
      <c r="C646" s="4"/>
      <c r="D646" s="1"/>
      <c r="E646" s="4"/>
      <c r="F646" s="1"/>
      <c r="G646" s="1"/>
      <c r="H646" s="1"/>
      <c r="I646" s="4"/>
    </row>
    <row r="647" ht="17.25" customHeight="1">
      <c r="A647" s="1"/>
      <c r="B647" s="4"/>
      <c r="C647" s="4"/>
      <c r="D647" s="1"/>
      <c r="E647" s="4"/>
      <c r="F647" s="1"/>
      <c r="G647" s="1"/>
      <c r="H647" s="1"/>
      <c r="I647" s="4"/>
    </row>
    <row r="648" ht="17.25" customHeight="1">
      <c r="A648" s="1"/>
      <c r="B648" s="4"/>
      <c r="C648" s="4"/>
      <c r="D648" s="1"/>
      <c r="E648" s="4"/>
      <c r="F648" s="1"/>
      <c r="G648" s="1"/>
      <c r="H648" s="1"/>
      <c r="I648" s="4"/>
    </row>
    <row r="649" ht="17.25" customHeight="1">
      <c r="A649" s="1"/>
      <c r="B649" s="4"/>
      <c r="C649" s="4"/>
      <c r="D649" s="1"/>
      <c r="E649" s="4"/>
      <c r="F649" s="1"/>
      <c r="G649" s="1"/>
      <c r="H649" s="1"/>
      <c r="I649" s="4"/>
    </row>
    <row r="650" ht="17.25" customHeight="1">
      <c r="A650" s="1"/>
      <c r="B650" s="4"/>
      <c r="C650" s="4"/>
      <c r="D650" s="1"/>
      <c r="E650" s="4"/>
      <c r="F650" s="1"/>
      <c r="G650" s="1"/>
      <c r="H650" s="1"/>
      <c r="I650" s="4"/>
    </row>
    <row r="651" ht="17.25" customHeight="1">
      <c r="A651" s="1"/>
      <c r="B651" s="4"/>
      <c r="C651" s="4"/>
      <c r="D651" s="1"/>
      <c r="E651" s="4"/>
      <c r="F651" s="1"/>
      <c r="G651" s="1"/>
      <c r="H651" s="1"/>
      <c r="I651" s="4"/>
    </row>
    <row r="652" ht="17.25" customHeight="1">
      <c r="A652" s="1"/>
      <c r="B652" s="4"/>
      <c r="C652" s="4"/>
      <c r="D652" s="1"/>
      <c r="E652" s="4"/>
      <c r="F652" s="1"/>
      <c r="G652" s="1"/>
      <c r="H652" s="1"/>
      <c r="I652" s="4"/>
    </row>
    <row r="653" ht="17.25" customHeight="1">
      <c r="A653" s="1"/>
      <c r="B653" s="4"/>
      <c r="C653" s="4"/>
      <c r="D653" s="1"/>
      <c r="E653" s="4"/>
      <c r="F653" s="1"/>
      <c r="G653" s="1"/>
      <c r="H653" s="1"/>
      <c r="I653" s="4"/>
    </row>
    <row r="654" ht="17.25" customHeight="1">
      <c r="A654" s="1"/>
      <c r="B654" s="4"/>
      <c r="C654" s="4"/>
      <c r="D654" s="1"/>
      <c r="E654" s="4"/>
      <c r="F654" s="1"/>
      <c r="G654" s="1"/>
      <c r="H654" s="1"/>
      <c r="I654" s="4"/>
    </row>
    <row r="655" ht="17.25" customHeight="1">
      <c r="A655" s="1"/>
      <c r="B655" s="4"/>
      <c r="C655" s="4"/>
      <c r="D655" s="1"/>
      <c r="E655" s="4"/>
      <c r="F655" s="1"/>
      <c r="G655" s="1"/>
      <c r="H655" s="1"/>
      <c r="I655" s="4"/>
    </row>
    <row r="656" ht="17.25" customHeight="1">
      <c r="A656" s="1"/>
      <c r="B656" s="4"/>
      <c r="C656" s="4"/>
      <c r="D656" s="1"/>
      <c r="E656" s="4"/>
      <c r="F656" s="1"/>
      <c r="G656" s="1"/>
      <c r="H656" s="1"/>
      <c r="I656" s="4"/>
    </row>
    <row r="657" ht="17.25" customHeight="1">
      <c r="A657" s="1"/>
      <c r="B657" s="4"/>
      <c r="C657" s="4"/>
      <c r="D657" s="1"/>
      <c r="E657" s="4"/>
      <c r="F657" s="1"/>
      <c r="G657" s="1"/>
      <c r="H657" s="1"/>
      <c r="I657" s="4"/>
    </row>
    <row r="658" ht="17.25" customHeight="1">
      <c r="A658" s="1"/>
      <c r="B658" s="4"/>
      <c r="C658" s="4"/>
      <c r="D658" s="1"/>
      <c r="E658" s="4"/>
      <c r="F658" s="1"/>
      <c r="G658" s="1"/>
      <c r="H658" s="1"/>
      <c r="I658" s="4"/>
    </row>
    <row r="659" ht="17.25" customHeight="1">
      <c r="A659" s="1"/>
      <c r="B659" s="4"/>
      <c r="C659" s="4"/>
      <c r="D659" s="1"/>
      <c r="E659" s="4"/>
      <c r="F659" s="1"/>
      <c r="G659" s="1"/>
      <c r="H659" s="1"/>
      <c r="I659" s="4"/>
    </row>
    <row r="660" ht="17.25" customHeight="1">
      <c r="A660" s="1"/>
      <c r="B660" s="4"/>
      <c r="C660" s="4"/>
      <c r="D660" s="1"/>
      <c r="E660" s="4"/>
      <c r="F660" s="1"/>
      <c r="G660" s="1"/>
      <c r="H660" s="1"/>
      <c r="I660" s="4"/>
    </row>
    <row r="661" ht="17.25" customHeight="1">
      <c r="A661" s="1"/>
      <c r="B661" s="4"/>
      <c r="C661" s="4"/>
      <c r="D661" s="1"/>
      <c r="E661" s="4"/>
      <c r="F661" s="1"/>
      <c r="G661" s="1"/>
      <c r="H661" s="1"/>
      <c r="I661" s="4"/>
    </row>
    <row r="662" ht="17.25" customHeight="1">
      <c r="A662" s="1"/>
      <c r="B662" s="4"/>
      <c r="C662" s="4"/>
      <c r="D662" s="1"/>
      <c r="E662" s="4"/>
      <c r="F662" s="1"/>
      <c r="G662" s="1"/>
      <c r="H662" s="1"/>
      <c r="I662" s="4"/>
    </row>
    <row r="663" ht="17.25" customHeight="1">
      <c r="A663" s="1"/>
      <c r="B663" s="4"/>
      <c r="C663" s="4"/>
      <c r="D663" s="1"/>
      <c r="E663" s="4"/>
      <c r="F663" s="1"/>
      <c r="G663" s="1"/>
      <c r="H663" s="1"/>
      <c r="I663" s="4"/>
    </row>
    <row r="664" ht="17.25" customHeight="1">
      <c r="A664" s="1"/>
      <c r="B664" s="4"/>
      <c r="C664" s="4"/>
      <c r="D664" s="1"/>
      <c r="E664" s="4"/>
      <c r="F664" s="1"/>
      <c r="G664" s="1"/>
      <c r="H664" s="1"/>
      <c r="I664" s="4"/>
    </row>
    <row r="665" ht="17.25" customHeight="1">
      <c r="A665" s="1"/>
      <c r="B665" s="4"/>
      <c r="C665" s="4"/>
      <c r="D665" s="1"/>
      <c r="E665" s="4"/>
      <c r="F665" s="1"/>
      <c r="G665" s="1"/>
      <c r="H665" s="1"/>
      <c r="I665" s="4"/>
    </row>
    <row r="666" ht="17.25" customHeight="1">
      <c r="A666" s="1"/>
      <c r="B666" s="4"/>
      <c r="C666" s="4"/>
      <c r="D666" s="1"/>
      <c r="E666" s="4"/>
      <c r="F666" s="1"/>
      <c r="G666" s="1"/>
      <c r="H666" s="1"/>
      <c r="I666" s="4"/>
    </row>
    <row r="667" ht="17.25" customHeight="1">
      <c r="A667" s="1"/>
      <c r="B667" s="4"/>
      <c r="C667" s="4"/>
      <c r="D667" s="1"/>
      <c r="E667" s="4"/>
      <c r="F667" s="1"/>
      <c r="G667" s="1"/>
      <c r="H667" s="1"/>
      <c r="I667" s="4"/>
    </row>
    <row r="668" ht="17.25" customHeight="1">
      <c r="A668" s="1"/>
      <c r="B668" s="4"/>
      <c r="C668" s="4"/>
      <c r="D668" s="1"/>
      <c r="E668" s="4"/>
      <c r="F668" s="1"/>
      <c r="G668" s="1"/>
      <c r="H668" s="1"/>
      <c r="I668" s="4"/>
    </row>
    <row r="669" ht="17.25" customHeight="1">
      <c r="A669" s="1"/>
      <c r="B669" s="4"/>
      <c r="C669" s="4"/>
      <c r="D669" s="1"/>
      <c r="E669" s="4"/>
      <c r="F669" s="1"/>
      <c r="G669" s="1"/>
      <c r="H669" s="1"/>
      <c r="I669" s="4"/>
    </row>
    <row r="670" ht="17.25" customHeight="1">
      <c r="A670" s="1"/>
      <c r="B670" s="4"/>
      <c r="C670" s="4"/>
      <c r="D670" s="1"/>
      <c r="E670" s="4"/>
      <c r="F670" s="1"/>
      <c r="G670" s="1"/>
      <c r="H670" s="1"/>
      <c r="I670" s="4"/>
    </row>
    <row r="671" ht="17.25" customHeight="1">
      <c r="A671" s="1"/>
      <c r="B671" s="4"/>
      <c r="C671" s="4"/>
      <c r="D671" s="1"/>
      <c r="E671" s="4"/>
      <c r="F671" s="1"/>
      <c r="G671" s="1"/>
      <c r="H671" s="1"/>
      <c r="I671" s="4"/>
    </row>
    <row r="672" ht="17.25" customHeight="1">
      <c r="A672" s="1"/>
      <c r="B672" s="4"/>
      <c r="C672" s="4"/>
      <c r="D672" s="1"/>
      <c r="E672" s="4"/>
      <c r="F672" s="1"/>
      <c r="G672" s="1"/>
      <c r="H672" s="1"/>
      <c r="I672" s="4"/>
    </row>
    <row r="673" ht="17.25" customHeight="1">
      <c r="A673" s="1"/>
      <c r="B673" s="4"/>
      <c r="C673" s="4"/>
      <c r="D673" s="1"/>
      <c r="E673" s="4"/>
      <c r="F673" s="1"/>
      <c r="G673" s="1"/>
      <c r="H673" s="1"/>
      <c r="I673" s="4"/>
    </row>
    <row r="674" ht="17.25" customHeight="1">
      <c r="A674" s="1"/>
      <c r="B674" s="4"/>
      <c r="C674" s="4"/>
      <c r="D674" s="1"/>
      <c r="E674" s="4"/>
      <c r="F674" s="1"/>
      <c r="G674" s="1"/>
      <c r="H674" s="1"/>
      <c r="I674" s="4"/>
    </row>
    <row r="675" ht="17.25" customHeight="1">
      <c r="A675" s="1"/>
      <c r="B675" s="4"/>
      <c r="C675" s="4"/>
      <c r="D675" s="1"/>
      <c r="E675" s="4"/>
      <c r="F675" s="1"/>
      <c r="G675" s="1"/>
      <c r="H675" s="1"/>
      <c r="I675" s="4"/>
    </row>
    <row r="676" ht="17.25" customHeight="1">
      <c r="A676" s="1"/>
      <c r="B676" s="4"/>
      <c r="C676" s="4"/>
      <c r="D676" s="1"/>
      <c r="E676" s="4"/>
      <c r="F676" s="1"/>
      <c r="G676" s="1"/>
      <c r="H676" s="1"/>
      <c r="I676" s="4"/>
    </row>
    <row r="677" ht="17.25" customHeight="1">
      <c r="A677" s="1"/>
      <c r="B677" s="4"/>
      <c r="C677" s="4"/>
      <c r="D677" s="1"/>
      <c r="E677" s="4"/>
      <c r="F677" s="1"/>
      <c r="G677" s="1"/>
      <c r="H677" s="1"/>
      <c r="I677" s="4"/>
    </row>
    <row r="678" ht="17.25" customHeight="1">
      <c r="A678" s="1"/>
      <c r="B678" s="4"/>
      <c r="C678" s="4"/>
      <c r="D678" s="1"/>
      <c r="E678" s="4"/>
      <c r="F678" s="1"/>
      <c r="G678" s="1"/>
      <c r="H678" s="1"/>
      <c r="I678" s="4"/>
    </row>
    <row r="679" ht="17.25" customHeight="1">
      <c r="A679" s="1"/>
      <c r="B679" s="4"/>
      <c r="C679" s="4"/>
      <c r="D679" s="1"/>
      <c r="E679" s="4"/>
      <c r="F679" s="1"/>
      <c r="G679" s="1"/>
      <c r="H679" s="1"/>
      <c r="I679" s="4"/>
    </row>
    <row r="680" ht="17.25" customHeight="1">
      <c r="A680" s="1"/>
      <c r="B680" s="4"/>
      <c r="C680" s="4"/>
      <c r="D680" s="1"/>
      <c r="E680" s="4"/>
      <c r="F680" s="1"/>
      <c r="G680" s="1"/>
      <c r="H680" s="1"/>
      <c r="I680" s="4"/>
    </row>
    <row r="681" ht="17.25" customHeight="1">
      <c r="A681" s="1"/>
      <c r="B681" s="4"/>
      <c r="C681" s="4"/>
      <c r="D681" s="1"/>
      <c r="E681" s="4"/>
      <c r="F681" s="1"/>
      <c r="G681" s="1"/>
      <c r="H681" s="1"/>
      <c r="I681" s="4"/>
    </row>
    <row r="682" ht="17.25" customHeight="1">
      <c r="A682" s="1"/>
      <c r="B682" s="4"/>
      <c r="C682" s="4"/>
      <c r="D682" s="1"/>
      <c r="E682" s="4"/>
      <c r="F682" s="1"/>
      <c r="G682" s="1"/>
      <c r="H682" s="1"/>
      <c r="I682" s="4"/>
    </row>
    <row r="683" ht="17.25" customHeight="1">
      <c r="A683" s="1"/>
      <c r="B683" s="4"/>
      <c r="C683" s="4"/>
      <c r="D683" s="1"/>
      <c r="E683" s="4"/>
      <c r="F683" s="1"/>
      <c r="G683" s="1"/>
      <c r="H683" s="1"/>
      <c r="I683" s="4"/>
    </row>
    <row r="684" ht="17.25" customHeight="1">
      <c r="A684" s="1"/>
      <c r="B684" s="4"/>
      <c r="C684" s="4"/>
      <c r="D684" s="1"/>
      <c r="E684" s="4"/>
      <c r="F684" s="1"/>
      <c r="G684" s="1"/>
      <c r="H684" s="1"/>
      <c r="I684" s="4"/>
    </row>
    <row r="685" ht="17.25" customHeight="1">
      <c r="A685" s="1"/>
      <c r="B685" s="4"/>
      <c r="C685" s="4"/>
      <c r="D685" s="1"/>
      <c r="E685" s="4"/>
      <c r="F685" s="1"/>
      <c r="G685" s="1"/>
      <c r="H685" s="1"/>
      <c r="I685" s="4"/>
    </row>
    <row r="686" ht="17.25" customHeight="1">
      <c r="A686" s="1"/>
      <c r="B686" s="4"/>
      <c r="C686" s="4"/>
      <c r="D686" s="1"/>
      <c r="E686" s="4"/>
      <c r="F686" s="1"/>
      <c r="G686" s="1"/>
      <c r="H686" s="1"/>
      <c r="I686" s="4"/>
    </row>
    <row r="687" ht="17.25" customHeight="1">
      <c r="A687" s="1"/>
      <c r="B687" s="4"/>
      <c r="C687" s="4"/>
      <c r="D687" s="1"/>
      <c r="E687" s="4"/>
      <c r="F687" s="1"/>
      <c r="G687" s="1"/>
      <c r="H687" s="1"/>
      <c r="I687" s="4"/>
    </row>
    <row r="688" ht="17.25" customHeight="1">
      <c r="A688" s="1"/>
      <c r="B688" s="4"/>
      <c r="C688" s="4"/>
      <c r="D688" s="1"/>
      <c r="E688" s="4"/>
      <c r="F688" s="1"/>
      <c r="G688" s="1"/>
      <c r="H688" s="1"/>
      <c r="I688" s="4"/>
    </row>
    <row r="689" ht="17.25" customHeight="1">
      <c r="A689" s="1"/>
      <c r="B689" s="4"/>
      <c r="C689" s="4"/>
      <c r="D689" s="1"/>
      <c r="E689" s="4"/>
      <c r="F689" s="1"/>
      <c r="G689" s="1"/>
      <c r="H689" s="1"/>
      <c r="I689" s="4"/>
    </row>
    <row r="690" ht="17.25" customHeight="1">
      <c r="A690" s="1"/>
      <c r="B690" s="4"/>
      <c r="C690" s="4"/>
      <c r="D690" s="1"/>
      <c r="E690" s="4"/>
      <c r="F690" s="1"/>
      <c r="G690" s="1"/>
      <c r="H690" s="1"/>
      <c r="I690" s="4"/>
    </row>
    <row r="691" ht="17.25" customHeight="1">
      <c r="A691" s="1"/>
      <c r="B691" s="4"/>
      <c r="C691" s="4"/>
      <c r="D691" s="1"/>
      <c r="E691" s="4"/>
      <c r="F691" s="1"/>
      <c r="G691" s="1"/>
      <c r="H691" s="1"/>
      <c r="I691" s="4"/>
    </row>
    <row r="692" ht="17.25" customHeight="1">
      <c r="A692" s="1"/>
      <c r="B692" s="4"/>
      <c r="C692" s="4"/>
      <c r="D692" s="1"/>
      <c r="E692" s="4"/>
      <c r="F692" s="1"/>
      <c r="G692" s="1"/>
      <c r="H692" s="1"/>
      <c r="I692" s="4"/>
    </row>
    <row r="693" ht="17.25" customHeight="1">
      <c r="A693" s="1"/>
      <c r="B693" s="4"/>
      <c r="C693" s="4"/>
      <c r="D693" s="1"/>
      <c r="E693" s="4"/>
      <c r="F693" s="1"/>
      <c r="G693" s="1"/>
      <c r="H693" s="1"/>
      <c r="I693" s="4"/>
    </row>
    <row r="694" ht="17.25" customHeight="1">
      <c r="A694" s="1"/>
      <c r="B694" s="4"/>
      <c r="C694" s="4"/>
      <c r="D694" s="1"/>
      <c r="E694" s="4"/>
      <c r="F694" s="1"/>
      <c r="G694" s="1"/>
      <c r="H694" s="1"/>
      <c r="I694" s="4"/>
    </row>
    <row r="695" ht="17.25" customHeight="1">
      <c r="A695" s="1"/>
      <c r="B695" s="4"/>
      <c r="C695" s="4"/>
      <c r="D695" s="1"/>
      <c r="E695" s="4"/>
      <c r="F695" s="1"/>
      <c r="G695" s="1"/>
      <c r="H695" s="1"/>
      <c r="I695" s="4"/>
    </row>
    <row r="696" ht="17.25" customHeight="1">
      <c r="A696" s="1"/>
      <c r="B696" s="4"/>
      <c r="C696" s="4"/>
      <c r="D696" s="1"/>
      <c r="E696" s="4"/>
      <c r="F696" s="1"/>
      <c r="G696" s="1"/>
      <c r="H696" s="1"/>
      <c r="I696" s="4"/>
    </row>
    <row r="697" ht="17.25" customHeight="1">
      <c r="A697" s="1"/>
      <c r="B697" s="4"/>
      <c r="C697" s="4"/>
      <c r="D697" s="1"/>
      <c r="E697" s="4"/>
      <c r="F697" s="1"/>
      <c r="G697" s="1"/>
      <c r="H697" s="1"/>
      <c r="I697" s="4"/>
    </row>
    <row r="698" ht="17.25" customHeight="1">
      <c r="A698" s="1"/>
      <c r="B698" s="4"/>
      <c r="C698" s="4"/>
      <c r="D698" s="1"/>
      <c r="E698" s="4"/>
      <c r="F698" s="1"/>
      <c r="G698" s="1"/>
      <c r="H698" s="1"/>
      <c r="I698" s="4"/>
    </row>
    <row r="699" ht="17.25" customHeight="1">
      <c r="A699" s="1"/>
      <c r="B699" s="4"/>
      <c r="C699" s="4"/>
      <c r="D699" s="1"/>
      <c r="E699" s="4"/>
      <c r="F699" s="1"/>
      <c r="G699" s="1"/>
      <c r="H699" s="1"/>
      <c r="I699" s="4"/>
    </row>
    <row r="700" ht="17.25" customHeight="1">
      <c r="A700" s="1"/>
      <c r="B700" s="4"/>
      <c r="C700" s="4"/>
      <c r="D700" s="1"/>
      <c r="E700" s="4"/>
      <c r="F700" s="1"/>
      <c r="G700" s="1"/>
      <c r="H700" s="1"/>
      <c r="I700" s="4"/>
    </row>
    <row r="701" ht="17.25" customHeight="1">
      <c r="A701" s="1"/>
      <c r="B701" s="4"/>
      <c r="C701" s="4"/>
      <c r="D701" s="1"/>
      <c r="E701" s="4"/>
      <c r="F701" s="1"/>
      <c r="G701" s="1"/>
      <c r="H701" s="1"/>
      <c r="I701" s="4"/>
    </row>
    <row r="702" ht="17.25" customHeight="1">
      <c r="A702" s="1"/>
      <c r="B702" s="4"/>
      <c r="C702" s="4"/>
      <c r="D702" s="1"/>
      <c r="E702" s="4"/>
      <c r="F702" s="1"/>
      <c r="G702" s="1"/>
      <c r="H702" s="1"/>
      <c r="I702" s="4"/>
    </row>
    <row r="703" ht="17.25" customHeight="1">
      <c r="A703" s="1"/>
      <c r="B703" s="4"/>
      <c r="C703" s="4"/>
      <c r="D703" s="1"/>
      <c r="E703" s="4"/>
      <c r="F703" s="1"/>
      <c r="G703" s="1"/>
      <c r="H703" s="1"/>
      <c r="I703" s="4"/>
    </row>
    <row r="704" ht="17.25" customHeight="1">
      <c r="A704" s="1"/>
      <c r="B704" s="4"/>
      <c r="C704" s="4"/>
      <c r="D704" s="1"/>
      <c r="E704" s="4"/>
      <c r="F704" s="1"/>
      <c r="G704" s="1"/>
      <c r="H704" s="1"/>
      <c r="I704" s="4"/>
    </row>
    <row r="705" ht="17.25" customHeight="1">
      <c r="A705" s="1"/>
      <c r="B705" s="4"/>
      <c r="C705" s="4"/>
      <c r="D705" s="1"/>
      <c r="E705" s="4"/>
      <c r="F705" s="1"/>
      <c r="G705" s="1"/>
      <c r="H705" s="1"/>
      <c r="I705" s="4"/>
    </row>
    <row r="706" ht="17.25" customHeight="1">
      <c r="A706" s="1"/>
      <c r="B706" s="4"/>
      <c r="C706" s="4"/>
      <c r="D706" s="1"/>
      <c r="E706" s="4"/>
      <c r="F706" s="1"/>
      <c r="G706" s="1"/>
      <c r="H706" s="1"/>
      <c r="I706" s="4"/>
    </row>
    <row r="707" ht="17.25" customHeight="1">
      <c r="A707" s="1"/>
      <c r="B707" s="4"/>
      <c r="C707" s="4"/>
      <c r="D707" s="1"/>
      <c r="E707" s="4"/>
      <c r="F707" s="1"/>
      <c r="G707" s="1"/>
      <c r="H707" s="1"/>
      <c r="I707" s="4"/>
    </row>
    <row r="708" ht="17.25" customHeight="1">
      <c r="A708" s="1"/>
      <c r="B708" s="4"/>
      <c r="C708" s="4"/>
      <c r="D708" s="1"/>
      <c r="E708" s="4"/>
      <c r="F708" s="1"/>
      <c r="G708" s="1"/>
      <c r="H708" s="1"/>
      <c r="I708" s="4"/>
    </row>
    <row r="709" ht="17.25" customHeight="1">
      <c r="A709" s="1"/>
      <c r="B709" s="4"/>
      <c r="C709" s="4"/>
      <c r="D709" s="1"/>
      <c r="E709" s="4"/>
      <c r="F709" s="1"/>
      <c r="G709" s="1"/>
      <c r="H709" s="1"/>
      <c r="I709" s="4"/>
    </row>
    <row r="710" ht="17.25" customHeight="1">
      <c r="A710" s="1"/>
      <c r="B710" s="4"/>
      <c r="C710" s="4"/>
      <c r="D710" s="1"/>
      <c r="E710" s="4"/>
      <c r="F710" s="1"/>
      <c r="G710" s="1"/>
      <c r="H710" s="1"/>
      <c r="I710" s="4"/>
    </row>
    <row r="711" ht="17.25" customHeight="1">
      <c r="A711" s="1"/>
      <c r="B711" s="4"/>
      <c r="C711" s="4"/>
      <c r="D711" s="1"/>
      <c r="E711" s="4"/>
      <c r="F711" s="1"/>
      <c r="G711" s="1"/>
      <c r="H711" s="1"/>
      <c r="I711" s="4"/>
    </row>
    <row r="712" ht="17.25" customHeight="1">
      <c r="A712" s="1"/>
      <c r="B712" s="4"/>
      <c r="C712" s="4"/>
      <c r="D712" s="1"/>
      <c r="E712" s="4"/>
      <c r="F712" s="1"/>
      <c r="G712" s="1"/>
      <c r="H712" s="1"/>
      <c r="I712" s="4"/>
    </row>
    <row r="713" ht="17.25" customHeight="1">
      <c r="A713" s="1"/>
      <c r="B713" s="4"/>
      <c r="C713" s="4"/>
      <c r="D713" s="1"/>
      <c r="E713" s="4"/>
      <c r="F713" s="1"/>
      <c r="G713" s="1"/>
      <c r="H713" s="1"/>
      <c r="I713" s="4"/>
    </row>
    <row r="714" ht="17.25" customHeight="1">
      <c r="A714" s="1"/>
      <c r="B714" s="4"/>
      <c r="C714" s="4"/>
      <c r="D714" s="1"/>
      <c r="E714" s="4"/>
      <c r="F714" s="1"/>
      <c r="G714" s="1"/>
      <c r="H714" s="1"/>
      <c r="I714" s="4"/>
    </row>
    <row r="715" ht="17.25" customHeight="1">
      <c r="A715" s="1"/>
      <c r="B715" s="4"/>
      <c r="C715" s="4"/>
      <c r="D715" s="1"/>
      <c r="E715" s="4"/>
      <c r="F715" s="1"/>
      <c r="G715" s="1"/>
      <c r="H715" s="1"/>
      <c r="I715" s="4"/>
    </row>
    <row r="716" ht="17.25" customHeight="1">
      <c r="A716" s="1"/>
      <c r="B716" s="4"/>
      <c r="C716" s="4"/>
      <c r="D716" s="1"/>
      <c r="E716" s="4"/>
      <c r="F716" s="1"/>
      <c r="G716" s="1"/>
      <c r="H716" s="1"/>
      <c r="I716" s="4"/>
    </row>
    <row r="717" ht="17.25" customHeight="1">
      <c r="A717" s="1"/>
      <c r="B717" s="4"/>
      <c r="C717" s="4"/>
      <c r="D717" s="1"/>
      <c r="E717" s="4"/>
      <c r="F717" s="1"/>
      <c r="G717" s="1"/>
      <c r="H717" s="1"/>
      <c r="I717" s="4"/>
    </row>
    <row r="718" ht="17.25" customHeight="1">
      <c r="A718" s="1"/>
      <c r="B718" s="4"/>
      <c r="C718" s="4"/>
      <c r="D718" s="1"/>
      <c r="E718" s="4"/>
      <c r="F718" s="1"/>
      <c r="G718" s="1"/>
      <c r="H718" s="1"/>
      <c r="I718" s="4"/>
    </row>
    <row r="719" ht="17.25" customHeight="1">
      <c r="A719" s="1"/>
      <c r="B719" s="4"/>
      <c r="C719" s="4"/>
      <c r="D719" s="1"/>
      <c r="E719" s="4"/>
      <c r="F719" s="1"/>
      <c r="G719" s="1"/>
      <c r="H719" s="1"/>
      <c r="I719" s="4"/>
    </row>
    <row r="720" ht="17.25" customHeight="1">
      <c r="A720" s="1"/>
      <c r="B720" s="4"/>
      <c r="C720" s="4"/>
      <c r="D720" s="1"/>
      <c r="E720" s="4"/>
      <c r="F720" s="1"/>
      <c r="G720" s="1"/>
      <c r="H720" s="1"/>
      <c r="I720" s="4"/>
    </row>
    <row r="721" ht="17.25" customHeight="1">
      <c r="A721" s="1"/>
      <c r="B721" s="4"/>
      <c r="C721" s="4"/>
      <c r="D721" s="1"/>
      <c r="E721" s="4"/>
      <c r="F721" s="1"/>
      <c r="G721" s="1"/>
      <c r="H721" s="1"/>
      <c r="I721" s="4"/>
    </row>
    <row r="722" ht="17.25" customHeight="1">
      <c r="A722" s="1"/>
      <c r="B722" s="4"/>
      <c r="C722" s="4"/>
      <c r="D722" s="1"/>
      <c r="E722" s="4"/>
      <c r="F722" s="1"/>
      <c r="G722" s="1"/>
      <c r="H722" s="1"/>
      <c r="I722" s="4"/>
    </row>
    <row r="723" ht="17.25" customHeight="1">
      <c r="A723" s="1"/>
      <c r="B723" s="4"/>
      <c r="C723" s="4"/>
      <c r="D723" s="1"/>
      <c r="E723" s="4"/>
      <c r="F723" s="1"/>
      <c r="G723" s="1"/>
      <c r="H723" s="1"/>
      <c r="I723" s="4"/>
    </row>
    <row r="724" ht="17.25" customHeight="1">
      <c r="A724" s="1"/>
      <c r="B724" s="4"/>
      <c r="C724" s="4"/>
      <c r="D724" s="1"/>
      <c r="E724" s="4"/>
      <c r="F724" s="1"/>
      <c r="G724" s="1"/>
      <c r="H724" s="1"/>
      <c r="I724" s="4"/>
    </row>
    <row r="725" ht="17.25" customHeight="1">
      <c r="A725" s="1"/>
      <c r="B725" s="4"/>
      <c r="C725" s="4"/>
      <c r="D725" s="1"/>
      <c r="E725" s="4"/>
      <c r="F725" s="1"/>
      <c r="G725" s="1"/>
      <c r="H725" s="1"/>
      <c r="I725" s="4"/>
    </row>
    <row r="726" ht="17.25" customHeight="1">
      <c r="A726" s="1"/>
      <c r="B726" s="4"/>
      <c r="C726" s="4"/>
      <c r="D726" s="1"/>
      <c r="E726" s="4"/>
      <c r="F726" s="1"/>
      <c r="G726" s="1"/>
      <c r="H726" s="1"/>
      <c r="I726" s="4"/>
    </row>
    <row r="727" ht="17.25" customHeight="1">
      <c r="A727" s="1"/>
      <c r="B727" s="4"/>
      <c r="C727" s="4"/>
      <c r="D727" s="1"/>
      <c r="E727" s="4"/>
      <c r="F727" s="1"/>
      <c r="G727" s="1"/>
      <c r="H727" s="1"/>
      <c r="I727" s="4"/>
    </row>
    <row r="728" ht="17.25" customHeight="1">
      <c r="A728" s="1"/>
      <c r="B728" s="4"/>
      <c r="C728" s="4"/>
      <c r="D728" s="1"/>
      <c r="E728" s="4"/>
      <c r="F728" s="1"/>
      <c r="G728" s="1"/>
      <c r="H728" s="1"/>
      <c r="I728" s="4"/>
    </row>
    <row r="729" ht="17.25" customHeight="1">
      <c r="A729" s="1"/>
      <c r="B729" s="4"/>
      <c r="C729" s="4"/>
      <c r="D729" s="1"/>
      <c r="E729" s="4"/>
      <c r="F729" s="1"/>
      <c r="G729" s="1"/>
      <c r="H729" s="1"/>
      <c r="I729" s="4"/>
    </row>
    <row r="730" ht="17.25" customHeight="1">
      <c r="A730" s="1"/>
      <c r="B730" s="4"/>
      <c r="C730" s="4"/>
      <c r="D730" s="1"/>
      <c r="E730" s="4"/>
      <c r="F730" s="1"/>
      <c r="G730" s="1"/>
      <c r="H730" s="1"/>
      <c r="I730" s="4"/>
    </row>
    <row r="731" ht="17.25" customHeight="1">
      <c r="A731" s="1"/>
      <c r="B731" s="4"/>
      <c r="C731" s="4"/>
      <c r="D731" s="1"/>
      <c r="E731" s="4"/>
      <c r="F731" s="1"/>
      <c r="G731" s="1"/>
      <c r="H731" s="1"/>
      <c r="I731" s="4"/>
    </row>
    <row r="732" ht="17.25" customHeight="1">
      <c r="A732" s="1"/>
      <c r="B732" s="4"/>
      <c r="C732" s="4"/>
      <c r="D732" s="1"/>
      <c r="E732" s="4"/>
      <c r="F732" s="1"/>
      <c r="G732" s="1"/>
      <c r="H732" s="1"/>
      <c r="I732" s="4"/>
    </row>
    <row r="733" ht="17.25" customHeight="1">
      <c r="A733" s="1"/>
      <c r="B733" s="4"/>
      <c r="C733" s="4"/>
      <c r="D733" s="1"/>
      <c r="E733" s="4"/>
      <c r="F733" s="1"/>
      <c r="G733" s="1"/>
      <c r="H733" s="1"/>
      <c r="I733" s="4"/>
    </row>
    <row r="734" ht="17.25" customHeight="1">
      <c r="A734" s="1"/>
      <c r="B734" s="4"/>
      <c r="C734" s="4"/>
      <c r="D734" s="1"/>
      <c r="E734" s="4"/>
      <c r="F734" s="1"/>
      <c r="G734" s="1"/>
      <c r="H734" s="1"/>
      <c r="I734" s="4"/>
    </row>
    <row r="735" ht="17.25" customHeight="1">
      <c r="A735" s="1"/>
      <c r="B735" s="4"/>
      <c r="C735" s="4"/>
      <c r="D735" s="1"/>
      <c r="E735" s="4"/>
      <c r="F735" s="1"/>
      <c r="G735" s="1"/>
      <c r="H735" s="1"/>
      <c r="I735" s="4"/>
    </row>
    <row r="736" ht="17.25" customHeight="1">
      <c r="A736" s="1"/>
      <c r="B736" s="4"/>
      <c r="C736" s="4"/>
      <c r="D736" s="1"/>
      <c r="E736" s="4"/>
      <c r="F736" s="1"/>
      <c r="G736" s="1"/>
      <c r="H736" s="1"/>
      <c r="I736" s="4"/>
    </row>
    <row r="737" ht="17.25" customHeight="1">
      <c r="A737" s="1"/>
      <c r="B737" s="4"/>
      <c r="C737" s="4"/>
      <c r="D737" s="1"/>
      <c r="E737" s="4"/>
      <c r="F737" s="1"/>
      <c r="G737" s="1"/>
      <c r="H737" s="1"/>
      <c r="I737" s="4"/>
    </row>
    <row r="738" ht="17.25" customHeight="1">
      <c r="A738" s="1"/>
      <c r="B738" s="4"/>
      <c r="C738" s="4"/>
      <c r="D738" s="1"/>
      <c r="E738" s="4"/>
      <c r="F738" s="1"/>
      <c r="G738" s="1"/>
      <c r="H738" s="1"/>
      <c r="I738" s="4"/>
    </row>
    <row r="739" ht="17.25" customHeight="1">
      <c r="A739" s="1"/>
      <c r="B739" s="4"/>
      <c r="C739" s="4"/>
      <c r="D739" s="1"/>
      <c r="E739" s="4"/>
      <c r="F739" s="1"/>
      <c r="G739" s="1"/>
      <c r="H739" s="1"/>
      <c r="I739" s="4"/>
    </row>
    <row r="740" ht="17.25" customHeight="1">
      <c r="A740" s="1"/>
      <c r="B740" s="4"/>
      <c r="C740" s="4"/>
      <c r="D740" s="1"/>
      <c r="E740" s="4"/>
      <c r="F740" s="1"/>
      <c r="G740" s="1"/>
      <c r="H740" s="1"/>
      <c r="I740" s="4"/>
    </row>
    <row r="741" ht="17.25" customHeight="1">
      <c r="A741" s="1"/>
      <c r="B741" s="4"/>
      <c r="C741" s="4"/>
      <c r="D741" s="1"/>
      <c r="E741" s="4"/>
      <c r="F741" s="1"/>
      <c r="G741" s="1"/>
      <c r="H741" s="1"/>
      <c r="I741" s="4"/>
    </row>
    <row r="742" ht="17.25" customHeight="1">
      <c r="A742" s="1"/>
      <c r="B742" s="4"/>
      <c r="C742" s="4"/>
      <c r="D742" s="1"/>
      <c r="E742" s="4"/>
      <c r="F742" s="1"/>
      <c r="G742" s="1"/>
      <c r="H742" s="1"/>
      <c r="I742" s="4"/>
    </row>
    <row r="743" ht="17.25" customHeight="1">
      <c r="A743" s="1"/>
      <c r="B743" s="4"/>
      <c r="C743" s="4"/>
      <c r="D743" s="1"/>
      <c r="E743" s="4"/>
      <c r="F743" s="1"/>
      <c r="G743" s="1"/>
      <c r="H743" s="1"/>
      <c r="I743" s="4"/>
    </row>
    <row r="744" ht="17.25" customHeight="1">
      <c r="A744" s="1"/>
      <c r="B744" s="4"/>
      <c r="C744" s="4"/>
      <c r="D744" s="1"/>
      <c r="E744" s="4"/>
      <c r="F744" s="1"/>
      <c r="G744" s="1"/>
      <c r="H744" s="1"/>
      <c r="I744" s="4"/>
    </row>
    <row r="745" ht="17.25" customHeight="1">
      <c r="A745" s="1"/>
      <c r="B745" s="4"/>
      <c r="C745" s="4"/>
      <c r="D745" s="1"/>
      <c r="E745" s="4"/>
      <c r="F745" s="1"/>
      <c r="G745" s="1"/>
      <c r="H745" s="1"/>
      <c r="I745" s="4"/>
    </row>
    <row r="746" ht="17.25" customHeight="1">
      <c r="A746" s="1"/>
      <c r="B746" s="4"/>
      <c r="C746" s="4"/>
      <c r="D746" s="1"/>
      <c r="E746" s="4"/>
      <c r="F746" s="1"/>
      <c r="G746" s="1"/>
      <c r="H746" s="1"/>
      <c r="I746" s="4"/>
    </row>
    <row r="747" ht="17.25" customHeight="1">
      <c r="A747" s="1"/>
      <c r="B747" s="4"/>
      <c r="C747" s="4"/>
      <c r="D747" s="1"/>
      <c r="E747" s="4"/>
      <c r="F747" s="1"/>
      <c r="G747" s="1"/>
      <c r="H747" s="1"/>
      <c r="I747" s="4"/>
    </row>
    <row r="748" ht="17.25" customHeight="1">
      <c r="A748" s="1"/>
      <c r="B748" s="4"/>
      <c r="C748" s="4"/>
      <c r="D748" s="1"/>
      <c r="E748" s="4"/>
      <c r="F748" s="1"/>
      <c r="G748" s="1"/>
      <c r="H748" s="1"/>
      <c r="I748" s="4"/>
    </row>
    <row r="749" ht="17.25" customHeight="1">
      <c r="A749" s="1"/>
      <c r="B749" s="4"/>
      <c r="C749" s="4"/>
      <c r="D749" s="1"/>
      <c r="E749" s="4"/>
      <c r="F749" s="1"/>
      <c r="G749" s="1"/>
      <c r="H749" s="1"/>
      <c r="I749" s="4"/>
    </row>
    <row r="750" ht="17.25" customHeight="1">
      <c r="A750" s="1"/>
      <c r="B750" s="4"/>
      <c r="C750" s="4"/>
      <c r="D750" s="1"/>
      <c r="E750" s="4"/>
      <c r="F750" s="1"/>
      <c r="G750" s="1"/>
      <c r="H750" s="1"/>
      <c r="I750" s="4"/>
    </row>
    <row r="751" ht="17.25" customHeight="1">
      <c r="A751" s="1"/>
      <c r="B751" s="4"/>
      <c r="C751" s="4"/>
      <c r="D751" s="1"/>
      <c r="E751" s="4"/>
      <c r="F751" s="1"/>
      <c r="G751" s="1"/>
      <c r="H751" s="1"/>
      <c r="I751" s="4"/>
    </row>
    <row r="752" ht="17.25" customHeight="1">
      <c r="A752" s="1"/>
      <c r="B752" s="4"/>
      <c r="C752" s="4"/>
      <c r="D752" s="1"/>
      <c r="E752" s="4"/>
      <c r="F752" s="1"/>
      <c r="G752" s="1"/>
      <c r="H752" s="1"/>
      <c r="I752" s="4"/>
    </row>
    <row r="753" ht="17.25" customHeight="1">
      <c r="A753" s="1"/>
      <c r="B753" s="4"/>
      <c r="C753" s="4"/>
      <c r="D753" s="1"/>
      <c r="E753" s="4"/>
      <c r="F753" s="1"/>
      <c r="G753" s="1"/>
      <c r="H753" s="1"/>
      <c r="I753" s="4"/>
    </row>
    <row r="754" ht="17.25" customHeight="1">
      <c r="A754" s="1"/>
      <c r="B754" s="4"/>
      <c r="C754" s="4"/>
      <c r="D754" s="1"/>
      <c r="E754" s="4"/>
      <c r="F754" s="1"/>
      <c r="G754" s="1"/>
      <c r="H754" s="1"/>
      <c r="I754" s="4"/>
    </row>
    <row r="755" ht="17.25" customHeight="1">
      <c r="A755" s="1"/>
      <c r="B755" s="4"/>
      <c r="C755" s="4"/>
      <c r="D755" s="1"/>
      <c r="E755" s="4"/>
      <c r="F755" s="1"/>
      <c r="G755" s="1"/>
      <c r="H755" s="1"/>
      <c r="I755" s="4"/>
    </row>
    <row r="756" ht="17.25" customHeight="1">
      <c r="A756" s="1"/>
      <c r="B756" s="4"/>
      <c r="C756" s="4"/>
      <c r="D756" s="1"/>
      <c r="E756" s="4"/>
      <c r="F756" s="1"/>
      <c r="G756" s="1"/>
      <c r="H756" s="1"/>
      <c r="I756" s="4"/>
    </row>
    <row r="757" ht="17.25" customHeight="1">
      <c r="A757" s="1"/>
      <c r="B757" s="4"/>
      <c r="C757" s="4"/>
      <c r="D757" s="1"/>
      <c r="E757" s="4"/>
      <c r="F757" s="1"/>
      <c r="G757" s="1"/>
      <c r="H757" s="1"/>
      <c r="I757" s="4"/>
    </row>
    <row r="758" ht="17.25" customHeight="1">
      <c r="A758" s="1"/>
      <c r="B758" s="4"/>
      <c r="C758" s="4"/>
      <c r="D758" s="1"/>
      <c r="E758" s="4"/>
      <c r="F758" s="1"/>
      <c r="G758" s="1"/>
      <c r="H758" s="1"/>
      <c r="I758" s="4"/>
    </row>
    <row r="759" ht="17.25" customHeight="1">
      <c r="A759" s="1"/>
      <c r="B759" s="4"/>
      <c r="C759" s="4"/>
      <c r="D759" s="1"/>
      <c r="E759" s="4"/>
      <c r="F759" s="1"/>
      <c r="G759" s="1"/>
      <c r="H759" s="1"/>
      <c r="I759" s="4"/>
    </row>
    <row r="760" ht="17.25" customHeight="1">
      <c r="A760" s="1"/>
      <c r="B760" s="4"/>
      <c r="C760" s="4"/>
      <c r="D760" s="1"/>
      <c r="E760" s="4"/>
      <c r="F760" s="1"/>
      <c r="G760" s="1"/>
      <c r="H760" s="1"/>
      <c r="I760" s="4"/>
    </row>
    <row r="761" ht="17.25" customHeight="1">
      <c r="A761" s="1"/>
      <c r="B761" s="4"/>
      <c r="C761" s="4"/>
      <c r="D761" s="1"/>
      <c r="E761" s="4"/>
      <c r="F761" s="1"/>
      <c r="G761" s="1"/>
      <c r="H761" s="1"/>
      <c r="I761" s="4"/>
    </row>
    <row r="762" ht="17.25" customHeight="1">
      <c r="A762" s="1"/>
      <c r="B762" s="4"/>
      <c r="C762" s="4"/>
      <c r="D762" s="1"/>
      <c r="E762" s="4"/>
      <c r="F762" s="1"/>
      <c r="G762" s="1"/>
      <c r="H762" s="1"/>
      <c r="I762" s="4"/>
    </row>
    <row r="763" ht="17.25" customHeight="1">
      <c r="A763" s="1"/>
      <c r="B763" s="4"/>
      <c r="C763" s="4"/>
      <c r="D763" s="1"/>
      <c r="E763" s="4"/>
      <c r="F763" s="1"/>
      <c r="G763" s="1"/>
      <c r="H763" s="1"/>
      <c r="I763" s="4"/>
    </row>
    <row r="764" ht="17.25" customHeight="1">
      <c r="A764" s="1"/>
      <c r="B764" s="4"/>
      <c r="C764" s="4"/>
      <c r="D764" s="1"/>
      <c r="E764" s="4"/>
      <c r="F764" s="1"/>
      <c r="G764" s="1"/>
      <c r="H764" s="1"/>
      <c r="I764" s="4"/>
    </row>
    <row r="765" ht="17.25" customHeight="1">
      <c r="A765" s="1"/>
      <c r="B765" s="4"/>
      <c r="C765" s="4"/>
      <c r="D765" s="1"/>
      <c r="E765" s="4"/>
      <c r="F765" s="1"/>
      <c r="G765" s="1"/>
      <c r="H765" s="1"/>
      <c r="I765" s="4"/>
    </row>
    <row r="766" ht="17.25" customHeight="1">
      <c r="A766" s="1"/>
      <c r="B766" s="4"/>
      <c r="C766" s="4"/>
      <c r="D766" s="1"/>
      <c r="E766" s="4"/>
      <c r="F766" s="1"/>
      <c r="G766" s="1"/>
      <c r="H766" s="1"/>
      <c r="I766" s="4"/>
    </row>
    <row r="767" ht="17.25" customHeight="1">
      <c r="A767" s="1"/>
      <c r="B767" s="4"/>
      <c r="C767" s="4"/>
      <c r="D767" s="1"/>
      <c r="E767" s="4"/>
      <c r="F767" s="1"/>
      <c r="G767" s="1"/>
      <c r="H767" s="1"/>
      <c r="I767" s="4"/>
    </row>
    <row r="768" ht="17.25" customHeight="1">
      <c r="A768" s="1"/>
      <c r="B768" s="4"/>
      <c r="C768" s="4"/>
      <c r="D768" s="1"/>
      <c r="E768" s="4"/>
      <c r="F768" s="1"/>
      <c r="G768" s="1"/>
      <c r="H768" s="1"/>
      <c r="I768" s="4"/>
    </row>
    <row r="769" ht="17.25" customHeight="1">
      <c r="A769" s="1"/>
      <c r="B769" s="4"/>
      <c r="C769" s="4"/>
      <c r="D769" s="1"/>
      <c r="E769" s="4"/>
      <c r="F769" s="1"/>
      <c r="G769" s="1"/>
      <c r="H769" s="1"/>
      <c r="I769" s="4"/>
    </row>
    <row r="770" ht="17.25" customHeight="1">
      <c r="A770" s="1"/>
      <c r="B770" s="4"/>
      <c r="C770" s="4"/>
      <c r="D770" s="1"/>
      <c r="E770" s="4"/>
      <c r="F770" s="1"/>
      <c r="G770" s="1"/>
      <c r="H770" s="1"/>
      <c r="I770" s="4"/>
    </row>
    <row r="771" ht="17.25" customHeight="1">
      <c r="A771" s="1"/>
      <c r="B771" s="4"/>
      <c r="C771" s="4"/>
      <c r="D771" s="1"/>
      <c r="E771" s="4"/>
      <c r="F771" s="1"/>
      <c r="G771" s="1"/>
      <c r="H771" s="1"/>
      <c r="I771" s="4"/>
    </row>
    <row r="772" ht="17.25" customHeight="1">
      <c r="A772" s="1"/>
      <c r="B772" s="4"/>
      <c r="C772" s="4"/>
      <c r="D772" s="1"/>
      <c r="E772" s="4"/>
      <c r="F772" s="1"/>
      <c r="G772" s="1"/>
      <c r="H772" s="1"/>
      <c r="I772" s="4"/>
    </row>
    <row r="773" ht="17.25" customHeight="1">
      <c r="A773" s="1"/>
      <c r="B773" s="4"/>
      <c r="C773" s="4"/>
      <c r="D773" s="1"/>
      <c r="E773" s="4"/>
      <c r="F773" s="1"/>
      <c r="G773" s="1"/>
      <c r="H773" s="1"/>
      <c r="I773" s="4"/>
    </row>
    <row r="774" ht="17.25" customHeight="1">
      <c r="A774" s="1"/>
      <c r="B774" s="4"/>
      <c r="C774" s="4"/>
      <c r="D774" s="1"/>
      <c r="E774" s="4"/>
      <c r="F774" s="1"/>
      <c r="G774" s="1"/>
      <c r="H774" s="1"/>
      <c r="I774" s="4"/>
    </row>
    <row r="775" ht="17.25" customHeight="1">
      <c r="A775" s="1"/>
      <c r="B775" s="4"/>
      <c r="C775" s="4"/>
      <c r="D775" s="1"/>
      <c r="E775" s="4"/>
      <c r="F775" s="1"/>
      <c r="G775" s="1"/>
      <c r="H775" s="1"/>
      <c r="I775" s="4"/>
    </row>
    <row r="776" ht="17.25" customHeight="1">
      <c r="A776" s="1"/>
      <c r="B776" s="4"/>
      <c r="C776" s="4"/>
      <c r="D776" s="1"/>
      <c r="E776" s="4"/>
      <c r="F776" s="1"/>
      <c r="G776" s="1"/>
      <c r="H776" s="1"/>
      <c r="I776" s="4"/>
    </row>
    <row r="777" ht="17.25" customHeight="1">
      <c r="A777" s="1"/>
      <c r="B777" s="4"/>
      <c r="C777" s="4"/>
      <c r="D777" s="1"/>
      <c r="E777" s="4"/>
      <c r="F777" s="1"/>
      <c r="G777" s="1"/>
      <c r="H777" s="1"/>
      <c r="I777" s="4"/>
    </row>
    <row r="778" ht="17.25" customHeight="1">
      <c r="A778" s="1"/>
      <c r="B778" s="4"/>
      <c r="C778" s="4"/>
      <c r="D778" s="1"/>
      <c r="E778" s="4"/>
      <c r="F778" s="1"/>
      <c r="G778" s="1"/>
      <c r="H778" s="1"/>
      <c r="I778" s="4"/>
    </row>
    <row r="779" ht="17.25" customHeight="1">
      <c r="A779" s="1"/>
      <c r="B779" s="4"/>
      <c r="C779" s="4"/>
      <c r="D779" s="1"/>
      <c r="E779" s="4"/>
      <c r="F779" s="1"/>
      <c r="G779" s="1"/>
      <c r="H779" s="1"/>
      <c r="I779" s="4"/>
    </row>
    <row r="780" ht="17.25" customHeight="1">
      <c r="A780" s="1"/>
      <c r="B780" s="4"/>
      <c r="C780" s="4"/>
      <c r="D780" s="1"/>
      <c r="E780" s="4"/>
      <c r="F780" s="1"/>
      <c r="G780" s="1"/>
      <c r="H780" s="1"/>
      <c r="I780" s="4"/>
    </row>
    <row r="781" ht="17.25" customHeight="1">
      <c r="A781" s="1"/>
      <c r="B781" s="4"/>
      <c r="C781" s="4"/>
      <c r="D781" s="1"/>
      <c r="E781" s="4"/>
      <c r="F781" s="1"/>
      <c r="G781" s="1"/>
      <c r="H781" s="1"/>
      <c r="I781" s="4"/>
    </row>
    <row r="782" ht="17.25" customHeight="1">
      <c r="A782" s="1"/>
      <c r="B782" s="4"/>
      <c r="C782" s="4"/>
      <c r="D782" s="1"/>
      <c r="E782" s="4"/>
      <c r="F782" s="1"/>
      <c r="G782" s="1"/>
      <c r="H782" s="1"/>
      <c r="I782" s="4"/>
    </row>
    <row r="783" ht="17.25" customHeight="1">
      <c r="A783" s="1"/>
      <c r="B783" s="4"/>
      <c r="C783" s="4"/>
      <c r="D783" s="1"/>
      <c r="E783" s="4"/>
      <c r="F783" s="1"/>
      <c r="G783" s="1"/>
      <c r="H783" s="1"/>
      <c r="I783" s="4"/>
    </row>
    <row r="784" ht="17.25" customHeight="1">
      <c r="A784" s="1"/>
      <c r="B784" s="4"/>
      <c r="C784" s="4"/>
      <c r="D784" s="1"/>
      <c r="E784" s="4"/>
      <c r="F784" s="1"/>
      <c r="G784" s="1"/>
      <c r="H784" s="1"/>
      <c r="I784" s="4"/>
    </row>
    <row r="785" ht="17.25" customHeight="1">
      <c r="A785" s="1"/>
      <c r="B785" s="4"/>
      <c r="C785" s="4"/>
      <c r="D785" s="1"/>
      <c r="E785" s="4"/>
      <c r="F785" s="1"/>
      <c r="G785" s="1"/>
      <c r="H785" s="1"/>
      <c r="I785" s="4"/>
    </row>
    <row r="786" ht="17.25" customHeight="1">
      <c r="A786" s="1"/>
      <c r="B786" s="4"/>
      <c r="C786" s="4"/>
      <c r="D786" s="1"/>
      <c r="E786" s="4"/>
      <c r="F786" s="1"/>
      <c r="G786" s="1"/>
      <c r="H786" s="1"/>
      <c r="I786" s="4"/>
    </row>
    <row r="787" ht="17.25" customHeight="1">
      <c r="A787" s="1"/>
      <c r="B787" s="4"/>
      <c r="C787" s="4"/>
      <c r="D787" s="1"/>
      <c r="E787" s="4"/>
      <c r="F787" s="1"/>
      <c r="G787" s="1"/>
      <c r="H787" s="1"/>
      <c r="I787" s="4"/>
    </row>
    <row r="788" ht="17.25" customHeight="1">
      <c r="A788" s="1"/>
      <c r="B788" s="4"/>
      <c r="C788" s="4"/>
      <c r="D788" s="1"/>
      <c r="E788" s="4"/>
      <c r="F788" s="1"/>
      <c r="G788" s="1"/>
      <c r="H788" s="1"/>
      <c r="I788" s="4"/>
    </row>
    <row r="789" ht="17.25" customHeight="1">
      <c r="A789" s="1"/>
      <c r="B789" s="4"/>
      <c r="C789" s="4"/>
      <c r="D789" s="1"/>
      <c r="E789" s="4"/>
      <c r="F789" s="1"/>
      <c r="G789" s="1"/>
      <c r="H789" s="1"/>
      <c r="I789" s="4"/>
    </row>
    <row r="790" ht="17.25" customHeight="1">
      <c r="A790" s="1"/>
      <c r="B790" s="4"/>
      <c r="C790" s="4"/>
      <c r="D790" s="1"/>
      <c r="E790" s="4"/>
      <c r="F790" s="1"/>
      <c r="G790" s="1"/>
      <c r="H790" s="1"/>
      <c r="I790" s="4"/>
    </row>
    <row r="791" ht="17.25" customHeight="1">
      <c r="A791" s="1"/>
      <c r="B791" s="4"/>
      <c r="C791" s="4"/>
      <c r="D791" s="1"/>
      <c r="E791" s="4"/>
      <c r="F791" s="1"/>
      <c r="G791" s="1"/>
      <c r="H791" s="1"/>
      <c r="I791" s="4"/>
    </row>
    <row r="792" ht="17.25" customHeight="1">
      <c r="A792" s="1"/>
      <c r="B792" s="4"/>
      <c r="C792" s="4"/>
      <c r="D792" s="1"/>
      <c r="E792" s="4"/>
      <c r="F792" s="1"/>
      <c r="G792" s="1"/>
      <c r="H792" s="1"/>
      <c r="I792" s="4"/>
    </row>
    <row r="793" ht="17.25" customHeight="1">
      <c r="A793" s="1"/>
      <c r="B793" s="4"/>
      <c r="C793" s="4"/>
      <c r="D793" s="1"/>
      <c r="E793" s="4"/>
      <c r="F793" s="1"/>
      <c r="G793" s="1"/>
      <c r="H793" s="1"/>
      <c r="I793" s="4"/>
    </row>
    <row r="794" ht="17.25" customHeight="1">
      <c r="A794" s="1"/>
      <c r="B794" s="4"/>
      <c r="C794" s="4"/>
      <c r="D794" s="1"/>
      <c r="E794" s="4"/>
      <c r="F794" s="1"/>
      <c r="G794" s="1"/>
      <c r="H794" s="1"/>
      <c r="I794" s="4"/>
    </row>
    <row r="795" ht="17.25" customHeight="1">
      <c r="A795" s="1"/>
      <c r="B795" s="4"/>
      <c r="C795" s="4"/>
      <c r="D795" s="1"/>
      <c r="E795" s="4"/>
      <c r="F795" s="1"/>
      <c r="G795" s="1"/>
      <c r="H795" s="1"/>
      <c r="I795" s="4"/>
    </row>
    <row r="796" ht="17.25" customHeight="1">
      <c r="A796" s="1"/>
      <c r="B796" s="4"/>
      <c r="C796" s="4"/>
      <c r="D796" s="1"/>
      <c r="E796" s="4"/>
      <c r="F796" s="1"/>
      <c r="G796" s="1"/>
      <c r="H796" s="1"/>
      <c r="I796" s="4"/>
    </row>
    <row r="797" ht="17.25" customHeight="1">
      <c r="A797" s="1"/>
      <c r="B797" s="4"/>
      <c r="C797" s="4"/>
      <c r="D797" s="1"/>
      <c r="E797" s="4"/>
      <c r="F797" s="1"/>
      <c r="G797" s="1"/>
      <c r="H797" s="1"/>
      <c r="I797" s="4"/>
    </row>
    <row r="798" ht="17.25" customHeight="1">
      <c r="A798" s="1"/>
      <c r="B798" s="4"/>
      <c r="C798" s="4"/>
      <c r="D798" s="1"/>
      <c r="E798" s="4"/>
      <c r="F798" s="1"/>
      <c r="G798" s="1"/>
      <c r="H798" s="1"/>
      <c r="I798" s="4"/>
    </row>
    <row r="799" ht="17.25" customHeight="1">
      <c r="A799" s="1"/>
      <c r="B799" s="4"/>
      <c r="C799" s="4"/>
      <c r="D799" s="1"/>
      <c r="E799" s="4"/>
      <c r="F799" s="1"/>
      <c r="G799" s="1"/>
      <c r="H799" s="1"/>
      <c r="I799" s="4"/>
    </row>
    <row r="800" ht="17.25" customHeight="1">
      <c r="A800" s="1"/>
      <c r="B800" s="4"/>
      <c r="C800" s="4"/>
      <c r="D800" s="1"/>
      <c r="E800" s="4"/>
      <c r="F800" s="1"/>
      <c r="G800" s="1"/>
      <c r="H800" s="1"/>
      <c r="I800" s="4"/>
    </row>
    <row r="801" ht="17.25" customHeight="1">
      <c r="A801" s="1"/>
      <c r="B801" s="4"/>
      <c r="C801" s="4"/>
      <c r="D801" s="1"/>
      <c r="E801" s="4"/>
      <c r="F801" s="1"/>
      <c r="G801" s="1"/>
      <c r="H801" s="1"/>
      <c r="I801" s="4"/>
    </row>
    <row r="802" ht="17.25" customHeight="1">
      <c r="A802" s="1"/>
      <c r="B802" s="4"/>
      <c r="C802" s="4"/>
      <c r="D802" s="1"/>
      <c r="E802" s="4"/>
      <c r="F802" s="1"/>
      <c r="G802" s="1"/>
      <c r="H802" s="1"/>
      <c r="I802" s="4"/>
    </row>
    <row r="803" ht="17.25" customHeight="1">
      <c r="A803" s="1"/>
      <c r="B803" s="4"/>
      <c r="C803" s="4"/>
      <c r="D803" s="1"/>
      <c r="E803" s="4"/>
      <c r="F803" s="1"/>
      <c r="G803" s="1"/>
      <c r="H803" s="1"/>
      <c r="I803" s="4"/>
    </row>
    <row r="804" ht="17.25" customHeight="1">
      <c r="A804" s="1"/>
      <c r="B804" s="4"/>
      <c r="C804" s="4"/>
      <c r="D804" s="1"/>
      <c r="E804" s="4"/>
      <c r="F804" s="1"/>
      <c r="G804" s="1"/>
      <c r="H804" s="1"/>
      <c r="I804" s="4"/>
    </row>
    <row r="805" ht="17.25" customHeight="1">
      <c r="A805" s="1"/>
      <c r="B805" s="4"/>
      <c r="C805" s="4"/>
      <c r="D805" s="1"/>
      <c r="E805" s="4"/>
      <c r="F805" s="1"/>
      <c r="G805" s="1"/>
      <c r="H805" s="1"/>
      <c r="I805" s="4"/>
    </row>
    <row r="806" ht="17.25" customHeight="1">
      <c r="A806" s="1"/>
      <c r="B806" s="4"/>
      <c r="C806" s="4"/>
      <c r="D806" s="1"/>
      <c r="E806" s="4"/>
      <c r="F806" s="1"/>
      <c r="G806" s="1"/>
      <c r="H806" s="1"/>
      <c r="I806" s="4"/>
    </row>
    <row r="807" ht="17.25" customHeight="1">
      <c r="A807" s="1"/>
      <c r="B807" s="4"/>
      <c r="C807" s="4"/>
      <c r="D807" s="1"/>
      <c r="E807" s="4"/>
      <c r="F807" s="1"/>
      <c r="G807" s="1"/>
      <c r="H807" s="1"/>
      <c r="I807" s="4"/>
    </row>
    <row r="808" ht="17.25" customHeight="1">
      <c r="A808" s="1"/>
      <c r="B808" s="4"/>
      <c r="C808" s="4"/>
      <c r="D808" s="1"/>
      <c r="E808" s="4"/>
      <c r="F808" s="1"/>
      <c r="G808" s="1"/>
      <c r="H808" s="1"/>
      <c r="I808" s="4"/>
    </row>
    <row r="809" ht="17.25" customHeight="1">
      <c r="A809" s="1"/>
      <c r="B809" s="4"/>
      <c r="C809" s="4"/>
      <c r="D809" s="1"/>
      <c r="E809" s="4"/>
      <c r="F809" s="1"/>
      <c r="G809" s="1"/>
      <c r="H809" s="1"/>
      <c r="I809" s="4"/>
    </row>
    <row r="810" ht="17.25" customHeight="1">
      <c r="A810" s="1"/>
      <c r="B810" s="4"/>
      <c r="C810" s="4"/>
      <c r="D810" s="1"/>
      <c r="E810" s="4"/>
      <c r="F810" s="1"/>
      <c r="G810" s="1"/>
      <c r="H810" s="1"/>
      <c r="I810" s="4"/>
    </row>
    <row r="811" ht="17.25" customHeight="1">
      <c r="A811" s="1"/>
      <c r="B811" s="4"/>
      <c r="C811" s="4"/>
      <c r="D811" s="1"/>
      <c r="E811" s="4"/>
      <c r="F811" s="1"/>
      <c r="G811" s="1"/>
      <c r="H811" s="1"/>
      <c r="I811" s="4"/>
    </row>
    <row r="812" ht="17.25" customHeight="1">
      <c r="A812" s="1"/>
      <c r="B812" s="4"/>
      <c r="C812" s="4"/>
      <c r="D812" s="1"/>
      <c r="E812" s="4"/>
      <c r="F812" s="1"/>
      <c r="G812" s="1"/>
      <c r="H812" s="1"/>
      <c r="I812" s="4"/>
    </row>
    <row r="813" ht="17.25" customHeight="1">
      <c r="A813" s="1"/>
      <c r="B813" s="4"/>
      <c r="C813" s="4"/>
      <c r="D813" s="1"/>
      <c r="E813" s="4"/>
      <c r="F813" s="1"/>
      <c r="G813" s="1"/>
      <c r="H813" s="1"/>
      <c r="I813" s="4"/>
    </row>
    <row r="814" ht="17.25" customHeight="1">
      <c r="A814" s="1"/>
      <c r="B814" s="4"/>
      <c r="C814" s="4"/>
      <c r="D814" s="1"/>
      <c r="E814" s="4"/>
      <c r="F814" s="1"/>
      <c r="G814" s="1"/>
      <c r="H814" s="1"/>
      <c r="I814" s="4"/>
    </row>
    <row r="815" ht="17.25" customHeight="1">
      <c r="A815" s="1"/>
      <c r="B815" s="4"/>
      <c r="C815" s="4"/>
      <c r="D815" s="1"/>
      <c r="E815" s="4"/>
      <c r="F815" s="1"/>
      <c r="G815" s="1"/>
      <c r="H815" s="1"/>
      <c r="I815" s="4"/>
    </row>
    <row r="816" ht="17.25" customHeight="1">
      <c r="A816" s="1"/>
      <c r="B816" s="4"/>
      <c r="C816" s="4"/>
      <c r="D816" s="1"/>
      <c r="E816" s="4"/>
      <c r="F816" s="1"/>
      <c r="G816" s="1"/>
      <c r="H816" s="1"/>
      <c r="I816" s="4"/>
    </row>
    <row r="817" ht="17.25" customHeight="1">
      <c r="A817" s="1"/>
      <c r="B817" s="4"/>
      <c r="C817" s="4"/>
      <c r="D817" s="1"/>
      <c r="E817" s="4"/>
      <c r="F817" s="1"/>
      <c r="G817" s="1"/>
      <c r="H817" s="1"/>
      <c r="I817" s="4"/>
    </row>
    <row r="818" ht="17.25" customHeight="1">
      <c r="A818" s="1"/>
      <c r="B818" s="4"/>
      <c r="C818" s="4"/>
      <c r="D818" s="1"/>
      <c r="E818" s="4"/>
      <c r="F818" s="1"/>
      <c r="G818" s="1"/>
      <c r="H818" s="1"/>
      <c r="I818" s="4"/>
    </row>
    <row r="819" ht="17.25" customHeight="1">
      <c r="A819" s="1"/>
      <c r="B819" s="4"/>
      <c r="C819" s="4"/>
      <c r="D819" s="1"/>
      <c r="E819" s="4"/>
      <c r="F819" s="1"/>
      <c r="G819" s="1"/>
      <c r="H819" s="1"/>
      <c r="I819" s="4"/>
    </row>
    <row r="820" ht="17.25" customHeight="1">
      <c r="A820" s="1"/>
      <c r="B820" s="4"/>
      <c r="C820" s="4"/>
      <c r="D820" s="1"/>
      <c r="E820" s="4"/>
      <c r="F820" s="1"/>
      <c r="G820" s="1"/>
      <c r="H820" s="1"/>
      <c r="I820" s="4"/>
    </row>
    <row r="821" ht="17.25" customHeight="1">
      <c r="A821" s="1"/>
      <c r="B821" s="4"/>
      <c r="C821" s="4"/>
      <c r="D821" s="1"/>
      <c r="E821" s="4"/>
      <c r="F821" s="1"/>
      <c r="G821" s="1"/>
      <c r="H821" s="1"/>
      <c r="I821" s="4"/>
    </row>
    <row r="822" ht="17.25" customHeight="1">
      <c r="A822" s="1"/>
      <c r="B822" s="4"/>
      <c r="C822" s="4"/>
      <c r="D822" s="1"/>
      <c r="E822" s="4"/>
      <c r="F822" s="1"/>
      <c r="G822" s="1"/>
      <c r="H822" s="1"/>
      <c r="I822" s="4"/>
    </row>
    <row r="823" ht="17.25" customHeight="1">
      <c r="A823" s="1"/>
      <c r="B823" s="4"/>
      <c r="C823" s="4"/>
      <c r="D823" s="1"/>
      <c r="E823" s="4"/>
      <c r="F823" s="1"/>
      <c r="G823" s="1"/>
      <c r="H823" s="1"/>
      <c r="I823" s="4"/>
    </row>
    <row r="824" ht="17.25" customHeight="1">
      <c r="A824" s="1"/>
      <c r="B824" s="4"/>
      <c r="C824" s="4"/>
      <c r="D824" s="1"/>
      <c r="E824" s="4"/>
      <c r="F824" s="1"/>
      <c r="G824" s="1"/>
      <c r="H824" s="1"/>
      <c r="I824" s="4"/>
    </row>
    <row r="825" ht="17.25" customHeight="1">
      <c r="A825" s="1"/>
      <c r="B825" s="4"/>
      <c r="C825" s="4"/>
      <c r="D825" s="1"/>
      <c r="E825" s="4"/>
      <c r="F825" s="1"/>
      <c r="G825" s="1"/>
      <c r="H825" s="1"/>
      <c r="I825" s="4"/>
    </row>
    <row r="826" ht="17.25" customHeight="1">
      <c r="A826" s="1"/>
      <c r="B826" s="4"/>
      <c r="C826" s="4"/>
      <c r="D826" s="1"/>
      <c r="E826" s="4"/>
      <c r="F826" s="1"/>
      <c r="G826" s="1"/>
      <c r="H826" s="1"/>
      <c r="I826" s="4"/>
    </row>
    <row r="827" ht="17.25" customHeight="1">
      <c r="A827" s="1"/>
      <c r="B827" s="4"/>
      <c r="C827" s="4"/>
      <c r="D827" s="1"/>
      <c r="E827" s="4"/>
      <c r="F827" s="1"/>
      <c r="G827" s="1"/>
      <c r="H827" s="1"/>
      <c r="I827" s="4"/>
    </row>
    <row r="828" ht="17.25" customHeight="1">
      <c r="A828" s="1"/>
      <c r="B828" s="4"/>
      <c r="C828" s="4"/>
      <c r="D828" s="1"/>
      <c r="E828" s="4"/>
      <c r="F828" s="1"/>
      <c r="G828" s="1"/>
      <c r="H828" s="1"/>
      <c r="I828" s="4"/>
    </row>
    <row r="829" ht="17.25" customHeight="1">
      <c r="A829" s="1"/>
      <c r="B829" s="4"/>
      <c r="C829" s="4"/>
      <c r="D829" s="1"/>
      <c r="E829" s="4"/>
      <c r="F829" s="1"/>
      <c r="G829" s="1"/>
      <c r="H829" s="1"/>
      <c r="I829" s="4"/>
    </row>
    <row r="830" ht="17.25" customHeight="1">
      <c r="A830" s="1"/>
      <c r="B830" s="4"/>
      <c r="C830" s="4"/>
      <c r="D830" s="1"/>
      <c r="E830" s="4"/>
      <c r="F830" s="1"/>
      <c r="G830" s="1"/>
      <c r="H830" s="1"/>
      <c r="I830" s="4"/>
    </row>
    <row r="831" ht="17.25" customHeight="1">
      <c r="A831" s="1"/>
      <c r="B831" s="4"/>
      <c r="C831" s="4"/>
      <c r="D831" s="1"/>
      <c r="E831" s="4"/>
      <c r="F831" s="1"/>
      <c r="G831" s="1"/>
      <c r="H831" s="1"/>
      <c r="I831" s="4"/>
    </row>
    <row r="832" ht="17.25" customHeight="1">
      <c r="A832" s="1"/>
      <c r="B832" s="4"/>
      <c r="C832" s="4"/>
      <c r="D832" s="1"/>
      <c r="E832" s="4"/>
      <c r="F832" s="1"/>
      <c r="G832" s="1"/>
      <c r="H832" s="1"/>
      <c r="I832" s="4"/>
    </row>
    <row r="833" ht="17.25" customHeight="1">
      <c r="A833" s="1"/>
      <c r="B833" s="4"/>
      <c r="C833" s="4"/>
      <c r="D833" s="1"/>
      <c r="E833" s="4"/>
      <c r="F833" s="1"/>
      <c r="G833" s="1"/>
      <c r="H833" s="1"/>
      <c r="I833" s="4"/>
    </row>
    <row r="834" ht="17.25" customHeight="1">
      <c r="A834" s="1"/>
      <c r="B834" s="4"/>
      <c r="C834" s="4"/>
      <c r="D834" s="1"/>
      <c r="E834" s="4"/>
      <c r="F834" s="1"/>
      <c r="G834" s="1"/>
      <c r="H834" s="1"/>
      <c r="I834" s="4"/>
    </row>
    <row r="835" ht="17.25" customHeight="1">
      <c r="A835" s="1"/>
      <c r="B835" s="4"/>
      <c r="C835" s="4"/>
      <c r="D835" s="1"/>
      <c r="E835" s="4"/>
      <c r="F835" s="1"/>
      <c r="G835" s="1"/>
      <c r="H835" s="1"/>
      <c r="I835" s="4"/>
    </row>
    <row r="836" ht="17.25" customHeight="1">
      <c r="A836" s="1"/>
      <c r="B836" s="4"/>
      <c r="C836" s="4"/>
      <c r="D836" s="1"/>
      <c r="E836" s="4"/>
      <c r="F836" s="1"/>
      <c r="G836" s="1"/>
      <c r="H836" s="1"/>
      <c r="I836" s="4"/>
    </row>
    <row r="837" ht="17.25" customHeight="1">
      <c r="A837" s="1"/>
      <c r="B837" s="4"/>
      <c r="C837" s="4"/>
      <c r="D837" s="1"/>
      <c r="E837" s="4"/>
      <c r="F837" s="1"/>
      <c r="G837" s="1"/>
      <c r="H837" s="1"/>
      <c r="I837" s="4"/>
    </row>
    <row r="838" ht="17.25" customHeight="1">
      <c r="A838" s="1"/>
      <c r="B838" s="4"/>
      <c r="C838" s="4"/>
      <c r="D838" s="1"/>
      <c r="E838" s="4"/>
      <c r="F838" s="1"/>
      <c r="G838" s="1"/>
      <c r="H838" s="1"/>
      <c r="I838" s="4"/>
    </row>
    <row r="839" ht="17.25" customHeight="1">
      <c r="A839" s="1"/>
      <c r="B839" s="4"/>
      <c r="C839" s="4"/>
      <c r="D839" s="1"/>
      <c r="E839" s="4"/>
      <c r="F839" s="1"/>
      <c r="G839" s="1"/>
      <c r="H839" s="1"/>
      <c r="I839" s="4"/>
    </row>
    <row r="840" ht="17.25" customHeight="1">
      <c r="A840" s="1"/>
      <c r="B840" s="4"/>
      <c r="C840" s="4"/>
      <c r="D840" s="1"/>
      <c r="E840" s="4"/>
      <c r="F840" s="1"/>
      <c r="G840" s="1"/>
      <c r="H840" s="1"/>
      <c r="I840" s="4"/>
    </row>
    <row r="841" ht="17.25" customHeight="1">
      <c r="A841" s="1"/>
      <c r="B841" s="4"/>
      <c r="C841" s="4"/>
      <c r="D841" s="1"/>
      <c r="E841" s="4"/>
      <c r="F841" s="1"/>
      <c r="G841" s="1"/>
      <c r="H841" s="1"/>
      <c r="I841" s="4"/>
    </row>
    <row r="842" ht="17.25" customHeight="1">
      <c r="A842" s="1"/>
      <c r="B842" s="4"/>
      <c r="C842" s="4"/>
      <c r="D842" s="1"/>
      <c r="E842" s="4"/>
      <c r="F842" s="1"/>
      <c r="G842" s="1"/>
      <c r="H842" s="1"/>
      <c r="I842" s="4"/>
    </row>
    <row r="843" ht="17.25" customHeight="1">
      <c r="A843" s="1"/>
      <c r="B843" s="4"/>
      <c r="C843" s="4"/>
      <c r="D843" s="1"/>
      <c r="E843" s="4"/>
      <c r="F843" s="1"/>
      <c r="G843" s="1"/>
      <c r="H843" s="1"/>
      <c r="I843" s="4"/>
    </row>
    <row r="844" ht="17.25" customHeight="1">
      <c r="A844" s="1"/>
      <c r="B844" s="4"/>
      <c r="C844" s="4"/>
      <c r="D844" s="1"/>
      <c r="E844" s="4"/>
      <c r="F844" s="1"/>
      <c r="G844" s="1"/>
      <c r="H844" s="1"/>
      <c r="I844" s="4"/>
    </row>
    <row r="845" ht="17.25" customHeight="1">
      <c r="A845" s="1"/>
      <c r="B845" s="4"/>
      <c r="C845" s="4"/>
      <c r="D845" s="1"/>
      <c r="E845" s="4"/>
      <c r="F845" s="1"/>
      <c r="G845" s="1"/>
      <c r="H845" s="1"/>
      <c r="I845" s="4"/>
    </row>
    <row r="846" ht="17.25" customHeight="1">
      <c r="A846" s="1"/>
      <c r="B846" s="4"/>
      <c r="C846" s="4"/>
      <c r="D846" s="1"/>
      <c r="E846" s="4"/>
      <c r="F846" s="1"/>
      <c r="G846" s="1"/>
      <c r="H846" s="1"/>
      <c r="I846" s="4"/>
    </row>
    <row r="847" ht="17.25" customHeight="1">
      <c r="A847" s="1"/>
      <c r="B847" s="4"/>
      <c r="C847" s="4"/>
      <c r="D847" s="1"/>
      <c r="E847" s="4"/>
      <c r="F847" s="1"/>
      <c r="G847" s="1"/>
      <c r="H847" s="1"/>
      <c r="I847" s="4"/>
    </row>
    <row r="848" ht="17.25" customHeight="1">
      <c r="A848" s="1"/>
      <c r="B848" s="4"/>
      <c r="C848" s="4"/>
      <c r="D848" s="1"/>
      <c r="E848" s="4"/>
      <c r="F848" s="1"/>
      <c r="G848" s="1"/>
      <c r="H848" s="1"/>
      <c r="I848" s="4"/>
    </row>
    <row r="849" ht="17.25" customHeight="1">
      <c r="A849" s="1"/>
      <c r="B849" s="4"/>
      <c r="C849" s="4"/>
      <c r="D849" s="1"/>
      <c r="E849" s="4"/>
      <c r="F849" s="1"/>
      <c r="G849" s="1"/>
      <c r="H849" s="1"/>
      <c r="I849" s="4"/>
    </row>
    <row r="850" ht="17.25" customHeight="1">
      <c r="A850" s="1"/>
      <c r="B850" s="4"/>
      <c r="C850" s="4"/>
      <c r="D850" s="1"/>
      <c r="E850" s="4"/>
      <c r="F850" s="1"/>
      <c r="G850" s="1"/>
      <c r="H850" s="1"/>
      <c r="I850" s="4"/>
    </row>
    <row r="851" ht="17.25" customHeight="1">
      <c r="A851" s="1"/>
      <c r="B851" s="4"/>
      <c r="C851" s="4"/>
      <c r="D851" s="1"/>
      <c r="E851" s="4"/>
      <c r="F851" s="1"/>
      <c r="G851" s="1"/>
      <c r="H851" s="1"/>
      <c r="I851" s="4"/>
    </row>
    <row r="852" ht="17.25" customHeight="1">
      <c r="A852" s="1"/>
      <c r="B852" s="4"/>
      <c r="C852" s="4"/>
      <c r="D852" s="1"/>
      <c r="E852" s="4"/>
      <c r="F852" s="1"/>
      <c r="G852" s="1"/>
      <c r="H852" s="1"/>
      <c r="I852" s="4"/>
    </row>
    <row r="853" ht="17.25" customHeight="1">
      <c r="A853" s="1"/>
      <c r="B853" s="4"/>
      <c r="C853" s="4"/>
      <c r="D853" s="1"/>
      <c r="E853" s="4"/>
      <c r="F853" s="1"/>
      <c r="G853" s="1"/>
      <c r="H853" s="1"/>
      <c r="I853" s="4"/>
    </row>
    <row r="854" ht="17.25" customHeight="1">
      <c r="A854" s="1"/>
      <c r="B854" s="4"/>
      <c r="C854" s="4"/>
      <c r="D854" s="1"/>
      <c r="E854" s="4"/>
      <c r="F854" s="1"/>
      <c r="G854" s="1"/>
      <c r="H854" s="1"/>
      <c r="I854" s="4"/>
    </row>
    <row r="855" ht="17.25" customHeight="1">
      <c r="A855" s="1"/>
      <c r="B855" s="4"/>
      <c r="C855" s="4"/>
      <c r="D855" s="1"/>
      <c r="E855" s="4"/>
      <c r="F855" s="1"/>
      <c r="G855" s="1"/>
      <c r="H855" s="1"/>
      <c r="I855" s="4"/>
    </row>
    <row r="856" ht="17.25" customHeight="1">
      <c r="A856" s="1"/>
      <c r="B856" s="4"/>
      <c r="C856" s="4"/>
      <c r="D856" s="1"/>
      <c r="E856" s="4"/>
      <c r="F856" s="1"/>
      <c r="G856" s="1"/>
      <c r="H856" s="1"/>
      <c r="I856" s="4"/>
    </row>
    <row r="857" ht="17.25" customHeight="1">
      <c r="A857" s="1"/>
      <c r="B857" s="4"/>
      <c r="C857" s="4"/>
      <c r="D857" s="1"/>
      <c r="E857" s="4"/>
      <c r="F857" s="1"/>
      <c r="G857" s="1"/>
      <c r="H857" s="1"/>
      <c r="I857" s="4"/>
    </row>
    <row r="858" ht="17.25" customHeight="1">
      <c r="A858" s="1"/>
      <c r="B858" s="4"/>
      <c r="C858" s="4"/>
      <c r="D858" s="1"/>
      <c r="E858" s="4"/>
      <c r="F858" s="1"/>
      <c r="G858" s="1"/>
      <c r="H858" s="1"/>
      <c r="I858" s="4"/>
    </row>
    <row r="859" ht="17.25" customHeight="1">
      <c r="A859" s="1"/>
      <c r="B859" s="4"/>
      <c r="C859" s="4"/>
      <c r="D859" s="1"/>
      <c r="E859" s="4"/>
      <c r="F859" s="1"/>
      <c r="G859" s="1"/>
      <c r="H859" s="1"/>
      <c r="I859" s="4"/>
    </row>
    <row r="860" ht="17.25" customHeight="1">
      <c r="A860" s="1"/>
      <c r="B860" s="4"/>
      <c r="C860" s="4"/>
      <c r="D860" s="1"/>
      <c r="E860" s="4"/>
      <c r="F860" s="1"/>
      <c r="G860" s="1"/>
      <c r="H860" s="1"/>
      <c r="I860" s="4"/>
    </row>
    <row r="861" ht="17.25" customHeight="1">
      <c r="A861" s="1"/>
      <c r="B861" s="4"/>
      <c r="C861" s="4"/>
      <c r="D861" s="1"/>
      <c r="E861" s="4"/>
      <c r="F861" s="1"/>
      <c r="G861" s="1"/>
      <c r="H861" s="1"/>
      <c r="I861" s="4"/>
    </row>
    <row r="862" ht="17.25" customHeight="1">
      <c r="A862" s="1"/>
      <c r="B862" s="4"/>
      <c r="C862" s="4"/>
      <c r="D862" s="1"/>
      <c r="E862" s="4"/>
      <c r="F862" s="1"/>
      <c r="G862" s="1"/>
      <c r="H862" s="1"/>
      <c r="I862" s="4"/>
    </row>
    <row r="863" ht="17.25" customHeight="1">
      <c r="A863" s="1"/>
      <c r="B863" s="4"/>
      <c r="C863" s="4"/>
      <c r="D863" s="1"/>
      <c r="E863" s="4"/>
      <c r="F863" s="1"/>
      <c r="G863" s="1"/>
      <c r="H863" s="1"/>
      <c r="I863" s="4"/>
    </row>
    <row r="864" ht="17.25" customHeight="1">
      <c r="A864" s="1"/>
      <c r="B864" s="4"/>
      <c r="C864" s="4"/>
      <c r="D864" s="1"/>
      <c r="E864" s="4"/>
      <c r="F864" s="1"/>
      <c r="G864" s="1"/>
      <c r="H864" s="1"/>
      <c r="I864" s="4"/>
    </row>
    <row r="865" ht="17.25" customHeight="1">
      <c r="A865" s="1"/>
      <c r="B865" s="4"/>
      <c r="C865" s="4"/>
      <c r="D865" s="1"/>
      <c r="E865" s="4"/>
      <c r="F865" s="1"/>
      <c r="G865" s="1"/>
      <c r="H865" s="1"/>
      <c r="I865" s="4"/>
    </row>
    <row r="866" ht="17.25" customHeight="1">
      <c r="A866" s="1"/>
      <c r="B866" s="4"/>
      <c r="C866" s="4"/>
      <c r="D866" s="1"/>
      <c r="E866" s="4"/>
      <c r="F866" s="1"/>
      <c r="G866" s="1"/>
      <c r="H866" s="1"/>
      <c r="I866" s="4"/>
    </row>
    <row r="867" ht="17.25" customHeight="1">
      <c r="A867" s="1"/>
      <c r="B867" s="4"/>
      <c r="C867" s="4"/>
      <c r="D867" s="1"/>
      <c r="E867" s="4"/>
      <c r="F867" s="1"/>
      <c r="G867" s="1"/>
      <c r="H867" s="1"/>
      <c r="I867" s="4"/>
    </row>
    <row r="868" ht="17.25" customHeight="1">
      <c r="A868" s="1"/>
      <c r="B868" s="4"/>
      <c r="C868" s="4"/>
      <c r="D868" s="1"/>
      <c r="E868" s="4"/>
      <c r="F868" s="1"/>
      <c r="G868" s="1"/>
      <c r="H868" s="1"/>
      <c r="I868" s="4"/>
    </row>
    <row r="869" ht="17.25" customHeight="1">
      <c r="A869" s="1"/>
      <c r="B869" s="4"/>
      <c r="C869" s="4"/>
      <c r="D869" s="1"/>
      <c r="E869" s="4"/>
      <c r="F869" s="1"/>
      <c r="G869" s="1"/>
      <c r="H869" s="1"/>
      <c r="I869" s="4"/>
    </row>
    <row r="870" ht="17.25" customHeight="1">
      <c r="A870" s="1"/>
      <c r="B870" s="4"/>
      <c r="C870" s="4"/>
      <c r="D870" s="1"/>
      <c r="E870" s="4"/>
      <c r="F870" s="1"/>
      <c r="G870" s="1"/>
      <c r="H870" s="1"/>
      <c r="I870" s="4"/>
    </row>
    <row r="871" ht="17.25" customHeight="1">
      <c r="A871" s="1"/>
      <c r="B871" s="4"/>
      <c r="C871" s="4"/>
      <c r="D871" s="1"/>
      <c r="E871" s="4"/>
      <c r="F871" s="1"/>
      <c r="G871" s="1"/>
      <c r="H871" s="1"/>
      <c r="I871" s="4"/>
    </row>
    <row r="872" ht="17.25" customHeight="1">
      <c r="A872" s="1"/>
      <c r="B872" s="4"/>
      <c r="C872" s="4"/>
      <c r="D872" s="1"/>
      <c r="E872" s="4"/>
      <c r="F872" s="1"/>
      <c r="G872" s="1"/>
      <c r="H872" s="1"/>
      <c r="I872" s="4"/>
    </row>
    <row r="873" ht="17.25" customHeight="1">
      <c r="A873" s="1"/>
      <c r="B873" s="4"/>
      <c r="C873" s="4"/>
      <c r="D873" s="1"/>
      <c r="E873" s="4"/>
      <c r="F873" s="1"/>
      <c r="G873" s="1"/>
      <c r="H873" s="1"/>
      <c r="I873" s="4"/>
    </row>
    <row r="874" ht="17.25" customHeight="1">
      <c r="A874" s="1"/>
      <c r="B874" s="4"/>
      <c r="C874" s="4"/>
      <c r="D874" s="1"/>
      <c r="E874" s="4"/>
      <c r="F874" s="1"/>
      <c r="G874" s="1"/>
      <c r="H874" s="1"/>
      <c r="I874" s="4"/>
    </row>
    <row r="875" ht="17.25" customHeight="1">
      <c r="A875" s="1"/>
      <c r="B875" s="4"/>
      <c r="C875" s="4"/>
      <c r="D875" s="1"/>
      <c r="E875" s="4"/>
      <c r="F875" s="1"/>
      <c r="G875" s="1"/>
      <c r="H875" s="1"/>
      <c r="I875" s="4"/>
    </row>
    <row r="876" ht="17.25" customHeight="1">
      <c r="A876" s="1"/>
      <c r="B876" s="4"/>
      <c r="C876" s="4"/>
      <c r="D876" s="1"/>
      <c r="E876" s="4"/>
      <c r="F876" s="1"/>
      <c r="G876" s="1"/>
      <c r="H876" s="1"/>
      <c r="I876" s="4"/>
    </row>
    <row r="877" ht="17.25" customHeight="1">
      <c r="A877" s="1"/>
      <c r="B877" s="4"/>
      <c r="C877" s="4"/>
      <c r="D877" s="1"/>
      <c r="E877" s="4"/>
      <c r="F877" s="1"/>
      <c r="G877" s="1"/>
      <c r="H877" s="1"/>
      <c r="I877" s="4"/>
    </row>
    <row r="878" ht="17.25" customHeight="1">
      <c r="A878" s="1"/>
      <c r="B878" s="4"/>
      <c r="C878" s="4"/>
      <c r="D878" s="1"/>
      <c r="E878" s="4"/>
      <c r="F878" s="1"/>
      <c r="G878" s="1"/>
      <c r="H878" s="1"/>
      <c r="I878" s="4"/>
    </row>
    <row r="879" ht="17.25" customHeight="1">
      <c r="A879" s="1"/>
      <c r="B879" s="4"/>
      <c r="C879" s="4"/>
      <c r="D879" s="1"/>
      <c r="E879" s="4"/>
      <c r="F879" s="1"/>
      <c r="G879" s="1"/>
      <c r="H879" s="1"/>
      <c r="I879" s="4"/>
    </row>
    <row r="880" ht="17.25" customHeight="1">
      <c r="A880" s="1"/>
      <c r="B880" s="4"/>
      <c r="C880" s="4"/>
      <c r="D880" s="1"/>
      <c r="E880" s="4"/>
      <c r="F880" s="1"/>
      <c r="G880" s="1"/>
      <c r="H880" s="1"/>
      <c r="I880" s="4"/>
    </row>
    <row r="881" ht="17.25" customHeight="1">
      <c r="A881" s="1"/>
      <c r="B881" s="4"/>
      <c r="C881" s="4"/>
      <c r="D881" s="1"/>
      <c r="E881" s="4"/>
      <c r="F881" s="1"/>
      <c r="G881" s="1"/>
      <c r="H881" s="1"/>
      <c r="I881" s="4"/>
    </row>
    <row r="882" ht="17.25" customHeight="1">
      <c r="A882" s="1"/>
      <c r="B882" s="4"/>
      <c r="C882" s="4"/>
      <c r="D882" s="1"/>
      <c r="E882" s="4"/>
      <c r="F882" s="1"/>
      <c r="G882" s="1"/>
      <c r="H882" s="1"/>
      <c r="I882" s="4"/>
    </row>
    <row r="883" ht="17.25" customHeight="1">
      <c r="A883" s="1"/>
      <c r="B883" s="4"/>
      <c r="C883" s="4"/>
      <c r="D883" s="1"/>
      <c r="E883" s="4"/>
      <c r="F883" s="1"/>
      <c r="G883" s="1"/>
      <c r="H883" s="1"/>
      <c r="I883" s="4"/>
    </row>
    <row r="884" ht="17.25" customHeight="1">
      <c r="A884" s="1"/>
      <c r="B884" s="4"/>
      <c r="C884" s="4"/>
      <c r="D884" s="1"/>
      <c r="E884" s="4"/>
      <c r="F884" s="1"/>
      <c r="G884" s="1"/>
      <c r="H884" s="1"/>
      <c r="I884" s="4"/>
    </row>
    <row r="885" ht="17.25" customHeight="1">
      <c r="A885" s="1"/>
      <c r="B885" s="4"/>
      <c r="C885" s="4"/>
      <c r="D885" s="1"/>
      <c r="E885" s="4"/>
      <c r="F885" s="1"/>
      <c r="G885" s="1"/>
      <c r="H885" s="1"/>
      <c r="I885" s="4"/>
    </row>
    <row r="886" ht="17.25" customHeight="1">
      <c r="A886" s="1"/>
      <c r="B886" s="4"/>
      <c r="C886" s="4"/>
      <c r="D886" s="1"/>
      <c r="E886" s="4"/>
      <c r="F886" s="1"/>
      <c r="G886" s="1"/>
      <c r="H886" s="1"/>
      <c r="I886" s="4"/>
    </row>
    <row r="887" ht="17.25" customHeight="1">
      <c r="A887" s="1"/>
      <c r="B887" s="4"/>
      <c r="C887" s="4"/>
      <c r="D887" s="1"/>
      <c r="E887" s="4"/>
      <c r="F887" s="1"/>
      <c r="G887" s="1"/>
      <c r="H887" s="1"/>
      <c r="I887" s="4"/>
    </row>
    <row r="888" ht="17.25" customHeight="1">
      <c r="A888" s="1"/>
      <c r="B888" s="4"/>
      <c r="C888" s="4"/>
      <c r="D888" s="1"/>
      <c r="E888" s="4"/>
      <c r="F888" s="1"/>
      <c r="G888" s="1"/>
      <c r="H888" s="1"/>
      <c r="I888" s="4"/>
    </row>
    <row r="889" ht="17.25" customHeight="1">
      <c r="A889" s="1"/>
      <c r="B889" s="4"/>
      <c r="C889" s="4"/>
      <c r="D889" s="1"/>
      <c r="E889" s="4"/>
      <c r="F889" s="1"/>
      <c r="G889" s="1"/>
      <c r="H889" s="1"/>
      <c r="I889" s="4"/>
    </row>
    <row r="890" ht="17.25" customHeight="1">
      <c r="A890" s="1"/>
      <c r="B890" s="4"/>
      <c r="C890" s="4"/>
      <c r="D890" s="1"/>
      <c r="E890" s="4"/>
      <c r="F890" s="1"/>
      <c r="G890" s="1"/>
      <c r="H890" s="1"/>
      <c r="I890" s="4"/>
    </row>
    <row r="891" ht="17.25" customHeight="1">
      <c r="A891" s="1"/>
      <c r="B891" s="4"/>
      <c r="C891" s="4"/>
      <c r="D891" s="1"/>
      <c r="E891" s="4"/>
      <c r="F891" s="1"/>
      <c r="G891" s="1"/>
      <c r="H891" s="1"/>
      <c r="I891" s="4"/>
    </row>
    <row r="892" ht="17.25" customHeight="1">
      <c r="A892" s="1"/>
      <c r="B892" s="4"/>
      <c r="C892" s="4"/>
      <c r="D892" s="1"/>
      <c r="E892" s="4"/>
      <c r="F892" s="1"/>
      <c r="G892" s="1"/>
      <c r="H892" s="1"/>
      <c r="I892" s="4"/>
    </row>
    <row r="893" ht="17.25" customHeight="1">
      <c r="A893" s="1"/>
      <c r="B893" s="4"/>
      <c r="C893" s="4"/>
      <c r="D893" s="1"/>
      <c r="E893" s="4"/>
      <c r="F893" s="1"/>
      <c r="G893" s="1"/>
      <c r="H893" s="1"/>
      <c r="I893" s="4"/>
    </row>
    <row r="894" ht="17.25" customHeight="1">
      <c r="A894" s="1"/>
      <c r="B894" s="4"/>
      <c r="C894" s="4"/>
      <c r="D894" s="1"/>
      <c r="E894" s="4"/>
      <c r="F894" s="1"/>
      <c r="G894" s="1"/>
      <c r="H894" s="1"/>
      <c r="I894" s="4"/>
    </row>
    <row r="895" ht="17.25" customHeight="1">
      <c r="A895" s="1"/>
      <c r="B895" s="4"/>
      <c r="C895" s="4"/>
      <c r="D895" s="1"/>
      <c r="E895" s="4"/>
      <c r="F895" s="1"/>
      <c r="G895" s="1"/>
      <c r="H895" s="1"/>
      <c r="I895" s="4"/>
    </row>
    <row r="896" ht="17.25" customHeight="1">
      <c r="A896" s="1"/>
      <c r="B896" s="4"/>
      <c r="C896" s="4"/>
      <c r="D896" s="1"/>
      <c r="E896" s="4"/>
      <c r="F896" s="1"/>
      <c r="G896" s="1"/>
      <c r="H896" s="1"/>
      <c r="I896" s="4"/>
    </row>
    <row r="897" ht="17.25" customHeight="1">
      <c r="A897" s="1"/>
      <c r="B897" s="4"/>
      <c r="C897" s="4"/>
      <c r="D897" s="1"/>
      <c r="E897" s="4"/>
      <c r="F897" s="1"/>
      <c r="G897" s="1"/>
      <c r="H897" s="1"/>
      <c r="I897" s="4"/>
    </row>
    <row r="898" ht="17.25" customHeight="1">
      <c r="A898" s="1"/>
      <c r="B898" s="4"/>
      <c r="C898" s="4"/>
      <c r="D898" s="1"/>
      <c r="E898" s="4"/>
      <c r="F898" s="1"/>
      <c r="G898" s="1"/>
      <c r="H898" s="1"/>
      <c r="I898" s="4"/>
    </row>
    <row r="899" ht="17.25" customHeight="1">
      <c r="A899" s="1"/>
      <c r="B899" s="4"/>
      <c r="C899" s="4"/>
      <c r="D899" s="1"/>
      <c r="E899" s="4"/>
      <c r="F899" s="1"/>
      <c r="G899" s="1"/>
      <c r="H899" s="1"/>
      <c r="I899" s="4"/>
    </row>
    <row r="900" ht="17.25" customHeight="1">
      <c r="A900" s="1"/>
      <c r="B900" s="4"/>
      <c r="C900" s="4"/>
      <c r="D900" s="1"/>
      <c r="E900" s="4"/>
      <c r="F900" s="1"/>
      <c r="G900" s="1"/>
      <c r="H900" s="1"/>
      <c r="I900" s="4"/>
    </row>
    <row r="901" ht="17.25" customHeight="1">
      <c r="A901" s="1"/>
      <c r="B901" s="4"/>
      <c r="C901" s="4"/>
      <c r="D901" s="1"/>
      <c r="E901" s="4"/>
      <c r="F901" s="1"/>
      <c r="G901" s="1"/>
      <c r="H901" s="1"/>
      <c r="I901" s="4"/>
    </row>
    <row r="902" ht="17.25" customHeight="1">
      <c r="A902" s="1"/>
      <c r="B902" s="4"/>
      <c r="C902" s="4"/>
      <c r="D902" s="1"/>
      <c r="E902" s="4"/>
      <c r="F902" s="1"/>
      <c r="G902" s="1"/>
      <c r="H902" s="1"/>
      <c r="I902" s="4"/>
    </row>
    <row r="903" ht="17.25" customHeight="1">
      <c r="A903" s="1"/>
      <c r="B903" s="4"/>
      <c r="C903" s="4"/>
      <c r="D903" s="1"/>
      <c r="E903" s="4"/>
      <c r="F903" s="1"/>
      <c r="G903" s="1"/>
      <c r="H903" s="1"/>
      <c r="I903" s="4"/>
    </row>
    <row r="904" ht="17.25" customHeight="1">
      <c r="A904" s="1"/>
      <c r="B904" s="4"/>
      <c r="C904" s="4"/>
      <c r="D904" s="1"/>
      <c r="E904" s="4"/>
      <c r="F904" s="1"/>
      <c r="G904" s="1"/>
      <c r="H904" s="1"/>
      <c r="I904" s="4"/>
    </row>
    <row r="905" ht="17.25" customHeight="1">
      <c r="A905" s="1"/>
      <c r="B905" s="4"/>
      <c r="C905" s="4"/>
      <c r="D905" s="1"/>
      <c r="E905" s="4"/>
      <c r="F905" s="1"/>
      <c r="G905" s="1"/>
      <c r="H905" s="1"/>
      <c r="I905" s="4"/>
    </row>
    <row r="906" ht="17.25" customHeight="1">
      <c r="A906" s="1"/>
      <c r="B906" s="4"/>
      <c r="C906" s="4"/>
      <c r="D906" s="1"/>
      <c r="E906" s="4"/>
      <c r="F906" s="1"/>
      <c r="G906" s="1"/>
      <c r="H906" s="1"/>
      <c r="I906" s="4"/>
    </row>
    <row r="907" ht="17.25" customHeight="1">
      <c r="A907" s="1"/>
      <c r="B907" s="4"/>
      <c r="C907" s="4"/>
      <c r="D907" s="1"/>
      <c r="E907" s="4"/>
      <c r="F907" s="1"/>
      <c r="G907" s="1"/>
      <c r="H907" s="1"/>
      <c r="I907" s="4"/>
    </row>
    <row r="908" ht="17.25" customHeight="1">
      <c r="A908" s="1"/>
      <c r="B908" s="4"/>
      <c r="C908" s="4"/>
      <c r="D908" s="1"/>
      <c r="E908" s="4"/>
      <c r="F908" s="1"/>
      <c r="G908" s="1"/>
      <c r="H908" s="1"/>
      <c r="I908" s="4"/>
    </row>
    <row r="909" ht="17.25" customHeight="1">
      <c r="A909" s="1"/>
      <c r="B909" s="4"/>
      <c r="C909" s="4"/>
      <c r="D909" s="1"/>
      <c r="E909" s="4"/>
      <c r="F909" s="1"/>
      <c r="G909" s="1"/>
      <c r="H909" s="1"/>
      <c r="I909" s="4"/>
    </row>
    <row r="910" ht="17.25" customHeight="1">
      <c r="A910" s="1"/>
      <c r="B910" s="4"/>
      <c r="C910" s="4"/>
      <c r="D910" s="1"/>
      <c r="E910" s="4"/>
      <c r="F910" s="1"/>
      <c r="G910" s="1"/>
      <c r="H910" s="1"/>
      <c r="I910" s="4"/>
    </row>
    <row r="911" ht="17.25" customHeight="1">
      <c r="A911" s="1"/>
      <c r="B911" s="4"/>
      <c r="C911" s="4"/>
      <c r="D911" s="1"/>
      <c r="E911" s="4"/>
      <c r="F911" s="1"/>
      <c r="G911" s="1"/>
      <c r="H911" s="1"/>
      <c r="I911" s="4"/>
    </row>
    <row r="912" ht="17.25" customHeight="1">
      <c r="A912" s="1"/>
      <c r="B912" s="4"/>
      <c r="C912" s="4"/>
      <c r="D912" s="1"/>
      <c r="E912" s="4"/>
      <c r="F912" s="1"/>
      <c r="G912" s="1"/>
      <c r="H912" s="1"/>
      <c r="I912" s="4"/>
    </row>
    <row r="913" ht="17.25" customHeight="1">
      <c r="A913" s="1"/>
      <c r="B913" s="4"/>
      <c r="C913" s="4"/>
      <c r="D913" s="1"/>
      <c r="E913" s="4"/>
      <c r="F913" s="1"/>
      <c r="G913" s="1"/>
      <c r="H913" s="1"/>
      <c r="I913" s="4"/>
    </row>
    <row r="914" ht="17.25" customHeight="1">
      <c r="A914" s="1"/>
      <c r="B914" s="4"/>
      <c r="C914" s="4"/>
      <c r="D914" s="1"/>
      <c r="E914" s="4"/>
      <c r="F914" s="1"/>
      <c r="G914" s="1"/>
      <c r="H914" s="1"/>
      <c r="I914" s="4"/>
    </row>
    <row r="915" ht="17.25" customHeight="1">
      <c r="A915" s="1"/>
      <c r="B915" s="4"/>
      <c r="C915" s="4"/>
      <c r="D915" s="1"/>
      <c r="E915" s="4"/>
      <c r="F915" s="1"/>
      <c r="G915" s="1"/>
      <c r="H915" s="1"/>
      <c r="I915" s="4"/>
    </row>
    <row r="916" ht="17.25" customHeight="1">
      <c r="A916" s="1"/>
      <c r="B916" s="4"/>
      <c r="C916" s="4"/>
      <c r="D916" s="1"/>
      <c r="E916" s="4"/>
      <c r="F916" s="1"/>
      <c r="G916" s="1"/>
      <c r="H916" s="1"/>
      <c r="I916" s="4"/>
    </row>
    <row r="917" ht="17.25" customHeight="1">
      <c r="A917" s="1"/>
      <c r="B917" s="4"/>
      <c r="C917" s="4"/>
      <c r="D917" s="1"/>
      <c r="E917" s="4"/>
      <c r="F917" s="1"/>
      <c r="G917" s="1"/>
      <c r="H917" s="1"/>
      <c r="I917" s="4"/>
    </row>
    <row r="918" ht="17.25" customHeight="1">
      <c r="A918" s="1"/>
      <c r="B918" s="4"/>
      <c r="C918" s="4"/>
      <c r="D918" s="1"/>
      <c r="E918" s="4"/>
      <c r="F918" s="1"/>
      <c r="G918" s="1"/>
      <c r="H918" s="1"/>
      <c r="I918" s="4"/>
    </row>
    <row r="919" ht="17.25" customHeight="1">
      <c r="A919" s="1"/>
      <c r="B919" s="4"/>
      <c r="C919" s="4"/>
      <c r="D919" s="1"/>
      <c r="E919" s="4"/>
      <c r="F919" s="1"/>
      <c r="G919" s="1"/>
      <c r="H919" s="1"/>
      <c r="I919" s="4"/>
    </row>
    <row r="920" ht="17.25" customHeight="1">
      <c r="A920" s="1"/>
      <c r="B920" s="4"/>
      <c r="C920" s="4"/>
      <c r="D920" s="1"/>
      <c r="E920" s="4"/>
      <c r="F920" s="1"/>
      <c r="G920" s="1"/>
      <c r="H920" s="1"/>
      <c r="I920" s="4"/>
    </row>
    <row r="921" ht="17.25" customHeight="1">
      <c r="A921" s="1"/>
      <c r="B921" s="4"/>
      <c r="C921" s="4"/>
      <c r="D921" s="1"/>
      <c r="E921" s="4"/>
      <c r="F921" s="1"/>
      <c r="G921" s="1"/>
      <c r="H921" s="1"/>
      <c r="I921" s="4"/>
    </row>
    <row r="922" ht="17.25" customHeight="1">
      <c r="A922" s="1"/>
      <c r="B922" s="4"/>
      <c r="C922" s="4"/>
      <c r="D922" s="1"/>
      <c r="E922" s="4"/>
      <c r="F922" s="1"/>
      <c r="G922" s="1"/>
      <c r="H922" s="1"/>
      <c r="I922" s="4"/>
    </row>
    <row r="923" ht="17.25" customHeight="1">
      <c r="A923" s="1"/>
      <c r="B923" s="4"/>
      <c r="C923" s="4"/>
      <c r="D923" s="1"/>
      <c r="E923" s="4"/>
      <c r="F923" s="1"/>
      <c r="G923" s="1"/>
      <c r="H923" s="1"/>
      <c r="I923" s="4"/>
    </row>
    <row r="924" ht="17.25" customHeight="1">
      <c r="A924" s="1"/>
      <c r="B924" s="4"/>
      <c r="C924" s="4"/>
      <c r="D924" s="1"/>
      <c r="E924" s="4"/>
      <c r="F924" s="1"/>
      <c r="G924" s="1"/>
      <c r="H924" s="1"/>
      <c r="I924" s="4"/>
    </row>
    <row r="925" ht="17.25" customHeight="1">
      <c r="A925" s="1"/>
      <c r="B925" s="4"/>
      <c r="C925" s="4"/>
      <c r="D925" s="1"/>
      <c r="E925" s="4"/>
      <c r="F925" s="1"/>
      <c r="G925" s="1"/>
      <c r="H925" s="1"/>
      <c r="I925" s="4"/>
    </row>
    <row r="926" ht="17.25" customHeight="1">
      <c r="A926" s="1"/>
      <c r="B926" s="4"/>
      <c r="C926" s="4"/>
      <c r="D926" s="1"/>
      <c r="E926" s="4"/>
      <c r="F926" s="1"/>
      <c r="G926" s="1"/>
      <c r="H926" s="1"/>
      <c r="I926" s="4"/>
    </row>
    <row r="927" ht="17.25" customHeight="1">
      <c r="A927" s="1"/>
      <c r="B927" s="4"/>
      <c r="C927" s="4"/>
      <c r="D927" s="1"/>
      <c r="E927" s="4"/>
      <c r="F927" s="1"/>
      <c r="G927" s="1"/>
      <c r="H927" s="1"/>
      <c r="I927" s="4"/>
    </row>
    <row r="928" ht="17.25" customHeight="1">
      <c r="A928" s="1"/>
      <c r="B928" s="4"/>
      <c r="C928" s="4"/>
      <c r="D928" s="1"/>
      <c r="E928" s="4"/>
      <c r="F928" s="1"/>
      <c r="G928" s="1"/>
      <c r="H928" s="1"/>
      <c r="I928" s="4"/>
    </row>
    <row r="929" ht="17.25" customHeight="1">
      <c r="A929" s="1"/>
      <c r="B929" s="4"/>
      <c r="C929" s="4"/>
      <c r="D929" s="1"/>
      <c r="E929" s="4"/>
      <c r="F929" s="1"/>
      <c r="G929" s="1"/>
      <c r="H929" s="1"/>
      <c r="I929" s="4"/>
    </row>
    <row r="930" ht="17.25" customHeight="1">
      <c r="A930" s="1"/>
      <c r="B930" s="4"/>
      <c r="C930" s="4"/>
      <c r="D930" s="1"/>
      <c r="E930" s="4"/>
      <c r="F930" s="1"/>
      <c r="G930" s="1"/>
      <c r="H930" s="1"/>
      <c r="I930" s="4"/>
    </row>
    <row r="931" ht="17.25" customHeight="1">
      <c r="A931" s="1"/>
      <c r="B931" s="4"/>
      <c r="C931" s="4"/>
      <c r="D931" s="1"/>
      <c r="E931" s="4"/>
      <c r="F931" s="1"/>
      <c r="G931" s="1"/>
      <c r="H931" s="1"/>
      <c r="I931" s="4"/>
    </row>
    <row r="932" ht="17.25" customHeight="1">
      <c r="A932" s="1"/>
      <c r="B932" s="4"/>
      <c r="C932" s="4"/>
      <c r="D932" s="1"/>
      <c r="E932" s="4"/>
      <c r="F932" s="1"/>
      <c r="G932" s="1"/>
      <c r="H932" s="1"/>
      <c r="I932" s="4"/>
    </row>
    <row r="933" ht="17.25" customHeight="1">
      <c r="A933" s="1"/>
      <c r="B933" s="4"/>
      <c r="C933" s="4"/>
      <c r="D933" s="1"/>
      <c r="E933" s="4"/>
      <c r="F933" s="1"/>
      <c r="G933" s="1"/>
      <c r="H933" s="1"/>
      <c r="I933" s="4"/>
    </row>
    <row r="934" ht="17.25" customHeight="1">
      <c r="A934" s="1"/>
      <c r="B934" s="4"/>
      <c r="C934" s="4"/>
      <c r="D934" s="1"/>
      <c r="E934" s="4"/>
      <c r="F934" s="1"/>
      <c r="G934" s="1"/>
      <c r="H934" s="1"/>
      <c r="I934" s="4"/>
    </row>
    <row r="935" ht="17.25" customHeight="1">
      <c r="A935" s="1"/>
      <c r="B935" s="4"/>
      <c r="C935" s="4"/>
      <c r="D935" s="1"/>
      <c r="E935" s="4"/>
      <c r="F935" s="1"/>
      <c r="G935" s="1"/>
      <c r="H935" s="1"/>
      <c r="I935" s="4"/>
    </row>
    <row r="936" ht="17.25" customHeight="1">
      <c r="A936" s="1"/>
      <c r="B936" s="4"/>
      <c r="C936" s="4"/>
      <c r="D936" s="1"/>
      <c r="E936" s="4"/>
      <c r="F936" s="1"/>
      <c r="G936" s="1"/>
      <c r="H936" s="1"/>
      <c r="I936" s="4"/>
    </row>
    <row r="937" ht="17.25" customHeight="1">
      <c r="A937" s="1"/>
      <c r="B937" s="4"/>
      <c r="C937" s="4"/>
      <c r="D937" s="1"/>
      <c r="E937" s="4"/>
      <c r="F937" s="1"/>
      <c r="G937" s="1"/>
      <c r="H937" s="1"/>
      <c r="I937" s="4"/>
    </row>
    <row r="938" ht="17.25" customHeight="1">
      <c r="A938" s="1"/>
      <c r="B938" s="4"/>
      <c r="C938" s="4"/>
      <c r="D938" s="1"/>
      <c r="E938" s="4"/>
      <c r="F938" s="1"/>
      <c r="G938" s="1"/>
      <c r="H938" s="1"/>
      <c r="I938" s="4"/>
    </row>
    <row r="939" ht="17.25" customHeight="1">
      <c r="A939" s="1"/>
      <c r="B939" s="4"/>
      <c r="C939" s="4"/>
      <c r="D939" s="1"/>
      <c r="E939" s="4"/>
      <c r="F939" s="1"/>
      <c r="G939" s="1"/>
      <c r="H939" s="1"/>
      <c r="I939" s="4"/>
    </row>
    <row r="940" ht="17.25" customHeight="1">
      <c r="A940" s="1"/>
      <c r="B940" s="4"/>
      <c r="C940" s="4"/>
      <c r="D940" s="1"/>
      <c r="E940" s="4"/>
      <c r="F940" s="1"/>
      <c r="G940" s="1"/>
      <c r="H940" s="1"/>
      <c r="I940" s="4"/>
    </row>
    <row r="941" ht="17.25" customHeight="1">
      <c r="A941" s="1"/>
      <c r="B941" s="4"/>
      <c r="C941" s="4"/>
      <c r="D941" s="1"/>
      <c r="E941" s="4"/>
      <c r="F941" s="1"/>
      <c r="G941" s="1"/>
      <c r="H941" s="1"/>
      <c r="I941" s="4"/>
    </row>
    <row r="942" ht="17.25" customHeight="1">
      <c r="A942" s="1"/>
      <c r="B942" s="4"/>
      <c r="C942" s="4"/>
      <c r="D942" s="1"/>
      <c r="E942" s="4"/>
      <c r="F942" s="1"/>
      <c r="G942" s="1"/>
      <c r="H942" s="1"/>
      <c r="I942" s="4"/>
    </row>
    <row r="943" ht="17.25" customHeight="1">
      <c r="A943" s="1"/>
      <c r="B943" s="4"/>
      <c r="C943" s="4"/>
      <c r="D943" s="1"/>
      <c r="E943" s="4"/>
      <c r="F943" s="1"/>
      <c r="G943" s="1"/>
      <c r="H943" s="1"/>
      <c r="I943" s="4"/>
    </row>
    <row r="944" ht="17.25" customHeight="1">
      <c r="A944" s="1"/>
      <c r="B944" s="4"/>
      <c r="C944" s="4"/>
      <c r="D944" s="1"/>
      <c r="E944" s="4"/>
      <c r="F944" s="1"/>
      <c r="G944" s="1"/>
      <c r="H944" s="1"/>
      <c r="I944" s="4"/>
    </row>
    <row r="945" ht="17.25" customHeight="1">
      <c r="A945" s="1"/>
      <c r="B945" s="4"/>
      <c r="C945" s="4"/>
      <c r="D945" s="1"/>
      <c r="E945" s="4"/>
      <c r="F945" s="1"/>
      <c r="G945" s="1"/>
      <c r="H945" s="1"/>
      <c r="I945" s="4"/>
    </row>
    <row r="946" ht="17.25" customHeight="1">
      <c r="A946" s="1"/>
      <c r="B946" s="4"/>
      <c r="C946" s="4"/>
      <c r="D946" s="1"/>
      <c r="E946" s="4"/>
      <c r="F946" s="1"/>
      <c r="G946" s="1"/>
      <c r="H946" s="1"/>
      <c r="I946" s="4"/>
    </row>
    <row r="947" ht="17.25" customHeight="1">
      <c r="A947" s="1"/>
      <c r="B947" s="4"/>
      <c r="C947" s="4"/>
      <c r="D947" s="1"/>
      <c r="E947" s="4"/>
      <c r="F947" s="1"/>
      <c r="G947" s="1"/>
      <c r="H947" s="1"/>
      <c r="I947" s="4"/>
    </row>
    <row r="948" ht="17.25" customHeight="1">
      <c r="A948" s="1"/>
      <c r="B948" s="4"/>
      <c r="C948" s="4"/>
      <c r="D948" s="1"/>
      <c r="E948" s="4"/>
      <c r="F948" s="1"/>
      <c r="G948" s="1"/>
      <c r="H948" s="1"/>
      <c r="I948" s="4"/>
    </row>
    <row r="949" ht="17.25" customHeight="1">
      <c r="A949" s="1"/>
      <c r="B949" s="4"/>
      <c r="C949" s="4"/>
      <c r="D949" s="1"/>
      <c r="E949" s="4"/>
      <c r="F949" s="1"/>
      <c r="G949" s="1"/>
      <c r="H949" s="1"/>
      <c r="I949" s="4"/>
    </row>
    <row r="950" ht="17.25" customHeight="1">
      <c r="A950" s="1"/>
      <c r="B950" s="4"/>
      <c r="C950" s="4"/>
      <c r="D950" s="1"/>
      <c r="E950" s="4"/>
      <c r="F950" s="1"/>
      <c r="G950" s="1"/>
      <c r="H950" s="1"/>
      <c r="I950" s="4"/>
    </row>
    <row r="951" ht="17.25" customHeight="1">
      <c r="A951" s="1"/>
      <c r="B951" s="4"/>
      <c r="C951" s="4"/>
      <c r="D951" s="1"/>
      <c r="E951" s="4"/>
      <c r="F951" s="1"/>
      <c r="G951" s="1"/>
      <c r="H951" s="1"/>
      <c r="I951" s="4"/>
    </row>
    <row r="952" ht="17.25" customHeight="1">
      <c r="A952" s="1"/>
      <c r="B952" s="4"/>
      <c r="C952" s="4"/>
      <c r="D952" s="1"/>
      <c r="E952" s="4"/>
      <c r="F952" s="1"/>
      <c r="G952" s="1"/>
      <c r="H952" s="1"/>
      <c r="I952" s="4"/>
    </row>
    <row r="953" ht="17.25" customHeight="1">
      <c r="A953" s="1"/>
      <c r="B953" s="4"/>
      <c r="C953" s="4"/>
      <c r="D953" s="1"/>
      <c r="E953" s="4"/>
      <c r="F953" s="1"/>
      <c r="G953" s="1"/>
      <c r="H953" s="1"/>
      <c r="I953" s="4"/>
    </row>
    <row r="954" ht="17.25" customHeight="1">
      <c r="A954" s="1"/>
      <c r="B954" s="4"/>
      <c r="C954" s="4"/>
      <c r="D954" s="1"/>
      <c r="E954" s="4"/>
      <c r="F954" s="1"/>
      <c r="G954" s="1"/>
      <c r="H954" s="1"/>
      <c r="I954" s="4"/>
    </row>
    <row r="955" ht="17.25" customHeight="1">
      <c r="A955" s="1"/>
      <c r="B955" s="4"/>
      <c r="C955" s="4"/>
      <c r="D955" s="1"/>
      <c r="E955" s="4"/>
      <c r="F955" s="1"/>
      <c r="G955" s="1"/>
      <c r="H955" s="1"/>
      <c r="I955" s="4"/>
    </row>
    <row r="956" ht="17.25" customHeight="1">
      <c r="A956" s="1"/>
      <c r="B956" s="4"/>
      <c r="C956" s="4"/>
      <c r="D956" s="1"/>
      <c r="E956" s="4"/>
      <c r="F956" s="1"/>
      <c r="G956" s="1"/>
      <c r="H956" s="1"/>
      <c r="I956" s="4"/>
    </row>
    <row r="957" ht="17.25" customHeight="1">
      <c r="A957" s="1"/>
      <c r="B957" s="4"/>
      <c r="C957" s="4"/>
      <c r="D957" s="1"/>
      <c r="E957" s="4"/>
      <c r="F957" s="1"/>
      <c r="G957" s="1"/>
      <c r="H957" s="1"/>
      <c r="I957" s="4"/>
    </row>
    <row r="958" ht="17.25" customHeight="1">
      <c r="A958" s="1"/>
      <c r="B958" s="4"/>
      <c r="C958" s="4"/>
      <c r="D958" s="1"/>
      <c r="E958" s="4"/>
      <c r="F958" s="1"/>
      <c r="G958" s="1"/>
      <c r="H958" s="1"/>
      <c r="I958" s="4"/>
    </row>
    <row r="959" ht="17.25" customHeight="1">
      <c r="A959" s="1"/>
      <c r="B959" s="4"/>
      <c r="C959" s="4"/>
      <c r="D959" s="1"/>
      <c r="E959" s="4"/>
      <c r="F959" s="1"/>
      <c r="G959" s="1"/>
      <c r="H959" s="1"/>
      <c r="I959" s="4"/>
    </row>
    <row r="960" ht="17.25" customHeight="1">
      <c r="A960" s="1"/>
      <c r="B960" s="4"/>
      <c r="C960" s="4"/>
      <c r="D960" s="1"/>
      <c r="E960" s="4"/>
      <c r="F960" s="1"/>
      <c r="G960" s="1"/>
      <c r="H960" s="1"/>
      <c r="I960" s="4"/>
    </row>
    <row r="961" ht="17.25" customHeight="1">
      <c r="A961" s="1"/>
      <c r="B961" s="4"/>
      <c r="C961" s="4"/>
      <c r="D961" s="1"/>
      <c r="E961" s="4"/>
      <c r="F961" s="1"/>
      <c r="G961" s="1"/>
      <c r="H961" s="1"/>
      <c r="I961" s="4"/>
    </row>
    <row r="962" ht="17.25" customHeight="1">
      <c r="A962" s="1"/>
      <c r="B962" s="4"/>
      <c r="C962" s="4"/>
      <c r="D962" s="1"/>
      <c r="E962" s="4"/>
      <c r="F962" s="1"/>
      <c r="G962" s="1"/>
      <c r="H962" s="1"/>
      <c r="I962" s="4"/>
    </row>
    <row r="963" ht="17.25" customHeight="1">
      <c r="A963" s="1"/>
      <c r="B963" s="4"/>
      <c r="C963" s="4"/>
      <c r="D963" s="1"/>
      <c r="E963" s="4"/>
      <c r="F963" s="1"/>
      <c r="G963" s="1"/>
      <c r="H963" s="1"/>
      <c r="I963" s="4"/>
    </row>
    <row r="964" ht="17.25" customHeight="1">
      <c r="A964" s="1"/>
      <c r="B964" s="4"/>
      <c r="C964" s="4"/>
      <c r="D964" s="1"/>
      <c r="E964" s="4"/>
      <c r="F964" s="1"/>
      <c r="G964" s="1"/>
      <c r="H964" s="1"/>
      <c r="I964" s="4"/>
    </row>
    <row r="965" ht="17.25" customHeight="1">
      <c r="A965" s="1"/>
      <c r="B965" s="4"/>
      <c r="C965" s="4"/>
      <c r="D965" s="1"/>
      <c r="E965" s="4"/>
      <c r="F965" s="1"/>
      <c r="G965" s="1"/>
      <c r="H965" s="1"/>
      <c r="I965" s="4"/>
    </row>
    <row r="966" ht="17.25" customHeight="1">
      <c r="A966" s="1"/>
      <c r="B966" s="4"/>
      <c r="C966" s="4"/>
      <c r="D966" s="1"/>
      <c r="E966" s="4"/>
      <c r="F966" s="1"/>
      <c r="G966" s="1"/>
      <c r="H966" s="1"/>
      <c r="I966" s="4"/>
    </row>
    <row r="967" ht="17.25" customHeight="1">
      <c r="A967" s="1"/>
      <c r="B967" s="4"/>
      <c r="C967" s="4"/>
      <c r="D967" s="1"/>
      <c r="E967" s="4"/>
      <c r="F967" s="1"/>
      <c r="G967" s="1"/>
      <c r="H967" s="1"/>
      <c r="I967" s="4"/>
    </row>
    <row r="968" ht="17.25" customHeight="1">
      <c r="A968" s="1"/>
      <c r="B968" s="4"/>
      <c r="C968" s="4"/>
      <c r="D968" s="1"/>
      <c r="E968" s="4"/>
      <c r="F968" s="1"/>
      <c r="G968" s="1"/>
      <c r="H968" s="1"/>
      <c r="I968" s="4"/>
    </row>
    <row r="969" ht="17.25" customHeight="1">
      <c r="A969" s="1"/>
      <c r="B969" s="4"/>
      <c r="C969" s="4"/>
      <c r="D969" s="1"/>
      <c r="E969" s="4"/>
      <c r="F969" s="1"/>
      <c r="G969" s="1"/>
      <c r="H969" s="1"/>
      <c r="I969" s="4"/>
    </row>
    <row r="970" ht="17.25" customHeight="1">
      <c r="A970" s="1"/>
      <c r="B970" s="4"/>
      <c r="C970" s="4"/>
      <c r="D970" s="1"/>
      <c r="E970" s="4"/>
      <c r="F970" s="1"/>
      <c r="G970" s="1"/>
      <c r="H970" s="1"/>
      <c r="I970" s="4"/>
    </row>
    <row r="971" ht="17.25" customHeight="1">
      <c r="A971" s="1"/>
      <c r="B971" s="4"/>
      <c r="C971" s="4"/>
      <c r="D971" s="1"/>
      <c r="E971" s="4"/>
      <c r="F971" s="1"/>
      <c r="G971" s="1"/>
      <c r="H971" s="1"/>
      <c r="I971" s="4"/>
    </row>
    <row r="972" ht="17.25" customHeight="1">
      <c r="A972" s="1"/>
      <c r="B972" s="4"/>
      <c r="C972" s="4"/>
      <c r="D972" s="1"/>
      <c r="E972" s="4"/>
      <c r="F972" s="1"/>
      <c r="G972" s="1"/>
      <c r="H972" s="1"/>
      <c r="I972" s="4"/>
    </row>
    <row r="973" ht="17.25" customHeight="1">
      <c r="A973" s="1"/>
      <c r="B973" s="4"/>
      <c r="C973" s="4"/>
      <c r="D973" s="1"/>
      <c r="E973" s="4"/>
      <c r="F973" s="1"/>
      <c r="G973" s="1"/>
      <c r="H973" s="1"/>
      <c r="I973" s="4"/>
    </row>
    <row r="974" ht="17.25" customHeight="1">
      <c r="A974" s="1"/>
      <c r="B974" s="4"/>
      <c r="C974" s="4"/>
      <c r="D974" s="1"/>
      <c r="E974" s="4"/>
      <c r="F974" s="1"/>
      <c r="G974" s="1"/>
      <c r="H974" s="1"/>
      <c r="I974" s="4"/>
    </row>
    <row r="975" ht="17.25" customHeight="1">
      <c r="A975" s="1"/>
      <c r="B975" s="4"/>
      <c r="C975" s="4"/>
      <c r="D975" s="1"/>
      <c r="E975" s="4"/>
      <c r="F975" s="1"/>
      <c r="G975" s="1"/>
      <c r="H975" s="1"/>
      <c r="I975" s="4"/>
    </row>
    <row r="976" ht="17.25" customHeight="1">
      <c r="A976" s="1"/>
      <c r="B976" s="4"/>
      <c r="C976" s="4"/>
      <c r="D976" s="1"/>
      <c r="E976" s="4"/>
      <c r="F976" s="1"/>
      <c r="G976" s="1"/>
      <c r="H976" s="1"/>
      <c r="I976" s="4"/>
    </row>
    <row r="977" ht="17.25" customHeight="1">
      <c r="A977" s="1"/>
      <c r="B977" s="4"/>
      <c r="C977" s="4"/>
      <c r="D977" s="1"/>
      <c r="E977" s="4"/>
      <c r="F977" s="1"/>
      <c r="G977" s="1"/>
      <c r="H977" s="1"/>
      <c r="I977" s="4"/>
    </row>
    <row r="978" ht="17.25" customHeight="1">
      <c r="A978" s="1"/>
      <c r="B978" s="4"/>
      <c r="C978" s="4"/>
      <c r="D978" s="1"/>
      <c r="E978" s="4"/>
      <c r="F978" s="1"/>
      <c r="G978" s="1"/>
      <c r="H978" s="1"/>
      <c r="I978" s="4"/>
    </row>
    <row r="979" ht="17.25" customHeight="1">
      <c r="A979" s="1"/>
      <c r="B979" s="4"/>
      <c r="C979" s="4"/>
      <c r="D979" s="1"/>
      <c r="E979" s="4"/>
      <c r="F979" s="1"/>
      <c r="G979" s="1"/>
      <c r="H979" s="1"/>
      <c r="I979" s="4"/>
    </row>
    <row r="980" ht="17.25" customHeight="1">
      <c r="A980" s="1"/>
      <c r="B980" s="4"/>
      <c r="C980" s="4"/>
      <c r="D980" s="1"/>
      <c r="E980" s="4"/>
      <c r="F980" s="1"/>
      <c r="G980" s="1"/>
      <c r="H980" s="1"/>
      <c r="I980" s="4"/>
    </row>
    <row r="981" ht="17.25" customHeight="1">
      <c r="A981" s="1"/>
      <c r="B981" s="4"/>
      <c r="C981" s="4"/>
      <c r="D981" s="1"/>
      <c r="E981" s="4"/>
      <c r="F981" s="1"/>
      <c r="G981" s="1"/>
      <c r="H981" s="1"/>
      <c r="I981" s="4"/>
    </row>
    <row r="982" ht="17.25" customHeight="1">
      <c r="A982" s="1"/>
      <c r="B982" s="4"/>
      <c r="C982" s="4"/>
      <c r="D982" s="1"/>
      <c r="E982" s="4"/>
      <c r="F982" s="1"/>
      <c r="G982" s="1"/>
      <c r="H982" s="1"/>
      <c r="I982" s="4"/>
    </row>
    <row r="983" ht="17.25" customHeight="1">
      <c r="A983" s="1"/>
      <c r="B983" s="4"/>
      <c r="C983" s="4"/>
      <c r="D983" s="1"/>
      <c r="E983" s="4"/>
      <c r="F983" s="1"/>
      <c r="G983" s="1"/>
      <c r="H983" s="1"/>
      <c r="I983" s="4"/>
    </row>
    <row r="984" ht="17.25" customHeight="1">
      <c r="A984" s="1"/>
      <c r="B984" s="4"/>
      <c r="C984" s="4"/>
      <c r="D984" s="1"/>
      <c r="E984" s="4"/>
      <c r="F984" s="1"/>
      <c r="G984" s="1"/>
      <c r="H984" s="1"/>
      <c r="I984" s="4"/>
    </row>
    <row r="985" ht="17.25" customHeight="1">
      <c r="A985" s="1"/>
      <c r="B985" s="4"/>
      <c r="C985" s="4"/>
      <c r="D985" s="1"/>
      <c r="E985" s="4"/>
      <c r="F985" s="1"/>
      <c r="G985" s="1"/>
      <c r="H985" s="1"/>
      <c r="I985" s="4"/>
    </row>
    <row r="986" ht="17.25" customHeight="1">
      <c r="A986" s="1"/>
      <c r="B986" s="4"/>
      <c r="C986" s="4"/>
      <c r="D986" s="1"/>
      <c r="E986" s="4"/>
      <c r="F986" s="1"/>
      <c r="G986" s="1"/>
      <c r="H986" s="1"/>
      <c r="I986" s="4"/>
    </row>
    <row r="987" ht="17.25" customHeight="1">
      <c r="A987" s="1"/>
      <c r="B987" s="4"/>
      <c r="C987" s="4"/>
      <c r="D987" s="1"/>
      <c r="E987" s="4"/>
      <c r="F987" s="1"/>
      <c r="G987" s="1"/>
      <c r="H987" s="1"/>
      <c r="I987" s="4"/>
    </row>
    <row r="988" ht="17.25" customHeight="1">
      <c r="A988" s="1"/>
      <c r="B988" s="4"/>
      <c r="C988" s="4"/>
      <c r="D988" s="1"/>
      <c r="E988" s="4"/>
      <c r="F988" s="1"/>
      <c r="G988" s="1"/>
      <c r="H988" s="1"/>
      <c r="I988" s="4"/>
    </row>
    <row r="989" ht="17.25" customHeight="1">
      <c r="A989" s="1"/>
      <c r="B989" s="4"/>
      <c r="C989" s="4"/>
      <c r="D989" s="1"/>
      <c r="E989" s="4"/>
      <c r="F989" s="1"/>
      <c r="G989" s="1"/>
      <c r="H989" s="1"/>
      <c r="I989" s="4"/>
    </row>
    <row r="990" ht="17.25" customHeight="1">
      <c r="A990" s="1"/>
      <c r="B990" s="4"/>
      <c r="C990" s="4"/>
      <c r="D990" s="1"/>
      <c r="E990" s="4"/>
      <c r="F990" s="1"/>
      <c r="G990" s="1"/>
      <c r="H990" s="1"/>
      <c r="I990" s="4"/>
    </row>
    <row r="991" ht="17.25" customHeight="1">
      <c r="A991" s="1"/>
      <c r="B991" s="4"/>
      <c r="C991" s="4"/>
      <c r="D991" s="1"/>
      <c r="E991" s="4"/>
      <c r="F991" s="1"/>
      <c r="G991" s="1"/>
      <c r="H991" s="1"/>
      <c r="I991" s="4"/>
    </row>
    <row r="992" ht="17.25" customHeight="1">
      <c r="A992" s="1"/>
      <c r="B992" s="4"/>
      <c r="C992" s="4"/>
      <c r="D992" s="1"/>
      <c r="E992" s="4"/>
      <c r="F992" s="1"/>
      <c r="G992" s="1"/>
      <c r="H992" s="1"/>
      <c r="I992" s="4"/>
    </row>
    <row r="993" ht="17.25" customHeight="1">
      <c r="A993" s="1"/>
      <c r="B993" s="4"/>
      <c r="C993" s="4"/>
      <c r="D993" s="1"/>
      <c r="E993" s="4"/>
      <c r="F993" s="1"/>
      <c r="G993" s="1"/>
      <c r="H993" s="1"/>
      <c r="I993" s="4"/>
    </row>
    <row r="994" ht="17.25" customHeight="1">
      <c r="A994" s="1"/>
      <c r="B994" s="4"/>
      <c r="C994" s="4"/>
      <c r="D994" s="1"/>
      <c r="E994" s="4"/>
      <c r="F994" s="1"/>
      <c r="G994" s="1"/>
      <c r="H994" s="1"/>
      <c r="I994" s="4"/>
    </row>
    <row r="995" ht="17.25" customHeight="1">
      <c r="A995" s="1"/>
      <c r="B995" s="4"/>
      <c r="C995" s="4"/>
      <c r="D995" s="1"/>
      <c r="E995" s="4"/>
      <c r="F995" s="1"/>
      <c r="G995" s="1"/>
      <c r="H995" s="1"/>
      <c r="I995" s="4"/>
    </row>
    <row r="996" ht="17.25" customHeight="1">
      <c r="A996" s="1"/>
      <c r="B996" s="4"/>
      <c r="C996" s="4"/>
      <c r="D996" s="1"/>
      <c r="E996" s="4"/>
      <c r="F996" s="1"/>
      <c r="G996" s="1"/>
      <c r="H996" s="1"/>
      <c r="I996" s="4"/>
    </row>
    <row r="997" ht="17.25" customHeight="1">
      <c r="A997" s="1"/>
      <c r="B997" s="4"/>
      <c r="C997" s="4"/>
      <c r="D997" s="1"/>
      <c r="E997" s="4"/>
      <c r="F997" s="1"/>
      <c r="G997" s="1"/>
      <c r="H997" s="1"/>
      <c r="I997" s="4"/>
    </row>
    <row r="998" ht="17.25" customHeight="1">
      <c r="A998" s="1"/>
      <c r="B998" s="4"/>
      <c r="C998" s="4"/>
      <c r="D998" s="1"/>
      <c r="E998" s="4"/>
      <c r="F998" s="1"/>
      <c r="G998" s="1"/>
      <c r="H998" s="1"/>
      <c r="I998" s="4"/>
    </row>
    <row r="999" ht="17.25" customHeight="1">
      <c r="A999" s="1"/>
      <c r="B999" s="4"/>
      <c r="C999" s="4"/>
      <c r="D999" s="1"/>
      <c r="E999" s="4"/>
      <c r="F999" s="1"/>
      <c r="G999" s="1"/>
      <c r="H999" s="1"/>
      <c r="I999" s="4"/>
    </row>
    <row r="1000" ht="17.25" customHeight="1">
      <c r="A1000" s="1"/>
      <c r="B1000" s="4"/>
      <c r="C1000" s="4"/>
      <c r="D1000" s="1"/>
      <c r="E1000" s="4"/>
      <c r="F1000" s="1"/>
      <c r="G1000" s="1"/>
      <c r="H1000" s="1"/>
      <c r="I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2" width="14.0"/>
    <col customWidth="1" min="3" max="3" width="33.43"/>
    <col customWidth="1" min="4" max="4" width="14.14"/>
    <col customWidth="1" min="5" max="5" width="82.14"/>
    <col customWidth="1" min="6" max="6" width="11.57"/>
    <col customWidth="1" min="7" max="7" width="16.14"/>
    <col customWidth="1" min="8" max="8" width="15.71"/>
    <col customWidth="1" min="9" max="26" width="9.0"/>
  </cols>
  <sheetData>
    <row r="1" ht="47.25" customHeight="1">
      <c r="A1" s="2" t="s">
        <v>0</v>
      </c>
      <c r="B1" s="3"/>
      <c r="C1" s="3"/>
      <c r="D1" s="7"/>
      <c r="E1" s="7"/>
      <c r="F1" s="76"/>
      <c r="G1" s="76"/>
      <c r="H1" s="7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6.25" customHeight="1">
      <c r="A2" s="13" t="s">
        <v>4</v>
      </c>
      <c r="B2" s="22"/>
      <c r="C2" s="22"/>
      <c r="D2" s="22"/>
      <c r="E2" s="22"/>
      <c r="F2" s="78"/>
      <c r="G2" s="78"/>
      <c r="H2" s="17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7.25" customHeight="1">
      <c r="A3" s="29"/>
      <c r="B3" s="22"/>
      <c r="C3" s="22"/>
      <c r="D3" s="22"/>
      <c r="E3" s="22"/>
      <c r="F3" s="78"/>
      <c r="G3" s="78"/>
      <c r="H3" s="17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7.25" customHeight="1">
      <c r="A4" s="31" t="s">
        <v>23</v>
      </c>
      <c r="B4" s="31"/>
      <c r="C4" s="31"/>
      <c r="D4" s="34"/>
      <c r="E4" s="34"/>
      <c r="F4" s="37">
        <f t="shared" ref="F4:H4" si="1">SUM(F6:F807)</f>
        <v>280907</v>
      </c>
      <c r="G4" s="37">
        <f t="shared" si="1"/>
        <v>1453132570</v>
      </c>
      <c r="H4" s="37">
        <f t="shared" si="1"/>
        <v>44341569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8.25" customHeight="1">
      <c r="A5" s="39" t="s">
        <v>41</v>
      </c>
      <c r="B5" s="39" t="s">
        <v>49</v>
      </c>
      <c r="C5" s="39" t="s">
        <v>50</v>
      </c>
      <c r="D5" s="39" t="s">
        <v>51</v>
      </c>
      <c r="E5" s="39" t="s">
        <v>52</v>
      </c>
      <c r="F5" s="42" t="s">
        <v>53</v>
      </c>
      <c r="G5" s="42" t="s">
        <v>12</v>
      </c>
      <c r="H5" s="42" t="s">
        <v>13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7.25" customHeight="1">
      <c r="A6" s="44" t="s">
        <v>21</v>
      </c>
      <c r="B6" s="47" t="s">
        <v>63</v>
      </c>
      <c r="C6" s="79" t="s">
        <v>722</v>
      </c>
      <c r="D6" s="79" t="s">
        <v>721</v>
      </c>
      <c r="E6" s="79" t="s">
        <v>1464</v>
      </c>
      <c r="F6" s="58">
        <v>715.0</v>
      </c>
      <c r="G6" s="58">
        <v>4837900.0</v>
      </c>
      <c r="H6" s="58">
        <v>534820.0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7.25" customHeight="1">
      <c r="A7" s="44" t="s">
        <v>21</v>
      </c>
      <c r="B7" s="47" t="s">
        <v>63</v>
      </c>
      <c r="C7" s="79" t="s">
        <v>722</v>
      </c>
      <c r="D7" s="79" t="s">
        <v>721</v>
      </c>
      <c r="E7" s="79" t="s">
        <v>1467</v>
      </c>
      <c r="F7" s="58">
        <v>1221.0</v>
      </c>
      <c r="G7" s="58">
        <v>7982150.0</v>
      </c>
      <c r="H7" s="58">
        <v>850218.0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7.25" customHeight="1">
      <c r="A8" s="44" t="s">
        <v>21</v>
      </c>
      <c r="B8" s="47" t="s">
        <v>63</v>
      </c>
      <c r="C8" s="79" t="s">
        <v>722</v>
      </c>
      <c r="D8" s="79" t="s">
        <v>721</v>
      </c>
      <c r="E8" s="79" t="s">
        <v>1470</v>
      </c>
      <c r="F8" s="58">
        <v>236.0</v>
      </c>
      <c r="G8" s="58">
        <v>4176000.0</v>
      </c>
      <c r="H8" s="58">
        <v>442255.0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7.25" customHeight="1">
      <c r="A9" s="44" t="s">
        <v>21</v>
      </c>
      <c r="B9" s="47" t="s">
        <v>63</v>
      </c>
      <c r="C9" s="79" t="s">
        <v>72</v>
      </c>
      <c r="D9" s="79" t="s">
        <v>71</v>
      </c>
      <c r="E9" s="79" t="s">
        <v>1475</v>
      </c>
      <c r="F9" s="58">
        <v>11.0</v>
      </c>
      <c r="G9" s="58">
        <v>434900.0</v>
      </c>
      <c r="H9" s="58">
        <v>45006.0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7.25" customHeight="1">
      <c r="A10" s="44" t="s">
        <v>21</v>
      </c>
      <c r="B10" s="47" t="s">
        <v>91</v>
      </c>
      <c r="C10" s="79" t="s">
        <v>72</v>
      </c>
      <c r="D10" s="79" t="s">
        <v>71</v>
      </c>
      <c r="E10" s="79" t="s">
        <v>1477</v>
      </c>
      <c r="F10" s="58">
        <v>5.0</v>
      </c>
      <c r="G10" s="58">
        <v>69500.0</v>
      </c>
      <c r="H10" s="58">
        <v>7282.0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7.25" customHeight="1">
      <c r="A11" s="44" t="s">
        <v>21</v>
      </c>
      <c r="B11" s="47" t="s">
        <v>91</v>
      </c>
      <c r="C11" s="79" t="s">
        <v>72</v>
      </c>
      <c r="D11" s="79" t="s">
        <v>71</v>
      </c>
      <c r="E11" s="79" t="s">
        <v>1479</v>
      </c>
      <c r="F11" s="58">
        <v>2.0</v>
      </c>
      <c r="G11" s="58">
        <v>41800.0</v>
      </c>
      <c r="H11" s="58">
        <v>2590.0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7.25" customHeight="1">
      <c r="A12" s="44" t="s">
        <v>21</v>
      </c>
      <c r="B12" s="47" t="s">
        <v>63</v>
      </c>
      <c r="C12" s="79" t="s">
        <v>72</v>
      </c>
      <c r="D12" s="79" t="s">
        <v>71</v>
      </c>
      <c r="E12" s="79" t="s">
        <v>1481</v>
      </c>
      <c r="F12" s="58">
        <v>41.0</v>
      </c>
      <c r="G12" s="58">
        <v>430500.0</v>
      </c>
      <c r="H12" s="58">
        <v>46702.0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7.25" customHeight="1">
      <c r="A13" s="44" t="s">
        <v>21</v>
      </c>
      <c r="B13" s="47" t="s">
        <v>63</v>
      </c>
      <c r="C13" s="79" t="s">
        <v>72</v>
      </c>
      <c r="D13" s="79" t="s">
        <v>71</v>
      </c>
      <c r="E13" s="79" t="s">
        <v>1484</v>
      </c>
      <c r="F13" s="58">
        <v>9.0</v>
      </c>
      <c r="G13" s="58">
        <v>125100.0</v>
      </c>
      <c r="H13" s="58">
        <v>13900.0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7.25" customHeight="1">
      <c r="A14" s="44" t="s">
        <v>21</v>
      </c>
      <c r="B14" s="47" t="s">
        <v>63</v>
      </c>
      <c r="C14" s="79" t="s">
        <v>1486</v>
      </c>
      <c r="D14" s="79" t="s">
        <v>299</v>
      </c>
      <c r="E14" s="79" t="s">
        <v>1487</v>
      </c>
      <c r="F14" s="58">
        <v>2024.0</v>
      </c>
      <c r="G14" s="58">
        <v>4857600.0</v>
      </c>
      <c r="H14" s="58">
        <v>269694.0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7.25" customHeight="1">
      <c r="A15" s="44" t="s">
        <v>21</v>
      </c>
      <c r="B15" s="47" t="s">
        <v>63</v>
      </c>
      <c r="C15" s="79" t="s">
        <v>1486</v>
      </c>
      <c r="D15" s="79" t="s">
        <v>299</v>
      </c>
      <c r="E15" s="79" t="s">
        <v>1490</v>
      </c>
      <c r="F15" s="58">
        <v>1290.0</v>
      </c>
      <c r="G15" s="58">
        <v>2967000.0</v>
      </c>
      <c r="H15" s="58">
        <v>141606.0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7.25" customHeight="1">
      <c r="A16" s="44" t="s">
        <v>21</v>
      </c>
      <c r="B16" s="47" t="s">
        <v>63</v>
      </c>
      <c r="C16" s="79" t="s">
        <v>1486</v>
      </c>
      <c r="D16" s="79" t="s">
        <v>299</v>
      </c>
      <c r="E16" s="79" t="s">
        <v>1492</v>
      </c>
      <c r="F16" s="58">
        <v>1079.0</v>
      </c>
      <c r="G16" s="58">
        <v>2697500.0</v>
      </c>
      <c r="H16" s="58">
        <v>121065.0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7.25" customHeight="1">
      <c r="A17" s="44" t="s">
        <v>21</v>
      </c>
      <c r="B17" s="47" t="s">
        <v>63</v>
      </c>
      <c r="C17" s="79" t="s">
        <v>1486</v>
      </c>
      <c r="D17" s="79" t="s">
        <v>299</v>
      </c>
      <c r="E17" s="79" t="s">
        <v>1496</v>
      </c>
      <c r="F17" s="58">
        <v>1161.0</v>
      </c>
      <c r="G17" s="58">
        <v>3250800.0</v>
      </c>
      <c r="H17" s="58">
        <v>168482.0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7.25" customHeight="1">
      <c r="A18" s="44" t="s">
        <v>21</v>
      </c>
      <c r="B18" s="47" t="s">
        <v>63</v>
      </c>
      <c r="C18" s="79" t="s">
        <v>1486</v>
      </c>
      <c r="D18" s="79" t="s">
        <v>299</v>
      </c>
      <c r="E18" s="79" t="s">
        <v>1498</v>
      </c>
      <c r="F18" s="58">
        <v>1595.0</v>
      </c>
      <c r="G18" s="58">
        <v>4466000.0</v>
      </c>
      <c r="H18" s="58">
        <v>250968.0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7.25" customHeight="1">
      <c r="A19" s="44" t="s">
        <v>21</v>
      </c>
      <c r="B19" s="47" t="s">
        <v>63</v>
      </c>
      <c r="C19" s="79" t="s">
        <v>1486</v>
      </c>
      <c r="D19" s="79" t="s">
        <v>299</v>
      </c>
      <c r="E19" s="79" t="s">
        <v>1500</v>
      </c>
      <c r="F19" s="58">
        <v>1812.0</v>
      </c>
      <c r="G19" s="58">
        <v>6342000.0</v>
      </c>
      <c r="H19" s="58">
        <v>291421.0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7.25" customHeight="1">
      <c r="A20" s="44" t="s">
        <v>21</v>
      </c>
      <c r="B20" s="47" t="s">
        <v>63</v>
      </c>
      <c r="C20" s="79" t="s">
        <v>1486</v>
      </c>
      <c r="D20" s="79" t="s">
        <v>299</v>
      </c>
      <c r="E20" s="79" t="s">
        <v>1502</v>
      </c>
      <c r="F20" s="58">
        <v>1164.0</v>
      </c>
      <c r="G20" s="58">
        <v>2060280.0</v>
      </c>
      <c r="H20" s="58">
        <v>99017.0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7.25" customHeight="1">
      <c r="A21" s="44" t="s">
        <v>21</v>
      </c>
      <c r="B21" s="47" t="s">
        <v>63</v>
      </c>
      <c r="C21" s="79" t="s">
        <v>1486</v>
      </c>
      <c r="D21" s="79" t="s">
        <v>299</v>
      </c>
      <c r="E21" s="79" t="s">
        <v>1504</v>
      </c>
      <c r="F21" s="58">
        <v>936.0</v>
      </c>
      <c r="G21" s="58">
        <v>2527200.0</v>
      </c>
      <c r="H21" s="58">
        <v>102269.0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7.25" customHeight="1">
      <c r="A22" s="44" t="s">
        <v>21</v>
      </c>
      <c r="B22" s="47" t="s">
        <v>63</v>
      </c>
      <c r="C22" s="79" t="s">
        <v>1486</v>
      </c>
      <c r="D22" s="79" t="s">
        <v>299</v>
      </c>
      <c r="E22" s="79" t="s">
        <v>1506</v>
      </c>
      <c r="F22" s="58">
        <v>848.0</v>
      </c>
      <c r="G22" s="58">
        <v>2459200.0</v>
      </c>
      <c r="H22" s="58">
        <v>100078.0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7.25" customHeight="1">
      <c r="A23" s="44" t="s">
        <v>21</v>
      </c>
      <c r="B23" s="47" t="s">
        <v>63</v>
      </c>
      <c r="C23" s="79" t="s">
        <v>1486</v>
      </c>
      <c r="D23" s="79" t="s">
        <v>299</v>
      </c>
      <c r="E23" s="79" t="s">
        <v>1509</v>
      </c>
      <c r="F23" s="58">
        <v>1110.0</v>
      </c>
      <c r="G23" s="58">
        <v>2664000.0</v>
      </c>
      <c r="H23" s="58">
        <v>135562.0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7.25" customHeight="1">
      <c r="A24" s="44" t="s">
        <v>21</v>
      </c>
      <c r="B24" s="47" t="s">
        <v>99</v>
      </c>
      <c r="C24" s="79" t="s">
        <v>1486</v>
      </c>
      <c r="D24" s="79" t="s">
        <v>299</v>
      </c>
      <c r="E24" s="79" t="s">
        <v>1511</v>
      </c>
      <c r="F24" s="58">
        <v>798.0</v>
      </c>
      <c r="G24" s="58">
        <v>3910200.0</v>
      </c>
      <c r="H24" s="58">
        <v>188318.0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7.25" customHeight="1">
      <c r="A25" s="44" t="s">
        <v>21</v>
      </c>
      <c r="B25" s="47" t="s">
        <v>99</v>
      </c>
      <c r="C25" s="79" t="s">
        <v>1486</v>
      </c>
      <c r="D25" s="79" t="s">
        <v>299</v>
      </c>
      <c r="E25" s="79" t="s">
        <v>1513</v>
      </c>
      <c r="F25" s="58">
        <v>509.0</v>
      </c>
      <c r="G25" s="58">
        <v>3726600.0</v>
      </c>
      <c r="H25" s="58">
        <v>262003.0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7.25" customHeight="1">
      <c r="A26" s="44" t="s">
        <v>21</v>
      </c>
      <c r="B26" s="47" t="s">
        <v>63</v>
      </c>
      <c r="C26" s="79" t="s">
        <v>1517</v>
      </c>
      <c r="D26" s="79" t="s">
        <v>455</v>
      </c>
      <c r="E26" s="79" t="s">
        <v>1519</v>
      </c>
      <c r="F26" s="58">
        <v>34.0</v>
      </c>
      <c r="G26" s="58">
        <v>510000.0</v>
      </c>
      <c r="H26" s="58">
        <v>99000.0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7.25" customHeight="1">
      <c r="A27" s="44" t="s">
        <v>21</v>
      </c>
      <c r="B27" s="47" t="s">
        <v>63</v>
      </c>
      <c r="C27" s="79" t="s">
        <v>1517</v>
      </c>
      <c r="D27" s="79" t="s">
        <v>455</v>
      </c>
      <c r="E27" s="79" t="s">
        <v>1521</v>
      </c>
      <c r="F27" s="58">
        <v>3.0</v>
      </c>
      <c r="G27" s="58">
        <v>45000.0</v>
      </c>
      <c r="H27" s="58">
        <v>4000.0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7.25" customHeight="1">
      <c r="A28" s="44" t="s">
        <v>21</v>
      </c>
      <c r="B28" s="47" t="s">
        <v>63</v>
      </c>
      <c r="C28" s="79" t="s">
        <v>616</v>
      </c>
      <c r="D28" s="79" t="s">
        <v>615</v>
      </c>
      <c r="E28" s="79" t="s">
        <v>1523</v>
      </c>
      <c r="F28" s="58">
        <v>162.0</v>
      </c>
      <c r="G28" s="58">
        <v>4284960.0</v>
      </c>
      <c r="H28" s="58">
        <v>398576.0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7.25" customHeight="1">
      <c r="A29" s="44" t="s">
        <v>21</v>
      </c>
      <c r="B29" s="47" t="s">
        <v>63</v>
      </c>
      <c r="C29" s="79" t="s">
        <v>616</v>
      </c>
      <c r="D29" s="79" t="s">
        <v>615</v>
      </c>
      <c r="E29" s="79" t="s">
        <v>1526</v>
      </c>
      <c r="F29" s="58">
        <v>198.0</v>
      </c>
      <c r="G29" s="58">
        <v>5511900.0</v>
      </c>
      <c r="H29" s="58">
        <v>565460.0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7.25" customHeight="1">
      <c r="A30" s="44" t="s">
        <v>21</v>
      </c>
      <c r="B30" s="47" t="s">
        <v>63</v>
      </c>
      <c r="C30" s="79" t="s">
        <v>616</v>
      </c>
      <c r="D30" s="79" t="s">
        <v>615</v>
      </c>
      <c r="E30" s="79" t="s">
        <v>1528</v>
      </c>
      <c r="F30" s="58">
        <v>31.0</v>
      </c>
      <c r="G30" s="58">
        <v>682000.0</v>
      </c>
      <c r="H30" s="58">
        <v>93600.0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7.25" customHeight="1">
      <c r="A31" s="44" t="s">
        <v>21</v>
      </c>
      <c r="B31" s="47" t="s">
        <v>63</v>
      </c>
      <c r="C31" s="79" t="s">
        <v>616</v>
      </c>
      <c r="D31" s="79" t="s">
        <v>615</v>
      </c>
      <c r="E31" s="79" t="s">
        <v>1530</v>
      </c>
      <c r="F31" s="58">
        <v>52.0</v>
      </c>
      <c r="G31" s="58">
        <v>1341600.0</v>
      </c>
      <c r="H31" s="58">
        <v>149000.0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7.25" customHeight="1">
      <c r="A32" s="44" t="s">
        <v>21</v>
      </c>
      <c r="B32" s="47" t="s">
        <v>63</v>
      </c>
      <c r="C32" s="79" t="s">
        <v>616</v>
      </c>
      <c r="D32" s="79" t="s">
        <v>615</v>
      </c>
      <c r="E32" s="79" t="s">
        <v>1532</v>
      </c>
      <c r="F32" s="58">
        <v>38.0</v>
      </c>
      <c r="G32" s="58">
        <v>684000.0</v>
      </c>
      <c r="H32" s="58">
        <v>107056.0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7.25" customHeight="1">
      <c r="A33" s="44" t="s">
        <v>21</v>
      </c>
      <c r="B33" s="44" t="s">
        <v>63</v>
      </c>
      <c r="C33" s="79" t="s">
        <v>616</v>
      </c>
      <c r="D33" s="79" t="s">
        <v>615</v>
      </c>
      <c r="E33" s="79" t="s">
        <v>1535</v>
      </c>
      <c r="F33" s="58">
        <v>63.0</v>
      </c>
      <c r="G33" s="58">
        <v>1184400.0</v>
      </c>
      <c r="H33" s="58">
        <v>144267.0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7.25" customHeight="1">
      <c r="A34" s="44" t="s">
        <v>21</v>
      </c>
      <c r="B34" s="44" t="s">
        <v>91</v>
      </c>
      <c r="C34" s="79" t="s">
        <v>602</v>
      </c>
      <c r="D34" s="79" t="s">
        <v>599</v>
      </c>
      <c r="E34" s="79" t="s">
        <v>1537</v>
      </c>
      <c r="F34" s="58">
        <v>2893.0</v>
      </c>
      <c r="G34" s="58">
        <v>1.727607E8</v>
      </c>
      <c r="H34" s="58">
        <v>869369.0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7.25" customHeight="1">
      <c r="A35" s="44" t="s">
        <v>21</v>
      </c>
      <c r="B35" s="44" t="s">
        <v>91</v>
      </c>
      <c r="C35" s="79" t="s">
        <v>602</v>
      </c>
      <c r="D35" s="79" t="s">
        <v>599</v>
      </c>
      <c r="E35" s="79" t="s">
        <v>1541</v>
      </c>
      <c r="F35" s="58">
        <v>11062.0</v>
      </c>
      <c r="G35" s="58">
        <v>2.8269096E8</v>
      </c>
      <c r="H35" s="58">
        <v>744602.0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7.25" customHeight="1">
      <c r="A36" s="44" t="s">
        <v>21</v>
      </c>
      <c r="B36" s="44" t="s">
        <v>91</v>
      </c>
      <c r="C36" s="79" t="s">
        <v>602</v>
      </c>
      <c r="D36" s="79" t="s">
        <v>599</v>
      </c>
      <c r="E36" s="79" t="s">
        <v>1543</v>
      </c>
      <c r="F36" s="58">
        <v>5048.0</v>
      </c>
      <c r="G36" s="58">
        <v>6.806532E7</v>
      </c>
      <c r="H36" s="58">
        <v>292764.0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7.25" customHeight="1">
      <c r="A37" s="44" t="s">
        <v>21</v>
      </c>
      <c r="B37" s="44" t="s">
        <v>91</v>
      </c>
      <c r="C37" s="79" t="s">
        <v>602</v>
      </c>
      <c r="D37" s="79" t="s">
        <v>599</v>
      </c>
      <c r="E37" s="79" t="s">
        <v>1547</v>
      </c>
      <c r="F37" s="58">
        <v>1954.0</v>
      </c>
      <c r="G37" s="58">
        <v>4.874208E7</v>
      </c>
      <c r="H37" s="58">
        <v>230365.0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7.25" customHeight="1">
      <c r="A38" s="44" t="s">
        <v>21</v>
      </c>
      <c r="B38" s="44" t="s">
        <v>91</v>
      </c>
      <c r="C38" s="79" t="s">
        <v>602</v>
      </c>
      <c r="D38" s="79" t="s">
        <v>599</v>
      </c>
      <c r="E38" s="79" t="s">
        <v>1549</v>
      </c>
      <c r="F38" s="58">
        <v>1297.0</v>
      </c>
      <c r="G38" s="58">
        <v>1.752914E7</v>
      </c>
      <c r="H38" s="58">
        <v>57235.0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7.25" customHeight="1">
      <c r="A39" s="44" t="s">
        <v>21</v>
      </c>
      <c r="B39" s="44" t="s">
        <v>91</v>
      </c>
      <c r="C39" s="79" t="s">
        <v>602</v>
      </c>
      <c r="D39" s="79" t="s">
        <v>599</v>
      </c>
      <c r="E39" s="79" t="s">
        <v>1551</v>
      </c>
      <c r="F39" s="58">
        <v>199.0</v>
      </c>
      <c r="G39" s="58">
        <v>6930300.0</v>
      </c>
      <c r="H39" s="58">
        <v>60880.0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7.25" customHeight="1">
      <c r="A40" s="44" t="s">
        <v>21</v>
      </c>
      <c r="B40" s="44" t="s">
        <v>91</v>
      </c>
      <c r="C40" s="79" t="s">
        <v>602</v>
      </c>
      <c r="D40" s="79" t="s">
        <v>599</v>
      </c>
      <c r="E40" s="79" t="s">
        <v>1553</v>
      </c>
      <c r="F40" s="58">
        <v>627.0</v>
      </c>
      <c r="G40" s="58">
        <v>1.095E7</v>
      </c>
      <c r="H40" s="58">
        <v>46147.0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7.25" customHeight="1">
      <c r="A41" s="44" t="s">
        <v>21</v>
      </c>
      <c r="B41" s="44" t="s">
        <v>91</v>
      </c>
      <c r="C41" s="79" t="s">
        <v>602</v>
      </c>
      <c r="D41" s="79" t="s">
        <v>599</v>
      </c>
      <c r="E41" s="79" t="s">
        <v>1556</v>
      </c>
      <c r="F41" s="58">
        <v>151.0</v>
      </c>
      <c r="G41" s="58">
        <v>5277500.0</v>
      </c>
      <c r="H41" s="58">
        <v>30825.0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7.25" customHeight="1">
      <c r="A42" s="44" t="s">
        <v>21</v>
      </c>
      <c r="B42" s="44" t="s">
        <v>91</v>
      </c>
      <c r="C42" s="79" t="s">
        <v>602</v>
      </c>
      <c r="D42" s="79" t="s">
        <v>599</v>
      </c>
      <c r="E42" s="79" t="s">
        <v>1558</v>
      </c>
      <c r="F42" s="58">
        <v>1100.0</v>
      </c>
      <c r="G42" s="58">
        <v>1.89409E7</v>
      </c>
      <c r="H42" s="58">
        <v>150554.0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7.25" customHeight="1">
      <c r="A43" s="44" t="s">
        <v>21</v>
      </c>
      <c r="B43" s="44" t="s">
        <v>91</v>
      </c>
      <c r="C43" s="79" t="s">
        <v>602</v>
      </c>
      <c r="D43" s="79" t="s">
        <v>599</v>
      </c>
      <c r="E43" s="79" t="s">
        <v>1562</v>
      </c>
      <c r="F43" s="58">
        <v>647.0</v>
      </c>
      <c r="G43" s="58">
        <v>2.51683E7</v>
      </c>
      <c r="H43" s="58">
        <v>146974.0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7.25" customHeight="1">
      <c r="A44" s="44" t="s">
        <v>21</v>
      </c>
      <c r="B44" s="44" t="s">
        <v>91</v>
      </c>
      <c r="C44" s="79" t="s">
        <v>602</v>
      </c>
      <c r="D44" s="79" t="s">
        <v>599</v>
      </c>
      <c r="E44" s="79" t="s">
        <v>1564</v>
      </c>
      <c r="F44" s="58">
        <v>1077.0</v>
      </c>
      <c r="G44" s="58">
        <v>2.46633E7</v>
      </c>
      <c r="H44" s="58">
        <v>119080.0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7.25" customHeight="1">
      <c r="A45" s="44" t="s">
        <v>21</v>
      </c>
      <c r="B45" s="44" t="s">
        <v>91</v>
      </c>
      <c r="C45" s="79" t="s">
        <v>1566</v>
      </c>
      <c r="D45" s="79" t="s">
        <v>112</v>
      </c>
      <c r="E45" s="79" t="s">
        <v>1567</v>
      </c>
      <c r="F45" s="58">
        <v>5812.0</v>
      </c>
      <c r="G45" s="58">
        <v>1.730456E7</v>
      </c>
      <c r="H45" s="58">
        <v>933549.0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7.25" customHeight="1">
      <c r="A46" s="44" t="s">
        <v>21</v>
      </c>
      <c r="B46" s="44" t="s">
        <v>91</v>
      </c>
      <c r="C46" s="79" t="s">
        <v>1566</v>
      </c>
      <c r="D46" s="79" t="s">
        <v>112</v>
      </c>
      <c r="E46" s="79" t="s">
        <v>1570</v>
      </c>
      <c r="F46" s="58">
        <v>1082.0</v>
      </c>
      <c r="G46" s="58">
        <v>4844550.0</v>
      </c>
      <c r="H46" s="58">
        <v>241272.0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7.25" customHeight="1">
      <c r="A47" s="44" t="s">
        <v>21</v>
      </c>
      <c r="B47" s="44" t="s">
        <v>91</v>
      </c>
      <c r="C47" s="79" t="s">
        <v>1566</v>
      </c>
      <c r="D47" s="79" t="s">
        <v>112</v>
      </c>
      <c r="E47" s="79" t="s">
        <v>1572</v>
      </c>
      <c r="F47" s="58">
        <v>5966.0</v>
      </c>
      <c r="G47" s="58">
        <v>1.366214E7</v>
      </c>
      <c r="H47" s="58">
        <v>605756.0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7.25" customHeight="1">
      <c r="A48" s="44" t="s">
        <v>21</v>
      </c>
      <c r="B48" s="44" t="s">
        <v>91</v>
      </c>
      <c r="C48" s="79" t="s">
        <v>1566</v>
      </c>
      <c r="D48" s="79" t="s">
        <v>112</v>
      </c>
      <c r="E48" s="79" t="s">
        <v>1574</v>
      </c>
      <c r="F48" s="58">
        <v>8836.0</v>
      </c>
      <c r="G48" s="58">
        <v>9542880.0</v>
      </c>
      <c r="H48" s="58">
        <v>376920.0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7.25" customHeight="1">
      <c r="A49" s="44" t="s">
        <v>21</v>
      </c>
      <c r="B49" s="44" t="s">
        <v>63</v>
      </c>
      <c r="C49" s="79" t="s">
        <v>1578</v>
      </c>
      <c r="D49" s="79" t="s">
        <v>566</v>
      </c>
      <c r="E49" s="79" t="s">
        <v>1580</v>
      </c>
      <c r="F49" s="58">
        <v>8.0</v>
      </c>
      <c r="G49" s="58">
        <v>218000.0</v>
      </c>
      <c r="H49" s="58">
        <v>43600.0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7.25" customHeight="1">
      <c r="A50" s="44" t="s">
        <v>21</v>
      </c>
      <c r="B50" s="44" t="s">
        <v>63</v>
      </c>
      <c r="C50" s="79" t="s">
        <v>433</v>
      </c>
      <c r="D50" s="79" t="s">
        <v>432</v>
      </c>
      <c r="E50" s="79" t="s">
        <v>1582</v>
      </c>
      <c r="F50" s="58">
        <v>3.0</v>
      </c>
      <c r="G50" s="58">
        <v>43500.0</v>
      </c>
      <c r="H50" s="58">
        <v>2900.0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7.25" customHeight="1">
      <c r="A51" s="44" t="s">
        <v>21</v>
      </c>
      <c r="B51" s="44" t="s">
        <v>63</v>
      </c>
      <c r="C51" s="79" t="s">
        <v>433</v>
      </c>
      <c r="D51" s="79" t="s">
        <v>432</v>
      </c>
      <c r="E51" s="79" t="s">
        <v>1584</v>
      </c>
      <c r="F51" s="58">
        <v>1.0</v>
      </c>
      <c r="G51" s="58">
        <v>16000.0</v>
      </c>
      <c r="H51" s="58">
        <v>0.0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7.25" customHeight="1">
      <c r="A52" s="44" t="s">
        <v>21</v>
      </c>
      <c r="B52" s="44" t="s">
        <v>63</v>
      </c>
      <c r="C52" s="79" t="s">
        <v>433</v>
      </c>
      <c r="D52" s="79" t="s">
        <v>432</v>
      </c>
      <c r="E52" s="79" t="s">
        <v>1587</v>
      </c>
      <c r="F52" s="58">
        <v>2.0</v>
      </c>
      <c r="G52" s="58">
        <v>37000.0</v>
      </c>
      <c r="H52" s="58">
        <v>6974.0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7.25" customHeight="1">
      <c r="A53" s="44" t="s">
        <v>21</v>
      </c>
      <c r="B53" s="44" t="s">
        <v>63</v>
      </c>
      <c r="C53" s="79" t="s">
        <v>433</v>
      </c>
      <c r="D53" s="79" t="s">
        <v>432</v>
      </c>
      <c r="E53" s="79" t="s">
        <v>1591</v>
      </c>
      <c r="F53" s="58">
        <v>5.0</v>
      </c>
      <c r="G53" s="58">
        <v>95000.0</v>
      </c>
      <c r="H53" s="58">
        <v>16726.0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7.25" customHeight="1">
      <c r="A54" s="44" t="s">
        <v>21</v>
      </c>
      <c r="B54" s="44" t="s">
        <v>63</v>
      </c>
      <c r="C54" s="79" t="s">
        <v>433</v>
      </c>
      <c r="D54" s="79" t="s">
        <v>432</v>
      </c>
      <c r="E54" s="79" t="s">
        <v>1595</v>
      </c>
      <c r="F54" s="58">
        <v>0.0</v>
      </c>
      <c r="G54" s="58">
        <v>0.0</v>
      </c>
      <c r="H54" s="58">
        <v>0.0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7.25" customHeight="1">
      <c r="A55" s="44" t="s">
        <v>21</v>
      </c>
      <c r="B55" s="44" t="s">
        <v>63</v>
      </c>
      <c r="C55" s="79" t="s">
        <v>433</v>
      </c>
      <c r="D55" s="79" t="s">
        <v>432</v>
      </c>
      <c r="E55" s="79" t="s">
        <v>1598</v>
      </c>
      <c r="F55" s="58">
        <v>2.0</v>
      </c>
      <c r="G55" s="58">
        <v>58000.0</v>
      </c>
      <c r="H55" s="58">
        <v>10000.0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7.25" customHeight="1">
      <c r="A56" s="44" t="s">
        <v>21</v>
      </c>
      <c r="B56" s="44" t="s">
        <v>63</v>
      </c>
      <c r="C56" s="79" t="s">
        <v>1600</v>
      </c>
      <c r="D56" s="79" t="s">
        <v>275</v>
      </c>
      <c r="E56" s="79" t="s">
        <v>1601</v>
      </c>
      <c r="F56" s="58">
        <v>917.0</v>
      </c>
      <c r="G56" s="58">
        <v>2109100.0</v>
      </c>
      <c r="H56" s="58">
        <v>190846.0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7.25" customHeight="1">
      <c r="A57" s="44" t="s">
        <v>21</v>
      </c>
      <c r="B57" s="44" t="s">
        <v>63</v>
      </c>
      <c r="C57" s="79" t="s">
        <v>1600</v>
      </c>
      <c r="D57" s="79" t="s">
        <v>275</v>
      </c>
      <c r="E57" s="79" t="s">
        <v>1603</v>
      </c>
      <c r="F57" s="58">
        <v>429.0</v>
      </c>
      <c r="G57" s="58">
        <v>986700.0</v>
      </c>
      <c r="H57" s="58">
        <v>70840.0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7.25" customHeight="1">
      <c r="A58" s="44" t="s">
        <v>21</v>
      </c>
      <c r="B58" s="44" t="s">
        <v>63</v>
      </c>
      <c r="C58" s="79" t="s">
        <v>1600</v>
      </c>
      <c r="D58" s="79" t="s">
        <v>275</v>
      </c>
      <c r="E58" s="79" t="s">
        <v>1605</v>
      </c>
      <c r="F58" s="58">
        <v>507.0</v>
      </c>
      <c r="G58" s="58">
        <v>1166100.0</v>
      </c>
      <c r="H58" s="58">
        <v>102580.0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7.25" customHeight="1">
      <c r="A59" s="44" t="s">
        <v>21</v>
      </c>
      <c r="B59" s="44" t="s">
        <v>63</v>
      </c>
      <c r="C59" s="79" t="s">
        <v>1600</v>
      </c>
      <c r="D59" s="79" t="s">
        <v>275</v>
      </c>
      <c r="E59" s="79" t="s">
        <v>1608</v>
      </c>
      <c r="F59" s="58">
        <v>1390.0</v>
      </c>
      <c r="G59" s="58">
        <v>3266500.0</v>
      </c>
      <c r="H59" s="58">
        <v>248290.0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7.25" customHeight="1">
      <c r="A60" s="44" t="s">
        <v>21</v>
      </c>
      <c r="B60" s="44" t="s">
        <v>63</v>
      </c>
      <c r="C60" s="79" t="s">
        <v>1612</v>
      </c>
      <c r="D60" s="79" t="s">
        <v>214</v>
      </c>
      <c r="E60" s="79" t="s">
        <v>1613</v>
      </c>
      <c r="F60" s="58">
        <v>796.0</v>
      </c>
      <c r="G60" s="58">
        <v>1.57608E7</v>
      </c>
      <c r="H60" s="58">
        <v>782518.0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7.25" customHeight="1">
      <c r="A61" s="44" t="s">
        <v>21</v>
      </c>
      <c r="B61" s="44" t="s">
        <v>63</v>
      </c>
      <c r="C61" s="79" t="s">
        <v>1612</v>
      </c>
      <c r="D61" s="79" t="s">
        <v>214</v>
      </c>
      <c r="E61" s="79" t="s">
        <v>1615</v>
      </c>
      <c r="F61" s="58">
        <v>1396.0</v>
      </c>
      <c r="G61" s="58">
        <v>1.24942E7</v>
      </c>
      <c r="H61" s="58">
        <v>542370.0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7.25" customHeight="1">
      <c r="A62" s="44" t="s">
        <v>21</v>
      </c>
      <c r="B62" s="44" t="s">
        <v>63</v>
      </c>
      <c r="C62" s="79" t="s">
        <v>1612</v>
      </c>
      <c r="D62" s="79" t="s">
        <v>214</v>
      </c>
      <c r="E62" s="79" t="s">
        <v>1617</v>
      </c>
      <c r="F62" s="58">
        <v>1914.0</v>
      </c>
      <c r="G62" s="58">
        <v>1.670922E7</v>
      </c>
      <c r="H62" s="58">
        <v>656496.0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7.25" customHeight="1">
      <c r="A63" s="44" t="s">
        <v>21</v>
      </c>
      <c r="B63" s="44" t="s">
        <v>63</v>
      </c>
      <c r="C63" s="79" t="s">
        <v>18</v>
      </c>
      <c r="D63" s="79" t="s">
        <v>17</v>
      </c>
      <c r="E63" s="79" t="s">
        <v>1620</v>
      </c>
      <c r="F63" s="58">
        <v>11893.0</v>
      </c>
      <c r="G63" s="58">
        <v>4.467555E7</v>
      </c>
      <c r="H63" s="58">
        <v>537476.0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7.25" customHeight="1">
      <c r="A64" s="44" t="s">
        <v>21</v>
      </c>
      <c r="B64" s="44" t="s">
        <v>63</v>
      </c>
      <c r="C64" s="79" t="s">
        <v>18</v>
      </c>
      <c r="D64" s="79" t="s">
        <v>17</v>
      </c>
      <c r="E64" s="79" t="s">
        <v>1622</v>
      </c>
      <c r="F64" s="58">
        <v>3976.0</v>
      </c>
      <c r="G64" s="58">
        <v>1.51229E7</v>
      </c>
      <c r="H64" s="58">
        <v>168050.0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7.25" customHeight="1">
      <c r="A65" s="44" t="s">
        <v>21</v>
      </c>
      <c r="B65" s="44" t="s">
        <v>63</v>
      </c>
      <c r="C65" s="79" t="s">
        <v>18</v>
      </c>
      <c r="D65" s="79" t="s">
        <v>17</v>
      </c>
      <c r="E65" s="79" t="s">
        <v>1626</v>
      </c>
      <c r="F65" s="58">
        <v>4516.0</v>
      </c>
      <c r="G65" s="58">
        <v>1.80576E7</v>
      </c>
      <c r="H65" s="58">
        <v>264320.0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7.25" customHeight="1">
      <c r="A66" s="44" t="s">
        <v>21</v>
      </c>
      <c r="B66" s="44" t="s">
        <v>63</v>
      </c>
      <c r="C66" s="79" t="s">
        <v>18</v>
      </c>
      <c r="D66" s="79" t="s">
        <v>17</v>
      </c>
      <c r="E66" s="79" t="s">
        <v>1628</v>
      </c>
      <c r="F66" s="58">
        <v>1895.0</v>
      </c>
      <c r="G66" s="58">
        <v>7331040.0</v>
      </c>
      <c r="H66" s="58">
        <v>83739.0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7.25" customHeight="1">
      <c r="A67" s="44" t="s">
        <v>21</v>
      </c>
      <c r="B67" s="44" t="s">
        <v>63</v>
      </c>
      <c r="C67" s="79" t="s">
        <v>18</v>
      </c>
      <c r="D67" s="79" t="s">
        <v>17</v>
      </c>
      <c r="E67" s="79" t="s">
        <v>1631</v>
      </c>
      <c r="F67" s="58">
        <v>1260.0</v>
      </c>
      <c r="G67" s="58">
        <v>8394040.0</v>
      </c>
      <c r="H67" s="58">
        <v>50407.0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7.25" customHeight="1">
      <c r="A68" s="44" t="s">
        <v>21</v>
      </c>
      <c r="B68" s="44" t="s">
        <v>91</v>
      </c>
      <c r="C68" s="79" t="s">
        <v>18</v>
      </c>
      <c r="D68" s="79" t="s">
        <v>17</v>
      </c>
      <c r="E68" s="79" t="s">
        <v>1633</v>
      </c>
      <c r="F68" s="58">
        <v>3774.0</v>
      </c>
      <c r="G68" s="58">
        <v>7.840542E7</v>
      </c>
      <c r="H68" s="58">
        <v>901852.0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7.25" customHeight="1">
      <c r="A69" s="44" t="s">
        <v>21</v>
      </c>
      <c r="B69" s="44" t="s">
        <v>91</v>
      </c>
      <c r="C69" s="79" t="s">
        <v>828</v>
      </c>
      <c r="D69" s="79" t="s">
        <v>827</v>
      </c>
      <c r="E69" s="79" t="s">
        <v>1635</v>
      </c>
      <c r="F69" s="58">
        <v>523.0</v>
      </c>
      <c r="G69" s="58">
        <v>2956680.0</v>
      </c>
      <c r="H69" s="58">
        <v>209074.0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7.25" customHeight="1">
      <c r="A70" s="44" t="s">
        <v>21</v>
      </c>
      <c r="B70" s="44" t="s">
        <v>91</v>
      </c>
      <c r="C70" s="79" t="s">
        <v>828</v>
      </c>
      <c r="D70" s="79" t="s">
        <v>827</v>
      </c>
      <c r="E70" s="79" t="s">
        <v>1641</v>
      </c>
      <c r="F70" s="58">
        <v>438.0</v>
      </c>
      <c r="G70" s="58">
        <v>2610290.0</v>
      </c>
      <c r="H70" s="58">
        <v>239708.0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7.25" customHeight="1">
      <c r="A71" s="44" t="s">
        <v>21</v>
      </c>
      <c r="B71" s="44" t="s">
        <v>91</v>
      </c>
      <c r="C71" s="79" t="s">
        <v>828</v>
      </c>
      <c r="D71" s="79" t="s">
        <v>827</v>
      </c>
      <c r="E71" s="79" t="s">
        <v>1643</v>
      </c>
      <c r="F71" s="58">
        <v>873.0</v>
      </c>
      <c r="G71" s="58">
        <v>2595090.0</v>
      </c>
      <c r="H71" s="58">
        <v>236047.0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7.25" customHeight="1">
      <c r="A72" s="44" t="s">
        <v>21</v>
      </c>
      <c r="B72" s="44" t="s">
        <v>91</v>
      </c>
      <c r="C72" s="79" t="s">
        <v>828</v>
      </c>
      <c r="D72" s="79" t="s">
        <v>827</v>
      </c>
      <c r="E72" s="79" t="s">
        <v>1645</v>
      </c>
      <c r="F72" s="58">
        <v>962.0</v>
      </c>
      <c r="G72" s="58">
        <v>2857980.0</v>
      </c>
      <c r="H72" s="58">
        <v>257810.0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7.25" customHeight="1">
      <c r="A73" s="44" t="s">
        <v>21</v>
      </c>
      <c r="B73" s="44" t="s">
        <v>91</v>
      </c>
      <c r="C73" s="79" t="s">
        <v>828</v>
      </c>
      <c r="D73" s="79" t="s">
        <v>827</v>
      </c>
      <c r="E73" s="79" t="s">
        <v>1647</v>
      </c>
      <c r="F73" s="58">
        <v>310.0</v>
      </c>
      <c r="G73" s="58">
        <v>718800.0</v>
      </c>
      <c r="H73" s="58">
        <v>43254.0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7.25" customHeight="1">
      <c r="A74" s="44" t="s">
        <v>21</v>
      </c>
      <c r="B74" s="44" t="s">
        <v>91</v>
      </c>
      <c r="C74" s="79" t="s">
        <v>828</v>
      </c>
      <c r="D74" s="79" t="s">
        <v>827</v>
      </c>
      <c r="E74" s="79" t="s">
        <v>1651</v>
      </c>
      <c r="F74" s="58">
        <v>384.0</v>
      </c>
      <c r="G74" s="58">
        <v>1850580.0</v>
      </c>
      <c r="H74" s="58">
        <v>158506.0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7.25" customHeight="1">
      <c r="A75" s="44" t="s">
        <v>21</v>
      </c>
      <c r="B75" s="44" t="s">
        <v>91</v>
      </c>
      <c r="C75" s="79" t="s">
        <v>828</v>
      </c>
      <c r="D75" s="79" t="s">
        <v>827</v>
      </c>
      <c r="E75" s="79" t="s">
        <v>1654</v>
      </c>
      <c r="F75" s="58">
        <v>1832.0</v>
      </c>
      <c r="G75" s="58">
        <v>5505140.0</v>
      </c>
      <c r="H75" s="58">
        <v>412760.0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7.25" customHeight="1">
      <c r="A76" s="44" t="s">
        <v>21</v>
      </c>
      <c r="B76" s="44" t="s">
        <v>91</v>
      </c>
      <c r="C76" s="79" t="s">
        <v>828</v>
      </c>
      <c r="D76" s="79" t="s">
        <v>827</v>
      </c>
      <c r="E76" s="79" t="s">
        <v>1656</v>
      </c>
      <c r="F76" s="58">
        <v>600.0</v>
      </c>
      <c r="G76" s="58">
        <v>1838520.0</v>
      </c>
      <c r="H76" s="58">
        <v>174396.0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7.25" customHeight="1">
      <c r="A77" s="44" t="s">
        <v>21</v>
      </c>
      <c r="B77" s="44" t="s">
        <v>91</v>
      </c>
      <c r="C77" s="79" t="s">
        <v>828</v>
      </c>
      <c r="D77" s="79" t="s">
        <v>827</v>
      </c>
      <c r="E77" s="79" t="s">
        <v>1658</v>
      </c>
      <c r="F77" s="58">
        <v>800.0</v>
      </c>
      <c r="G77" s="58">
        <v>4197950.0</v>
      </c>
      <c r="H77" s="58">
        <v>351366.0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7.25" customHeight="1">
      <c r="A78" s="44" t="s">
        <v>21</v>
      </c>
      <c r="B78" s="44" t="s">
        <v>91</v>
      </c>
      <c r="C78" s="79" t="s">
        <v>1662</v>
      </c>
      <c r="D78" s="79" t="s">
        <v>508</v>
      </c>
      <c r="E78" s="79" t="s">
        <v>1664</v>
      </c>
      <c r="F78" s="58">
        <v>47521.0</v>
      </c>
      <c r="G78" s="58">
        <v>5.732701E7</v>
      </c>
      <c r="H78" s="58">
        <v>1438182.0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7.25" customHeight="1">
      <c r="A79" s="44" t="s">
        <v>21</v>
      </c>
      <c r="B79" s="44" t="s">
        <v>91</v>
      </c>
      <c r="C79" s="79" t="s">
        <v>1662</v>
      </c>
      <c r="D79" s="79" t="s">
        <v>508</v>
      </c>
      <c r="E79" s="79" t="s">
        <v>1668</v>
      </c>
      <c r="F79" s="58">
        <v>11499.0</v>
      </c>
      <c r="G79" s="58">
        <v>1.252596E7</v>
      </c>
      <c r="H79" s="58">
        <v>370151.0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7.25" customHeight="1">
      <c r="A80" s="44" t="s">
        <v>21</v>
      </c>
      <c r="B80" s="44" t="s">
        <v>91</v>
      </c>
      <c r="C80" s="79" t="s">
        <v>1662</v>
      </c>
      <c r="D80" s="79" t="s">
        <v>508</v>
      </c>
      <c r="E80" s="79" t="s">
        <v>1670</v>
      </c>
      <c r="F80" s="58">
        <v>103070.0</v>
      </c>
      <c r="G80" s="58">
        <v>5.118326E7</v>
      </c>
      <c r="H80" s="58">
        <v>403114.0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7.25" customHeight="1">
      <c r="A81" s="44" t="s">
        <v>21</v>
      </c>
      <c r="B81" s="44" t="s">
        <v>91</v>
      </c>
      <c r="C81" s="79" t="s">
        <v>18</v>
      </c>
      <c r="D81" s="79" t="s">
        <v>17</v>
      </c>
      <c r="E81" s="79" t="s">
        <v>1672</v>
      </c>
      <c r="F81" s="58">
        <v>0.0</v>
      </c>
      <c r="G81" s="58">
        <v>0.0</v>
      </c>
      <c r="H81" s="58">
        <v>0.0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7.25" customHeight="1">
      <c r="A82" s="44" t="s">
        <v>21</v>
      </c>
      <c r="B82" s="44" t="s">
        <v>91</v>
      </c>
      <c r="C82" s="79" t="s">
        <v>18</v>
      </c>
      <c r="D82" s="79" t="s">
        <v>17</v>
      </c>
      <c r="E82" s="79" t="s">
        <v>1674</v>
      </c>
      <c r="F82" s="58">
        <v>0.0</v>
      </c>
      <c r="G82" s="58">
        <v>0.0</v>
      </c>
      <c r="H82" s="58">
        <v>0.0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7.25" customHeight="1">
      <c r="A83" s="44" t="s">
        <v>21</v>
      </c>
      <c r="B83" s="44" t="s">
        <v>91</v>
      </c>
      <c r="C83" s="79" t="s">
        <v>18</v>
      </c>
      <c r="D83" s="79" t="s">
        <v>17</v>
      </c>
      <c r="E83" s="79" t="s">
        <v>1676</v>
      </c>
      <c r="F83" s="58">
        <v>0.0</v>
      </c>
      <c r="G83" s="58">
        <v>0.0</v>
      </c>
      <c r="H83" s="58">
        <v>0.0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7.25" customHeight="1">
      <c r="A84" s="44" t="s">
        <v>21</v>
      </c>
      <c r="B84" s="44" t="s">
        <v>91</v>
      </c>
      <c r="C84" s="79" t="s">
        <v>18</v>
      </c>
      <c r="D84" s="79" t="s">
        <v>17</v>
      </c>
      <c r="E84" s="79" t="s">
        <v>1679</v>
      </c>
      <c r="F84" s="58">
        <v>0.0</v>
      </c>
      <c r="G84" s="58">
        <v>0.0</v>
      </c>
      <c r="H84" s="58">
        <v>0.0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7.25" customHeight="1">
      <c r="A85" s="44" t="s">
        <v>21</v>
      </c>
      <c r="B85" s="44" t="s">
        <v>91</v>
      </c>
      <c r="C85" s="79" t="s">
        <v>18</v>
      </c>
      <c r="D85" s="79" t="s">
        <v>17</v>
      </c>
      <c r="E85" s="79" t="s">
        <v>1681</v>
      </c>
      <c r="F85" s="58">
        <v>0.0</v>
      </c>
      <c r="G85" s="58">
        <v>0.0</v>
      </c>
      <c r="H85" s="58">
        <v>0.0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7.25" customHeight="1">
      <c r="A86" s="44" t="s">
        <v>21</v>
      </c>
      <c r="B86" s="44" t="s">
        <v>91</v>
      </c>
      <c r="C86" s="79" t="s">
        <v>18</v>
      </c>
      <c r="D86" s="79" t="s">
        <v>17</v>
      </c>
      <c r="E86" s="79" t="s">
        <v>1683</v>
      </c>
      <c r="F86" s="58">
        <v>2.0</v>
      </c>
      <c r="G86" s="58">
        <v>20800.0</v>
      </c>
      <c r="H86" s="58">
        <v>4160.0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7.25" customHeight="1">
      <c r="A87" s="44" t="s">
        <v>21</v>
      </c>
      <c r="B87" s="44" t="s">
        <v>91</v>
      </c>
      <c r="C87" s="79" t="s">
        <v>18</v>
      </c>
      <c r="D87" s="79" t="s">
        <v>17</v>
      </c>
      <c r="E87" s="79" t="s">
        <v>1685</v>
      </c>
      <c r="F87" s="58">
        <v>1.0</v>
      </c>
      <c r="G87" s="58">
        <v>12400.0</v>
      </c>
      <c r="H87" s="58">
        <v>2480.0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7.25" customHeight="1">
      <c r="A88" s="44" t="s">
        <v>21</v>
      </c>
      <c r="B88" s="44" t="s">
        <v>91</v>
      </c>
      <c r="C88" s="79" t="s">
        <v>18</v>
      </c>
      <c r="D88" s="79" t="s">
        <v>17</v>
      </c>
      <c r="E88" s="79" t="s">
        <v>1687</v>
      </c>
      <c r="F88" s="58">
        <v>0.0</v>
      </c>
      <c r="G88" s="58">
        <v>0.0</v>
      </c>
      <c r="H88" s="58">
        <v>0.0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7.25" customHeight="1">
      <c r="A89" s="44" t="s">
        <v>21</v>
      </c>
      <c r="B89" s="44" t="s">
        <v>63</v>
      </c>
      <c r="C89" s="80" t="s">
        <v>55</v>
      </c>
      <c r="D89" s="80" t="s">
        <v>54</v>
      </c>
      <c r="E89" s="79" t="s">
        <v>1696</v>
      </c>
      <c r="F89" s="58">
        <v>3.0</v>
      </c>
      <c r="G89" s="58">
        <v>96000.0</v>
      </c>
      <c r="H89" s="58">
        <v>0.0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7.25" customHeight="1">
      <c r="A90" s="44" t="s">
        <v>21</v>
      </c>
      <c r="B90" s="44" t="s">
        <v>63</v>
      </c>
      <c r="C90" s="80" t="s">
        <v>55</v>
      </c>
      <c r="D90" s="80" t="s">
        <v>54</v>
      </c>
      <c r="E90" s="79" t="s">
        <v>1699</v>
      </c>
      <c r="F90" s="58">
        <v>4.0</v>
      </c>
      <c r="G90" s="58">
        <v>132000.0</v>
      </c>
      <c r="H90" s="58">
        <v>6600.0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7.25" customHeight="1">
      <c r="A91" s="44" t="s">
        <v>21</v>
      </c>
      <c r="B91" s="44" t="s">
        <v>63</v>
      </c>
      <c r="C91" s="80" t="s">
        <v>55</v>
      </c>
      <c r="D91" s="80" t="s">
        <v>54</v>
      </c>
      <c r="E91" s="79" t="s">
        <v>1701</v>
      </c>
      <c r="F91" s="58">
        <v>1.0</v>
      </c>
      <c r="G91" s="58">
        <v>40000.0</v>
      </c>
      <c r="H91" s="58">
        <v>8000.0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7.25" customHeight="1">
      <c r="A92" s="44" t="s">
        <v>21</v>
      </c>
      <c r="B92" s="44" t="s">
        <v>91</v>
      </c>
      <c r="C92" s="80" t="s">
        <v>55</v>
      </c>
      <c r="D92" s="80" t="s">
        <v>54</v>
      </c>
      <c r="E92" s="79" t="s">
        <v>1705</v>
      </c>
      <c r="F92" s="58">
        <v>24.0</v>
      </c>
      <c r="G92" s="58">
        <v>1032000.0</v>
      </c>
      <c r="H92" s="58">
        <v>77400.0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7.25" customHeight="1">
      <c r="A93" s="44" t="s">
        <v>21</v>
      </c>
      <c r="B93" s="44" t="s">
        <v>63</v>
      </c>
      <c r="C93" s="80" t="s">
        <v>55</v>
      </c>
      <c r="D93" s="80" t="s">
        <v>54</v>
      </c>
      <c r="E93" s="79" t="s">
        <v>1708</v>
      </c>
      <c r="F93" s="58">
        <v>1.0</v>
      </c>
      <c r="G93" s="58">
        <v>25000.0</v>
      </c>
      <c r="H93" s="58">
        <v>0.0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7.25" customHeight="1">
      <c r="A94" s="44" t="s">
        <v>21</v>
      </c>
      <c r="B94" s="44" t="s">
        <v>91</v>
      </c>
      <c r="C94" s="80" t="s">
        <v>55</v>
      </c>
      <c r="D94" s="80" t="s">
        <v>54</v>
      </c>
      <c r="E94" s="79" t="s">
        <v>1710</v>
      </c>
      <c r="F94" s="58">
        <v>11.0</v>
      </c>
      <c r="G94" s="58">
        <v>462000.0</v>
      </c>
      <c r="H94" s="58">
        <v>63200.0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7.25" customHeight="1">
      <c r="A95" s="44" t="s">
        <v>21</v>
      </c>
      <c r="B95" s="44" t="s">
        <v>63</v>
      </c>
      <c r="C95" s="80" t="s">
        <v>235</v>
      </c>
      <c r="D95" s="80" t="s">
        <v>234</v>
      </c>
      <c r="E95" s="79" t="s">
        <v>1712</v>
      </c>
      <c r="F95" s="58">
        <v>1567.0</v>
      </c>
      <c r="G95" s="58">
        <v>7314600.0</v>
      </c>
      <c r="H95" s="58">
        <v>353700.0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7.25" customHeight="1">
      <c r="A96" s="44" t="s">
        <v>21</v>
      </c>
      <c r="B96" s="44" t="s">
        <v>63</v>
      </c>
      <c r="C96" s="79" t="s">
        <v>1714</v>
      </c>
      <c r="D96" s="79" t="s">
        <v>39</v>
      </c>
      <c r="E96" s="79" t="s">
        <v>1715</v>
      </c>
      <c r="F96" s="58">
        <v>1.0</v>
      </c>
      <c r="G96" s="58">
        <v>14400.0</v>
      </c>
      <c r="H96" s="58">
        <v>2880.0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7.25" customHeight="1">
      <c r="A97" s="24" t="s">
        <v>25</v>
      </c>
      <c r="B97" s="65" t="s">
        <v>63</v>
      </c>
      <c r="C97" s="65" t="s">
        <v>65</v>
      </c>
      <c r="D97" s="66" t="s">
        <v>64</v>
      </c>
      <c r="E97" s="24" t="s">
        <v>1719</v>
      </c>
      <c r="F97" s="75">
        <v>1.0</v>
      </c>
      <c r="G97" s="69">
        <v>21000.0</v>
      </c>
      <c r="H97" s="69">
        <v>4200.0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7.25" customHeight="1">
      <c r="A98" s="24" t="s">
        <v>25</v>
      </c>
      <c r="B98" s="65" t="s">
        <v>63</v>
      </c>
      <c r="C98" s="65" t="s">
        <v>65</v>
      </c>
      <c r="D98" s="66" t="s">
        <v>64</v>
      </c>
      <c r="E98" s="24" t="s">
        <v>1724</v>
      </c>
      <c r="F98" s="75">
        <v>1.0</v>
      </c>
      <c r="G98" s="69">
        <v>14950.0</v>
      </c>
      <c r="H98" s="69">
        <v>2990.0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7.25" customHeight="1">
      <c r="A99" s="24" t="s">
        <v>25</v>
      </c>
      <c r="B99" s="65" t="s">
        <v>91</v>
      </c>
      <c r="C99" s="65" t="s">
        <v>65</v>
      </c>
      <c r="D99" s="66" t="s">
        <v>64</v>
      </c>
      <c r="E99" s="24" t="s">
        <v>1726</v>
      </c>
      <c r="F99" s="75">
        <v>1.0</v>
      </c>
      <c r="G99" s="69">
        <v>22500.0</v>
      </c>
      <c r="H99" s="69">
        <v>4500.0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7.25" customHeight="1">
      <c r="A100" s="24" t="s">
        <v>25</v>
      </c>
      <c r="B100" s="65" t="s">
        <v>63</v>
      </c>
      <c r="C100" s="65" t="s">
        <v>65</v>
      </c>
      <c r="D100" s="66" t="s">
        <v>64</v>
      </c>
      <c r="E100" s="24" t="s">
        <v>1728</v>
      </c>
      <c r="F100" s="75">
        <v>2.0</v>
      </c>
      <c r="G100" s="69">
        <v>44000.0</v>
      </c>
      <c r="H100" s="69">
        <v>4400.0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7.25" customHeight="1">
      <c r="A101" s="24" t="s">
        <v>25</v>
      </c>
      <c r="B101" s="65" t="s">
        <v>91</v>
      </c>
      <c r="C101" s="65" t="s">
        <v>65</v>
      </c>
      <c r="D101" s="66" t="s">
        <v>64</v>
      </c>
      <c r="E101" s="24" t="s">
        <v>1730</v>
      </c>
      <c r="F101" s="75">
        <v>0.0</v>
      </c>
      <c r="G101" s="69">
        <v>0.0</v>
      </c>
      <c r="H101" s="69">
        <v>0.0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7.25" customHeight="1">
      <c r="A102" s="24" t="s">
        <v>25</v>
      </c>
      <c r="B102" s="65" t="s">
        <v>63</v>
      </c>
      <c r="C102" s="65" t="s">
        <v>65</v>
      </c>
      <c r="D102" s="66" t="s">
        <v>64</v>
      </c>
      <c r="E102" s="24" t="s">
        <v>1737</v>
      </c>
      <c r="F102" s="75">
        <v>0.0</v>
      </c>
      <c r="G102" s="69">
        <v>0.0</v>
      </c>
      <c r="H102" s="69">
        <v>0.0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7.25" customHeight="1">
      <c r="A103" s="24" t="s">
        <v>25</v>
      </c>
      <c r="B103" s="65" t="s">
        <v>91</v>
      </c>
      <c r="C103" s="65" t="s">
        <v>65</v>
      </c>
      <c r="D103" s="66" t="s">
        <v>64</v>
      </c>
      <c r="E103" s="24" t="s">
        <v>1739</v>
      </c>
      <c r="F103" s="75">
        <v>1.0</v>
      </c>
      <c r="G103" s="69">
        <v>43200.0</v>
      </c>
      <c r="H103" s="69">
        <v>8640.0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7.25" customHeight="1">
      <c r="A104" s="24" t="s">
        <v>25</v>
      </c>
      <c r="B104" s="65" t="s">
        <v>91</v>
      </c>
      <c r="C104" s="65" t="s">
        <v>65</v>
      </c>
      <c r="D104" s="66" t="s">
        <v>64</v>
      </c>
      <c r="E104" s="24" t="s">
        <v>1744</v>
      </c>
      <c r="F104" s="75">
        <v>2.0</v>
      </c>
      <c r="G104" s="69">
        <v>23000.0</v>
      </c>
      <c r="H104" s="69">
        <v>0.0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7.25" customHeight="1">
      <c r="A105" s="24" t="s">
        <v>25</v>
      </c>
      <c r="B105" s="65" t="s">
        <v>63</v>
      </c>
      <c r="C105" s="65" t="s">
        <v>65</v>
      </c>
      <c r="D105" s="66" t="s">
        <v>64</v>
      </c>
      <c r="E105" s="24" t="s">
        <v>1746</v>
      </c>
      <c r="F105" s="75">
        <v>0.0</v>
      </c>
      <c r="G105" s="69">
        <v>0.0</v>
      </c>
      <c r="H105" s="69">
        <v>0.0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7.25" customHeight="1">
      <c r="A106" s="24" t="s">
        <v>25</v>
      </c>
      <c r="B106" s="65" t="s">
        <v>63</v>
      </c>
      <c r="C106" s="65" t="s">
        <v>65</v>
      </c>
      <c r="D106" s="66" t="s">
        <v>64</v>
      </c>
      <c r="E106" s="24" t="s">
        <v>1750</v>
      </c>
      <c r="F106" s="75">
        <v>0.0</v>
      </c>
      <c r="G106" s="69">
        <v>0.0</v>
      </c>
      <c r="H106" s="69">
        <v>0.0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7.25" customHeight="1">
      <c r="A107" s="24" t="s">
        <v>25</v>
      </c>
      <c r="B107" s="24" t="s">
        <v>63</v>
      </c>
      <c r="C107" s="65" t="s">
        <v>79</v>
      </c>
      <c r="D107" s="66" t="s">
        <v>78</v>
      </c>
      <c r="E107" s="24" t="s">
        <v>1755</v>
      </c>
      <c r="F107" s="75">
        <v>204.0</v>
      </c>
      <c r="G107" s="69">
        <v>6816400.0</v>
      </c>
      <c r="H107" s="69">
        <v>688300.0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7.25" customHeight="1">
      <c r="A108" s="24" t="s">
        <v>25</v>
      </c>
      <c r="B108" s="24" t="s">
        <v>63</v>
      </c>
      <c r="C108" s="65" t="s">
        <v>79</v>
      </c>
      <c r="D108" s="66" t="s">
        <v>78</v>
      </c>
      <c r="E108" s="24" t="s">
        <v>1757</v>
      </c>
      <c r="F108" s="75">
        <v>49.0</v>
      </c>
      <c r="G108" s="69">
        <v>1599500.0</v>
      </c>
      <c r="H108" s="69">
        <v>221800.0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7.25" customHeight="1">
      <c r="A109" s="24" t="s">
        <v>25</v>
      </c>
      <c r="B109" s="24" t="s">
        <v>63</v>
      </c>
      <c r="C109" s="65" t="s">
        <v>79</v>
      </c>
      <c r="D109" s="66" t="s">
        <v>78</v>
      </c>
      <c r="E109" s="24" t="s">
        <v>1760</v>
      </c>
      <c r="F109" s="75">
        <v>26.0</v>
      </c>
      <c r="G109" s="69">
        <v>916000.0</v>
      </c>
      <c r="H109" s="69">
        <v>98000.0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7.25" customHeight="1">
      <c r="A110" s="24" t="s">
        <v>25</v>
      </c>
      <c r="B110" s="65" t="s">
        <v>91</v>
      </c>
      <c r="C110" s="65" t="s">
        <v>79</v>
      </c>
      <c r="D110" s="66" t="s">
        <v>78</v>
      </c>
      <c r="E110" s="24" t="s">
        <v>1762</v>
      </c>
      <c r="F110" s="75">
        <v>0.0</v>
      </c>
      <c r="G110" s="69">
        <v>0.0</v>
      </c>
      <c r="H110" s="69">
        <v>0.0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7.25" customHeight="1">
      <c r="A111" s="24" t="s">
        <v>25</v>
      </c>
      <c r="B111" s="65" t="s">
        <v>91</v>
      </c>
      <c r="C111" s="65" t="s">
        <v>79</v>
      </c>
      <c r="D111" s="66" t="s">
        <v>78</v>
      </c>
      <c r="E111" s="24" t="s">
        <v>1764</v>
      </c>
      <c r="F111" s="75">
        <v>4.0</v>
      </c>
      <c r="G111" s="69">
        <v>59600.0</v>
      </c>
      <c r="H111" s="69">
        <v>4980.0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7.25" customHeight="1">
      <c r="A112" s="24" t="s">
        <v>25</v>
      </c>
      <c r="B112" s="65" t="s">
        <v>91</v>
      </c>
      <c r="C112" s="65" t="s">
        <v>79</v>
      </c>
      <c r="D112" s="66" t="s">
        <v>78</v>
      </c>
      <c r="E112" s="24" t="s">
        <v>1767</v>
      </c>
      <c r="F112" s="75">
        <v>4.0</v>
      </c>
      <c r="G112" s="69">
        <v>39000.0</v>
      </c>
      <c r="H112" s="69">
        <v>2340.0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7.25" customHeight="1">
      <c r="A113" s="24" t="s">
        <v>25</v>
      </c>
      <c r="B113" s="65" t="s">
        <v>63</v>
      </c>
      <c r="C113" s="65" t="s">
        <v>679</v>
      </c>
      <c r="D113" s="66" t="s">
        <v>678</v>
      </c>
      <c r="E113" s="24" t="s">
        <v>1769</v>
      </c>
      <c r="F113" s="75">
        <v>59.0</v>
      </c>
      <c r="G113" s="69">
        <v>2502300.0</v>
      </c>
      <c r="H113" s="69">
        <v>253260.0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7.25" customHeight="1">
      <c r="A114" s="24" t="s">
        <v>25</v>
      </c>
      <c r="B114" s="65" t="s">
        <v>63</v>
      </c>
      <c r="C114" s="65" t="s">
        <v>62</v>
      </c>
      <c r="D114" s="66" t="s">
        <v>61</v>
      </c>
      <c r="E114" s="24" t="s">
        <v>1772</v>
      </c>
      <c r="F114" s="75">
        <v>23.0</v>
      </c>
      <c r="G114" s="69">
        <v>503700.0</v>
      </c>
      <c r="H114" s="69">
        <v>51760.0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7.25" customHeight="1">
      <c r="A115" s="24" t="s">
        <v>25</v>
      </c>
      <c r="B115" s="65" t="s">
        <v>63</v>
      </c>
      <c r="C115" s="65" t="s">
        <v>62</v>
      </c>
      <c r="D115" s="66" t="s">
        <v>61</v>
      </c>
      <c r="E115" s="24" t="s">
        <v>1774</v>
      </c>
      <c r="F115" s="75">
        <v>5.0</v>
      </c>
      <c r="G115" s="69">
        <v>190000.0</v>
      </c>
      <c r="H115" s="69">
        <v>38000.0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7.25" customHeight="1">
      <c r="A116" s="24" t="s">
        <v>25</v>
      </c>
      <c r="B116" s="65" t="s">
        <v>63</v>
      </c>
      <c r="C116" s="65" t="s">
        <v>62</v>
      </c>
      <c r="D116" s="66" t="s">
        <v>61</v>
      </c>
      <c r="E116" s="24" t="s">
        <v>1776</v>
      </c>
      <c r="F116" s="75">
        <v>12.0</v>
      </c>
      <c r="G116" s="69">
        <v>628800.0</v>
      </c>
      <c r="H116" s="69">
        <v>117920.0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7.25" customHeight="1">
      <c r="A117" s="44" t="s">
        <v>25</v>
      </c>
      <c r="B117" s="47" t="s">
        <v>91</v>
      </c>
      <c r="C117" s="47" t="s">
        <v>251</v>
      </c>
      <c r="D117" s="48" t="s">
        <v>250</v>
      </c>
      <c r="E117" s="44" t="s">
        <v>1782</v>
      </c>
      <c r="F117" s="58">
        <v>211.0</v>
      </c>
      <c r="G117" s="69">
        <v>4592800.0</v>
      </c>
      <c r="H117" s="69">
        <v>503080.0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7.25" customHeight="1">
      <c r="A118" s="44" t="s">
        <v>25</v>
      </c>
      <c r="B118" s="47" t="s">
        <v>91</v>
      </c>
      <c r="C118" s="47" t="s">
        <v>251</v>
      </c>
      <c r="D118" s="48" t="s">
        <v>250</v>
      </c>
      <c r="E118" s="44" t="s">
        <v>1784</v>
      </c>
      <c r="F118" s="58">
        <v>16.0</v>
      </c>
      <c r="G118" s="69">
        <v>291120.0</v>
      </c>
      <c r="H118" s="69">
        <v>23370.0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7.25" customHeight="1">
      <c r="A119" s="44" t="s">
        <v>25</v>
      </c>
      <c r="B119" s="47" t="s">
        <v>91</v>
      </c>
      <c r="C119" s="47" t="s">
        <v>251</v>
      </c>
      <c r="D119" s="48" t="s">
        <v>250</v>
      </c>
      <c r="E119" s="44" t="s">
        <v>1787</v>
      </c>
      <c r="F119" s="58">
        <v>16.0</v>
      </c>
      <c r="G119" s="69">
        <v>244730.0</v>
      </c>
      <c r="H119" s="69">
        <v>24780.0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7.25" customHeight="1">
      <c r="A120" s="44" t="s">
        <v>25</v>
      </c>
      <c r="B120" s="47" t="s">
        <v>63</v>
      </c>
      <c r="C120" s="47" t="s">
        <v>251</v>
      </c>
      <c r="D120" s="48" t="s">
        <v>250</v>
      </c>
      <c r="E120" s="44" t="s">
        <v>1790</v>
      </c>
      <c r="F120" s="58">
        <v>17.0</v>
      </c>
      <c r="G120" s="69">
        <v>211200.0</v>
      </c>
      <c r="H120" s="69">
        <v>13400.0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7.25" customHeight="1">
      <c r="A121" s="44" t="s">
        <v>25</v>
      </c>
      <c r="B121" s="47" t="s">
        <v>91</v>
      </c>
      <c r="C121" s="47" t="s">
        <v>251</v>
      </c>
      <c r="D121" s="48" t="s">
        <v>250</v>
      </c>
      <c r="E121" s="44" t="s">
        <v>1792</v>
      </c>
      <c r="F121" s="58">
        <v>1.0</v>
      </c>
      <c r="G121" s="69">
        <v>32900.0</v>
      </c>
      <c r="H121" s="69">
        <v>0.0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7.25" customHeight="1">
      <c r="A122" s="44" t="s">
        <v>25</v>
      </c>
      <c r="B122" s="47" t="s">
        <v>91</v>
      </c>
      <c r="C122" s="47" t="s">
        <v>251</v>
      </c>
      <c r="D122" s="48" t="s">
        <v>250</v>
      </c>
      <c r="E122" s="44" t="s">
        <v>1795</v>
      </c>
      <c r="F122" s="58">
        <v>0.0</v>
      </c>
      <c r="G122" s="69">
        <v>0.0</v>
      </c>
      <c r="H122" s="69">
        <v>0.0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7.25" customHeight="1">
      <c r="A123" s="44" t="s">
        <v>25</v>
      </c>
      <c r="B123" s="47" t="s">
        <v>91</v>
      </c>
      <c r="C123" s="47" t="s">
        <v>251</v>
      </c>
      <c r="D123" s="48" t="s">
        <v>250</v>
      </c>
      <c r="E123" s="44" t="s">
        <v>1798</v>
      </c>
      <c r="F123" s="58">
        <v>9.0</v>
      </c>
      <c r="G123" s="69">
        <v>154200.0</v>
      </c>
      <c r="H123" s="69">
        <v>20760.0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7.25" customHeight="1">
      <c r="A124" s="28" t="s">
        <v>25</v>
      </c>
      <c r="B124" s="24" t="s">
        <v>91</v>
      </c>
      <c r="C124" s="28" t="s">
        <v>251</v>
      </c>
      <c r="D124" s="48" t="s">
        <v>250</v>
      </c>
      <c r="E124" s="28" t="s">
        <v>1802</v>
      </c>
      <c r="F124" s="28">
        <v>13.0</v>
      </c>
      <c r="G124" s="69">
        <v>310400.0</v>
      </c>
      <c r="H124" s="69">
        <v>23920.0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7.25" customHeight="1">
      <c r="A125" s="28" t="s">
        <v>25</v>
      </c>
      <c r="B125" s="24" t="s">
        <v>91</v>
      </c>
      <c r="C125" s="28" t="s">
        <v>251</v>
      </c>
      <c r="D125" s="48" t="s">
        <v>250</v>
      </c>
      <c r="E125" s="28" t="s">
        <v>1804</v>
      </c>
      <c r="F125" s="28">
        <v>0.0</v>
      </c>
      <c r="G125" s="69">
        <v>0.0</v>
      </c>
      <c r="H125" s="69">
        <v>0.0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7.25" customHeight="1">
      <c r="A126" s="28" t="s">
        <v>25</v>
      </c>
      <c r="B126" s="24" t="s">
        <v>63</v>
      </c>
      <c r="C126" s="28" t="s">
        <v>629</v>
      </c>
      <c r="D126" s="48" t="s">
        <v>628</v>
      </c>
      <c r="E126" s="28" t="s">
        <v>1807</v>
      </c>
      <c r="F126" s="28">
        <v>5.0</v>
      </c>
      <c r="G126" s="69">
        <v>65000.0</v>
      </c>
      <c r="H126" s="69">
        <v>0.0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7.25" customHeight="1">
      <c r="A127" s="28" t="s">
        <v>25</v>
      </c>
      <c r="B127" s="24" t="s">
        <v>63</v>
      </c>
      <c r="C127" s="28" t="s">
        <v>629</v>
      </c>
      <c r="D127" s="48" t="s">
        <v>628</v>
      </c>
      <c r="E127" s="28" t="s">
        <v>1813</v>
      </c>
      <c r="F127" s="28">
        <v>4.0</v>
      </c>
      <c r="G127" s="69">
        <v>52000.0</v>
      </c>
      <c r="H127" s="69">
        <v>0.0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7.25" customHeight="1">
      <c r="A128" s="28" t="s">
        <v>25</v>
      </c>
      <c r="B128" s="24" t="s">
        <v>63</v>
      </c>
      <c r="C128" s="28" t="s">
        <v>629</v>
      </c>
      <c r="D128" s="48" t="s">
        <v>628</v>
      </c>
      <c r="E128" s="28" t="s">
        <v>1815</v>
      </c>
      <c r="F128" s="28">
        <v>163.0</v>
      </c>
      <c r="G128" s="69">
        <v>4420000.0</v>
      </c>
      <c r="H128" s="69">
        <v>557200.0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7.25" customHeight="1">
      <c r="A129" s="28" t="s">
        <v>25</v>
      </c>
      <c r="B129" s="24" t="s">
        <v>63</v>
      </c>
      <c r="C129" s="28" t="s">
        <v>629</v>
      </c>
      <c r="D129" s="48" t="s">
        <v>628</v>
      </c>
      <c r="E129" s="28" t="s">
        <v>1819</v>
      </c>
      <c r="F129" s="28">
        <v>1.0</v>
      </c>
      <c r="G129" s="69">
        <v>94000.0</v>
      </c>
      <c r="H129" s="69">
        <v>10000.0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7.25" customHeight="1">
      <c r="A130" s="28" t="s">
        <v>25</v>
      </c>
      <c r="B130" s="24" t="s">
        <v>63</v>
      </c>
      <c r="C130" s="28" t="s">
        <v>629</v>
      </c>
      <c r="D130" s="48" t="s">
        <v>628</v>
      </c>
      <c r="E130" s="28" t="s">
        <v>1823</v>
      </c>
      <c r="F130" s="28">
        <v>1.0</v>
      </c>
      <c r="G130" s="69">
        <v>43000.0</v>
      </c>
      <c r="H130" s="69">
        <v>8600.0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7.25" customHeight="1">
      <c r="A131" s="28" t="s">
        <v>25</v>
      </c>
      <c r="B131" s="24" t="s">
        <v>63</v>
      </c>
      <c r="C131" s="28" t="s">
        <v>629</v>
      </c>
      <c r="D131" s="48" t="s">
        <v>628</v>
      </c>
      <c r="E131" s="28" t="s">
        <v>1826</v>
      </c>
      <c r="F131" s="28">
        <v>0.0</v>
      </c>
      <c r="G131" s="69">
        <v>0.0</v>
      </c>
      <c r="H131" s="69">
        <v>0.0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7.25" customHeight="1">
      <c r="A132" s="28" t="s">
        <v>25</v>
      </c>
      <c r="B132" s="24" t="s">
        <v>63</v>
      </c>
      <c r="C132" s="28" t="s">
        <v>629</v>
      </c>
      <c r="D132" s="48" t="s">
        <v>628</v>
      </c>
      <c r="E132" s="28" t="s">
        <v>1828</v>
      </c>
      <c r="F132" s="28">
        <v>0.0</v>
      </c>
      <c r="G132" s="69">
        <v>0.0</v>
      </c>
      <c r="H132" s="69">
        <v>0.0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7.25" customHeight="1">
      <c r="A133" s="28" t="s">
        <v>25</v>
      </c>
      <c r="B133" s="24" t="s">
        <v>91</v>
      </c>
      <c r="C133" s="28" t="s">
        <v>35</v>
      </c>
      <c r="D133" s="48" t="s">
        <v>34</v>
      </c>
      <c r="E133" s="28" t="s">
        <v>1830</v>
      </c>
      <c r="F133" s="28">
        <v>415.0</v>
      </c>
      <c r="G133" s="69">
        <v>1.43737E7</v>
      </c>
      <c r="H133" s="69">
        <v>1792660.0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7.25" customHeight="1">
      <c r="A134" s="28" t="s">
        <v>25</v>
      </c>
      <c r="B134" s="24" t="s">
        <v>91</v>
      </c>
      <c r="C134" s="28" t="s">
        <v>35</v>
      </c>
      <c r="D134" s="48" t="s">
        <v>34</v>
      </c>
      <c r="E134" s="28" t="s">
        <v>1833</v>
      </c>
      <c r="F134" s="28">
        <v>8.0</v>
      </c>
      <c r="G134" s="69">
        <v>1206000.0</v>
      </c>
      <c r="H134" s="69">
        <v>60000.0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7.25" customHeight="1">
      <c r="A135" s="28" t="s">
        <v>25</v>
      </c>
      <c r="B135" s="24" t="s">
        <v>91</v>
      </c>
      <c r="C135" s="28" t="s">
        <v>170</v>
      </c>
      <c r="D135" s="48" t="s">
        <v>169</v>
      </c>
      <c r="E135" s="28" t="s">
        <v>1835</v>
      </c>
      <c r="F135" s="28">
        <v>163.0</v>
      </c>
      <c r="G135" s="69">
        <v>3307600.0</v>
      </c>
      <c r="H135" s="69">
        <v>410580.0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7.25" customHeight="1">
      <c r="A136" s="28" t="s">
        <v>25</v>
      </c>
      <c r="B136" s="24" t="s">
        <v>91</v>
      </c>
      <c r="C136" s="28" t="s">
        <v>170</v>
      </c>
      <c r="D136" s="48" t="s">
        <v>169</v>
      </c>
      <c r="E136" s="28" t="s">
        <v>1838</v>
      </c>
      <c r="F136" s="28">
        <v>42.0</v>
      </c>
      <c r="G136" s="69">
        <v>603770.0</v>
      </c>
      <c r="H136" s="69">
        <v>73650.0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7.25" customHeight="1">
      <c r="A137" s="28" t="s">
        <v>25</v>
      </c>
      <c r="B137" s="24" t="s">
        <v>91</v>
      </c>
      <c r="C137" s="28" t="s">
        <v>170</v>
      </c>
      <c r="D137" s="48" t="s">
        <v>169</v>
      </c>
      <c r="E137" s="28" t="s">
        <v>1843</v>
      </c>
      <c r="F137" s="28">
        <v>29.0</v>
      </c>
      <c r="G137" s="69">
        <v>1149000.0</v>
      </c>
      <c r="H137" s="69">
        <v>108240.0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7.25" customHeight="1">
      <c r="A138" s="28" t="s">
        <v>25</v>
      </c>
      <c r="B138" s="24" t="s">
        <v>63</v>
      </c>
      <c r="C138" s="28" t="s">
        <v>170</v>
      </c>
      <c r="D138" s="48" t="s">
        <v>169</v>
      </c>
      <c r="E138" s="28" t="s">
        <v>1845</v>
      </c>
      <c r="F138" s="28">
        <v>11.0</v>
      </c>
      <c r="G138" s="69">
        <v>295300.0</v>
      </c>
      <c r="H138" s="69">
        <v>30780.0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7.25" customHeight="1">
      <c r="A139" s="28" t="s">
        <v>25</v>
      </c>
      <c r="B139" s="24" t="s">
        <v>63</v>
      </c>
      <c r="C139" s="28" t="s">
        <v>170</v>
      </c>
      <c r="D139" s="48" t="s">
        <v>169</v>
      </c>
      <c r="E139" s="28" t="s">
        <v>1848</v>
      </c>
      <c r="F139" s="28">
        <v>3.0</v>
      </c>
      <c r="G139" s="69">
        <v>56000.0</v>
      </c>
      <c r="H139" s="69">
        <v>8800.0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7.25" customHeight="1">
      <c r="A140" s="28" t="s">
        <v>25</v>
      </c>
      <c r="B140" s="24" t="s">
        <v>63</v>
      </c>
      <c r="C140" s="28" t="s">
        <v>170</v>
      </c>
      <c r="D140" s="48" t="s">
        <v>169</v>
      </c>
      <c r="E140" s="28" t="s">
        <v>1850</v>
      </c>
      <c r="F140" s="28">
        <v>5.0</v>
      </c>
      <c r="G140" s="69">
        <v>221200.0</v>
      </c>
      <c r="H140" s="69">
        <v>34240.0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7.25" customHeight="1">
      <c r="A141" s="28" t="s">
        <v>25</v>
      </c>
      <c r="B141" s="24" t="s">
        <v>63</v>
      </c>
      <c r="C141" s="28" t="s">
        <v>170</v>
      </c>
      <c r="D141" s="48" t="s">
        <v>169</v>
      </c>
      <c r="E141" s="28" t="s">
        <v>1852</v>
      </c>
      <c r="F141" s="28">
        <v>0.0</v>
      </c>
      <c r="G141" s="69">
        <v>0.0</v>
      </c>
      <c r="H141" s="69">
        <v>0.0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7.25" customHeight="1">
      <c r="A142" s="28" t="s">
        <v>25</v>
      </c>
      <c r="B142" s="24" t="s">
        <v>91</v>
      </c>
      <c r="C142" s="28" t="s">
        <v>325</v>
      </c>
      <c r="D142" s="48" t="s">
        <v>323</v>
      </c>
      <c r="E142" s="28" t="s">
        <v>1857</v>
      </c>
      <c r="F142" s="28">
        <v>82.0</v>
      </c>
      <c r="G142" s="69">
        <v>4760000.0</v>
      </c>
      <c r="H142" s="69">
        <v>720000.0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7.25" customHeight="1">
      <c r="A143" s="28" t="s">
        <v>25</v>
      </c>
      <c r="B143" s="24" t="s">
        <v>91</v>
      </c>
      <c r="C143" s="28" t="s">
        <v>183</v>
      </c>
      <c r="D143" s="48" t="s">
        <v>182</v>
      </c>
      <c r="E143" s="28" t="s">
        <v>1860</v>
      </c>
      <c r="F143" s="28">
        <v>936.0</v>
      </c>
      <c r="G143" s="69">
        <v>1.856956E7</v>
      </c>
      <c r="H143" s="69">
        <v>1131200.0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7.25" customHeight="1">
      <c r="A144" s="28" t="s">
        <v>25</v>
      </c>
      <c r="B144" s="24" t="s">
        <v>91</v>
      </c>
      <c r="C144" s="28" t="s">
        <v>183</v>
      </c>
      <c r="D144" s="48" t="s">
        <v>182</v>
      </c>
      <c r="E144" s="28" t="s">
        <v>1862</v>
      </c>
      <c r="F144" s="28">
        <v>829.0</v>
      </c>
      <c r="G144" s="69">
        <v>1.307888E7</v>
      </c>
      <c r="H144" s="69">
        <v>784000.0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7.25" customHeight="1">
      <c r="A145" s="28" t="s">
        <v>25</v>
      </c>
      <c r="B145" s="24" t="s">
        <v>91</v>
      </c>
      <c r="C145" s="28" t="s">
        <v>183</v>
      </c>
      <c r="D145" s="48" t="s">
        <v>182</v>
      </c>
      <c r="E145" s="28" t="s">
        <v>1865</v>
      </c>
      <c r="F145" s="28">
        <v>312.0</v>
      </c>
      <c r="G145" s="69">
        <v>4356380.0</v>
      </c>
      <c r="H145" s="69">
        <v>270440.0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7.25" customHeight="1">
      <c r="A146" s="28" t="s">
        <v>25</v>
      </c>
      <c r="B146" s="24" t="s">
        <v>91</v>
      </c>
      <c r="C146" s="28" t="s">
        <v>183</v>
      </c>
      <c r="D146" s="48" t="s">
        <v>182</v>
      </c>
      <c r="E146" s="28" t="s">
        <v>1869</v>
      </c>
      <c r="F146" s="28">
        <v>348.0</v>
      </c>
      <c r="G146" s="69">
        <v>8685550.0</v>
      </c>
      <c r="H146" s="69">
        <v>370740.0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7.25" customHeight="1">
      <c r="A147" s="28" t="s">
        <v>25</v>
      </c>
      <c r="B147" s="24" t="s">
        <v>91</v>
      </c>
      <c r="C147" s="28" t="s">
        <v>183</v>
      </c>
      <c r="D147" s="48" t="s">
        <v>182</v>
      </c>
      <c r="E147" s="28" t="s">
        <v>1872</v>
      </c>
      <c r="F147" s="28">
        <v>86.0</v>
      </c>
      <c r="G147" s="69">
        <v>1417500.0</v>
      </c>
      <c r="H147" s="69">
        <v>63360.0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7.25" customHeight="1">
      <c r="A148" s="28" t="s">
        <v>25</v>
      </c>
      <c r="B148" s="24" t="s">
        <v>91</v>
      </c>
      <c r="C148" s="28" t="s">
        <v>183</v>
      </c>
      <c r="D148" s="48" t="s">
        <v>182</v>
      </c>
      <c r="E148" s="28" t="s">
        <v>1874</v>
      </c>
      <c r="F148" s="28">
        <v>139.0</v>
      </c>
      <c r="G148" s="69">
        <v>2291930.0</v>
      </c>
      <c r="H148" s="69">
        <v>217500.0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7.25" customHeight="1">
      <c r="A149" s="28" t="s">
        <v>25</v>
      </c>
      <c r="B149" s="24" t="s">
        <v>91</v>
      </c>
      <c r="C149" s="28" t="s">
        <v>183</v>
      </c>
      <c r="D149" s="48" t="s">
        <v>182</v>
      </c>
      <c r="E149" s="28" t="s">
        <v>1877</v>
      </c>
      <c r="F149" s="28">
        <v>522.0</v>
      </c>
      <c r="G149" s="69">
        <v>7991060.0</v>
      </c>
      <c r="H149" s="69">
        <v>392860.0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7.25" customHeight="1">
      <c r="A150" s="28" t="s">
        <v>25</v>
      </c>
      <c r="B150" s="24" t="s">
        <v>91</v>
      </c>
      <c r="C150" s="28" t="s">
        <v>183</v>
      </c>
      <c r="D150" s="48" t="s">
        <v>182</v>
      </c>
      <c r="E150" s="28" t="s">
        <v>1881</v>
      </c>
      <c r="F150" s="28">
        <v>74.0</v>
      </c>
      <c r="G150" s="69">
        <v>1527000.0</v>
      </c>
      <c r="H150" s="69">
        <v>93120.0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7.25" customHeight="1">
      <c r="A151" s="28" t="s">
        <v>25</v>
      </c>
      <c r="B151" s="24" t="s">
        <v>91</v>
      </c>
      <c r="C151" s="28" t="s">
        <v>183</v>
      </c>
      <c r="D151" s="48" t="s">
        <v>182</v>
      </c>
      <c r="E151" s="28" t="s">
        <v>1884</v>
      </c>
      <c r="F151" s="28">
        <v>176.0</v>
      </c>
      <c r="G151" s="69">
        <v>4796520.0</v>
      </c>
      <c r="H151" s="69">
        <v>254520.0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7.25" customHeight="1">
      <c r="A152" s="28" t="s">
        <v>25</v>
      </c>
      <c r="B152" s="24" t="s">
        <v>91</v>
      </c>
      <c r="C152" s="28" t="s">
        <v>183</v>
      </c>
      <c r="D152" s="48" t="s">
        <v>182</v>
      </c>
      <c r="E152" s="28" t="s">
        <v>1886</v>
      </c>
      <c r="F152" s="28">
        <v>55.0</v>
      </c>
      <c r="G152" s="69">
        <v>685200.0</v>
      </c>
      <c r="H152" s="69">
        <v>13160.0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7.25" customHeight="1">
      <c r="A153" s="28" t="s">
        <v>25</v>
      </c>
      <c r="B153" s="24" t="s">
        <v>91</v>
      </c>
      <c r="C153" s="28" t="s">
        <v>183</v>
      </c>
      <c r="D153" s="48" t="s">
        <v>182</v>
      </c>
      <c r="E153" s="28" t="s">
        <v>1888</v>
      </c>
      <c r="F153" s="28">
        <v>39.0</v>
      </c>
      <c r="G153" s="69">
        <v>463760.0</v>
      </c>
      <c r="H153" s="69">
        <v>11280.0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7.25" customHeight="1">
      <c r="A154" s="28" t="s">
        <v>25</v>
      </c>
      <c r="B154" s="24" t="s">
        <v>91</v>
      </c>
      <c r="C154" s="28" t="s">
        <v>183</v>
      </c>
      <c r="D154" s="48" t="s">
        <v>182</v>
      </c>
      <c r="E154" s="28" t="s">
        <v>1890</v>
      </c>
      <c r="F154" s="28">
        <v>41.0</v>
      </c>
      <c r="G154" s="69">
        <v>568500.0</v>
      </c>
      <c r="H154" s="69">
        <v>32500.0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7.25" customHeight="1">
      <c r="A155" s="28" t="s">
        <v>25</v>
      </c>
      <c r="B155" s="24" t="s">
        <v>91</v>
      </c>
      <c r="C155" s="28" t="s">
        <v>183</v>
      </c>
      <c r="D155" s="48" t="s">
        <v>182</v>
      </c>
      <c r="E155" s="28" t="s">
        <v>1895</v>
      </c>
      <c r="F155" s="28">
        <v>125.0</v>
      </c>
      <c r="G155" s="69">
        <v>1900680.0</v>
      </c>
      <c r="H155" s="69">
        <v>85740.0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7.25" customHeight="1">
      <c r="A156" s="28" t="s">
        <v>25</v>
      </c>
      <c r="B156" s="24" t="s">
        <v>63</v>
      </c>
      <c r="C156" s="28" t="s">
        <v>183</v>
      </c>
      <c r="D156" s="48" t="s">
        <v>182</v>
      </c>
      <c r="E156" s="28" t="s">
        <v>1896</v>
      </c>
      <c r="F156" s="28">
        <v>92.0</v>
      </c>
      <c r="G156" s="69">
        <v>1226520.0</v>
      </c>
      <c r="H156" s="69">
        <v>92550.0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7.25" customHeight="1">
      <c r="A157" s="28" t="s">
        <v>25</v>
      </c>
      <c r="B157" s="24" t="s">
        <v>63</v>
      </c>
      <c r="C157" s="28" t="s">
        <v>183</v>
      </c>
      <c r="D157" s="48" t="s">
        <v>182</v>
      </c>
      <c r="E157" s="28" t="s">
        <v>1898</v>
      </c>
      <c r="F157" s="28">
        <v>62.0</v>
      </c>
      <c r="G157" s="69">
        <v>810590.0</v>
      </c>
      <c r="H157" s="69">
        <v>72520.0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7.25" customHeight="1">
      <c r="A158" s="28" t="s">
        <v>25</v>
      </c>
      <c r="B158" s="24" t="s">
        <v>91</v>
      </c>
      <c r="C158" s="28" t="s">
        <v>183</v>
      </c>
      <c r="D158" s="48" t="s">
        <v>182</v>
      </c>
      <c r="E158" s="28" t="s">
        <v>1902</v>
      </c>
      <c r="F158" s="28">
        <v>7.0</v>
      </c>
      <c r="G158" s="69">
        <v>131800.0</v>
      </c>
      <c r="H158" s="69">
        <v>12240.0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7.25" customHeight="1">
      <c r="A159" s="28" t="s">
        <v>25</v>
      </c>
      <c r="B159" s="24" t="s">
        <v>91</v>
      </c>
      <c r="C159" s="28" t="s">
        <v>183</v>
      </c>
      <c r="D159" s="48" t="s">
        <v>182</v>
      </c>
      <c r="E159" s="28" t="s">
        <v>1904</v>
      </c>
      <c r="F159" s="28">
        <v>5.0</v>
      </c>
      <c r="G159" s="69">
        <v>199000.0</v>
      </c>
      <c r="H159" s="69">
        <v>7960.0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7.25" customHeight="1">
      <c r="A160" s="28" t="s">
        <v>25</v>
      </c>
      <c r="B160" s="24" t="s">
        <v>63</v>
      </c>
      <c r="C160" s="28" t="s">
        <v>183</v>
      </c>
      <c r="D160" s="48" t="s">
        <v>182</v>
      </c>
      <c r="E160" s="28" t="s">
        <v>1909</v>
      </c>
      <c r="F160" s="28">
        <v>96.0</v>
      </c>
      <c r="G160" s="69">
        <v>1251020.0</v>
      </c>
      <c r="H160" s="69">
        <v>111350.0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7.25" customHeight="1">
      <c r="A161" s="28" t="s">
        <v>25</v>
      </c>
      <c r="B161" s="24" t="s">
        <v>91</v>
      </c>
      <c r="C161" s="28" t="s">
        <v>183</v>
      </c>
      <c r="D161" s="48" t="s">
        <v>182</v>
      </c>
      <c r="E161" s="28" t="s">
        <v>1911</v>
      </c>
      <c r="F161" s="28">
        <v>106.0</v>
      </c>
      <c r="G161" s="69">
        <v>1842380.0</v>
      </c>
      <c r="H161" s="69">
        <v>156880.0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7.25" customHeight="1">
      <c r="A162" s="28" t="s">
        <v>25</v>
      </c>
      <c r="B162" s="24" t="s">
        <v>99</v>
      </c>
      <c r="C162" s="28" t="s">
        <v>183</v>
      </c>
      <c r="D162" s="48" t="s">
        <v>182</v>
      </c>
      <c r="E162" s="28" t="s">
        <v>1913</v>
      </c>
      <c r="F162" s="28">
        <v>8.0</v>
      </c>
      <c r="G162" s="69">
        <v>247000.0</v>
      </c>
      <c r="H162" s="69">
        <v>25800.0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7.25" customHeight="1">
      <c r="A163" s="28" t="s">
        <v>25</v>
      </c>
      <c r="B163" s="24" t="s">
        <v>63</v>
      </c>
      <c r="C163" s="28" t="s">
        <v>183</v>
      </c>
      <c r="D163" s="48" t="s">
        <v>182</v>
      </c>
      <c r="E163" s="28" t="s">
        <v>1917</v>
      </c>
      <c r="F163" s="28">
        <v>1.0</v>
      </c>
      <c r="G163" s="69">
        <v>16500.0</v>
      </c>
      <c r="H163" s="69">
        <v>0.0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7.25" customHeight="1">
      <c r="A164" s="28" t="s">
        <v>25</v>
      </c>
      <c r="B164" s="24" t="s">
        <v>63</v>
      </c>
      <c r="C164" s="28" t="s">
        <v>183</v>
      </c>
      <c r="D164" s="48" t="s">
        <v>182</v>
      </c>
      <c r="E164" s="28" t="s">
        <v>1919</v>
      </c>
      <c r="F164" s="28">
        <v>0.0</v>
      </c>
      <c r="G164" s="69">
        <v>0.0</v>
      </c>
      <c r="H164" s="69">
        <v>0.0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7.25" customHeight="1">
      <c r="A165" s="28" t="s">
        <v>25</v>
      </c>
      <c r="B165" s="24" t="s">
        <v>91</v>
      </c>
      <c r="C165" s="28" t="s">
        <v>183</v>
      </c>
      <c r="D165" s="48" t="s">
        <v>182</v>
      </c>
      <c r="E165" s="28" t="s">
        <v>1922</v>
      </c>
      <c r="F165" s="28">
        <v>96.0</v>
      </c>
      <c r="G165" s="69">
        <v>1114280.0</v>
      </c>
      <c r="H165" s="69">
        <v>32020.0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7.25" customHeight="1">
      <c r="A166" s="28" t="s">
        <v>25</v>
      </c>
      <c r="B166" s="24" t="s">
        <v>91</v>
      </c>
      <c r="C166" s="28" t="s">
        <v>183</v>
      </c>
      <c r="D166" s="48" t="s">
        <v>182</v>
      </c>
      <c r="E166" s="28" t="s">
        <v>1924</v>
      </c>
      <c r="F166" s="28">
        <v>25.0</v>
      </c>
      <c r="G166" s="69">
        <v>383080.0</v>
      </c>
      <c r="H166" s="69">
        <v>20800.0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7.25" customHeight="1">
      <c r="A167" s="28" t="s">
        <v>25</v>
      </c>
      <c r="B167" s="24" t="s">
        <v>91</v>
      </c>
      <c r="C167" s="28" t="s">
        <v>183</v>
      </c>
      <c r="D167" s="48" t="s">
        <v>182</v>
      </c>
      <c r="E167" s="28" t="s">
        <v>1929</v>
      </c>
      <c r="F167" s="28">
        <v>22.0</v>
      </c>
      <c r="G167" s="69">
        <v>318540.0</v>
      </c>
      <c r="H167" s="69">
        <v>13200.0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7.25" customHeight="1">
      <c r="A168" s="28" t="s">
        <v>25</v>
      </c>
      <c r="B168" s="24" t="s">
        <v>91</v>
      </c>
      <c r="C168" s="28" t="s">
        <v>183</v>
      </c>
      <c r="D168" s="48" t="s">
        <v>182</v>
      </c>
      <c r="E168" s="28" t="s">
        <v>1931</v>
      </c>
      <c r="F168" s="28">
        <v>29.0</v>
      </c>
      <c r="G168" s="69">
        <v>471200.0</v>
      </c>
      <c r="H168" s="69">
        <v>31360.0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7.25" customHeight="1">
      <c r="A169" s="28" t="s">
        <v>25</v>
      </c>
      <c r="B169" s="24" t="s">
        <v>63</v>
      </c>
      <c r="C169" s="28" t="s">
        <v>183</v>
      </c>
      <c r="D169" s="48" t="s">
        <v>182</v>
      </c>
      <c r="E169" s="28" t="s">
        <v>1934</v>
      </c>
      <c r="F169" s="28">
        <v>47.0</v>
      </c>
      <c r="G169" s="69">
        <v>845300.0</v>
      </c>
      <c r="H169" s="69">
        <v>74500.0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7.25" customHeight="1">
      <c r="A170" s="28" t="s">
        <v>25</v>
      </c>
      <c r="B170" s="24" t="s">
        <v>63</v>
      </c>
      <c r="C170" s="28" t="s">
        <v>183</v>
      </c>
      <c r="D170" s="48" t="s">
        <v>182</v>
      </c>
      <c r="E170" s="28" t="s">
        <v>1936</v>
      </c>
      <c r="F170" s="28">
        <v>10.0</v>
      </c>
      <c r="G170" s="69">
        <v>570500.0</v>
      </c>
      <c r="H170" s="69">
        <v>50000.0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7.25" customHeight="1">
      <c r="A171" s="28" t="s">
        <v>25</v>
      </c>
      <c r="B171" s="24" t="s">
        <v>63</v>
      </c>
      <c r="C171" s="28" t="s">
        <v>183</v>
      </c>
      <c r="D171" s="48" t="s">
        <v>182</v>
      </c>
      <c r="E171" s="28" t="s">
        <v>1943</v>
      </c>
      <c r="F171" s="28">
        <v>2.0</v>
      </c>
      <c r="G171" s="69">
        <v>222400.0</v>
      </c>
      <c r="H171" s="69">
        <v>0.0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7.25" customHeight="1">
      <c r="A172" s="28" t="s">
        <v>25</v>
      </c>
      <c r="B172" s="24" t="s">
        <v>91</v>
      </c>
      <c r="C172" s="28" t="s">
        <v>183</v>
      </c>
      <c r="D172" s="48" t="s">
        <v>182</v>
      </c>
      <c r="E172" s="28" t="s">
        <v>1947</v>
      </c>
      <c r="F172" s="28">
        <v>179.0</v>
      </c>
      <c r="G172" s="69">
        <v>4589180.0</v>
      </c>
      <c r="H172" s="69">
        <v>246840.0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7.25" customHeight="1">
      <c r="A173" s="28" t="s">
        <v>25</v>
      </c>
      <c r="B173" s="24" t="s">
        <v>91</v>
      </c>
      <c r="C173" s="28" t="s">
        <v>183</v>
      </c>
      <c r="D173" s="48" t="s">
        <v>182</v>
      </c>
      <c r="E173" s="28" t="s">
        <v>1951</v>
      </c>
      <c r="F173" s="28">
        <v>39.0</v>
      </c>
      <c r="G173" s="69">
        <v>798700.0</v>
      </c>
      <c r="H173" s="69">
        <v>54320.0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7.25" customHeight="1">
      <c r="A174" s="28" t="s">
        <v>25</v>
      </c>
      <c r="B174" s="24" t="s">
        <v>91</v>
      </c>
      <c r="C174" s="28" t="s">
        <v>183</v>
      </c>
      <c r="D174" s="48" t="s">
        <v>182</v>
      </c>
      <c r="E174" s="28" t="s">
        <v>1956</v>
      </c>
      <c r="F174" s="28">
        <v>3.0</v>
      </c>
      <c r="G174" s="69">
        <v>35100.0</v>
      </c>
      <c r="H174" s="69">
        <v>3560.0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7.25" customHeight="1">
      <c r="A175" s="28" t="s">
        <v>25</v>
      </c>
      <c r="B175" s="24" t="s">
        <v>63</v>
      </c>
      <c r="C175" s="28" t="s">
        <v>183</v>
      </c>
      <c r="D175" s="48" t="s">
        <v>182</v>
      </c>
      <c r="E175" s="28" t="s">
        <v>1960</v>
      </c>
      <c r="F175" s="28">
        <v>2.0</v>
      </c>
      <c r="G175" s="69">
        <v>31800.0</v>
      </c>
      <c r="H175" s="69">
        <v>0.0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7.25" customHeight="1">
      <c r="A176" s="28" t="s">
        <v>25</v>
      </c>
      <c r="B176" s="24" t="s">
        <v>63</v>
      </c>
      <c r="C176" s="28" t="s">
        <v>125</v>
      </c>
      <c r="D176" s="48" t="s">
        <v>124</v>
      </c>
      <c r="E176" s="28" t="s">
        <v>1966</v>
      </c>
      <c r="F176" s="28">
        <v>34.0</v>
      </c>
      <c r="G176" s="69">
        <v>498000.0</v>
      </c>
      <c r="H176" s="69">
        <v>60780.0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7.25" customHeight="1">
      <c r="A177" s="28" t="s">
        <v>25</v>
      </c>
      <c r="B177" s="24" t="s">
        <v>63</v>
      </c>
      <c r="C177" s="28" t="s">
        <v>125</v>
      </c>
      <c r="D177" s="48" t="s">
        <v>124</v>
      </c>
      <c r="E177" s="28" t="s">
        <v>1969</v>
      </c>
      <c r="F177" s="28">
        <v>62.0</v>
      </c>
      <c r="G177" s="69">
        <v>2281100.0</v>
      </c>
      <c r="H177" s="69">
        <v>311240.0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7.25" customHeight="1">
      <c r="A178" s="28" t="s">
        <v>25</v>
      </c>
      <c r="B178" s="24" t="s">
        <v>63</v>
      </c>
      <c r="C178" s="28" t="s">
        <v>125</v>
      </c>
      <c r="D178" s="48" t="s">
        <v>124</v>
      </c>
      <c r="E178" s="28" t="s">
        <v>1971</v>
      </c>
      <c r="F178" s="28">
        <v>46.0</v>
      </c>
      <c r="G178" s="69">
        <v>2569800.0</v>
      </c>
      <c r="H178" s="69">
        <v>340000.0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7.25" customHeight="1">
      <c r="A179" s="28" t="s">
        <v>25</v>
      </c>
      <c r="B179" s="24" t="s">
        <v>63</v>
      </c>
      <c r="C179" s="28" t="s">
        <v>125</v>
      </c>
      <c r="D179" s="48" t="s">
        <v>124</v>
      </c>
      <c r="E179" s="28" t="s">
        <v>1973</v>
      </c>
      <c r="F179" s="28">
        <v>13.0</v>
      </c>
      <c r="G179" s="69">
        <v>1190000.0</v>
      </c>
      <c r="H179" s="69">
        <v>90000.0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7.25" customHeight="1">
      <c r="A180" s="28" t="s">
        <v>25</v>
      </c>
      <c r="B180" s="24" t="s">
        <v>63</v>
      </c>
      <c r="C180" s="28" t="s">
        <v>125</v>
      </c>
      <c r="D180" s="48" t="s">
        <v>124</v>
      </c>
      <c r="E180" s="28" t="s">
        <v>1977</v>
      </c>
      <c r="F180" s="28">
        <v>111.0</v>
      </c>
      <c r="G180" s="69">
        <v>1758700.0</v>
      </c>
      <c r="H180" s="69">
        <v>183340.0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7.25" customHeight="1">
      <c r="A181" s="28" t="s">
        <v>25</v>
      </c>
      <c r="B181" s="24" t="s">
        <v>63</v>
      </c>
      <c r="C181" s="28" t="s">
        <v>125</v>
      </c>
      <c r="D181" s="48" t="s">
        <v>124</v>
      </c>
      <c r="E181" s="28" t="s">
        <v>1979</v>
      </c>
      <c r="F181" s="28">
        <v>57.0</v>
      </c>
      <c r="G181" s="69">
        <v>2049800.0</v>
      </c>
      <c r="H181" s="69">
        <v>244860.0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7.25" customHeight="1">
      <c r="A182" s="28" t="s">
        <v>25</v>
      </c>
      <c r="B182" s="24" t="s">
        <v>63</v>
      </c>
      <c r="C182" s="28" t="s">
        <v>125</v>
      </c>
      <c r="D182" s="48" t="s">
        <v>124</v>
      </c>
      <c r="E182" s="28" t="s">
        <v>1983</v>
      </c>
      <c r="F182" s="28">
        <v>13.0</v>
      </c>
      <c r="G182" s="69">
        <v>715200.0</v>
      </c>
      <c r="H182" s="69">
        <v>110000.0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7.25" customHeight="1">
      <c r="A183" s="28" t="s">
        <v>25</v>
      </c>
      <c r="B183" s="24" t="s">
        <v>63</v>
      </c>
      <c r="C183" s="28" t="s">
        <v>125</v>
      </c>
      <c r="D183" s="48" t="s">
        <v>124</v>
      </c>
      <c r="E183" s="28" t="s">
        <v>1985</v>
      </c>
      <c r="F183" s="28">
        <v>5.0</v>
      </c>
      <c r="G183" s="69">
        <v>462000.0</v>
      </c>
      <c r="H183" s="69">
        <v>10000.0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7.25" customHeight="1">
      <c r="A184" s="28" t="s">
        <v>25</v>
      </c>
      <c r="B184" s="24" t="s">
        <v>63</v>
      </c>
      <c r="C184" s="28" t="s">
        <v>125</v>
      </c>
      <c r="D184" s="48" t="s">
        <v>124</v>
      </c>
      <c r="E184" s="28" t="s">
        <v>1987</v>
      </c>
      <c r="F184" s="28">
        <v>142.0</v>
      </c>
      <c r="G184" s="69">
        <v>1460900.0</v>
      </c>
      <c r="H184" s="69">
        <v>127340.0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7.25" customHeight="1">
      <c r="A185" s="28" t="s">
        <v>25</v>
      </c>
      <c r="B185" s="24" t="s">
        <v>63</v>
      </c>
      <c r="C185" s="28" t="s">
        <v>125</v>
      </c>
      <c r="D185" s="48" t="s">
        <v>124</v>
      </c>
      <c r="E185" s="28" t="s">
        <v>1991</v>
      </c>
      <c r="F185" s="28">
        <v>55.0</v>
      </c>
      <c r="G185" s="69">
        <v>1473500.0</v>
      </c>
      <c r="H185" s="69">
        <v>149370.0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7.25" customHeight="1">
      <c r="A186" s="28" t="s">
        <v>25</v>
      </c>
      <c r="B186" s="24" t="s">
        <v>63</v>
      </c>
      <c r="C186" s="28" t="s">
        <v>125</v>
      </c>
      <c r="D186" s="48" t="s">
        <v>124</v>
      </c>
      <c r="E186" s="28" t="s">
        <v>1994</v>
      </c>
      <c r="F186" s="28">
        <v>9.0</v>
      </c>
      <c r="G186" s="69">
        <v>386800.0</v>
      </c>
      <c r="H186" s="69">
        <v>43000.0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7.25" customHeight="1">
      <c r="A187" s="28" t="s">
        <v>25</v>
      </c>
      <c r="B187" s="68" t="s">
        <v>63</v>
      </c>
      <c r="C187" s="28" t="s">
        <v>660</v>
      </c>
      <c r="D187" s="66" t="s">
        <v>659</v>
      </c>
      <c r="E187" s="28" t="s">
        <v>1999</v>
      </c>
      <c r="F187" s="28">
        <v>1480.0</v>
      </c>
      <c r="G187" s="69">
        <v>3.4772E7</v>
      </c>
      <c r="H187" s="69">
        <v>4116840.0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7.25" customHeight="1">
      <c r="A188" s="28" t="s">
        <v>25</v>
      </c>
      <c r="B188" s="68" t="s">
        <v>63</v>
      </c>
      <c r="C188" s="28" t="s">
        <v>660</v>
      </c>
      <c r="D188" s="66" t="s">
        <v>659</v>
      </c>
      <c r="E188" s="28" t="s">
        <v>2002</v>
      </c>
      <c r="F188" s="28">
        <v>86.0</v>
      </c>
      <c r="G188" s="69">
        <v>5595000.0</v>
      </c>
      <c r="H188" s="69">
        <v>480000.0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7.25" customHeight="1">
      <c r="A189" s="28" t="s">
        <v>25</v>
      </c>
      <c r="B189" s="68" t="s">
        <v>63</v>
      </c>
      <c r="C189" s="28" t="s">
        <v>660</v>
      </c>
      <c r="D189" s="66" t="s">
        <v>659</v>
      </c>
      <c r="E189" s="28" t="s">
        <v>2004</v>
      </c>
      <c r="F189" s="28">
        <v>441.0</v>
      </c>
      <c r="G189" s="69">
        <v>1.846E7</v>
      </c>
      <c r="H189" s="69">
        <v>2760280.0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7.25" customHeight="1">
      <c r="A190" s="28" t="s">
        <v>25</v>
      </c>
      <c r="B190" s="68" t="s">
        <v>63</v>
      </c>
      <c r="C190" s="28" t="s">
        <v>660</v>
      </c>
      <c r="D190" s="66" t="s">
        <v>659</v>
      </c>
      <c r="E190" s="28" t="s">
        <v>2009</v>
      </c>
      <c r="F190" s="28">
        <v>40.0</v>
      </c>
      <c r="G190" s="69">
        <v>4364000.0</v>
      </c>
      <c r="H190" s="69">
        <v>260000.0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7.25" customHeight="1">
      <c r="A191" s="28" t="s">
        <v>25</v>
      </c>
      <c r="B191" s="68" t="s">
        <v>63</v>
      </c>
      <c r="C191" s="28" t="s">
        <v>381</v>
      </c>
      <c r="D191" s="66" t="s">
        <v>379</v>
      </c>
      <c r="E191" s="28" t="s">
        <v>2011</v>
      </c>
      <c r="F191" s="28">
        <v>520.0</v>
      </c>
      <c r="G191" s="69">
        <v>1.3123E7</v>
      </c>
      <c r="H191" s="69">
        <v>1043580.0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7.25" customHeight="1">
      <c r="A192" s="28" t="s">
        <v>25</v>
      </c>
      <c r="B192" s="68" t="s">
        <v>63</v>
      </c>
      <c r="C192" s="81" t="s">
        <v>789</v>
      </c>
      <c r="D192" s="66" t="s">
        <v>788</v>
      </c>
      <c r="E192" s="28" t="s">
        <v>2019</v>
      </c>
      <c r="F192" s="28">
        <v>206.0</v>
      </c>
      <c r="G192" s="69">
        <v>4424250.0</v>
      </c>
      <c r="H192" s="69">
        <v>703630.0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7.25" customHeight="1">
      <c r="A193" s="28" t="s">
        <v>25</v>
      </c>
      <c r="B193" s="68" t="s">
        <v>63</v>
      </c>
      <c r="C193" s="28" t="s">
        <v>760</v>
      </c>
      <c r="D193" s="66" t="s">
        <v>759</v>
      </c>
      <c r="E193" s="28" t="s">
        <v>2022</v>
      </c>
      <c r="F193" s="28">
        <v>3.0</v>
      </c>
      <c r="G193" s="69">
        <v>139000.0</v>
      </c>
      <c r="H193" s="69">
        <v>9400.0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7.25" customHeight="1">
      <c r="A194" s="28" t="s">
        <v>25</v>
      </c>
      <c r="B194" s="68" t="s">
        <v>63</v>
      </c>
      <c r="C194" s="28" t="s">
        <v>760</v>
      </c>
      <c r="D194" s="66" t="s">
        <v>759</v>
      </c>
      <c r="E194" s="28" t="s">
        <v>2025</v>
      </c>
      <c r="F194" s="28">
        <v>1.0</v>
      </c>
      <c r="G194" s="69">
        <v>33000.0</v>
      </c>
      <c r="H194" s="69">
        <v>6600.0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7.25" customHeight="1">
      <c r="A195" s="28" t="s">
        <v>25</v>
      </c>
      <c r="B195" s="68" t="s">
        <v>63</v>
      </c>
      <c r="C195" s="28" t="s">
        <v>760</v>
      </c>
      <c r="D195" s="66" t="s">
        <v>759</v>
      </c>
      <c r="E195" s="28" t="s">
        <v>2025</v>
      </c>
      <c r="F195" s="28">
        <v>4.0</v>
      </c>
      <c r="G195" s="69">
        <v>175000.0</v>
      </c>
      <c r="H195" s="69">
        <v>10000.0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7.25" customHeight="1">
      <c r="A196" s="28" t="s">
        <v>25</v>
      </c>
      <c r="B196" s="68" t="s">
        <v>63</v>
      </c>
      <c r="C196" s="28" t="s">
        <v>867</v>
      </c>
      <c r="D196" s="66" t="s">
        <v>865</v>
      </c>
      <c r="E196" s="28" t="s">
        <v>2031</v>
      </c>
      <c r="F196" s="28">
        <v>7.0</v>
      </c>
      <c r="G196" s="69">
        <v>198000.0</v>
      </c>
      <c r="H196" s="69">
        <v>0.0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7.25" customHeight="1">
      <c r="A197" s="28" t="s">
        <v>25</v>
      </c>
      <c r="B197" s="68" t="s">
        <v>63</v>
      </c>
      <c r="C197" s="28" t="s">
        <v>867</v>
      </c>
      <c r="D197" s="66" t="s">
        <v>865</v>
      </c>
      <c r="E197" s="28" t="s">
        <v>2034</v>
      </c>
      <c r="F197" s="28">
        <v>0.0</v>
      </c>
      <c r="G197" s="69">
        <v>0.0</v>
      </c>
      <c r="H197" s="69">
        <v>0.0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7.25" customHeight="1">
      <c r="A198" s="28" t="s">
        <v>25</v>
      </c>
      <c r="B198" s="68" t="s">
        <v>63</v>
      </c>
      <c r="C198" s="28" t="s">
        <v>867</v>
      </c>
      <c r="D198" s="66" t="s">
        <v>865</v>
      </c>
      <c r="E198" s="28" t="s">
        <v>2036</v>
      </c>
      <c r="F198" s="28">
        <v>0.0</v>
      </c>
      <c r="G198" s="69">
        <v>0.0</v>
      </c>
      <c r="H198" s="69">
        <v>0.0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7.25" customHeight="1">
      <c r="A199" s="28" t="s">
        <v>25</v>
      </c>
      <c r="B199" s="68" t="s">
        <v>91</v>
      </c>
      <c r="C199" s="28" t="s">
        <v>736</v>
      </c>
      <c r="D199" s="66" t="s">
        <v>735</v>
      </c>
      <c r="E199" s="28" t="s">
        <v>2039</v>
      </c>
      <c r="F199" s="28">
        <v>892.0</v>
      </c>
      <c r="G199" s="69">
        <v>3.02636E7</v>
      </c>
      <c r="H199" s="69">
        <v>2593180.0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7.25" customHeight="1">
      <c r="A200" s="28" t="s">
        <v>25</v>
      </c>
      <c r="B200" s="68" t="s">
        <v>63</v>
      </c>
      <c r="C200" s="28" t="s">
        <v>170</v>
      </c>
      <c r="D200" s="66" t="s">
        <v>169</v>
      </c>
      <c r="E200" s="28" t="s">
        <v>2043</v>
      </c>
      <c r="F200" s="28">
        <v>5.0</v>
      </c>
      <c r="G200" s="69">
        <v>95320.0</v>
      </c>
      <c r="H200" s="69">
        <v>3380.0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7.25" customHeight="1">
      <c r="A201" s="28" t="s">
        <v>25</v>
      </c>
      <c r="B201" s="68" t="s">
        <v>91</v>
      </c>
      <c r="C201" s="28" t="s">
        <v>851</v>
      </c>
      <c r="D201" s="66" t="s">
        <v>850</v>
      </c>
      <c r="E201" s="28" t="s">
        <v>2046</v>
      </c>
      <c r="F201" s="28">
        <v>297.0</v>
      </c>
      <c r="G201" s="69">
        <v>6336160.0</v>
      </c>
      <c r="H201" s="69">
        <v>0.0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7.25" customHeight="1">
      <c r="A202" s="28" t="s">
        <v>25</v>
      </c>
      <c r="B202" s="68" t="s">
        <v>91</v>
      </c>
      <c r="C202" s="28" t="s">
        <v>851</v>
      </c>
      <c r="D202" s="66" t="s">
        <v>850</v>
      </c>
      <c r="E202" s="28" t="s">
        <v>2048</v>
      </c>
      <c r="F202" s="28">
        <v>89.0</v>
      </c>
      <c r="G202" s="69">
        <v>3281630.0</v>
      </c>
      <c r="H202" s="69">
        <v>0.0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7.25" customHeight="1">
      <c r="A203" s="28" t="s">
        <v>25</v>
      </c>
      <c r="B203" s="68" t="s">
        <v>91</v>
      </c>
      <c r="C203" s="28" t="s">
        <v>851</v>
      </c>
      <c r="D203" s="66" t="s">
        <v>850</v>
      </c>
      <c r="E203" s="28" t="s">
        <v>2051</v>
      </c>
      <c r="F203" s="28">
        <v>65.0</v>
      </c>
      <c r="G203" s="69">
        <v>1442190.0</v>
      </c>
      <c r="H203" s="69">
        <v>0.0</v>
      </c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7.25" customHeight="1">
      <c r="A204" s="28" t="s">
        <v>25</v>
      </c>
      <c r="B204" s="68" t="s">
        <v>91</v>
      </c>
      <c r="C204" s="28" t="s">
        <v>851</v>
      </c>
      <c r="D204" s="66" t="s">
        <v>850</v>
      </c>
      <c r="E204" s="28" t="s">
        <v>2054</v>
      </c>
      <c r="F204" s="28">
        <v>58.0</v>
      </c>
      <c r="G204" s="69">
        <v>1542520.0</v>
      </c>
      <c r="H204" s="69">
        <v>0.0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7.25" customHeight="1">
      <c r="A205" s="28" t="s">
        <v>25</v>
      </c>
      <c r="B205" s="68" t="s">
        <v>91</v>
      </c>
      <c r="C205" s="28" t="s">
        <v>851</v>
      </c>
      <c r="D205" s="66" t="s">
        <v>850</v>
      </c>
      <c r="E205" s="28" t="s">
        <v>2057</v>
      </c>
      <c r="F205" s="28">
        <v>8.0</v>
      </c>
      <c r="G205" s="69">
        <v>494390.0</v>
      </c>
      <c r="H205" s="69">
        <v>0.0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7.25" customHeight="1">
      <c r="A206" s="28" t="s">
        <v>25</v>
      </c>
      <c r="B206" s="68" t="s">
        <v>63</v>
      </c>
      <c r="C206" s="28" t="s">
        <v>851</v>
      </c>
      <c r="D206" s="66" t="s">
        <v>850</v>
      </c>
      <c r="E206" s="28" t="s">
        <v>2059</v>
      </c>
      <c r="F206" s="28">
        <v>19.0</v>
      </c>
      <c r="G206" s="69">
        <v>387800.0</v>
      </c>
      <c r="H206" s="69">
        <v>0.0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7.25" customHeight="1">
      <c r="A207" s="28" t="s">
        <v>25</v>
      </c>
      <c r="B207" s="68" t="s">
        <v>63</v>
      </c>
      <c r="C207" s="28" t="s">
        <v>851</v>
      </c>
      <c r="D207" s="66" t="s">
        <v>850</v>
      </c>
      <c r="E207" s="28" t="s">
        <v>2062</v>
      </c>
      <c r="F207" s="28">
        <v>8.0</v>
      </c>
      <c r="G207" s="69">
        <v>208780.0</v>
      </c>
      <c r="H207" s="69">
        <v>0.0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7.25" customHeight="1">
      <c r="A208" s="17"/>
      <c r="B208" s="17"/>
      <c r="C208" s="17"/>
      <c r="D208" s="17"/>
      <c r="E208" s="17"/>
      <c r="F208" s="78"/>
      <c r="G208" s="78"/>
      <c r="H208" s="78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7.25" customHeight="1">
      <c r="A209" s="17"/>
      <c r="B209" s="17"/>
      <c r="C209" s="17"/>
      <c r="D209" s="17"/>
      <c r="E209" s="17"/>
      <c r="F209" s="78"/>
      <c r="G209" s="78"/>
      <c r="H209" s="78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7.25" customHeight="1">
      <c r="A210" s="17"/>
      <c r="B210" s="17"/>
      <c r="C210" s="17"/>
      <c r="D210" s="17"/>
      <c r="E210" s="17"/>
      <c r="F210" s="78"/>
      <c r="G210" s="78"/>
      <c r="H210" s="78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7.25" customHeight="1">
      <c r="A211" s="17"/>
      <c r="B211" s="17"/>
      <c r="C211" s="17"/>
      <c r="D211" s="17"/>
      <c r="E211" s="17"/>
      <c r="F211" s="78"/>
      <c r="G211" s="78"/>
      <c r="H211" s="78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7.25" customHeight="1">
      <c r="A212" s="17"/>
      <c r="B212" s="17"/>
      <c r="C212" s="17"/>
      <c r="D212" s="17"/>
      <c r="E212" s="17"/>
      <c r="F212" s="78"/>
      <c r="G212" s="78"/>
      <c r="H212" s="78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7.25" customHeight="1">
      <c r="A213" s="17"/>
      <c r="B213" s="17"/>
      <c r="C213" s="17"/>
      <c r="D213" s="17"/>
      <c r="E213" s="17"/>
      <c r="F213" s="78"/>
      <c r="G213" s="78"/>
      <c r="H213" s="78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7.25" customHeight="1">
      <c r="A214" s="17"/>
      <c r="B214" s="17"/>
      <c r="C214" s="17"/>
      <c r="D214" s="17"/>
      <c r="E214" s="17"/>
      <c r="F214" s="78"/>
      <c r="G214" s="78"/>
      <c r="H214" s="78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7.25" customHeight="1">
      <c r="A215" s="17"/>
      <c r="B215" s="17"/>
      <c r="C215" s="17"/>
      <c r="D215" s="17"/>
      <c r="E215" s="17"/>
      <c r="F215" s="78"/>
      <c r="G215" s="78"/>
      <c r="H215" s="78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7.25" customHeight="1">
      <c r="A216" s="17"/>
      <c r="B216" s="17"/>
      <c r="C216" s="17"/>
      <c r="D216" s="17"/>
      <c r="E216" s="17"/>
      <c r="F216" s="78"/>
      <c r="G216" s="78"/>
      <c r="H216" s="78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7.25" customHeight="1">
      <c r="A217" s="17"/>
      <c r="B217" s="17"/>
      <c r="C217" s="17"/>
      <c r="D217" s="17"/>
      <c r="E217" s="17"/>
      <c r="F217" s="78"/>
      <c r="G217" s="78"/>
      <c r="H217" s="78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7.25" customHeight="1">
      <c r="A218" s="17"/>
      <c r="B218" s="17"/>
      <c r="C218" s="17"/>
      <c r="D218" s="17"/>
      <c r="E218" s="17"/>
      <c r="F218" s="78"/>
      <c r="G218" s="78"/>
      <c r="H218" s="78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7.25" customHeight="1">
      <c r="A219" s="17"/>
      <c r="B219" s="17"/>
      <c r="C219" s="17"/>
      <c r="D219" s="17"/>
      <c r="E219" s="17"/>
      <c r="F219" s="78"/>
      <c r="G219" s="78"/>
      <c r="H219" s="78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7.25" customHeight="1">
      <c r="A220" s="17"/>
      <c r="B220" s="17"/>
      <c r="C220" s="17"/>
      <c r="D220" s="17"/>
      <c r="E220" s="17"/>
      <c r="F220" s="78"/>
      <c r="G220" s="78"/>
      <c r="H220" s="78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7.25" customHeight="1">
      <c r="A221" s="17"/>
      <c r="B221" s="17"/>
      <c r="C221" s="17"/>
      <c r="D221" s="17"/>
      <c r="E221" s="17"/>
      <c r="F221" s="78"/>
      <c r="G221" s="78"/>
      <c r="H221" s="78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7.25" customHeight="1">
      <c r="A222" s="17"/>
      <c r="B222" s="17"/>
      <c r="C222" s="17"/>
      <c r="D222" s="17"/>
      <c r="E222" s="17"/>
      <c r="F222" s="78"/>
      <c r="G222" s="78"/>
      <c r="H222" s="78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7.25" customHeight="1">
      <c r="A223" s="17"/>
      <c r="B223" s="17"/>
      <c r="C223" s="17"/>
      <c r="D223" s="17"/>
      <c r="E223" s="17"/>
      <c r="F223" s="78"/>
      <c r="G223" s="78"/>
      <c r="H223" s="78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7.25" customHeight="1">
      <c r="A224" s="17"/>
      <c r="B224" s="17"/>
      <c r="C224" s="17"/>
      <c r="D224" s="17"/>
      <c r="E224" s="17"/>
      <c r="F224" s="78"/>
      <c r="G224" s="78"/>
      <c r="H224" s="78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7.25" customHeight="1">
      <c r="A225" s="17"/>
      <c r="B225" s="17"/>
      <c r="C225" s="17"/>
      <c r="D225" s="17"/>
      <c r="E225" s="17"/>
      <c r="F225" s="78"/>
      <c r="G225" s="78"/>
      <c r="H225" s="78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7.25" customHeight="1">
      <c r="A226" s="17"/>
      <c r="B226" s="17"/>
      <c r="C226" s="17"/>
      <c r="D226" s="17"/>
      <c r="E226" s="17"/>
      <c r="F226" s="78"/>
      <c r="G226" s="78"/>
      <c r="H226" s="78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7.25" customHeight="1">
      <c r="A227" s="17"/>
      <c r="B227" s="17"/>
      <c r="C227" s="17"/>
      <c r="D227" s="17"/>
      <c r="E227" s="17"/>
      <c r="F227" s="78"/>
      <c r="G227" s="78"/>
      <c r="H227" s="78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7.25" customHeight="1">
      <c r="A228" s="17"/>
      <c r="B228" s="17"/>
      <c r="C228" s="17"/>
      <c r="D228" s="17"/>
      <c r="E228" s="17"/>
      <c r="F228" s="78"/>
      <c r="G228" s="78"/>
      <c r="H228" s="78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7.25" customHeight="1">
      <c r="A229" s="17"/>
      <c r="B229" s="17"/>
      <c r="C229" s="17"/>
      <c r="D229" s="17"/>
      <c r="E229" s="17"/>
      <c r="F229" s="78"/>
      <c r="G229" s="78"/>
      <c r="H229" s="78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7.25" customHeight="1">
      <c r="A230" s="17"/>
      <c r="B230" s="17"/>
      <c r="C230" s="17"/>
      <c r="D230" s="17"/>
      <c r="E230" s="17"/>
      <c r="F230" s="78"/>
      <c r="G230" s="78"/>
      <c r="H230" s="78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7.25" customHeight="1">
      <c r="A231" s="17"/>
      <c r="B231" s="17"/>
      <c r="C231" s="17"/>
      <c r="D231" s="17"/>
      <c r="E231" s="17"/>
      <c r="F231" s="78"/>
      <c r="G231" s="78"/>
      <c r="H231" s="78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7.25" customHeight="1">
      <c r="A232" s="17"/>
      <c r="B232" s="17"/>
      <c r="C232" s="17"/>
      <c r="D232" s="17"/>
      <c r="E232" s="17"/>
      <c r="F232" s="78"/>
      <c r="G232" s="78"/>
      <c r="H232" s="78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7.25" customHeight="1">
      <c r="A233" s="17"/>
      <c r="B233" s="17"/>
      <c r="C233" s="17"/>
      <c r="D233" s="17"/>
      <c r="E233" s="17"/>
      <c r="F233" s="78"/>
      <c r="G233" s="78"/>
      <c r="H233" s="78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7.25" customHeight="1">
      <c r="A234" s="17"/>
      <c r="B234" s="17"/>
      <c r="C234" s="17"/>
      <c r="D234" s="17"/>
      <c r="E234" s="17"/>
      <c r="F234" s="78"/>
      <c r="G234" s="78"/>
      <c r="H234" s="78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7.25" customHeight="1">
      <c r="A235" s="17"/>
      <c r="B235" s="17"/>
      <c r="C235" s="17"/>
      <c r="D235" s="17"/>
      <c r="E235" s="17"/>
      <c r="F235" s="78"/>
      <c r="G235" s="78"/>
      <c r="H235" s="78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7.25" customHeight="1">
      <c r="A236" s="17"/>
      <c r="B236" s="17"/>
      <c r="C236" s="17"/>
      <c r="D236" s="17"/>
      <c r="E236" s="17"/>
      <c r="F236" s="78"/>
      <c r="G236" s="78"/>
      <c r="H236" s="78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7.25" customHeight="1">
      <c r="A237" s="17"/>
      <c r="B237" s="17"/>
      <c r="C237" s="17"/>
      <c r="D237" s="17"/>
      <c r="E237" s="17"/>
      <c r="F237" s="78"/>
      <c r="G237" s="78"/>
      <c r="H237" s="78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7.25" customHeight="1">
      <c r="A238" s="17"/>
      <c r="B238" s="17"/>
      <c r="C238" s="17"/>
      <c r="D238" s="17"/>
      <c r="E238" s="17"/>
      <c r="F238" s="78"/>
      <c r="G238" s="78"/>
      <c r="H238" s="78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7.25" customHeight="1">
      <c r="A239" s="17"/>
      <c r="B239" s="17"/>
      <c r="C239" s="17"/>
      <c r="D239" s="17"/>
      <c r="E239" s="17"/>
      <c r="F239" s="78"/>
      <c r="G239" s="78"/>
      <c r="H239" s="78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7.25" customHeight="1">
      <c r="A240" s="17"/>
      <c r="B240" s="17"/>
      <c r="C240" s="17"/>
      <c r="D240" s="17"/>
      <c r="E240" s="17"/>
      <c r="F240" s="78"/>
      <c r="G240" s="78"/>
      <c r="H240" s="78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7.25" customHeight="1">
      <c r="A241" s="17"/>
      <c r="B241" s="17"/>
      <c r="C241" s="17"/>
      <c r="D241" s="17"/>
      <c r="E241" s="17"/>
      <c r="F241" s="78"/>
      <c r="G241" s="78"/>
      <c r="H241" s="78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7.25" customHeight="1">
      <c r="A242" s="17"/>
      <c r="B242" s="17"/>
      <c r="C242" s="17"/>
      <c r="D242" s="17"/>
      <c r="E242" s="17"/>
      <c r="F242" s="78"/>
      <c r="G242" s="78"/>
      <c r="H242" s="78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7.25" customHeight="1">
      <c r="A243" s="17"/>
      <c r="B243" s="17"/>
      <c r="C243" s="17"/>
      <c r="D243" s="17"/>
      <c r="E243" s="17"/>
      <c r="F243" s="78"/>
      <c r="G243" s="78"/>
      <c r="H243" s="78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7.25" customHeight="1">
      <c r="A244" s="17"/>
      <c r="B244" s="17"/>
      <c r="C244" s="17"/>
      <c r="D244" s="17"/>
      <c r="E244" s="17"/>
      <c r="F244" s="78"/>
      <c r="G244" s="78"/>
      <c r="H244" s="78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7.25" customHeight="1">
      <c r="A245" s="17"/>
      <c r="B245" s="17"/>
      <c r="C245" s="17"/>
      <c r="D245" s="17"/>
      <c r="E245" s="17"/>
      <c r="F245" s="78"/>
      <c r="G245" s="78"/>
      <c r="H245" s="78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7.25" customHeight="1">
      <c r="A246" s="17"/>
      <c r="B246" s="17"/>
      <c r="C246" s="17"/>
      <c r="D246" s="17"/>
      <c r="E246" s="17"/>
      <c r="F246" s="78"/>
      <c r="G246" s="78"/>
      <c r="H246" s="78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7.25" customHeight="1">
      <c r="A247" s="17"/>
      <c r="B247" s="17"/>
      <c r="C247" s="17"/>
      <c r="D247" s="17"/>
      <c r="E247" s="17"/>
      <c r="F247" s="78"/>
      <c r="G247" s="78"/>
      <c r="H247" s="78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7.25" customHeight="1">
      <c r="A248" s="17"/>
      <c r="B248" s="17"/>
      <c r="C248" s="17"/>
      <c r="D248" s="17"/>
      <c r="E248" s="17"/>
      <c r="F248" s="78"/>
      <c r="G248" s="78"/>
      <c r="H248" s="78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7.25" customHeight="1">
      <c r="A249" s="17"/>
      <c r="B249" s="17"/>
      <c r="C249" s="17"/>
      <c r="D249" s="17"/>
      <c r="E249" s="17"/>
      <c r="F249" s="78"/>
      <c r="G249" s="78"/>
      <c r="H249" s="78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7.25" customHeight="1">
      <c r="A250" s="17"/>
      <c r="B250" s="17"/>
      <c r="C250" s="17"/>
      <c r="D250" s="17"/>
      <c r="E250" s="17"/>
      <c r="F250" s="78"/>
      <c r="G250" s="78"/>
      <c r="H250" s="78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7.25" customHeight="1">
      <c r="A251" s="17"/>
      <c r="B251" s="17"/>
      <c r="C251" s="17"/>
      <c r="D251" s="17"/>
      <c r="E251" s="17"/>
      <c r="F251" s="78"/>
      <c r="G251" s="78"/>
      <c r="H251" s="78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7.25" customHeight="1">
      <c r="A252" s="17"/>
      <c r="B252" s="17"/>
      <c r="C252" s="17"/>
      <c r="D252" s="17"/>
      <c r="E252" s="17"/>
      <c r="F252" s="78"/>
      <c r="G252" s="78"/>
      <c r="H252" s="78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7.25" customHeight="1">
      <c r="A253" s="17"/>
      <c r="B253" s="17"/>
      <c r="C253" s="17"/>
      <c r="D253" s="17"/>
      <c r="E253" s="17"/>
      <c r="F253" s="78"/>
      <c r="G253" s="78"/>
      <c r="H253" s="78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7.25" customHeight="1">
      <c r="A254" s="17"/>
      <c r="B254" s="17"/>
      <c r="C254" s="17"/>
      <c r="D254" s="17"/>
      <c r="E254" s="17"/>
      <c r="F254" s="78"/>
      <c r="G254" s="78"/>
      <c r="H254" s="78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7.25" customHeight="1">
      <c r="A255" s="17"/>
      <c r="B255" s="17"/>
      <c r="C255" s="17"/>
      <c r="D255" s="17"/>
      <c r="E255" s="17"/>
      <c r="F255" s="78"/>
      <c r="G255" s="78"/>
      <c r="H255" s="78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7.25" customHeight="1">
      <c r="A256" s="17"/>
      <c r="B256" s="17"/>
      <c r="C256" s="17"/>
      <c r="D256" s="17"/>
      <c r="E256" s="17"/>
      <c r="F256" s="78"/>
      <c r="G256" s="78"/>
      <c r="H256" s="78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7.25" customHeight="1">
      <c r="A257" s="17"/>
      <c r="B257" s="17"/>
      <c r="C257" s="17"/>
      <c r="D257" s="17"/>
      <c r="E257" s="17"/>
      <c r="F257" s="78"/>
      <c r="G257" s="78"/>
      <c r="H257" s="78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7.25" customHeight="1">
      <c r="A258" s="17"/>
      <c r="B258" s="17"/>
      <c r="C258" s="17"/>
      <c r="D258" s="17"/>
      <c r="E258" s="17"/>
      <c r="F258" s="78"/>
      <c r="G258" s="78"/>
      <c r="H258" s="78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7.25" customHeight="1">
      <c r="A259" s="17"/>
      <c r="B259" s="17"/>
      <c r="C259" s="17"/>
      <c r="D259" s="17"/>
      <c r="E259" s="17"/>
      <c r="F259" s="78"/>
      <c r="G259" s="78"/>
      <c r="H259" s="78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7.25" customHeight="1">
      <c r="A260" s="17"/>
      <c r="B260" s="17"/>
      <c r="C260" s="17"/>
      <c r="D260" s="17"/>
      <c r="E260" s="17"/>
      <c r="F260" s="78"/>
      <c r="G260" s="78"/>
      <c r="H260" s="78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7.25" customHeight="1">
      <c r="A261" s="17"/>
      <c r="B261" s="17"/>
      <c r="C261" s="17"/>
      <c r="D261" s="17"/>
      <c r="E261" s="17"/>
      <c r="F261" s="78"/>
      <c r="G261" s="78"/>
      <c r="H261" s="78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7.25" customHeight="1">
      <c r="A262" s="17"/>
      <c r="B262" s="17"/>
      <c r="C262" s="17"/>
      <c r="D262" s="17"/>
      <c r="E262" s="17"/>
      <c r="F262" s="78"/>
      <c r="G262" s="78"/>
      <c r="H262" s="78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7.25" customHeight="1">
      <c r="A263" s="17"/>
      <c r="B263" s="17"/>
      <c r="C263" s="17"/>
      <c r="D263" s="17"/>
      <c r="E263" s="17"/>
      <c r="F263" s="78"/>
      <c r="G263" s="78"/>
      <c r="H263" s="78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7.25" customHeight="1">
      <c r="A264" s="17"/>
      <c r="B264" s="17"/>
      <c r="C264" s="17"/>
      <c r="D264" s="17"/>
      <c r="E264" s="17"/>
      <c r="F264" s="78"/>
      <c r="G264" s="78"/>
      <c r="H264" s="78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7.25" customHeight="1">
      <c r="A265" s="17"/>
      <c r="B265" s="17"/>
      <c r="C265" s="17"/>
      <c r="D265" s="17"/>
      <c r="E265" s="17"/>
      <c r="F265" s="78"/>
      <c r="G265" s="78"/>
      <c r="H265" s="78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7.25" customHeight="1">
      <c r="A266" s="17"/>
      <c r="B266" s="17"/>
      <c r="C266" s="17"/>
      <c r="D266" s="17"/>
      <c r="E266" s="17"/>
      <c r="F266" s="78"/>
      <c r="G266" s="78"/>
      <c r="H266" s="78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7.25" customHeight="1">
      <c r="A267" s="17"/>
      <c r="B267" s="17"/>
      <c r="C267" s="17"/>
      <c r="D267" s="17"/>
      <c r="E267" s="17"/>
      <c r="F267" s="78"/>
      <c r="G267" s="78"/>
      <c r="H267" s="78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7.25" customHeight="1">
      <c r="A268" s="17"/>
      <c r="B268" s="17"/>
      <c r="C268" s="17"/>
      <c r="D268" s="17"/>
      <c r="E268" s="17"/>
      <c r="F268" s="78"/>
      <c r="G268" s="78"/>
      <c r="H268" s="78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7.25" customHeight="1">
      <c r="A269" s="17"/>
      <c r="B269" s="17"/>
      <c r="C269" s="17"/>
      <c r="D269" s="17"/>
      <c r="E269" s="17"/>
      <c r="F269" s="78"/>
      <c r="G269" s="78"/>
      <c r="H269" s="78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7.25" customHeight="1">
      <c r="A270" s="17"/>
      <c r="B270" s="17"/>
      <c r="C270" s="17"/>
      <c r="D270" s="17"/>
      <c r="E270" s="17"/>
      <c r="F270" s="78"/>
      <c r="G270" s="78"/>
      <c r="H270" s="78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7.25" customHeight="1">
      <c r="A271" s="17"/>
      <c r="B271" s="17"/>
      <c r="C271" s="17"/>
      <c r="D271" s="17"/>
      <c r="E271" s="17"/>
      <c r="F271" s="78"/>
      <c r="G271" s="78"/>
      <c r="H271" s="78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7.25" customHeight="1">
      <c r="A272" s="17"/>
      <c r="B272" s="17"/>
      <c r="C272" s="17"/>
      <c r="D272" s="17"/>
      <c r="E272" s="17"/>
      <c r="F272" s="78"/>
      <c r="G272" s="78"/>
      <c r="H272" s="78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7.25" customHeight="1">
      <c r="A273" s="17"/>
      <c r="B273" s="17"/>
      <c r="C273" s="17"/>
      <c r="D273" s="17"/>
      <c r="E273" s="17"/>
      <c r="F273" s="78"/>
      <c r="G273" s="78"/>
      <c r="H273" s="78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7.25" customHeight="1">
      <c r="A274" s="17"/>
      <c r="B274" s="17"/>
      <c r="C274" s="17"/>
      <c r="D274" s="17"/>
      <c r="E274" s="17"/>
      <c r="F274" s="78"/>
      <c r="G274" s="78"/>
      <c r="H274" s="78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7.25" customHeight="1">
      <c r="A275" s="17"/>
      <c r="B275" s="17"/>
      <c r="C275" s="17"/>
      <c r="D275" s="17"/>
      <c r="E275" s="17"/>
      <c r="F275" s="78"/>
      <c r="G275" s="78"/>
      <c r="H275" s="78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7.25" customHeight="1">
      <c r="A276" s="17"/>
      <c r="B276" s="17"/>
      <c r="C276" s="17"/>
      <c r="D276" s="17"/>
      <c r="E276" s="17"/>
      <c r="F276" s="78"/>
      <c r="G276" s="78"/>
      <c r="H276" s="78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7.25" customHeight="1">
      <c r="A277" s="17"/>
      <c r="B277" s="17"/>
      <c r="C277" s="17"/>
      <c r="D277" s="17"/>
      <c r="E277" s="17"/>
      <c r="F277" s="78"/>
      <c r="G277" s="78"/>
      <c r="H277" s="78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7.25" customHeight="1">
      <c r="A278" s="17"/>
      <c r="B278" s="17"/>
      <c r="C278" s="17"/>
      <c r="D278" s="17"/>
      <c r="E278" s="17"/>
      <c r="F278" s="78"/>
      <c r="G278" s="78"/>
      <c r="H278" s="78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7.25" customHeight="1">
      <c r="A279" s="17"/>
      <c r="B279" s="17"/>
      <c r="C279" s="17"/>
      <c r="D279" s="17"/>
      <c r="E279" s="17"/>
      <c r="F279" s="78"/>
      <c r="G279" s="78"/>
      <c r="H279" s="78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7.25" customHeight="1">
      <c r="A280" s="17"/>
      <c r="B280" s="17"/>
      <c r="C280" s="17"/>
      <c r="D280" s="17"/>
      <c r="E280" s="17"/>
      <c r="F280" s="78"/>
      <c r="G280" s="78"/>
      <c r="H280" s="78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7.25" customHeight="1">
      <c r="A281" s="17"/>
      <c r="B281" s="17"/>
      <c r="C281" s="17"/>
      <c r="D281" s="17"/>
      <c r="E281" s="17"/>
      <c r="F281" s="78"/>
      <c r="G281" s="78"/>
      <c r="H281" s="78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7.25" customHeight="1">
      <c r="A282" s="17"/>
      <c r="B282" s="17"/>
      <c r="C282" s="17"/>
      <c r="D282" s="17"/>
      <c r="E282" s="17"/>
      <c r="F282" s="78"/>
      <c r="G282" s="78"/>
      <c r="H282" s="78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7.25" customHeight="1">
      <c r="A283" s="17"/>
      <c r="B283" s="17"/>
      <c r="C283" s="17"/>
      <c r="D283" s="17"/>
      <c r="E283" s="17"/>
      <c r="F283" s="78"/>
      <c r="G283" s="78"/>
      <c r="H283" s="78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7.25" customHeight="1">
      <c r="A284" s="17"/>
      <c r="B284" s="17"/>
      <c r="C284" s="17"/>
      <c r="D284" s="17"/>
      <c r="E284" s="17"/>
      <c r="F284" s="78"/>
      <c r="G284" s="78"/>
      <c r="H284" s="78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7.25" customHeight="1">
      <c r="A285" s="17"/>
      <c r="B285" s="17"/>
      <c r="C285" s="17"/>
      <c r="D285" s="17"/>
      <c r="E285" s="17"/>
      <c r="F285" s="78"/>
      <c r="G285" s="78"/>
      <c r="H285" s="78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7.25" customHeight="1">
      <c r="A286" s="17"/>
      <c r="B286" s="17"/>
      <c r="C286" s="17"/>
      <c r="D286" s="17"/>
      <c r="E286" s="17"/>
      <c r="F286" s="78"/>
      <c r="G286" s="78"/>
      <c r="H286" s="78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7.25" customHeight="1">
      <c r="A287" s="17"/>
      <c r="B287" s="17"/>
      <c r="C287" s="17"/>
      <c r="D287" s="17"/>
      <c r="E287" s="17"/>
      <c r="F287" s="78"/>
      <c r="G287" s="78"/>
      <c r="H287" s="78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7.25" customHeight="1">
      <c r="A288" s="17"/>
      <c r="B288" s="17"/>
      <c r="C288" s="17"/>
      <c r="D288" s="17"/>
      <c r="E288" s="17"/>
      <c r="F288" s="78"/>
      <c r="G288" s="78"/>
      <c r="H288" s="78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7.25" customHeight="1">
      <c r="A289" s="17"/>
      <c r="B289" s="17"/>
      <c r="C289" s="17"/>
      <c r="D289" s="17"/>
      <c r="E289" s="17"/>
      <c r="F289" s="78"/>
      <c r="G289" s="78"/>
      <c r="H289" s="78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7.25" customHeight="1">
      <c r="A290" s="17"/>
      <c r="B290" s="17"/>
      <c r="C290" s="17"/>
      <c r="D290" s="17"/>
      <c r="E290" s="17"/>
      <c r="F290" s="78"/>
      <c r="G290" s="78"/>
      <c r="H290" s="78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7.25" customHeight="1">
      <c r="A291" s="17"/>
      <c r="B291" s="17"/>
      <c r="C291" s="17"/>
      <c r="D291" s="17"/>
      <c r="E291" s="17"/>
      <c r="F291" s="78"/>
      <c r="G291" s="78"/>
      <c r="H291" s="78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7.25" customHeight="1">
      <c r="A292" s="17"/>
      <c r="B292" s="17"/>
      <c r="C292" s="17"/>
      <c r="D292" s="17"/>
      <c r="E292" s="17"/>
      <c r="F292" s="78"/>
      <c r="G292" s="78"/>
      <c r="H292" s="78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7.25" customHeight="1">
      <c r="A293" s="17"/>
      <c r="B293" s="17"/>
      <c r="C293" s="17"/>
      <c r="D293" s="17"/>
      <c r="E293" s="17"/>
      <c r="F293" s="78"/>
      <c r="G293" s="78"/>
      <c r="H293" s="78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7.25" customHeight="1">
      <c r="A294" s="17"/>
      <c r="B294" s="17"/>
      <c r="C294" s="17"/>
      <c r="D294" s="17"/>
      <c r="E294" s="17"/>
      <c r="F294" s="78"/>
      <c r="G294" s="78"/>
      <c r="H294" s="78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7.25" customHeight="1">
      <c r="A295" s="17"/>
      <c r="B295" s="17"/>
      <c r="C295" s="17"/>
      <c r="D295" s="17"/>
      <c r="E295" s="17"/>
      <c r="F295" s="78"/>
      <c r="G295" s="78"/>
      <c r="H295" s="78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7.25" customHeight="1">
      <c r="A296" s="17"/>
      <c r="B296" s="17"/>
      <c r="C296" s="17"/>
      <c r="D296" s="17"/>
      <c r="E296" s="17"/>
      <c r="F296" s="78"/>
      <c r="G296" s="78"/>
      <c r="H296" s="78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7.25" customHeight="1">
      <c r="A297" s="17"/>
      <c r="B297" s="17"/>
      <c r="C297" s="17"/>
      <c r="D297" s="17"/>
      <c r="E297" s="17"/>
      <c r="F297" s="78"/>
      <c r="G297" s="78"/>
      <c r="H297" s="78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7.25" customHeight="1">
      <c r="A298" s="17"/>
      <c r="B298" s="17"/>
      <c r="C298" s="17"/>
      <c r="D298" s="17"/>
      <c r="E298" s="17"/>
      <c r="F298" s="78"/>
      <c r="G298" s="78"/>
      <c r="H298" s="78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7.25" customHeight="1">
      <c r="A299" s="17"/>
      <c r="B299" s="17"/>
      <c r="C299" s="17"/>
      <c r="D299" s="17"/>
      <c r="E299" s="17"/>
      <c r="F299" s="78"/>
      <c r="G299" s="78"/>
      <c r="H299" s="78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7.25" customHeight="1">
      <c r="A300" s="17"/>
      <c r="B300" s="17"/>
      <c r="C300" s="17"/>
      <c r="D300" s="17"/>
      <c r="E300" s="17"/>
      <c r="F300" s="78"/>
      <c r="G300" s="78"/>
      <c r="H300" s="78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7.25" customHeight="1">
      <c r="A301" s="17"/>
      <c r="B301" s="17"/>
      <c r="C301" s="17"/>
      <c r="D301" s="17"/>
      <c r="E301" s="17"/>
      <c r="F301" s="78"/>
      <c r="G301" s="78"/>
      <c r="H301" s="78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7.25" customHeight="1">
      <c r="A302" s="17"/>
      <c r="B302" s="17"/>
      <c r="C302" s="17"/>
      <c r="D302" s="17"/>
      <c r="E302" s="17"/>
      <c r="F302" s="78"/>
      <c r="G302" s="78"/>
      <c r="H302" s="78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7.25" customHeight="1">
      <c r="A303" s="17"/>
      <c r="B303" s="17"/>
      <c r="C303" s="17"/>
      <c r="D303" s="17"/>
      <c r="E303" s="17"/>
      <c r="F303" s="78"/>
      <c r="G303" s="78"/>
      <c r="H303" s="78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7.25" customHeight="1">
      <c r="A304" s="17"/>
      <c r="B304" s="17"/>
      <c r="C304" s="17"/>
      <c r="D304" s="17"/>
      <c r="E304" s="17"/>
      <c r="F304" s="78"/>
      <c r="G304" s="78"/>
      <c r="H304" s="78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7.25" customHeight="1">
      <c r="A305" s="17"/>
      <c r="B305" s="17"/>
      <c r="C305" s="17"/>
      <c r="D305" s="17"/>
      <c r="E305" s="17"/>
      <c r="F305" s="78"/>
      <c r="G305" s="78"/>
      <c r="H305" s="78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7.25" customHeight="1">
      <c r="A306" s="17"/>
      <c r="B306" s="17"/>
      <c r="C306" s="17"/>
      <c r="D306" s="17"/>
      <c r="E306" s="17"/>
      <c r="F306" s="78"/>
      <c r="G306" s="78"/>
      <c r="H306" s="78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7.25" customHeight="1">
      <c r="A307" s="17"/>
      <c r="B307" s="17"/>
      <c r="C307" s="17"/>
      <c r="D307" s="17"/>
      <c r="E307" s="17"/>
      <c r="F307" s="78"/>
      <c r="G307" s="78"/>
      <c r="H307" s="78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7.25" customHeight="1">
      <c r="A308" s="17"/>
      <c r="B308" s="17"/>
      <c r="C308" s="17"/>
      <c r="D308" s="17"/>
      <c r="E308" s="17"/>
      <c r="F308" s="78"/>
      <c r="G308" s="78"/>
      <c r="H308" s="78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7.25" customHeight="1">
      <c r="A309" s="17"/>
      <c r="B309" s="17"/>
      <c r="C309" s="17"/>
      <c r="D309" s="17"/>
      <c r="E309" s="17"/>
      <c r="F309" s="78"/>
      <c r="G309" s="78"/>
      <c r="H309" s="78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7.25" customHeight="1">
      <c r="A310" s="17"/>
      <c r="B310" s="17"/>
      <c r="C310" s="17"/>
      <c r="D310" s="17"/>
      <c r="E310" s="17"/>
      <c r="F310" s="78"/>
      <c r="G310" s="78"/>
      <c r="H310" s="78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7.25" customHeight="1">
      <c r="A311" s="17"/>
      <c r="B311" s="17"/>
      <c r="C311" s="17"/>
      <c r="D311" s="17"/>
      <c r="E311" s="17"/>
      <c r="F311" s="78"/>
      <c r="G311" s="78"/>
      <c r="H311" s="78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7.25" customHeight="1">
      <c r="A312" s="17"/>
      <c r="B312" s="17"/>
      <c r="C312" s="17"/>
      <c r="D312" s="17"/>
      <c r="E312" s="17"/>
      <c r="F312" s="78"/>
      <c r="G312" s="78"/>
      <c r="H312" s="78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7.25" customHeight="1">
      <c r="A313" s="17"/>
      <c r="B313" s="17"/>
      <c r="C313" s="17"/>
      <c r="D313" s="17"/>
      <c r="E313" s="17"/>
      <c r="F313" s="78"/>
      <c r="G313" s="78"/>
      <c r="H313" s="78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7.25" customHeight="1">
      <c r="A314" s="17"/>
      <c r="B314" s="17"/>
      <c r="C314" s="17"/>
      <c r="D314" s="17"/>
      <c r="E314" s="17"/>
      <c r="F314" s="78"/>
      <c r="G314" s="78"/>
      <c r="H314" s="78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7.25" customHeight="1">
      <c r="A315" s="17"/>
      <c r="B315" s="17"/>
      <c r="C315" s="17"/>
      <c r="D315" s="17"/>
      <c r="E315" s="17"/>
      <c r="F315" s="78"/>
      <c r="G315" s="78"/>
      <c r="H315" s="78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7.25" customHeight="1">
      <c r="A316" s="17"/>
      <c r="B316" s="17"/>
      <c r="C316" s="17"/>
      <c r="D316" s="17"/>
      <c r="E316" s="17"/>
      <c r="F316" s="78"/>
      <c r="G316" s="78"/>
      <c r="H316" s="78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7.25" customHeight="1">
      <c r="A317" s="17"/>
      <c r="B317" s="17"/>
      <c r="C317" s="17"/>
      <c r="D317" s="17"/>
      <c r="E317" s="17"/>
      <c r="F317" s="78"/>
      <c r="G317" s="78"/>
      <c r="H317" s="78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7.25" customHeight="1">
      <c r="A318" s="17"/>
      <c r="B318" s="17"/>
      <c r="C318" s="17"/>
      <c r="D318" s="17"/>
      <c r="E318" s="17"/>
      <c r="F318" s="78"/>
      <c r="G318" s="78"/>
      <c r="H318" s="78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7.25" customHeight="1">
      <c r="A319" s="17"/>
      <c r="B319" s="17"/>
      <c r="C319" s="17"/>
      <c r="D319" s="17"/>
      <c r="E319" s="17"/>
      <c r="F319" s="78"/>
      <c r="G319" s="78"/>
      <c r="H319" s="78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7.25" customHeight="1">
      <c r="A320" s="17"/>
      <c r="B320" s="17"/>
      <c r="C320" s="17"/>
      <c r="D320" s="17"/>
      <c r="E320" s="17"/>
      <c r="F320" s="78"/>
      <c r="G320" s="78"/>
      <c r="H320" s="78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7.25" customHeight="1">
      <c r="A321" s="17"/>
      <c r="B321" s="17"/>
      <c r="C321" s="17"/>
      <c r="D321" s="17"/>
      <c r="E321" s="17"/>
      <c r="F321" s="78"/>
      <c r="G321" s="78"/>
      <c r="H321" s="78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7.25" customHeight="1">
      <c r="A322" s="17"/>
      <c r="B322" s="17"/>
      <c r="C322" s="17"/>
      <c r="D322" s="17"/>
      <c r="E322" s="17"/>
      <c r="F322" s="78"/>
      <c r="G322" s="78"/>
      <c r="H322" s="78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7.25" customHeight="1">
      <c r="A323" s="17"/>
      <c r="B323" s="17"/>
      <c r="C323" s="17"/>
      <c r="D323" s="17"/>
      <c r="E323" s="17"/>
      <c r="F323" s="78"/>
      <c r="G323" s="78"/>
      <c r="H323" s="78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7.25" customHeight="1">
      <c r="A324" s="17"/>
      <c r="B324" s="17"/>
      <c r="C324" s="17"/>
      <c r="D324" s="17"/>
      <c r="E324" s="17"/>
      <c r="F324" s="78"/>
      <c r="G324" s="78"/>
      <c r="H324" s="78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7.25" customHeight="1">
      <c r="A325" s="17"/>
      <c r="B325" s="17"/>
      <c r="C325" s="17"/>
      <c r="D325" s="17"/>
      <c r="E325" s="17"/>
      <c r="F325" s="78"/>
      <c r="G325" s="78"/>
      <c r="H325" s="78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7.25" customHeight="1">
      <c r="A326" s="17"/>
      <c r="B326" s="17"/>
      <c r="C326" s="17"/>
      <c r="D326" s="17"/>
      <c r="E326" s="17"/>
      <c r="F326" s="78"/>
      <c r="G326" s="78"/>
      <c r="H326" s="78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7.25" customHeight="1">
      <c r="A327" s="17"/>
      <c r="B327" s="17"/>
      <c r="C327" s="17"/>
      <c r="D327" s="17"/>
      <c r="E327" s="17"/>
      <c r="F327" s="78"/>
      <c r="G327" s="78"/>
      <c r="H327" s="78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7.25" customHeight="1">
      <c r="A328" s="17"/>
      <c r="B328" s="17"/>
      <c r="C328" s="17"/>
      <c r="D328" s="17"/>
      <c r="E328" s="17"/>
      <c r="F328" s="78"/>
      <c r="G328" s="78"/>
      <c r="H328" s="78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7.25" customHeight="1">
      <c r="A329" s="17"/>
      <c r="B329" s="17"/>
      <c r="C329" s="17"/>
      <c r="D329" s="17"/>
      <c r="E329" s="17"/>
      <c r="F329" s="78"/>
      <c r="G329" s="78"/>
      <c r="H329" s="78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7.25" customHeight="1">
      <c r="A330" s="17"/>
      <c r="B330" s="17"/>
      <c r="C330" s="17"/>
      <c r="D330" s="17"/>
      <c r="E330" s="17"/>
      <c r="F330" s="78"/>
      <c r="G330" s="78"/>
      <c r="H330" s="78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7.25" customHeight="1">
      <c r="A331" s="17"/>
      <c r="B331" s="17"/>
      <c r="C331" s="17"/>
      <c r="D331" s="17"/>
      <c r="E331" s="17"/>
      <c r="F331" s="78"/>
      <c r="G331" s="78"/>
      <c r="H331" s="78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7.25" customHeight="1">
      <c r="A332" s="17"/>
      <c r="B332" s="17"/>
      <c r="C332" s="17"/>
      <c r="D332" s="17"/>
      <c r="E332" s="17"/>
      <c r="F332" s="78"/>
      <c r="G332" s="78"/>
      <c r="H332" s="78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7.25" customHeight="1">
      <c r="A333" s="17"/>
      <c r="B333" s="17"/>
      <c r="C333" s="17"/>
      <c r="D333" s="17"/>
      <c r="E333" s="17"/>
      <c r="F333" s="78"/>
      <c r="G333" s="78"/>
      <c r="H333" s="78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7.25" customHeight="1">
      <c r="A334" s="17"/>
      <c r="B334" s="17"/>
      <c r="C334" s="17"/>
      <c r="D334" s="17"/>
      <c r="E334" s="17"/>
      <c r="F334" s="78"/>
      <c r="G334" s="78"/>
      <c r="H334" s="78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7.25" customHeight="1">
      <c r="A335" s="17"/>
      <c r="B335" s="17"/>
      <c r="C335" s="17"/>
      <c r="D335" s="17"/>
      <c r="E335" s="17"/>
      <c r="F335" s="78"/>
      <c r="G335" s="78"/>
      <c r="H335" s="78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7.25" customHeight="1">
      <c r="A336" s="17"/>
      <c r="B336" s="17"/>
      <c r="C336" s="17"/>
      <c r="D336" s="17"/>
      <c r="E336" s="17"/>
      <c r="F336" s="78"/>
      <c r="G336" s="78"/>
      <c r="H336" s="78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7.25" customHeight="1">
      <c r="A337" s="17"/>
      <c r="B337" s="17"/>
      <c r="C337" s="17"/>
      <c r="D337" s="17"/>
      <c r="E337" s="17"/>
      <c r="F337" s="78"/>
      <c r="G337" s="78"/>
      <c r="H337" s="78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7.25" customHeight="1">
      <c r="A338" s="17"/>
      <c r="B338" s="17"/>
      <c r="C338" s="17"/>
      <c r="D338" s="17"/>
      <c r="E338" s="17"/>
      <c r="F338" s="78"/>
      <c r="G338" s="78"/>
      <c r="H338" s="78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7.25" customHeight="1">
      <c r="A339" s="17"/>
      <c r="B339" s="17"/>
      <c r="C339" s="17"/>
      <c r="D339" s="17"/>
      <c r="E339" s="17"/>
      <c r="F339" s="78"/>
      <c r="G339" s="78"/>
      <c r="H339" s="78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7.25" customHeight="1">
      <c r="A340" s="17"/>
      <c r="B340" s="17"/>
      <c r="C340" s="17"/>
      <c r="D340" s="17"/>
      <c r="E340" s="17"/>
      <c r="F340" s="78"/>
      <c r="G340" s="78"/>
      <c r="H340" s="78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7.25" customHeight="1">
      <c r="A341" s="17"/>
      <c r="B341" s="17"/>
      <c r="C341" s="17"/>
      <c r="D341" s="17"/>
      <c r="E341" s="17"/>
      <c r="F341" s="78"/>
      <c r="G341" s="78"/>
      <c r="H341" s="78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7.25" customHeight="1">
      <c r="A342" s="17"/>
      <c r="B342" s="17"/>
      <c r="C342" s="17"/>
      <c r="D342" s="17"/>
      <c r="E342" s="17"/>
      <c r="F342" s="78"/>
      <c r="G342" s="78"/>
      <c r="H342" s="78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7.25" customHeight="1">
      <c r="A343" s="17"/>
      <c r="B343" s="17"/>
      <c r="C343" s="17"/>
      <c r="D343" s="17"/>
      <c r="E343" s="17"/>
      <c r="F343" s="78"/>
      <c r="G343" s="78"/>
      <c r="H343" s="78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7.25" customHeight="1">
      <c r="A344" s="17"/>
      <c r="B344" s="17"/>
      <c r="C344" s="17"/>
      <c r="D344" s="17"/>
      <c r="E344" s="17"/>
      <c r="F344" s="78"/>
      <c r="G344" s="78"/>
      <c r="H344" s="78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7.25" customHeight="1">
      <c r="A345" s="17"/>
      <c r="B345" s="17"/>
      <c r="C345" s="17"/>
      <c r="D345" s="17"/>
      <c r="E345" s="17"/>
      <c r="F345" s="78"/>
      <c r="G345" s="78"/>
      <c r="H345" s="78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7.25" customHeight="1">
      <c r="A346" s="17"/>
      <c r="B346" s="17"/>
      <c r="C346" s="17"/>
      <c r="D346" s="17"/>
      <c r="E346" s="17"/>
      <c r="F346" s="78"/>
      <c r="G346" s="78"/>
      <c r="H346" s="78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7.25" customHeight="1">
      <c r="A347" s="17"/>
      <c r="B347" s="17"/>
      <c r="C347" s="17"/>
      <c r="D347" s="17"/>
      <c r="E347" s="17"/>
      <c r="F347" s="78"/>
      <c r="G347" s="78"/>
      <c r="H347" s="78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7.25" customHeight="1">
      <c r="A348" s="17"/>
      <c r="B348" s="17"/>
      <c r="C348" s="17"/>
      <c r="D348" s="17"/>
      <c r="E348" s="17"/>
      <c r="F348" s="78"/>
      <c r="G348" s="78"/>
      <c r="H348" s="78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7.25" customHeight="1">
      <c r="A349" s="17"/>
      <c r="B349" s="17"/>
      <c r="C349" s="17"/>
      <c r="D349" s="17"/>
      <c r="E349" s="17"/>
      <c r="F349" s="78"/>
      <c r="G349" s="78"/>
      <c r="H349" s="78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7.25" customHeight="1">
      <c r="A350" s="17"/>
      <c r="B350" s="17"/>
      <c r="C350" s="17"/>
      <c r="D350" s="17"/>
      <c r="E350" s="17"/>
      <c r="F350" s="78"/>
      <c r="G350" s="78"/>
      <c r="H350" s="78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7.25" customHeight="1">
      <c r="A351" s="17"/>
      <c r="B351" s="17"/>
      <c r="C351" s="17"/>
      <c r="D351" s="17"/>
      <c r="E351" s="17"/>
      <c r="F351" s="78"/>
      <c r="G351" s="78"/>
      <c r="H351" s="78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7.25" customHeight="1">
      <c r="A352" s="17"/>
      <c r="B352" s="17"/>
      <c r="C352" s="17"/>
      <c r="D352" s="17"/>
      <c r="E352" s="17"/>
      <c r="F352" s="78"/>
      <c r="G352" s="78"/>
      <c r="H352" s="78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7.25" customHeight="1">
      <c r="A353" s="17"/>
      <c r="B353" s="17"/>
      <c r="C353" s="17"/>
      <c r="D353" s="17"/>
      <c r="E353" s="17"/>
      <c r="F353" s="78"/>
      <c r="G353" s="78"/>
      <c r="H353" s="78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7.25" customHeight="1">
      <c r="A354" s="17"/>
      <c r="B354" s="17"/>
      <c r="C354" s="17"/>
      <c r="D354" s="17"/>
      <c r="E354" s="17"/>
      <c r="F354" s="78"/>
      <c r="G354" s="78"/>
      <c r="H354" s="78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7.25" customHeight="1">
      <c r="A355" s="17"/>
      <c r="B355" s="17"/>
      <c r="C355" s="17"/>
      <c r="D355" s="17"/>
      <c r="E355" s="17"/>
      <c r="F355" s="78"/>
      <c r="G355" s="78"/>
      <c r="H355" s="78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7.25" customHeight="1">
      <c r="A356" s="17"/>
      <c r="B356" s="17"/>
      <c r="C356" s="17"/>
      <c r="D356" s="17"/>
      <c r="E356" s="17"/>
      <c r="F356" s="78"/>
      <c r="G356" s="78"/>
      <c r="H356" s="78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7.25" customHeight="1">
      <c r="A357" s="17"/>
      <c r="B357" s="17"/>
      <c r="C357" s="17"/>
      <c r="D357" s="17"/>
      <c r="E357" s="17"/>
      <c r="F357" s="78"/>
      <c r="G357" s="78"/>
      <c r="H357" s="78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7.25" customHeight="1">
      <c r="A358" s="17"/>
      <c r="B358" s="17"/>
      <c r="C358" s="17"/>
      <c r="D358" s="17"/>
      <c r="E358" s="17"/>
      <c r="F358" s="78"/>
      <c r="G358" s="78"/>
      <c r="H358" s="78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7.25" customHeight="1">
      <c r="A359" s="17"/>
      <c r="B359" s="17"/>
      <c r="C359" s="17"/>
      <c r="D359" s="17"/>
      <c r="E359" s="17"/>
      <c r="F359" s="78"/>
      <c r="G359" s="78"/>
      <c r="H359" s="78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7.25" customHeight="1">
      <c r="A360" s="17"/>
      <c r="B360" s="17"/>
      <c r="C360" s="17"/>
      <c r="D360" s="17"/>
      <c r="E360" s="17"/>
      <c r="F360" s="78"/>
      <c r="G360" s="78"/>
      <c r="H360" s="78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7.25" customHeight="1">
      <c r="A361" s="17"/>
      <c r="B361" s="17"/>
      <c r="C361" s="17"/>
      <c r="D361" s="17"/>
      <c r="E361" s="17"/>
      <c r="F361" s="78"/>
      <c r="G361" s="78"/>
      <c r="H361" s="78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7.25" customHeight="1">
      <c r="A362" s="17"/>
      <c r="B362" s="17"/>
      <c r="C362" s="17"/>
      <c r="D362" s="17"/>
      <c r="E362" s="17"/>
      <c r="F362" s="78"/>
      <c r="G362" s="78"/>
      <c r="H362" s="78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7.25" customHeight="1">
      <c r="A363" s="17"/>
      <c r="B363" s="17"/>
      <c r="C363" s="17"/>
      <c r="D363" s="17"/>
      <c r="E363" s="17"/>
      <c r="F363" s="78"/>
      <c r="G363" s="78"/>
      <c r="H363" s="78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7.25" customHeight="1">
      <c r="A364" s="17"/>
      <c r="B364" s="17"/>
      <c r="C364" s="17"/>
      <c r="D364" s="17"/>
      <c r="E364" s="17"/>
      <c r="F364" s="78"/>
      <c r="G364" s="78"/>
      <c r="H364" s="78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7.25" customHeight="1">
      <c r="A365" s="17"/>
      <c r="B365" s="17"/>
      <c r="C365" s="17"/>
      <c r="D365" s="17"/>
      <c r="E365" s="17"/>
      <c r="F365" s="78"/>
      <c r="G365" s="78"/>
      <c r="H365" s="78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7.25" customHeight="1">
      <c r="A366" s="17"/>
      <c r="B366" s="17"/>
      <c r="C366" s="17"/>
      <c r="D366" s="17"/>
      <c r="E366" s="17"/>
      <c r="F366" s="78"/>
      <c r="G366" s="78"/>
      <c r="H366" s="78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7.25" customHeight="1">
      <c r="A367" s="17"/>
      <c r="B367" s="17"/>
      <c r="C367" s="17"/>
      <c r="D367" s="17"/>
      <c r="E367" s="17"/>
      <c r="F367" s="78"/>
      <c r="G367" s="78"/>
      <c r="H367" s="78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7.25" customHeight="1">
      <c r="A368" s="17"/>
      <c r="B368" s="17"/>
      <c r="C368" s="17"/>
      <c r="D368" s="17"/>
      <c r="E368" s="17"/>
      <c r="F368" s="78"/>
      <c r="G368" s="78"/>
      <c r="H368" s="78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7.25" customHeight="1">
      <c r="A369" s="17"/>
      <c r="B369" s="17"/>
      <c r="C369" s="17"/>
      <c r="D369" s="17"/>
      <c r="E369" s="17"/>
      <c r="F369" s="78"/>
      <c r="G369" s="78"/>
      <c r="H369" s="78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7.25" customHeight="1">
      <c r="A370" s="17"/>
      <c r="B370" s="17"/>
      <c r="C370" s="17"/>
      <c r="D370" s="17"/>
      <c r="E370" s="17"/>
      <c r="F370" s="78"/>
      <c r="G370" s="78"/>
      <c r="H370" s="78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7.25" customHeight="1">
      <c r="A371" s="17"/>
      <c r="B371" s="17"/>
      <c r="C371" s="17"/>
      <c r="D371" s="17"/>
      <c r="E371" s="17"/>
      <c r="F371" s="78"/>
      <c r="G371" s="78"/>
      <c r="H371" s="78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7.25" customHeight="1">
      <c r="A372" s="17"/>
      <c r="B372" s="17"/>
      <c r="C372" s="17"/>
      <c r="D372" s="17"/>
      <c r="E372" s="17"/>
      <c r="F372" s="78"/>
      <c r="G372" s="78"/>
      <c r="H372" s="78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7.25" customHeight="1">
      <c r="A373" s="17"/>
      <c r="B373" s="17"/>
      <c r="C373" s="17"/>
      <c r="D373" s="17"/>
      <c r="E373" s="17"/>
      <c r="F373" s="78"/>
      <c r="G373" s="78"/>
      <c r="H373" s="78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7.25" customHeight="1">
      <c r="A374" s="17"/>
      <c r="B374" s="17"/>
      <c r="C374" s="17"/>
      <c r="D374" s="17"/>
      <c r="E374" s="17"/>
      <c r="F374" s="78"/>
      <c r="G374" s="78"/>
      <c r="H374" s="78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7.25" customHeight="1">
      <c r="A375" s="17"/>
      <c r="B375" s="17"/>
      <c r="C375" s="17"/>
      <c r="D375" s="17"/>
      <c r="E375" s="17"/>
      <c r="F375" s="78"/>
      <c r="G375" s="78"/>
      <c r="H375" s="78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7.25" customHeight="1">
      <c r="A376" s="17"/>
      <c r="B376" s="17"/>
      <c r="C376" s="17"/>
      <c r="D376" s="17"/>
      <c r="E376" s="17"/>
      <c r="F376" s="78"/>
      <c r="G376" s="78"/>
      <c r="H376" s="78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7.25" customHeight="1">
      <c r="A377" s="17"/>
      <c r="B377" s="17"/>
      <c r="C377" s="17"/>
      <c r="D377" s="17"/>
      <c r="E377" s="17"/>
      <c r="F377" s="78"/>
      <c r="G377" s="78"/>
      <c r="H377" s="78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7.25" customHeight="1">
      <c r="A378" s="17"/>
      <c r="B378" s="17"/>
      <c r="C378" s="17"/>
      <c r="D378" s="17"/>
      <c r="E378" s="17"/>
      <c r="F378" s="78"/>
      <c r="G378" s="78"/>
      <c r="H378" s="78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7.25" customHeight="1">
      <c r="A379" s="17"/>
      <c r="B379" s="17"/>
      <c r="C379" s="17"/>
      <c r="D379" s="17"/>
      <c r="E379" s="17"/>
      <c r="F379" s="78"/>
      <c r="G379" s="78"/>
      <c r="H379" s="78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7.25" customHeight="1">
      <c r="A380" s="17"/>
      <c r="B380" s="17"/>
      <c r="C380" s="17"/>
      <c r="D380" s="17"/>
      <c r="E380" s="17"/>
      <c r="F380" s="78"/>
      <c r="G380" s="78"/>
      <c r="H380" s="78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7.25" customHeight="1">
      <c r="A381" s="17"/>
      <c r="B381" s="17"/>
      <c r="C381" s="17"/>
      <c r="D381" s="17"/>
      <c r="E381" s="17"/>
      <c r="F381" s="78"/>
      <c r="G381" s="78"/>
      <c r="H381" s="78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7.25" customHeight="1">
      <c r="A382" s="17"/>
      <c r="B382" s="17"/>
      <c r="C382" s="17"/>
      <c r="D382" s="17"/>
      <c r="E382" s="17"/>
      <c r="F382" s="78"/>
      <c r="G382" s="78"/>
      <c r="H382" s="78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7.25" customHeight="1">
      <c r="A383" s="17"/>
      <c r="B383" s="17"/>
      <c r="C383" s="17"/>
      <c r="D383" s="17"/>
      <c r="E383" s="17"/>
      <c r="F383" s="78"/>
      <c r="G383" s="78"/>
      <c r="H383" s="78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7.25" customHeight="1">
      <c r="A384" s="17"/>
      <c r="B384" s="17"/>
      <c r="C384" s="17"/>
      <c r="D384" s="17"/>
      <c r="E384" s="17"/>
      <c r="F384" s="78"/>
      <c r="G384" s="78"/>
      <c r="H384" s="78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7.25" customHeight="1">
      <c r="A385" s="17"/>
      <c r="B385" s="17"/>
      <c r="C385" s="17"/>
      <c r="D385" s="17"/>
      <c r="E385" s="17"/>
      <c r="F385" s="78"/>
      <c r="G385" s="78"/>
      <c r="H385" s="78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7.25" customHeight="1">
      <c r="A386" s="17"/>
      <c r="B386" s="17"/>
      <c r="C386" s="17"/>
      <c r="D386" s="17"/>
      <c r="E386" s="17"/>
      <c r="F386" s="78"/>
      <c r="G386" s="78"/>
      <c r="H386" s="78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7.25" customHeight="1">
      <c r="A387" s="17"/>
      <c r="B387" s="17"/>
      <c r="C387" s="17"/>
      <c r="D387" s="17"/>
      <c r="E387" s="17"/>
      <c r="F387" s="78"/>
      <c r="G387" s="78"/>
      <c r="H387" s="78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7.25" customHeight="1">
      <c r="A388" s="17"/>
      <c r="B388" s="17"/>
      <c r="C388" s="17"/>
      <c r="D388" s="17"/>
      <c r="E388" s="17"/>
      <c r="F388" s="78"/>
      <c r="G388" s="78"/>
      <c r="H388" s="78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7.25" customHeight="1">
      <c r="A389" s="17"/>
      <c r="B389" s="17"/>
      <c r="C389" s="17"/>
      <c r="D389" s="17"/>
      <c r="E389" s="17"/>
      <c r="F389" s="78"/>
      <c r="G389" s="78"/>
      <c r="H389" s="78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7.25" customHeight="1">
      <c r="A390" s="17"/>
      <c r="B390" s="17"/>
      <c r="C390" s="17"/>
      <c r="D390" s="17"/>
      <c r="E390" s="17"/>
      <c r="F390" s="78"/>
      <c r="G390" s="78"/>
      <c r="H390" s="78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7.25" customHeight="1">
      <c r="A391" s="17"/>
      <c r="B391" s="17"/>
      <c r="C391" s="17"/>
      <c r="D391" s="17"/>
      <c r="E391" s="17"/>
      <c r="F391" s="78"/>
      <c r="G391" s="78"/>
      <c r="H391" s="78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7.25" customHeight="1">
      <c r="A392" s="17"/>
      <c r="B392" s="17"/>
      <c r="C392" s="17"/>
      <c r="D392" s="17"/>
      <c r="E392" s="17"/>
      <c r="F392" s="78"/>
      <c r="G392" s="78"/>
      <c r="H392" s="78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7.25" customHeight="1">
      <c r="A393" s="17"/>
      <c r="B393" s="17"/>
      <c r="C393" s="17"/>
      <c r="D393" s="17"/>
      <c r="E393" s="17"/>
      <c r="F393" s="78"/>
      <c r="G393" s="78"/>
      <c r="H393" s="78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7.25" customHeight="1">
      <c r="A394" s="17"/>
      <c r="B394" s="17"/>
      <c r="C394" s="17"/>
      <c r="D394" s="17"/>
      <c r="E394" s="17"/>
      <c r="F394" s="78"/>
      <c r="G394" s="78"/>
      <c r="H394" s="78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7.25" customHeight="1">
      <c r="A395" s="17"/>
      <c r="B395" s="17"/>
      <c r="C395" s="17"/>
      <c r="D395" s="17"/>
      <c r="E395" s="17"/>
      <c r="F395" s="78"/>
      <c r="G395" s="78"/>
      <c r="H395" s="78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7.25" customHeight="1">
      <c r="A396" s="17"/>
      <c r="B396" s="17"/>
      <c r="C396" s="17"/>
      <c r="D396" s="17"/>
      <c r="E396" s="17"/>
      <c r="F396" s="78"/>
      <c r="G396" s="78"/>
      <c r="H396" s="78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7.25" customHeight="1">
      <c r="A397" s="17"/>
      <c r="B397" s="17"/>
      <c r="C397" s="17"/>
      <c r="D397" s="17"/>
      <c r="E397" s="17"/>
      <c r="F397" s="78"/>
      <c r="G397" s="78"/>
      <c r="H397" s="78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7.25" customHeight="1">
      <c r="A398" s="17"/>
      <c r="B398" s="17"/>
      <c r="C398" s="17"/>
      <c r="D398" s="17"/>
      <c r="E398" s="17"/>
      <c r="F398" s="78"/>
      <c r="G398" s="78"/>
      <c r="H398" s="78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7.25" customHeight="1">
      <c r="A399" s="17"/>
      <c r="B399" s="17"/>
      <c r="C399" s="17"/>
      <c r="D399" s="17"/>
      <c r="E399" s="17"/>
      <c r="F399" s="78"/>
      <c r="G399" s="78"/>
      <c r="H399" s="78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7.25" customHeight="1">
      <c r="A400" s="17"/>
      <c r="B400" s="17"/>
      <c r="C400" s="17"/>
      <c r="D400" s="17"/>
      <c r="E400" s="17"/>
      <c r="F400" s="78"/>
      <c r="G400" s="78"/>
      <c r="H400" s="78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7.25" customHeight="1">
      <c r="A401" s="17"/>
      <c r="B401" s="17"/>
      <c r="C401" s="17"/>
      <c r="D401" s="17"/>
      <c r="E401" s="17"/>
      <c r="F401" s="78"/>
      <c r="G401" s="78"/>
      <c r="H401" s="78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7.25" customHeight="1">
      <c r="A402" s="17"/>
      <c r="B402" s="17"/>
      <c r="C402" s="17"/>
      <c r="D402" s="17"/>
      <c r="E402" s="17"/>
      <c r="F402" s="78"/>
      <c r="G402" s="78"/>
      <c r="H402" s="78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7.25" customHeight="1">
      <c r="A403" s="17"/>
      <c r="B403" s="17"/>
      <c r="C403" s="17"/>
      <c r="D403" s="17"/>
      <c r="E403" s="17"/>
      <c r="F403" s="78"/>
      <c r="G403" s="78"/>
      <c r="H403" s="78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7.25" customHeight="1">
      <c r="A404" s="17"/>
      <c r="B404" s="17"/>
      <c r="C404" s="17"/>
      <c r="D404" s="17"/>
      <c r="E404" s="17"/>
      <c r="F404" s="78"/>
      <c r="G404" s="78"/>
      <c r="H404" s="78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7.25" customHeight="1">
      <c r="A405" s="17"/>
      <c r="B405" s="17"/>
      <c r="C405" s="17"/>
      <c r="D405" s="17"/>
      <c r="E405" s="17"/>
      <c r="F405" s="78"/>
      <c r="G405" s="78"/>
      <c r="H405" s="78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7.25" customHeight="1">
      <c r="A406" s="17"/>
      <c r="B406" s="17"/>
      <c r="C406" s="17"/>
      <c r="D406" s="17"/>
      <c r="E406" s="17"/>
      <c r="F406" s="78"/>
      <c r="G406" s="78"/>
      <c r="H406" s="78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7.25" customHeight="1">
      <c r="A407" s="17"/>
      <c r="B407" s="17"/>
      <c r="C407" s="17"/>
      <c r="D407" s="17"/>
      <c r="E407" s="17"/>
      <c r="F407" s="78"/>
      <c r="G407" s="78"/>
      <c r="H407" s="78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7.25" customHeight="1">
      <c r="A408" s="17"/>
      <c r="B408" s="17"/>
      <c r="C408" s="17"/>
      <c r="D408" s="17"/>
      <c r="E408" s="17"/>
      <c r="F408" s="78"/>
      <c r="G408" s="78"/>
      <c r="H408" s="78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7.25" customHeight="1">
      <c r="A409" s="17"/>
      <c r="B409" s="17"/>
      <c r="C409" s="17"/>
      <c r="D409" s="17"/>
      <c r="E409" s="17"/>
      <c r="F409" s="78"/>
      <c r="G409" s="78"/>
      <c r="H409" s="78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7.25" customHeight="1">
      <c r="A410" s="17"/>
      <c r="B410" s="17"/>
      <c r="C410" s="17"/>
      <c r="D410" s="17"/>
      <c r="E410" s="17"/>
      <c r="F410" s="78"/>
      <c r="G410" s="78"/>
      <c r="H410" s="78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7.25" customHeight="1">
      <c r="A411" s="17"/>
      <c r="B411" s="17"/>
      <c r="C411" s="17"/>
      <c r="D411" s="17"/>
      <c r="E411" s="17"/>
      <c r="F411" s="78"/>
      <c r="G411" s="78"/>
      <c r="H411" s="78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7.25" customHeight="1">
      <c r="A412" s="17"/>
      <c r="B412" s="17"/>
      <c r="C412" s="17"/>
      <c r="D412" s="17"/>
      <c r="E412" s="17"/>
      <c r="F412" s="78"/>
      <c r="G412" s="78"/>
      <c r="H412" s="78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7.25" customHeight="1">
      <c r="A413" s="17"/>
      <c r="B413" s="17"/>
      <c r="C413" s="17"/>
      <c r="D413" s="17"/>
      <c r="E413" s="17"/>
      <c r="F413" s="78"/>
      <c r="G413" s="78"/>
      <c r="H413" s="78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7.25" customHeight="1">
      <c r="A414" s="17"/>
      <c r="B414" s="17"/>
      <c r="C414" s="17"/>
      <c r="D414" s="17"/>
      <c r="E414" s="17"/>
      <c r="F414" s="78"/>
      <c r="G414" s="78"/>
      <c r="H414" s="78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7.25" customHeight="1">
      <c r="A415" s="17"/>
      <c r="B415" s="17"/>
      <c r="C415" s="17"/>
      <c r="D415" s="17"/>
      <c r="E415" s="17"/>
      <c r="F415" s="78"/>
      <c r="G415" s="78"/>
      <c r="H415" s="78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7.25" customHeight="1">
      <c r="A416" s="17"/>
      <c r="B416" s="17"/>
      <c r="C416" s="17"/>
      <c r="D416" s="17"/>
      <c r="E416" s="17"/>
      <c r="F416" s="78"/>
      <c r="G416" s="78"/>
      <c r="H416" s="78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7.25" customHeight="1">
      <c r="A417" s="17"/>
      <c r="B417" s="17"/>
      <c r="C417" s="17"/>
      <c r="D417" s="17"/>
      <c r="E417" s="17"/>
      <c r="F417" s="78"/>
      <c r="G417" s="78"/>
      <c r="H417" s="78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7.25" customHeight="1">
      <c r="A418" s="17"/>
      <c r="B418" s="17"/>
      <c r="C418" s="17"/>
      <c r="D418" s="17"/>
      <c r="E418" s="17"/>
      <c r="F418" s="78"/>
      <c r="G418" s="78"/>
      <c r="H418" s="78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7.25" customHeight="1">
      <c r="A419" s="17"/>
      <c r="B419" s="17"/>
      <c r="C419" s="17"/>
      <c r="D419" s="17"/>
      <c r="E419" s="17"/>
      <c r="F419" s="78"/>
      <c r="G419" s="78"/>
      <c r="H419" s="78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7.25" customHeight="1">
      <c r="A420" s="17"/>
      <c r="B420" s="17"/>
      <c r="C420" s="17"/>
      <c r="D420" s="17"/>
      <c r="E420" s="17"/>
      <c r="F420" s="78"/>
      <c r="G420" s="78"/>
      <c r="H420" s="78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7.25" customHeight="1">
      <c r="A421" s="17"/>
      <c r="B421" s="17"/>
      <c r="C421" s="17"/>
      <c r="D421" s="17"/>
      <c r="E421" s="17"/>
      <c r="F421" s="78"/>
      <c r="G421" s="78"/>
      <c r="H421" s="78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7.25" customHeight="1">
      <c r="A422" s="17"/>
      <c r="B422" s="17"/>
      <c r="C422" s="17"/>
      <c r="D422" s="17"/>
      <c r="E422" s="17"/>
      <c r="F422" s="78"/>
      <c r="G422" s="78"/>
      <c r="H422" s="78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7.25" customHeight="1">
      <c r="A423" s="17"/>
      <c r="B423" s="17"/>
      <c r="C423" s="17"/>
      <c r="D423" s="17"/>
      <c r="E423" s="17"/>
      <c r="F423" s="78"/>
      <c r="G423" s="78"/>
      <c r="H423" s="78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7.25" customHeight="1">
      <c r="A424" s="17"/>
      <c r="B424" s="17"/>
      <c r="C424" s="17"/>
      <c r="D424" s="17"/>
      <c r="E424" s="17"/>
      <c r="F424" s="78"/>
      <c r="G424" s="78"/>
      <c r="H424" s="78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7.25" customHeight="1">
      <c r="A425" s="17"/>
      <c r="B425" s="17"/>
      <c r="C425" s="17"/>
      <c r="D425" s="17"/>
      <c r="E425" s="17"/>
      <c r="F425" s="78"/>
      <c r="G425" s="78"/>
      <c r="H425" s="78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7.25" customHeight="1">
      <c r="A426" s="17"/>
      <c r="B426" s="17"/>
      <c r="C426" s="17"/>
      <c r="D426" s="17"/>
      <c r="E426" s="17"/>
      <c r="F426" s="78"/>
      <c r="G426" s="78"/>
      <c r="H426" s="78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7.25" customHeight="1">
      <c r="A427" s="17"/>
      <c r="B427" s="17"/>
      <c r="C427" s="17"/>
      <c r="D427" s="17"/>
      <c r="E427" s="17"/>
      <c r="F427" s="78"/>
      <c r="G427" s="78"/>
      <c r="H427" s="78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7.25" customHeight="1">
      <c r="A428" s="17"/>
      <c r="B428" s="17"/>
      <c r="C428" s="17"/>
      <c r="D428" s="17"/>
      <c r="E428" s="17"/>
      <c r="F428" s="78"/>
      <c r="G428" s="78"/>
      <c r="H428" s="78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7.25" customHeight="1">
      <c r="A429" s="17"/>
      <c r="B429" s="17"/>
      <c r="C429" s="17"/>
      <c r="D429" s="17"/>
      <c r="E429" s="17"/>
      <c r="F429" s="78"/>
      <c r="G429" s="78"/>
      <c r="H429" s="78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7.25" customHeight="1">
      <c r="A430" s="17"/>
      <c r="B430" s="17"/>
      <c r="C430" s="17"/>
      <c r="D430" s="17"/>
      <c r="E430" s="17"/>
      <c r="F430" s="78"/>
      <c r="G430" s="78"/>
      <c r="H430" s="78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7.25" customHeight="1">
      <c r="A431" s="17"/>
      <c r="B431" s="17"/>
      <c r="C431" s="17"/>
      <c r="D431" s="17"/>
      <c r="E431" s="17"/>
      <c r="F431" s="78"/>
      <c r="G431" s="78"/>
      <c r="H431" s="78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7.25" customHeight="1">
      <c r="A432" s="17"/>
      <c r="B432" s="17"/>
      <c r="C432" s="17"/>
      <c r="D432" s="17"/>
      <c r="E432" s="17"/>
      <c r="F432" s="78"/>
      <c r="G432" s="78"/>
      <c r="H432" s="78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7.25" customHeight="1">
      <c r="A433" s="17"/>
      <c r="B433" s="17"/>
      <c r="C433" s="17"/>
      <c r="D433" s="17"/>
      <c r="E433" s="17"/>
      <c r="F433" s="78"/>
      <c r="G433" s="78"/>
      <c r="H433" s="78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7.25" customHeight="1">
      <c r="A434" s="17"/>
      <c r="B434" s="17"/>
      <c r="C434" s="17"/>
      <c r="D434" s="17"/>
      <c r="E434" s="17"/>
      <c r="F434" s="78"/>
      <c r="G434" s="78"/>
      <c r="H434" s="78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7.25" customHeight="1">
      <c r="A435" s="17"/>
      <c r="B435" s="17"/>
      <c r="C435" s="17"/>
      <c r="D435" s="17"/>
      <c r="E435" s="17"/>
      <c r="F435" s="78"/>
      <c r="G435" s="78"/>
      <c r="H435" s="78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7.25" customHeight="1">
      <c r="A436" s="17"/>
      <c r="B436" s="17"/>
      <c r="C436" s="17"/>
      <c r="D436" s="17"/>
      <c r="E436" s="17"/>
      <c r="F436" s="78"/>
      <c r="G436" s="78"/>
      <c r="H436" s="78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7.25" customHeight="1">
      <c r="A437" s="17"/>
      <c r="B437" s="17"/>
      <c r="C437" s="17"/>
      <c r="D437" s="17"/>
      <c r="E437" s="17"/>
      <c r="F437" s="78"/>
      <c r="G437" s="78"/>
      <c r="H437" s="78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7.25" customHeight="1">
      <c r="A438" s="17"/>
      <c r="B438" s="17"/>
      <c r="C438" s="17"/>
      <c r="D438" s="17"/>
      <c r="E438" s="17"/>
      <c r="F438" s="78"/>
      <c r="G438" s="78"/>
      <c r="H438" s="78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7.25" customHeight="1">
      <c r="A439" s="17"/>
      <c r="B439" s="17"/>
      <c r="C439" s="17"/>
      <c r="D439" s="17"/>
      <c r="E439" s="17"/>
      <c r="F439" s="78"/>
      <c r="G439" s="78"/>
      <c r="H439" s="78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7.25" customHeight="1">
      <c r="A440" s="17"/>
      <c r="B440" s="17"/>
      <c r="C440" s="17"/>
      <c r="D440" s="17"/>
      <c r="E440" s="17"/>
      <c r="F440" s="78"/>
      <c r="G440" s="78"/>
      <c r="H440" s="78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7.25" customHeight="1">
      <c r="A441" s="17"/>
      <c r="B441" s="17"/>
      <c r="C441" s="17"/>
      <c r="D441" s="17"/>
      <c r="E441" s="17"/>
      <c r="F441" s="78"/>
      <c r="G441" s="78"/>
      <c r="H441" s="78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7.25" customHeight="1">
      <c r="A442" s="17"/>
      <c r="B442" s="17"/>
      <c r="C442" s="17"/>
      <c r="D442" s="17"/>
      <c r="E442" s="17"/>
      <c r="F442" s="78"/>
      <c r="G442" s="78"/>
      <c r="H442" s="78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7.25" customHeight="1">
      <c r="A443" s="17"/>
      <c r="B443" s="17"/>
      <c r="C443" s="17"/>
      <c r="D443" s="17"/>
      <c r="E443" s="17"/>
      <c r="F443" s="78"/>
      <c r="G443" s="78"/>
      <c r="H443" s="78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7.25" customHeight="1">
      <c r="A444" s="17"/>
      <c r="B444" s="17"/>
      <c r="C444" s="17"/>
      <c r="D444" s="17"/>
      <c r="E444" s="17"/>
      <c r="F444" s="78"/>
      <c r="G444" s="78"/>
      <c r="H444" s="78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7.25" customHeight="1">
      <c r="A445" s="17"/>
      <c r="B445" s="17"/>
      <c r="C445" s="17"/>
      <c r="D445" s="17"/>
      <c r="E445" s="17"/>
      <c r="F445" s="78"/>
      <c r="G445" s="78"/>
      <c r="H445" s="78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7.25" customHeight="1">
      <c r="A446" s="17"/>
      <c r="B446" s="17"/>
      <c r="C446" s="17"/>
      <c r="D446" s="17"/>
      <c r="E446" s="17"/>
      <c r="F446" s="78"/>
      <c r="G446" s="78"/>
      <c r="H446" s="78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7.25" customHeight="1">
      <c r="A447" s="17"/>
      <c r="B447" s="17"/>
      <c r="C447" s="17"/>
      <c r="D447" s="17"/>
      <c r="E447" s="17"/>
      <c r="F447" s="78"/>
      <c r="G447" s="78"/>
      <c r="H447" s="78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7.25" customHeight="1">
      <c r="A448" s="17"/>
      <c r="B448" s="17"/>
      <c r="C448" s="17"/>
      <c r="D448" s="17"/>
      <c r="E448" s="17"/>
      <c r="F448" s="78"/>
      <c r="G448" s="78"/>
      <c r="H448" s="78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7.25" customHeight="1">
      <c r="A449" s="17"/>
      <c r="B449" s="17"/>
      <c r="C449" s="17"/>
      <c r="D449" s="17"/>
      <c r="E449" s="17"/>
      <c r="F449" s="78"/>
      <c r="G449" s="78"/>
      <c r="H449" s="78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7.25" customHeight="1">
      <c r="A450" s="17"/>
      <c r="B450" s="17"/>
      <c r="C450" s="17"/>
      <c r="D450" s="17"/>
      <c r="E450" s="17"/>
      <c r="F450" s="78"/>
      <c r="G450" s="78"/>
      <c r="H450" s="78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7.25" customHeight="1">
      <c r="A451" s="17"/>
      <c r="B451" s="17"/>
      <c r="C451" s="17"/>
      <c r="D451" s="17"/>
      <c r="E451" s="17"/>
      <c r="F451" s="78"/>
      <c r="G451" s="78"/>
      <c r="H451" s="78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7.25" customHeight="1">
      <c r="A452" s="17"/>
      <c r="B452" s="17"/>
      <c r="C452" s="17"/>
      <c r="D452" s="17"/>
      <c r="E452" s="17"/>
      <c r="F452" s="78"/>
      <c r="G452" s="78"/>
      <c r="H452" s="78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7.25" customHeight="1">
      <c r="A453" s="17"/>
      <c r="B453" s="17"/>
      <c r="C453" s="17"/>
      <c r="D453" s="17"/>
      <c r="E453" s="17"/>
      <c r="F453" s="78"/>
      <c r="G453" s="78"/>
      <c r="H453" s="78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7.25" customHeight="1">
      <c r="A454" s="17"/>
      <c r="B454" s="17"/>
      <c r="C454" s="17"/>
      <c r="D454" s="17"/>
      <c r="E454" s="17"/>
      <c r="F454" s="78"/>
      <c r="G454" s="78"/>
      <c r="H454" s="78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7.25" customHeight="1">
      <c r="A455" s="17"/>
      <c r="B455" s="17"/>
      <c r="C455" s="17"/>
      <c r="D455" s="17"/>
      <c r="E455" s="17"/>
      <c r="F455" s="78"/>
      <c r="G455" s="78"/>
      <c r="H455" s="78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7.25" customHeight="1">
      <c r="A456" s="17"/>
      <c r="B456" s="17"/>
      <c r="C456" s="17"/>
      <c r="D456" s="17"/>
      <c r="E456" s="17"/>
      <c r="F456" s="78"/>
      <c r="G456" s="78"/>
      <c r="H456" s="78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7.25" customHeight="1">
      <c r="A457" s="17"/>
      <c r="B457" s="17"/>
      <c r="C457" s="17"/>
      <c r="D457" s="17"/>
      <c r="E457" s="17"/>
      <c r="F457" s="78"/>
      <c r="G457" s="78"/>
      <c r="H457" s="78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7.25" customHeight="1">
      <c r="A458" s="17"/>
      <c r="B458" s="17"/>
      <c r="C458" s="17"/>
      <c r="D458" s="17"/>
      <c r="E458" s="17"/>
      <c r="F458" s="78"/>
      <c r="G458" s="78"/>
      <c r="H458" s="78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7.25" customHeight="1">
      <c r="A459" s="17"/>
      <c r="B459" s="17"/>
      <c r="C459" s="17"/>
      <c r="D459" s="17"/>
      <c r="E459" s="17"/>
      <c r="F459" s="78"/>
      <c r="G459" s="78"/>
      <c r="H459" s="78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7.25" customHeight="1">
      <c r="A460" s="17"/>
      <c r="B460" s="17"/>
      <c r="C460" s="17"/>
      <c r="D460" s="17"/>
      <c r="E460" s="17"/>
      <c r="F460" s="78"/>
      <c r="G460" s="78"/>
      <c r="H460" s="78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7.25" customHeight="1">
      <c r="A461" s="17"/>
      <c r="B461" s="17"/>
      <c r="C461" s="17"/>
      <c r="D461" s="17"/>
      <c r="E461" s="17"/>
      <c r="F461" s="78"/>
      <c r="G461" s="78"/>
      <c r="H461" s="78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7.25" customHeight="1">
      <c r="A462" s="17"/>
      <c r="B462" s="17"/>
      <c r="C462" s="17"/>
      <c r="D462" s="17"/>
      <c r="E462" s="17"/>
      <c r="F462" s="78"/>
      <c r="G462" s="78"/>
      <c r="H462" s="78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7.25" customHeight="1">
      <c r="A463" s="17"/>
      <c r="B463" s="17"/>
      <c r="C463" s="17"/>
      <c r="D463" s="17"/>
      <c r="E463" s="17"/>
      <c r="F463" s="78"/>
      <c r="G463" s="78"/>
      <c r="H463" s="78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7.25" customHeight="1">
      <c r="A464" s="17"/>
      <c r="B464" s="17"/>
      <c r="C464" s="17"/>
      <c r="D464" s="17"/>
      <c r="E464" s="17"/>
      <c r="F464" s="78"/>
      <c r="G464" s="78"/>
      <c r="H464" s="78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7.25" customHeight="1">
      <c r="A465" s="17"/>
      <c r="B465" s="17"/>
      <c r="C465" s="17"/>
      <c r="D465" s="17"/>
      <c r="E465" s="17"/>
      <c r="F465" s="78"/>
      <c r="G465" s="78"/>
      <c r="H465" s="78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7.25" customHeight="1">
      <c r="A466" s="17"/>
      <c r="B466" s="17"/>
      <c r="C466" s="17"/>
      <c r="D466" s="17"/>
      <c r="E466" s="17"/>
      <c r="F466" s="78"/>
      <c r="G466" s="78"/>
      <c r="H466" s="78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7.25" customHeight="1">
      <c r="A467" s="17"/>
      <c r="B467" s="17"/>
      <c r="C467" s="17"/>
      <c r="D467" s="17"/>
      <c r="E467" s="17"/>
      <c r="F467" s="78"/>
      <c r="G467" s="78"/>
      <c r="H467" s="78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7.25" customHeight="1">
      <c r="A468" s="17"/>
      <c r="B468" s="17"/>
      <c r="C468" s="17"/>
      <c r="D468" s="17"/>
      <c r="E468" s="17"/>
      <c r="F468" s="78"/>
      <c r="G468" s="78"/>
      <c r="H468" s="78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7.25" customHeight="1">
      <c r="A469" s="17"/>
      <c r="B469" s="17"/>
      <c r="C469" s="17"/>
      <c r="D469" s="17"/>
      <c r="E469" s="17"/>
      <c r="F469" s="78"/>
      <c r="G469" s="78"/>
      <c r="H469" s="78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7.25" customHeight="1">
      <c r="A470" s="17"/>
      <c r="B470" s="17"/>
      <c r="C470" s="17"/>
      <c r="D470" s="17"/>
      <c r="E470" s="17"/>
      <c r="F470" s="78"/>
      <c r="G470" s="78"/>
      <c r="H470" s="78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7.25" customHeight="1">
      <c r="A471" s="17"/>
      <c r="B471" s="17"/>
      <c r="C471" s="17"/>
      <c r="D471" s="17"/>
      <c r="E471" s="17"/>
      <c r="F471" s="78"/>
      <c r="G471" s="78"/>
      <c r="H471" s="78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7.25" customHeight="1">
      <c r="A472" s="17"/>
      <c r="B472" s="17"/>
      <c r="C472" s="17"/>
      <c r="D472" s="17"/>
      <c r="E472" s="17"/>
      <c r="F472" s="78"/>
      <c r="G472" s="78"/>
      <c r="H472" s="78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7.25" customHeight="1">
      <c r="A473" s="17"/>
      <c r="B473" s="17"/>
      <c r="C473" s="17"/>
      <c r="D473" s="17"/>
      <c r="E473" s="17"/>
      <c r="F473" s="78"/>
      <c r="G473" s="78"/>
      <c r="H473" s="78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7.25" customHeight="1">
      <c r="A474" s="17"/>
      <c r="B474" s="17"/>
      <c r="C474" s="17"/>
      <c r="D474" s="17"/>
      <c r="E474" s="17"/>
      <c r="F474" s="78"/>
      <c r="G474" s="78"/>
      <c r="H474" s="78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7.25" customHeight="1">
      <c r="A475" s="17"/>
      <c r="B475" s="17"/>
      <c r="C475" s="17"/>
      <c r="D475" s="17"/>
      <c r="E475" s="17"/>
      <c r="F475" s="78"/>
      <c r="G475" s="78"/>
      <c r="H475" s="78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7.25" customHeight="1">
      <c r="A476" s="17"/>
      <c r="B476" s="17"/>
      <c r="C476" s="17"/>
      <c r="D476" s="17"/>
      <c r="E476" s="17"/>
      <c r="F476" s="78"/>
      <c r="G476" s="78"/>
      <c r="H476" s="78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7.25" customHeight="1">
      <c r="A477" s="17"/>
      <c r="B477" s="17"/>
      <c r="C477" s="17"/>
      <c r="D477" s="17"/>
      <c r="E477" s="17"/>
      <c r="F477" s="78"/>
      <c r="G477" s="78"/>
      <c r="H477" s="78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7.25" customHeight="1">
      <c r="A478" s="17"/>
      <c r="B478" s="17"/>
      <c r="C478" s="17"/>
      <c r="D478" s="17"/>
      <c r="E478" s="17"/>
      <c r="F478" s="78"/>
      <c r="G478" s="78"/>
      <c r="H478" s="78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7.25" customHeight="1">
      <c r="A479" s="17"/>
      <c r="B479" s="17"/>
      <c r="C479" s="17"/>
      <c r="D479" s="17"/>
      <c r="E479" s="17"/>
      <c r="F479" s="78"/>
      <c r="G479" s="78"/>
      <c r="H479" s="78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7.25" customHeight="1">
      <c r="A480" s="17"/>
      <c r="B480" s="17"/>
      <c r="C480" s="17"/>
      <c r="D480" s="17"/>
      <c r="E480" s="17"/>
      <c r="F480" s="78"/>
      <c r="G480" s="78"/>
      <c r="H480" s="78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7.25" customHeight="1">
      <c r="A481" s="17"/>
      <c r="B481" s="17"/>
      <c r="C481" s="17"/>
      <c r="D481" s="17"/>
      <c r="E481" s="17"/>
      <c r="F481" s="78"/>
      <c r="G481" s="78"/>
      <c r="H481" s="78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7.25" customHeight="1">
      <c r="A482" s="17"/>
      <c r="B482" s="17"/>
      <c r="C482" s="17"/>
      <c r="D482" s="17"/>
      <c r="E482" s="17"/>
      <c r="F482" s="78"/>
      <c r="G482" s="78"/>
      <c r="H482" s="78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7.25" customHeight="1">
      <c r="A483" s="17"/>
      <c r="B483" s="17"/>
      <c r="C483" s="17"/>
      <c r="D483" s="17"/>
      <c r="E483" s="17"/>
      <c r="F483" s="78"/>
      <c r="G483" s="78"/>
      <c r="H483" s="78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7.25" customHeight="1">
      <c r="A484" s="17"/>
      <c r="B484" s="17"/>
      <c r="C484" s="17"/>
      <c r="D484" s="17"/>
      <c r="E484" s="17"/>
      <c r="F484" s="78"/>
      <c r="G484" s="78"/>
      <c r="H484" s="78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7.25" customHeight="1">
      <c r="A485" s="17"/>
      <c r="B485" s="17"/>
      <c r="C485" s="17"/>
      <c r="D485" s="17"/>
      <c r="E485" s="17"/>
      <c r="F485" s="78"/>
      <c r="G485" s="78"/>
      <c r="H485" s="78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7.25" customHeight="1">
      <c r="A486" s="17"/>
      <c r="B486" s="17"/>
      <c r="C486" s="17"/>
      <c r="D486" s="17"/>
      <c r="E486" s="17"/>
      <c r="F486" s="78"/>
      <c r="G486" s="78"/>
      <c r="H486" s="78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7.25" customHeight="1">
      <c r="A487" s="17"/>
      <c r="B487" s="17"/>
      <c r="C487" s="17"/>
      <c r="D487" s="17"/>
      <c r="E487" s="17"/>
      <c r="F487" s="78"/>
      <c r="G487" s="78"/>
      <c r="H487" s="78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7.25" customHeight="1">
      <c r="A488" s="17"/>
      <c r="B488" s="17"/>
      <c r="C488" s="17"/>
      <c r="D488" s="17"/>
      <c r="E488" s="17"/>
      <c r="F488" s="78"/>
      <c r="G488" s="78"/>
      <c r="H488" s="78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7.25" customHeight="1">
      <c r="A489" s="17"/>
      <c r="B489" s="17"/>
      <c r="C489" s="17"/>
      <c r="D489" s="17"/>
      <c r="E489" s="17"/>
      <c r="F489" s="78"/>
      <c r="G489" s="78"/>
      <c r="H489" s="78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7.25" customHeight="1">
      <c r="A490" s="17"/>
      <c r="B490" s="17"/>
      <c r="C490" s="17"/>
      <c r="D490" s="17"/>
      <c r="E490" s="17"/>
      <c r="F490" s="78"/>
      <c r="G490" s="78"/>
      <c r="H490" s="78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7.25" customHeight="1">
      <c r="A491" s="17"/>
      <c r="B491" s="17"/>
      <c r="C491" s="17"/>
      <c r="D491" s="17"/>
      <c r="E491" s="17"/>
      <c r="F491" s="78"/>
      <c r="G491" s="78"/>
      <c r="H491" s="78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7.25" customHeight="1">
      <c r="A492" s="17"/>
      <c r="B492" s="17"/>
      <c r="C492" s="17"/>
      <c r="D492" s="17"/>
      <c r="E492" s="17"/>
      <c r="F492" s="78"/>
      <c r="G492" s="78"/>
      <c r="H492" s="78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7.25" customHeight="1">
      <c r="A493" s="17"/>
      <c r="B493" s="17"/>
      <c r="C493" s="17"/>
      <c r="D493" s="17"/>
      <c r="E493" s="17"/>
      <c r="F493" s="78"/>
      <c r="G493" s="78"/>
      <c r="H493" s="78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7.25" customHeight="1">
      <c r="A494" s="17"/>
      <c r="B494" s="17"/>
      <c r="C494" s="17"/>
      <c r="D494" s="17"/>
      <c r="E494" s="17"/>
      <c r="F494" s="78"/>
      <c r="G494" s="78"/>
      <c r="H494" s="78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7.25" customHeight="1">
      <c r="A495" s="17"/>
      <c r="B495" s="17"/>
      <c r="C495" s="17"/>
      <c r="D495" s="17"/>
      <c r="E495" s="17"/>
      <c r="F495" s="78"/>
      <c r="G495" s="78"/>
      <c r="H495" s="78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7.25" customHeight="1">
      <c r="A496" s="17"/>
      <c r="B496" s="17"/>
      <c r="C496" s="17"/>
      <c r="D496" s="17"/>
      <c r="E496" s="17"/>
      <c r="F496" s="78"/>
      <c r="G496" s="78"/>
      <c r="H496" s="78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7.25" customHeight="1">
      <c r="A497" s="17"/>
      <c r="B497" s="17"/>
      <c r="C497" s="17"/>
      <c r="D497" s="17"/>
      <c r="E497" s="17"/>
      <c r="F497" s="78"/>
      <c r="G497" s="78"/>
      <c r="H497" s="78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7.25" customHeight="1">
      <c r="A498" s="17"/>
      <c r="B498" s="17"/>
      <c r="C498" s="17"/>
      <c r="D498" s="17"/>
      <c r="E498" s="17"/>
      <c r="F498" s="78"/>
      <c r="G498" s="78"/>
      <c r="H498" s="78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7.25" customHeight="1">
      <c r="A499" s="17"/>
      <c r="B499" s="17"/>
      <c r="C499" s="17"/>
      <c r="D499" s="17"/>
      <c r="E499" s="17"/>
      <c r="F499" s="78"/>
      <c r="G499" s="78"/>
      <c r="H499" s="78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7.25" customHeight="1">
      <c r="A500" s="17"/>
      <c r="B500" s="17"/>
      <c r="C500" s="17"/>
      <c r="D500" s="17"/>
      <c r="E500" s="17"/>
      <c r="F500" s="78"/>
      <c r="G500" s="78"/>
      <c r="H500" s="78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7.25" customHeight="1">
      <c r="A501" s="17"/>
      <c r="B501" s="17"/>
      <c r="C501" s="17"/>
      <c r="D501" s="17"/>
      <c r="E501" s="17"/>
      <c r="F501" s="78"/>
      <c r="G501" s="78"/>
      <c r="H501" s="78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7.25" customHeight="1">
      <c r="A502" s="17"/>
      <c r="B502" s="17"/>
      <c r="C502" s="17"/>
      <c r="D502" s="17"/>
      <c r="E502" s="17"/>
      <c r="F502" s="78"/>
      <c r="G502" s="78"/>
      <c r="H502" s="78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7.25" customHeight="1">
      <c r="A503" s="17"/>
      <c r="B503" s="17"/>
      <c r="C503" s="17"/>
      <c r="D503" s="17"/>
      <c r="E503" s="17"/>
      <c r="F503" s="78"/>
      <c r="G503" s="78"/>
      <c r="H503" s="78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7.25" customHeight="1">
      <c r="A504" s="17"/>
      <c r="B504" s="17"/>
      <c r="C504" s="17"/>
      <c r="D504" s="17"/>
      <c r="E504" s="17"/>
      <c r="F504" s="78"/>
      <c r="G504" s="78"/>
      <c r="H504" s="78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7.25" customHeight="1">
      <c r="A505" s="17"/>
      <c r="B505" s="17"/>
      <c r="C505" s="17"/>
      <c r="D505" s="17"/>
      <c r="E505" s="17"/>
      <c r="F505" s="78"/>
      <c r="G505" s="78"/>
      <c r="H505" s="78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7.25" customHeight="1">
      <c r="A506" s="17"/>
      <c r="B506" s="17"/>
      <c r="C506" s="17"/>
      <c r="D506" s="17"/>
      <c r="E506" s="17"/>
      <c r="F506" s="78"/>
      <c r="G506" s="78"/>
      <c r="H506" s="78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7.25" customHeight="1">
      <c r="A507" s="17"/>
      <c r="B507" s="17"/>
      <c r="C507" s="17"/>
      <c r="D507" s="17"/>
      <c r="E507" s="17"/>
      <c r="F507" s="78"/>
      <c r="G507" s="78"/>
      <c r="H507" s="78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7.25" customHeight="1">
      <c r="A508" s="17"/>
      <c r="B508" s="17"/>
      <c r="C508" s="17"/>
      <c r="D508" s="17"/>
      <c r="E508" s="17"/>
      <c r="F508" s="78"/>
      <c r="G508" s="78"/>
      <c r="H508" s="78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7.25" customHeight="1">
      <c r="A509" s="17"/>
      <c r="B509" s="17"/>
      <c r="C509" s="17"/>
      <c r="D509" s="17"/>
      <c r="E509" s="17"/>
      <c r="F509" s="78"/>
      <c r="G509" s="78"/>
      <c r="H509" s="78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7.25" customHeight="1">
      <c r="A510" s="17"/>
      <c r="B510" s="17"/>
      <c r="C510" s="17"/>
      <c r="D510" s="17"/>
      <c r="E510" s="17"/>
      <c r="F510" s="78"/>
      <c r="G510" s="78"/>
      <c r="H510" s="78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7.25" customHeight="1">
      <c r="A511" s="17"/>
      <c r="B511" s="17"/>
      <c r="C511" s="17"/>
      <c r="D511" s="17"/>
      <c r="E511" s="17"/>
      <c r="F511" s="78"/>
      <c r="G511" s="78"/>
      <c r="H511" s="78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7.25" customHeight="1">
      <c r="A512" s="17"/>
      <c r="B512" s="17"/>
      <c r="C512" s="17"/>
      <c r="D512" s="17"/>
      <c r="E512" s="17"/>
      <c r="F512" s="78"/>
      <c r="G512" s="78"/>
      <c r="H512" s="78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7.25" customHeight="1">
      <c r="A513" s="17"/>
      <c r="B513" s="17"/>
      <c r="C513" s="17"/>
      <c r="D513" s="17"/>
      <c r="E513" s="17"/>
      <c r="F513" s="78"/>
      <c r="G513" s="78"/>
      <c r="H513" s="78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7.25" customHeight="1">
      <c r="A514" s="17"/>
      <c r="B514" s="17"/>
      <c r="C514" s="17"/>
      <c r="D514" s="17"/>
      <c r="E514" s="17"/>
      <c r="F514" s="78"/>
      <c r="G514" s="78"/>
      <c r="H514" s="78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7.25" customHeight="1">
      <c r="A515" s="17"/>
      <c r="B515" s="17"/>
      <c r="C515" s="17"/>
      <c r="D515" s="17"/>
      <c r="E515" s="17"/>
      <c r="F515" s="78"/>
      <c r="G515" s="78"/>
      <c r="H515" s="78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7.25" customHeight="1">
      <c r="A516" s="17"/>
      <c r="B516" s="17"/>
      <c r="C516" s="17"/>
      <c r="D516" s="17"/>
      <c r="E516" s="17"/>
      <c r="F516" s="78"/>
      <c r="G516" s="78"/>
      <c r="H516" s="78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7.25" customHeight="1">
      <c r="A517" s="17"/>
      <c r="B517" s="17"/>
      <c r="C517" s="17"/>
      <c r="D517" s="17"/>
      <c r="E517" s="17"/>
      <c r="F517" s="78"/>
      <c r="G517" s="78"/>
      <c r="H517" s="78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7.25" customHeight="1">
      <c r="A518" s="17"/>
      <c r="B518" s="17"/>
      <c r="C518" s="17"/>
      <c r="D518" s="17"/>
      <c r="E518" s="17"/>
      <c r="F518" s="78"/>
      <c r="G518" s="78"/>
      <c r="H518" s="78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7.25" customHeight="1">
      <c r="A519" s="17"/>
      <c r="B519" s="17"/>
      <c r="C519" s="17"/>
      <c r="D519" s="17"/>
      <c r="E519" s="17"/>
      <c r="F519" s="78"/>
      <c r="G519" s="78"/>
      <c r="H519" s="78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7.25" customHeight="1">
      <c r="A520" s="17"/>
      <c r="B520" s="17"/>
      <c r="C520" s="17"/>
      <c r="D520" s="17"/>
      <c r="E520" s="17"/>
      <c r="F520" s="78"/>
      <c r="G520" s="78"/>
      <c r="H520" s="78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7.25" customHeight="1">
      <c r="A521" s="17"/>
      <c r="B521" s="17"/>
      <c r="C521" s="17"/>
      <c r="D521" s="17"/>
      <c r="E521" s="17"/>
      <c r="F521" s="78"/>
      <c r="G521" s="78"/>
      <c r="H521" s="78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7.25" customHeight="1">
      <c r="A522" s="17"/>
      <c r="B522" s="17"/>
      <c r="C522" s="17"/>
      <c r="D522" s="17"/>
      <c r="E522" s="17"/>
      <c r="F522" s="78"/>
      <c r="G522" s="78"/>
      <c r="H522" s="78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7.25" customHeight="1">
      <c r="A523" s="17"/>
      <c r="B523" s="17"/>
      <c r="C523" s="17"/>
      <c r="D523" s="17"/>
      <c r="E523" s="17"/>
      <c r="F523" s="78"/>
      <c r="G523" s="78"/>
      <c r="H523" s="78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7.25" customHeight="1">
      <c r="A524" s="17"/>
      <c r="B524" s="17"/>
      <c r="C524" s="17"/>
      <c r="D524" s="17"/>
      <c r="E524" s="17"/>
      <c r="F524" s="78"/>
      <c r="G524" s="78"/>
      <c r="H524" s="78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7.25" customHeight="1">
      <c r="A525" s="17"/>
      <c r="B525" s="17"/>
      <c r="C525" s="17"/>
      <c r="D525" s="17"/>
      <c r="E525" s="17"/>
      <c r="F525" s="78"/>
      <c r="G525" s="78"/>
      <c r="H525" s="78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7.25" customHeight="1">
      <c r="A526" s="17"/>
      <c r="B526" s="17"/>
      <c r="C526" s="17"/>
      <c r="D526" s="17"/>
      <c r="E526" s="17"/>
      <c r="F526" s="78"/>
      <c r="G526" s="78"/>
      <c r="H526" s="78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7.25" customHeight="1">
      <c r="A527" s="17"/>
      <c r="B527" s="17"/>
      <c r="C527" s="17"/>
      <c r="D527" s="17"/>
      <c r="E527" s="17"/>
      <c r="F527" s="78"/>
      <c r="G527" s="78"/>
      <c r="H527" s="78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7.25" customHeight="1">
      <c r="A528" s="17"/>
      <c r="B528" s="17"/>
      <c r="C528" s="17"/>
      <c r="D528" s="17"/>
      <c r="E528" s="17"/>
      <c r="F528" s="78"/>
      <c r="G528" s="78"/>
      <c r="H528" s="78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7.25" customHeight="1">
      <c r="A529" s="17"/>
      <c r="B529" s="17"/>
      <c r="C529" s="17"/>
      <c r="D529" s="17"/>
      <c r="E529" s="17"/>
      <c r="F529" s="78"/>
      <c r="G529" s="78"/>
      <c r="H529" s="78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7.25" customHeight="1">
      <c r="A530" s="17"/>
      <c r="B530" s="17"/>
      <c r="C530" s="17"/>
      <c r="D530" s="17"/>
      <c r="E530" s="17"/>
      <c r="F530" s="78"/>
      <c r="G530" s="78"/>
      <c r="H530" s="78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7.25" customHeight="1">
      <c r="A531" s="17"/>
      <c r="B531" s="17"/>
      <c r="C531" s="17"/>
      <c r="D531" s="17"/>
      <c r="E531" s="17"/>
      <c r="F531" s="78"/>
      <c r="G531" s="78"/>
      <c r="H531" s="78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7.25" customHeight="1">
      <c r="A532" s="17"/>
      <c r="B532" s="17"/>
      <c r="C532" s="17"/>
      <c r="D532" s="17"/>
      <c r="E532" s="17"/>
      <c r="F532" s="78"/>
      <c r="G532" s="78"/>
      <c r="H532" s="78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7.25" customHeight="1">
      <c r="A533" s="17"/>
      <c r="B533" s="17"/>
      <c r="C533" s="17"/>
      <c r="D533" s="17"/>
      <c r="E533" s="17"/>
      <c r="F533" s="78"/>
      <c r="G533" s="78"/>
      <c r="H533" s="78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7.25" customHeight="1">
      <c r="A534" s="17"/>
      <c r="B534" s="17"/>
      <c r="C534" s="17"/>
      <c r="D534" s="17"/>
      <c r="E534" s="17"/>
      <c r="F534" s="78"/>
      <c r="G534" s="78"/>
      <c r="H534" s="78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7.25" customHeight="1">
      <c r="A535" s="17"/>
      <c r="B535" s="17"/>
      <c r="C535" s="17"/>
      <c r="D535" s="17"/>
      <c r="E535" s="17"/>
      <c r="F535" s="78"/>
      <c r="G535" s="78"/>
      <c r="H535" s="78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7.25" customHeight="1">
      <c r="A536" s="17"/>
      <c r="B536" s="17"/>
      <c r="C536" s="17"/>
      <c r="D536" s="17"/>
      <c r="E536" s="17"/>
      <c r="F536" s="78"/>
      <c r="G536" s="78"/>
      <c r="H536" s="78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7.25" customHeight="1">
      <c r="A537" s="17"/>
      <c r="B537" s="17"/>
      <c r="C537" s="17"/>
      <c r="D537" s="17"/>
      <c r="E537" s="17"/>
      <c r="F537" s="78"/>
      <c r="G537" s="78"/>
      <c r="H537" s="78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7.25" customHeight="1">
      <c r="A538" s="17"/>
      <c r="B538" s="17"/>
      <c r="C538" s="17"/>
      <c r="D538" s="17"/>
      <c r="E538" s="17"/>
      <c r="F538" s="78"/>
      <c r="G538" s="78"/>
      <c r="H538" s="78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7.25" customHeight="1">
      <c r="A539" s="17"/>
      <c r="B539" s="17"/>
      <c r="C539" s="17"/>
      <c r="D539" s="17"/>
      <c r="E539" s="17"/>
      <c r="F539" s="78"/>
      <c r="G539" s="78"/>
      <c r="H539" s="78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7.25" customHeight="1">
      <c r="A540" s="17"/>
      <c r="B540" s="17"/>
      <c r="C540" s="17"/>
      <c r="D540" s="17"/>
      <c r="E540" s="17"/>
      <c r="F540" s="78"/>
      <c r="G540" s="78"/>
      <c r="H540" s="78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7.25" customHeight="1">
      <c r="A541" s="17"/>
      <c r="B541" s="17"/>
      <c r="C541" s="17"/>
      <c r="D541" s="17"/>
      <c r="E541" s="17"/>
      <c r="F541" s="78"/>
      <c r="G541" s="78"/>
      <c r="H541" s="78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7.25" customHeight="1">
      <c r="A542" s="17"/>
      <c r="B542" s="17"/>
      <c r="C542" s="17"/>
      <c r="D542" s="17"/>
      <c r="E542" s="17"/>
      <c r="F542" s="78"/>
      <c r="G542" s="78"/>
      <c r="H542" s="78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7.25" customHeight="1">
      <c r="A543" s="17"/>
      <c r="B543" s="17"/>
      <c r="C543" s="17"/>
      <c r="D543" s="17"/>
      <c r="E543" s="17"/>
      <c r="F543" s="78"/>
      <c r="G543" s="78"/>
      <c r="H543" s="78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7.25" customHeight="1">
      <c r="A544" s="17"/>
      <c r="B544" s="17"/>
      <c r="C544" s="17"/>
      <c r="D544" s="17"/>
      <c r="E544" s="17"/>
      <c r="F544" s="78"/>
      <c r="G544" s="78"/>
      <c r="H544" s="78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7.25" customHeight="1">
      <c r="A545" s="17"/>
      <c r="B545" s="17"/>
      <c r="C545" s="17"/>
      <c r="D545" s="17"/>
      <c r="E545" s="17"/>
      <c r="F545" s="78"/>
      <c r="G545" s="78"/>
      <c r="H545" s="78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7.25" customHeight="1">
      <c r="A546" s="17"/>
      <c r="B546" s="17"/>
      <c r="C546" s="17"/>
      <c r="D546" s="17"/>
      <c r="E546" s="17"/>
      <c r="F546" s="78"/>
      <c r="G546" s="78"/>
      <c r="H546" s="78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7.25" customHeight="1">
      <c r="A547" s="17"/>
      <c r="B547" s="17"/>
      <c r="C547" s="17"/>
      <c r="D547" s="17"/>
      <c r="E547" s="17"/>
      <c r="F547" s="78"/>
      <c r="G547" s="78"/>
      <c r="H547" s="78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7.25" customHeight="1">
      <c r="A548" s="17"/>
      <c r="B548" s="17"/>
      <c r="C548" s="17"/>
      <c r="D548" s="17"/>
      <c r="E548" s="17"/>
      <c r="F548" s="78"/>
      <c r="G548" s="78"/>
      <c r="H548" s="78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7.25" customHeight="1">
      <c r="A549" s="17"/>
      <c r="B549" s="17"/>
      <c r="C549" s="17"/>
      <c r="D549" s="17"/>
      <c r="E549" s="17"/>
      <c r="F549" s="78"/>
      <c r="G549" s="78"/>
      <c r="H549" s="78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7.25" customHeight="1">
      <c r="A550" s="17"/>
      <c r="B550" s="17"/>
      <c r="C550" s="17"/>
      <c r="D550" s="17"/>
      <c r="E550" s="17"/>
      <c r="F550" s="78"/>
      <c r="G550" s="78"/>
      <c r="H550" s="78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7.25" customHeight="1">
      <c r="A551" s="17"/>
      <c r="B551" s="17"/>
      <c r="C551" s="17"/>
      <c r="D551" s="17"/>
      <c r="E551" s="17"/>
      <c r="F551" s="78"/>
      <c r="G551" s="78"/>
      <c r="H551" s="78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7.25" customHeight="1">
      <c r="A552" s="17"/>
      <c r="B552" s="17"/>
      <c r="C552" s="17"/>
      <c r="D552" s="17"/>
      <c r="E552" s="17"/>
      <c r="F552" s="78"/>
      <c r="G552" s="78"/>
      <c r="H552" s="78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7.25" customHeight="1">
      <c r="A553" s="17"/>
      <c r="B553" s="17"/>
      <c r="C553" s="17"/>
      <c r="D553" s="17"/>
      <c r="E553" s="17"/>
      <c r="F553" s="78"/>
      <c r="G553" s="78"/>
      <c r="H553" s="78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7.25" customHeight="1">
      <c r="A554" s="17"/>
      <c r="B554" s="17"/>
      <c r="C554" s="17"/>
      <c r="D554" s="17"/>
      <c r="E554" s="17"/>
      <c r="F554" s="78"/>
      <c r="G554" s="78"/>
      <c r="H554" s="78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7.25" customHeight="1">
      <c r="A555" s="17"/>
      <c r="B555" s="17"/>
      <c r="C555" s="17"/>
      <c r="D555" s="17"/>
      <c r="E555" s="17"/>
      <c r="F555" s="78"/>
      <c r="G555" s="78"/>
      <c r="H555" s="78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7.25" customHeight="1">
      <c r="A556" s="17"/>
      <c r="B556" s="17"/>
      <c r="C556" s="17"/>
      <c r="D556" s="17"/>
      <c r="E556" s="17"/>
      <c r="F556" s="78"/>
      <c r="G556" s="78"/>
      <c r="H556" s="78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7.25" customHeight="1">
      <c r="A557" s="17"/>
      <c r="B557" s="17"/>
      <c r="C557" s="17"/>
      <c r="D557" s="17"/>
      <c r="E557" s="17"/>
      <c r="F557" s="78"/>
      <c r="G557" s="78"/>
      <c r="H557" s="78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7.25" customHeight="1">
      <c r="A558" s="17"/>
      <c r="B558" s="17"/>
      <c r="C558" s="17"/>
      <c r="D558" s="17"/>
      <c r="E558" s="17"/>
      <c r="F558" s="78"/>
      <c r="G558" s="78"/>
      <c r="H558" s="78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7.25" customHeight="1">
      <c r="A559" s="17"/>
      <c r="B559" s="17"/>
      <c r="C559" s="17"/>
      <c r="D559" s="17"/>
      <c r="E559" s="17"/>
      <c r="F559" s="78"/>
      <c r="G559" s="78"/>
      <c r="H559" s="78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7.25" customHeight="1">
      <c r="A560" s="17"/>
      <c r="B560" s="17"/>
      <c r="C560" s="17"/>
      <c r="D560" s="17"/>
      <c r="E560" s="17"/>
      <c r="F560" s="78"/>
      <c r="G560" s="78"/>
      <c r="H560" s="78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7.25" customHeight="1">
      <c r="A561" s="17"/>
      <c r="B561" s="17"/>
      <c r="C561" s="17"/>
      <c r="D561" s="17"/>
      <c r="E561" s="17"/>
      <c r="F561" s="78"/>
      <c r="G561" s="78"/>
      <c r="H561" s="78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7.25" customHeight="1">
      <c r="A562" s="17"/>
      <c r="B562" s="17"/>
      <c r="C562" s="17"/>
      <c r="D562" s="17"/>
      <c r="E562" s="17"/>
      <c r="F562" s="78"/>
      <c r="G562" s="78"/>
      <c r="H562" s="78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7.25" customHeight="1">
      <c r="A563" s="17"/>
      <c r="B563" s="17"/>
      <c r="C563" s="17"/>
      <c r="D563" s="17"/>
      <c r="E563" s="17"/>
      <c r="F563" s="78"/>
      <c r="G563" s="78"/>
      <c r="H563" s="78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7.25" customHeight="1">
      <c r="A564" s="17"/>
      <c r="B564" s="17"/>
      <c r="C564" s="17"/>
      <c r="D564" s="17"/>
      <c r="E564" s="17"/>
      <c r="F564" s="78"/>
      <c r="G564" s="78"/>
      <c r="H564" s="78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7.25" customHeight="1">
      <c r="A565" s="17"/>
      <c r="B565" s="17"/>
      <c r="C565" s="17"/>
      <c r="D565" s="17"/>
      <c r="E565" s="17"/>
      <c r="F565" s="78"/>
      <c r="G565" s="78"/>
      <c r="H565" s="78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7.25" customHeight="1">
      <c r="A566" s="17"/>
      <c r="B566" s="17"/>
      <c r="C566" s="17"/>
      <c r="D566" s="17"/>
      <c r="E566" s="17"/>
      <c r="F566" s="78"/>
      <c r="G566" s="78"/>
      <c r="H566" s="78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7.25" customHeight="1">
      <c r="A567" s="17"/>
      <c r="B567" s="17"/>
      <c r="C567" s="17"/>
      <c r="D567" s="17"/>
      <c r="E567" s="17"/>
      <c r="F567" s="78"/>
      <c r="G567" s="78"/>
      <c r="H567" s="78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7.25" customHeight="1">
      <c r="A568" s="17"/>
      <c r="B568" s="17"/>
      <c r="C568" s="17"/>
      <c r="D568" s="17"/>
      <c r="E568" s="17"/>
      <c r="F568" s="78"/>
      <c r="G568" s="78"/>
      <c r="H568" s="78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7.25" customHeight="1">
      <c r="A569" s="17"/>
      <c r="B569" s="17"/>
      <c r="C569" s="17"/>
      <c r="D569" s="17"/>
      <c r="E569" s="17"/>
      <c r="F569" s="78"/>
      <c r="G569" s="78"/>
      <c r="H569" s="78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7.25" customHeight="1">
      <c r="A570" s="17"/>
      <c r="B570" s="17"/>
      <c r="C570" s="17"/>
      <c r="D570" s="17"/>
      <c r="E570" s="17"/>
      <c r="F570" s="78"/>
      <c r="G570" s="78"/>
      <c r="H570" s="78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7.25" customHeight="1">
      <c r="A571" s="17"/>
      <c r="B571" s="17"/>
      <c r="C571" s="17"/>
      <c r="D571" s="17"/>
      <c r="E571" s="17"/>
      <c r="F571" s="78"/>
      <c r="G571" s="78"/>
      <c r="H571" s="78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7.25" customHeight="1">
      <c r="A572" s="17"/>
      <c r="B572" s="17"/>
      <c r="C572" s="17"/>
      <c r="D572" s="17"/>
      <c r="E572" s="17"/>
      <c r="F572" s="78"/>
      <c r="G572" s="78"/>
      <c r="H572" s="78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7.25" customHeight="1">
      <c r="A573" s="17"/>
      <c r="B573" s="17"/>
      <c r="C573" s="17"/>
      <c r="D573" s="17"/>
      <c r="E573" s="17"/>
      <c r="F573" s="78"/>
      <c r="G573" s="78"/>
      <c r="H573" s="78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7.25" customHeight="1">
      <c r="A574" s="17"/>
      <c r="B574" s="17"/>
      <c r="C574" s="17"/>
      <c r="D574" s="17"/>
      <c r="E574" s="17"/>
      <c r="F574" s="78"/>
      <c r="G574" s="78"/>
      <c r="H574" s="78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7.25" customHeight="1">
      <c r="A575" s="17"/>
      <c r="B575" s="17"/>
      <c r="C575" s="17"/>
      <c r="D575" s="17"/>
      <c r="E575" s="17"/>
      <c r="F575" s="78"/>
      <c r="G575" s="78"/>
      <c r="H575" s="78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7.25" customHeight="1">
      <c r="A576" s="17"/>
      <c r="B576" s="17"/>
      <c r="C576" s="17"/>
      <c r="D576" s="17"/>
      <c r="E576" s="17"/>
      <c r="F576" s="78"/>
      <c r="G576" s="78"/>
      <c r="H576" s="78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7.25" customHeight="1">
      <c r="A577" s="17"/>
      <c r="B577" s="17"/>
      <c r="C577" s="17"/>
      <c r="D577" s="17"/>
      <c r="E577" s="17"/>
      <c r="F577" s="78"/>
      <c r="G577" s="78"/>
      <c r="H577" s="78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7.25" customHeight="1">
      <c r="A578" s="17"/>
      <c r="B578" s="17"/>
      <c r="C578" s="17"/>
      <c r="D578" s="17"/>
      <c r="E578" s="17"/>
      <c r="F578" s="78"/>
      <c r="G578" s="78"/>
      <c r="H578" s="78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7.25" customHeight="1">
      <c r="A579" s="17"/>
      <c r="B579" s="17"/>
      <c r="C579" s="17"/>
      <c r="D579" s="17"/>
      <c r="E579" s="17"/>
      <c r="F579" s="78"/>
      <c r="G579" s="78"/>
      <c r="H579" s="78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7.25" customHeight="1">
      <c r="A580" s="17"/>
      <c r="B580" s="17"/>
      <c r="C580" s="17"/>
      <c r="D580" s="17"/>
      <c r="E580" s="17"/>
      <c r="F580" s="78"/>
      <c r="G580" s="78"/>
      <c r="H580" s="78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7.25" customHeight="1">
      <c r="A581" s="17"/>
      <c r="B581" s="17"/>
      <c r="C581" s="17"/>
      <c r="D581" s="17"/>
      <c r="E581" s="17"/>
      <c r="F581" s="78"/>
      <c r="G581" s="78"/>
      <c r="H581" s="78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7.25" customHeight="1">
      <c r="A582" s="17"/>
      <c r="B582" s="17"/>
      <c r="C582" s="17"/>
      <c r="D582" s="17"/>
      <c r="E582" s="17"/>
      <c r="F582" s="78"/>
      <c r="G582" s="78"/>
      <c r="H582" s="78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7.25" customHeight="1">
      <c r="A583" s="17"/>
      <c r="B583" s="17"/>
      <c r="C583" s="17"/>
      <c r="D583" s="17"/>
      <c r="E583" s="17"/>
      <c r="F583" s="78"/>
      <c r="G583" s="78"/>
      <c r="H583" s="78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7.25" customHeight="1">
      <c r="A584" s="17"/>
      <c r="B584" s="17"/>
      <c r="C584" s="17"/>
      <c r="D584" s="17"/>
      <c r="E584" s="17"/>
      <c r="F584" s="78"/>
      <c r="G584" s="78"/>
      <c r="H584" s="78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7.25" customHeight="1">
      <c r="A585" s="17"/>
      <c r="B585" s="17"/>
      <c r="C585" s="17"/>
      <c r="D585" s="17"/>
      <c r="E585" s="17"/>
      <c r="F585" s="78"/>
      <c r="G585" s="78"/>
      <c r="H585" s="78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7.25" customHeight="1">
      <c r="A586" s="17"/>
      <c r="B586" s="17"/>
      <c r="C586" s="17"/>
      <c r="D586" s="17"/>
      <c r="E586" s="17"/>
      <c r="F586" s="78"/>
      <c r="G586" s="78"/>
      <c r="H586" s="78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7.25" customHeight="1">
      <c r="A587" s="17"/>
      <c r="B587" s="17"/>
      <c r="C587" s="17"/>
      <c r="D587" s="17"/>
      <c r="E587" s="17"/>
      <c r="F587" s="78"/>
      <c r="G587" s="78"/>
      <c r="H587" s="78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7.25" customHeight="1">
      <c r="A588" s="17"/>
      <c r="B588" s="17"/>
      <c r="C588" s="17"/>
      <c r="D588" s="17"/>
      <c r="E588" s="17"/>
      <c r="F588" s="78"/>
      <c r="G588" s="78"/>
      <c r="H588" s="78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7.25" customHeight="1">
      <c r="A589" s="17"/>
      <c r="B589" s="17"/>
      <c r="C589" s="17"/>
      <c r="D589" s="17"/>
      <c r="E589" s="17"/>
      <c r="F589" s="78"/>
      <c r="G589" s="78"/>
      <c r="H589" s="78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7.25" customHeight="1">
      <c r="A590" s="17"/>
      <c r="B590" s="17"/>
      <c r="C590" s="17"/>
      <c r="D590" s="17"/>
      <c r="E590" s="17"/>
      <c r="F590" s="78"/>
      <c r="G590" s="78"/>
      <c r="H590" s="78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7.25" customHeight="1">
      <c r="A591" s="17"/>
      <c r="B591" s="17"/>
      <c r="C591" s="17"/>
      <c r="D591" s="17"/>
      <c r="E591" s="17"/>
      <c r="F591" s="78"/>
      <c r="G591" s="78"/>
      <c r="H591" s="78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7.25" customHeight="1">
      <c r="A592" s="17"/>
      <c r="B592" s="17"/>
      <c r="C592" s="17"/>
      <c r="D592" s="17"/>
      <c r="E592" s="17"/>
      <c r="F592" s="78"/>
      <c r="G592" s="78"/>
      <c r="H592" s="78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7.25" customHeight="1">
      <c r="A593" s="17"/>
      <c r="B593" s="17"/>
      <c r="C593" s="17"/>
      <c r="D593" s="17"/>
      <c r="E593" s="17"/>
      <c r="F593" s="78"/>
      <c r="G593" s="78"/>
      <c r="H593" s="78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7.25" customHeight="1">
      <c r="A594" s="17"/>
      <c r="B594" s="17"/>
      <c r="C594" s="17"/>
      <c r="D594" s="17"/>
      <c r="E594" s="17"/>
      <c r="F594" s="78"/>
      <c r="G594" s="78"/>
      <c r="H594" s="78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7.25" customHeight="1">
      <c r="A595" s="17"/>
      <c r="B595" s="17"/>
      <c r="C595" s="17"/>
      <c r="D595" s="17"/>
      <c r="E595" s="17"/>
      <c r="F595" s="78"/>
      <c r="G595" s="78"/>
      <c r="H595" s="78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7.25" customHeight="1">
      <c r="A596" s="17"/>
      <c r="B596" s="17"/>
      <c r="C596" s="17"/>
      <c r="D596" s="17"/>
      <c r="E596" s="17"/>
      <c r="F596" s="78"/>
      <c r="G596" s="78"/>
      <c r="H596" s="78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7.25" customHeight="1">
      <c r="A597" s="17"/>
      <c r="B597" s="17"/>
      <c r="C597" s="17"/>
      <c r="D597" s="17"/>
      <c r="E597" s="17"/>
      <c r="F597" s="78"/>
      <c r="G597" s="78"/>
      <c r="H597" s="78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7.25" customHeight="1">
      <c r="A598" s="17"/>
      <c r="B598" s="17"/>
      <c r="C598" s="17"/>
      <c r="D598" s="17"/>
      <c r="E598" s="17"/>
      <c r="F598" s="78"/>
      <c r="G598" s="78"/>
      <c r="H598" s="78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7.25" customHeight="1">
      <c r="A599" s="17"/>
      <c r="B599" s="17"/>
      <c r="C599" s="17"/>
      <c r="D599" s="17"/>
      <c r="E599" s="17"/>
      <c r="F599" s="78"/>
      <c r="G599" s="78"/>
      <c r="H599" s="78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7.25" customHeight="1">
      <c r="A600" s="17"/>
      <c r="B600" s="17"/>
      <c r="C600" s="17"/>
      <c r="D600" s="17"/>
      <c r="E600" s="17"/>
      <c r="F600" s="78"/>
      <c r="G600" s="78"/>
      <c r="H600" s="78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7.25" customHeight="1">
      <c r="A601" s="17"/>
      <c r="B601" s="17"/>
      <c r="C601" s="17"/>
      <c r="D601" s="17"/>
      <c r="E601" s="17"/>
      <c r="F601" s="78"/>
      <c r="G601" s="78"/>
      <c r="H601" s="78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7.25" customHeight="1">
      <c r="A602" s="17"/>
      <c r="B602" s="17"/>
      <c r="C602" s="17"/>
      <c r="D602" s="17"/>
      <c r="E602" s="17"/>
      <c r="F602" s="78"/>
      <c r="G602" s="78"/>
      <c r="H602" s="78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7.25" customHeight="1">
      <c r="A603" s="17"/>
      <c r="B603" s="17"/>
      <c r="C603" s="17"/>
      <c r="D603" s="17"/>
      <c r="E603" s="17"/>
      <c r="F603" s="78"/>
      <c r="G603" s="78"/>
      <c r="H603" s="78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7.25" customHeight="1">
      <c r="A604" s="17"/>
      <c r="B604" s="17"/>
      <c r="C604" s="17"/>
      <c r="D604" s="17"/>
      <c r="E604" s="17"/>
      <c r="F604" s="78"/>
      <c r="G604" s="78"/>
      <c r="H604" s="78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7.25" customHeight="1">
      <c r="A605" s="17"/>
      <c r="B605" s="17"/>
      <c r="C605" s="17"/>
      <c r="D605" s="17"/>
      <c r="E605" s="17"/>
      <c r="F605" s="78"/>
      <c r="G605" s="78"/>
      <c r="H605" s="78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7.25" customHeight="1">
      <c r="A606" s="17"/>
      <c r="B606" s="17"/>
      <c r="C606" s="17"/>
      <c r="D606" s="17"/>
      <c r="E606" s="17"/>
      <c r="F606" s="78"/>
      <c r="G606" s="78"/>
      <c r="H606" s="78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7.25" customHeight="1">
      <c r="A607" s="17"/>
      <c r="B607" s="17"/>
      <c r="C607" s="17"/>
      <c r="D607" s="17"/>
      <c r="E607" s="17"/>
      <c r="F607" s="78"/>
      <c r="G607" s="78"/>
      <c r="H607" s="78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7.25" customHeight="1">
      <c r="A608" s="17"/>
      <c r="B608" s="17"/>
      <c r="C608" s="17"/>
      <c r="D608" s="17"/>
      <c r="E608" s="17"/>
      <c r="F608" s="78"/>
      <c r="G608" s="78"/>
      <c r="H608" s="78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7.25" customHeight="1">
      <c r="A609" s="17"/>
      <c r="B609" s="17"/>
      <c r="C609" s="17"/>
      <c r="D609" s="17"/>
      <c r="E609" s="17"/>
      <c r="F609" s="78"/>
      <c r="G609" s="78"/>
      <c r="H609" s="78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7.25" customHeight="1">
      <c r="A610" s="17"/>
      <c r="B610" s="17"/>
      <c r="C610" s="17"/>
      <c r="D610" s="17"/>
      <c r="E610" s="17"/>
      <c r="F610" s="78"/>
      <c r="G610" s="78"/>
      <c r="H610" s="78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7.25" customHeight="1">
      <c r="A611" s="17"/>
      <c r="B611" s="17"/>
      <c r="C611" s="17"/>
      <c r="D611" s="17"/>
      <c r="E611" s="17"/>
      <c r="F611" s="78"/>
      <c r="G611" s="78"/>
      <c r="H611" s="78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7.25" customHeight="1">
      <c r="A612" s="17"/>
      <c r="B612" s="17"/>
      <c r="C612" s="17"/>
      <c r="D612" s="17"/>
      <c r="E612" s="17"/>
      <c r="F612" s="78"/>
      <c r="G612" s="78"/>
      <c r="H612" s="78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7.25" customHeight="1">
      <c r="A613" s="17"/>
      <c r="B613" s="17"/>
      <c r="C613" s="17"/>
      <c r="D613" s="17"/>
      <c r="E613" s="17"/>
      <c r="F613" s="78"/>
      <c r="G613" s="78"/>
      <c r="H613" s="78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7.25" customHeight="1">
      <c r="A614" s="17"/>
      <c r="B614" s="17"/>
      <c r="C614" s="17"/>
      <c r="D614" s="17"/>
      <c r="E614" s="17"/>
      <c r="F614" s="78"/>
      <c r="G614" s="78"/>
      <c r="H614" s="78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7.25" customHeight="1">
      <c r="A615" s="17"/>
      <c r="B615" s="17"/>
      <c r="C615" s="17"/>
      <c r="D615" s="17"/>
      <c r="E615" s="17"/>
      <c r="F615" s="78"/>
      <c r="G615" s="78"/>
      <c r="H615" s="78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7.25" customHeight="1">
      <c r="A616" s="17"/>
      <c r="B616" s="17"/>
      <c r="C616" s="17"/>
      <c r="D616" s="17"/>
      <c r="E616" s="17"/>
      <c r="F616" s="78"/>
      <c r="G616" s="78"/>
      <c r="H616" s="78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7.25" customHeight="1">
      <c r="A617" s="17"/>
      <c r="B617" s="17"/>
      <c r="C617" s="17"/>
      <c r="D617" s="17"/>
      <c r="E617" s="17"/>
      <c r="F617" s="78"/>
      <c r="G617" s="78"/>
      <c r="H617" s="78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7.25" customHeight="1">
      <c r="A618" s="17"/>
      <c r="B618" s="17"/>
      <c r="C618" s="17"/>
      <c r="D618" s="17"/>
      <c r="E618" s="17"/>
      <c r="F618" s="78"/>
      <c r="G618" s="78"/>
      <c r="H618" s="78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7.25" customHeight="1">
      <c r="A619" s="17"/>
      <c r="B619" s="17"/>
      <c r="C619" s="17"/>
      <c r="D619" s="17"/>
      <c r="E619" s="17"/>
      <c r="F619" s="78"/>
      <c r="G619" s="78"/>
      <c r="H619" s="78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7.25" customHeight="1">
      <c r="A620" s="17"/>
      <c r="B620" s="17"/>
      <c r="C620" s="17"/>
      <c r="D620" s="17"/>
      <c r="E620" s="17"/>
      <c r="F620" s="78"/>
      <c r="G620" s="78"/>
      <c r="H620" s="78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7.25" customHeight="1">
      <c r="A621" s="17"/>
      <c r="B621" s="17"/>
      <c r="C621" s="17"/>
      <c r="D621" s="17"/>
      <c r="E621" s="17"/>
      <c r="F621" s="78"/>
      <c r="G621" s="78"/>
      <c r="H621" s="78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7.25" customHeight="1">
      <c r="A622" s="17"/>
      <c r="B622" s="17"/>
      <c r="C622" s="17"/>
      <c r="D622" s="17"/>
      <c r="E622" s="17"/>
      <c r="F622" s="78"/>
      <c r="G622" s="78"/>
      <c r="H622" s="78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7.25" customHeight="1">
      <c r="A623" s="17"/>
      <c r="B623" s="17"/>
      <c r="C623" s="17"/>
      <c r="D623" s="17"/>
      <c r="E623" s="17"/>
      <c r="F623" s="78"/>
      <c r="G623" s="78"/>
      <c r="H623" s="78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7.25" customHeight="1">
      <c r="A624" s="17"/>
      <c r="B624" s="17"/>
      <c r="C624" s="17"/>
      <c r="D624" s="17"/>
      <c r="E624" s="17"/>
      <c r="F624" s="78"/>
      <c r="G624" s="78"/>
      <c r="H624" s="78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7.25" customHeight="1">
      <c r="A625" s="17"/>
      <c r="B625" s="17"/>
      <c r="C625" s="17"/>
      <c r="D625" s="17"/>
      <c r="E625" s="17"/>
      <c r="F625" s="78"/>
      <c r="G625" s="78"/>
      <c r="H625" s="78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7.25" customHeight="1">
      <c r="A626" s="17"/>
      <c r="B626" s="17"/>
      <c r="C626" s="17"/>
      <c r="D626" s="17"/>
      <c r="E626" s="17"/>
      <c r="F626" s="78"/>
      <c r="G626" s="78"/>
      <c r="H626" s="78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7.25" customHeight="1">
      <c r="A627" s="17"/>
      <c r="B627" s="17"/>
      <c r="C627" s="17"/>
      <c r="D627" s="17"/>
      <c r="E627" s="17"/>
      <c r="F627" s="78"/>
      <c r="G627" s="78"/>
      <c r="H627" s="78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7.25" customHeight="1">
      <c r="A628" s="17"/>
      <c r="B628" s="17"/>
      <c r="C628" s="17"/>
      <c r="D628" s="17"/>
      <c r="E628" s="17"/>
      <c r="F628" s="78"/>
      <c r="G628" s="78"/>
      <c r="H628" s="78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7.25" customHeight="1">
      <c r="A629" s="17"/>
      <c r="B629" s="17"/>
      <c r="C629" s="17"/>
      <c r="D629" s="17"/>
      <c r="E629" s="17"/>
      <c r="F629" s="78"/>
      <c r="G629" s="78"/>
      <c r="H629" s="78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7.25" customHeight="1">
      <c r="A630" s="17"/>
      <c r="B630" s="17"/>
      <c r="C630" s="17"/>
      <c r="D630" s="17"/>
      <c r="E630" s="17"/>
      <c r="F630" s="78"/>
      <c r="G630" s="78"/>
      <c r="H630" s="78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7.25" customHeight="1">
      <c r="A631" s="17"/>
      <c r="B631" s="17"/>
      <c r="C631" s="17"/>
      <c r="D631" s="17"/>
      <c r="E631" s="17"/>
      <c r="F631" s="78"/>
      <c r="G631" s="78"/>
      <c r="H631" s="78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7.25" customHeight="1">
      <c r="A632" s="17"/>
      <c r="B632" s="17"/>
      <c r="C632" s="17"/>
      <c r="D632" s="17"/>
      <c r="E632" s="17"/>
      <c r="F632" s="78"/>
      <c r="G632" s="78"/>
      <c r="H632" s="78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7.25" customHeight="1">
      <c r="A633" s="17"/>
      <c r="B633" s="17"/>
      <c r="C633" s="17"/>
      <c r="D633" s="17"/>
      <c r="E633" s="17"/>
      <c r="F633" s="78"/>
      <c r="G633" s="78"/>
      <c r="H633" s="78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7.25" customHeight="1">
      <c r="A634" s="17"/>
      <c r="B634" s="17"/>
      <c r="C634" s="17"/>
      <c r="D634" s="17"/>
      <c r="E634" s="17"/>
      <c r="F634" s="78"/>
      <c r="G634" s="78"/>
      <c r="H634" s="78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7.25" customHeight="1">
      <c r="A635" s="17"/>
      <c r="B635" s="17"/>
      <c r="C635" s="17"/>
      <c r="D635" s="17"/>
      <c r="E635" s="17"/>
      <c r="F635" s="78"/>
      <c r="G635" s="78"/>
      <c r="H635" s="78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7.25" customHeight="1">
      <c r="A636" s="17"/>
      <c r="B636" s="17"/>
      <c r="C636" s="17"/>
      <c r="D636" s="17"/>
      <c r="E636" s="17"/>
      <c r="F636" s="78"/>
      <c r="G636" s="78"/>
      <c r="H636" s="78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7.25" customHeight="1">
      <c r="A637" s="17"/>
      <c r="B637" s="17"/>
      <c r="C637" s="17"/>
      <c r="D637" s="17"/>
      <c r="E637" s="17"/>
      <c r="F637" s="78"/>
      <c r="G637" s="78"/>
      <c r="H637" s="78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7.25" customHeight="1">
      <c r="A638" s="17"/>
      <c r="B638" s="17"/>
      <c r="C638" s="17"/>
      <c r="D638" s="17"/>
      <c r="E638" s="17"/>
      <c r="F638" s="78"/>
      <c r="G638" s="78"/>
      <c r="H638" s="78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7.25" customHeight="1">
      <c r="A639" s="17"/>
      <c r="B639" s="17"/>
      <c r="C639" s="17"/>
      <c r="D639" s="17"/>
      <c r="E639" s="17"/>
      <c r="F639" s="78"/>
      <c r="G639" s="78"/>
      <c r="H639" s="78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7.25" customHeight="1">
      <c r="A640" s="17"/>
      <c r="B640" s="17"/>
      <c r="C640" s="17"/>
      <c r="D640" s="17"/>
      <c r="E640" s="17"/>
      <c r="F640" s="78"/>
      <c r="G640" s="78"/>
      <c r="H640" s="78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7.25" customHeight="1">
      <c r="A641" s="17"/>
      <c r="B641" s="17"/>
      <c r="C641" s="17"/>
      <c r="D641" s="17"/>
      <c r="E641" s="17"/>
      <c r="F641" s="78"/>
      <c r="G641" s="78"/>
      <c r="H641" s="78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7.25" customHeight="1">
      <c r="A642" s="17"/>
      <c r="B642" s="17"/>
      <c r="C642" s="17"/>
      <c r="D642" s="17"/>
      <c r="E642" s="17"/>
      <c r="F642" s="78"/>
      <c r="G642" s="78"/>
      <c r="H642" s="78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7.25" customHeight="1">
      <c r="A643" s="17"/>
      <c r="B643" s="17"/>
      <c r="C643" s="17"/>
      <c r="D643" s="17"/>
      <c r="E643" s="17"/>
      <c r="F643" s="78"/>
      <c r="G643" s="78"/>
      <c r="H643" s="78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7.25" customHeight="1">
      <c r="A644" s="17"/>
      <c r="B644" s="17"/>
      <c r="C644" s="17"/>
      <c r="D644" s="17"/>
      <c r="E644" s="17"/>
      <c r="F644" s="78"/>
      <c r="G644" s="78"/>
      <c r="H644" s="78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7.25" customHeight="1">
      <c r="A645" s="17"/>
      <c r="B645" s="17"/>
      <c r="C645" s="17"/>
      <c r="D645" s="17"/>
      <c r="E645" s="17"/>
      <c r="F645" s="78"/>
      <c r="G645" s="78"/>
      <c r="H645" s="78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7.25" customHeight="1">
      <c r="A646" s="17"/>
      <c r="B646" s="17"/>
      <c r="C646" s="17"/>
      <c r="D646" s="17"/>
      <c r="E646" s="17"/>
      <c r="F646" s="78"/>
      <c r="G646" s="78"/>
      <c r="H646" s="78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7.25" customHeight="1">
      <c r="A647" s="17"/>
      <c r="B647" s="17"/>
      <c r="C647" s="17"/>
      <c r="D647" s="17"/>
      <c r="E647" s="17"/>
      <c r="F647" s="78"/>
      <c r="G647" s="78"/>
      <c r="H647" s="78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7.25" customHeight="1">
      <c r="A648" s="17"/>
      <c r="B648" s="17"/>
      <c r="C648" s="17"/>
      <c r="D648" s="17"/>
      <c r="E648" s="17"/>
      <c r="F648" s="78"/>
      <c r="G648" s="78"/>
      <c r="H648" s="78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7.25" customHeight="1">
      <c r="A649" s="17"/>
      <c r="B649" s="17"/>
      <c r="C649" s="17"/>
      <c r="D649" s="17"/>
      <c r="E649" s="17"/>
      <c r="F649" s="78"/>
      <c r="G649" s="78"/>
      <c r="H649" s="78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7.25" customHeight="1">
      <c r="A650" s="17"/>
      <c r="B650" s="17"/>
      <c r="C650" s="17"/>
      <c r="D650" s="17"/>
      <c r="E650" s="17"/>
      <c r="F650" s="78"/>
      <c r="G650" s="78"/>
      <c r="H650" s="78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7.25" customHeight="1">
      <c r="A651" s="17"/>
      <c r="B651" s="17"/>
      <c r="C651" s="17"/>
      <c r="D651" s="17"/>
      <c r="E651" s="17"/>
      <c r="F651" s="78"/>
      <c r="G651" s="78"/>
      <c r="H651" s="78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7.25" customHeight="1">
      <c r="A652" s="17"/>
      <c r="B652" s="17"/>
      <c r="C652" s="17"/>
      <c r="D652" s="17"/>
      <c r="E652" s="17"/>
      <c r="F652" s="78"/>
      <c r="G652" s="78"/>
      <c r="H652" s="78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7.25" customHeight="1">
      <c r="A653" s="17"/>
      <c r="B653" s="17"/>
      <c r="C653" s="17"/>
      <c r="D653" s="17"/>
      <c r="E653" s="17"/>
      <c r="F653" s="78"/>
      <c r="G653" s="78"/>
      <c r="H653" s="78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7.25" customHeight="1">
      <c r="A654" s="17"/>
      <c r="B654" s="17"/>
      <c r="C654" s="17"/>
      <c r="D654" s="17"/>
      <c r="E654" s="17"/>
      <c r="F654" s="78"/>
      <c r="G654" s="78"/>
      <c r="H654" s="78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7.25" customHeight="1">
      <c r="A655" s="17"/>
      <c r="B655" s="17"/>
      <c r="C655" s="17"/>
      <c r="D655" s="17"/>
      <c r="E655" s="17"/>
      <c r="F655" s="78"/>
      <c r="G655" s="78"/>
      <c r="H655" s="78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7.25" customHeight="1">
      <c r="A656" s="17"/>
      <c r="B656" s="17"/>
      <c r="C656" s="17"/>
      <c r="D656" s="17"/>
      <c r="E656" s="17"/>
      <c r="F656" s="78"/>
      <c r="G656" s="78"/>
      <c r="H656" s="78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7.25" customHeight="1">
      <c r="A657" s="17"/>
      <c r="B657" s="17"/>
      <c r="C657" s="17"/>
      <c r="D657" s="17"/>
      <c r="E657" s="17"/>
      <c r="F657" s="78"/>
      <c r="G657" s="78"/>
      <c r="H657" s="78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7.25" customHeight="1">
      <c r="A658" s="17"/>
      <c r="B658" s="17"/>
      <c r="C658" s="17"/>
      <c r="D658" s="17"/>
      <c r="E658" s="17"/>
      <c r="F658" s="78"/>
      <c r="G658" s="78"/>
      <c r="H658" s="78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7.25" customHeight="1">
      <c r="A659" s="17"/>
      <c r="B659" s="17"/>
      <c r="C659" s="17"/>
      <c r="D659" s="17"/>
      <c r="E659" s="17"/>
      <c r="F659" s="78"/>
      <c r="G659" s="78"/>
      <c r="H659" s="78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7.25" customHeight="1">
      <c r="A660" s="17"/>
      <c r="B660" s="17"/>
      <c r="C660" s="17"/>
      <c r="D660" s="17"/>
      <c r="E660" s="17"/>
      <c r="F660" s="78"/>
      <c r="G660" s="78"/>
      <c r="H660" s="78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7.25" customHeight="1">
      <c r="A661" s="17"/>
      <c r="B661" s="17"/>
      <c r="C661" s="17"/>
      <c r="D661" s="17"/>
      <c r="E661" s="17"/>
      <c r="F661" s="78"/>
      <c r="G661" s="78"/>
      <c r="H661" s="78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7.25" customHeight="1">
      <c r="A662" s="17"/>
      <c r="B662" s="17"/>
      <c r="C662" s="17"/>
      <c r="D662" s="17"/>
      <c r="E662" s="17"/>
      <c r="F662" s="78"/>
      <c r="G662" s="78"/>
      <c r="H662" s="78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7.25" customHeight="1">
      <c r="A663" s="17"/>
      <c r="B663" s="17"/>
      <c r="C663" s="17"/>
      <c r="D663" s="17"/>
      <c r="E663" s="17"/>
      <c r="F663" s="78"/>
      <c r="G663" s="78"/>
      <c r="H663" s="78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7.25" customHeight="1">
      <c r="A664" s="17"/>
      <c r="B664" s="17"/>
      <c r="C664" s="17"/>
      <c r="D664" s="17"/>
      <c r="E664" s="17"/>
      <c r="F664" s="78"/>
      <c r="G664" s="78"/>
      <c r="H664" s="78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7.25" customHeight="1">
      <c r="A665" s="17"/>
      <c r="B665" s="17"/>
      <c r="C665" s="17"/>
      <c r="D665" s="17"/>
      <c r="E665" s="17"/>
      <c r="F665" s="78"/>
      <c r="G665" s="78"/>
      <c r="H665" s="78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7.25" customHeight="1">
      <c r="A666" s="17"/>
      <c r="B666" s="17"/>
      <c r="C666" s="17"/>
      <c r="D666" s="17"/>
      <c r="E666" s="17"/>
      <c r="F666" s="78"/>
      <c r="G666" s="78"/>
      <c r="H666" s="78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7.25" customHeight="1">
      <c r="A667" s="17"/>
      <c r="B667" s="17"/>
      <c r="C667" s="17"/>
      <c r="D667" s="17"/>
      <c r="E667" s="17"/>
      <c r="F667" s="78"/>
      <c r="G667" s="78"/>
      <c r="H667" s="78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7.25" customHeight="1">
      <c r="A668" s="17"/>
      <c r="B668" s="17"/>
      <c r="C668" s="17"/>
      <c r="D668" s="17"/>
      <c r="E668" s="17"/>
      <c r="F668" s="78"/>
      <c r="G668" s="78"/>
      <c r="H668" s="78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7.25" customHeight="1">
      <c r="A669" s="17"/>
      <c r="B669" s="17"/>
      <c r="C669" s="17"/>
      <c r="D669" s="17"/>
      <c r="E669" s="17"/>
      <c r="F669" s="78"/>
      <c r="G669" s="78"/>
      <c r="H669" s="78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7.25" customHeight="1">
      <c r="A670" s="17"/>
      <c r="B670" s="17"/>
      <c r="C670" s="17"/>
      <c r="D670" s="17"/>
      <c r="E670" s="17"/>
      <c r="F670" s="78"/>
      <c r="G670" s="78"/>
      <c r="H670" s="78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7.25" customHeight="1">
      <c r="A671" s="17"/>
      <c r="B671" s="17"/>
      <c r="C671" s="17"/>
      <c r="D671" s="17"/>
      <c r="E671" s="17"/>
      <c r="F671" s="78"/>
      <c r="G671" s="78"/>
      <c r="H671" s="78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7.25" customHeight="1">
      <c r="A672" s="17"/>
      <c r="B672" s="17"/>
      <c r="C672" s="17"/>
      <c r="D672" s="17"/>
      <c r="E672" s="17"/>
      <c r="F672" s="78"/>
      <c r="G672" s="78"/>
      <c r="H672" s="78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7.25" customHeight="1">
      <c r="A673" s="17"/>
      <c r="B673" s="17"/>
      <c r="C673" s="17"/>
      <c r="D673" s="17"/>
      <c r="E673" s="17"/>
      <c r="F673" s="78"/>
      <c r="G673" s="78"/>
      <c r="H673" s="78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7.25" customHeight="1">
      <c r="A674" s="17"/>
      <c r="B674" s="17"/>
      <c r="C674" s="17"/>
      <c r="D674" s="17"/>
      <c r="E674" s="17"/>
      <c r="F674" s="78"/>
      <c r="G674" s="78"/>
      <c r="H674" s="78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7.25" customHeight="1">
      <c r="A675" s="17"/>
      <c r="B675" s="17"/>
      <c r="C675" s="17"/>
      <c r="D675" s="17"/>
      <c r="E675" s="17"/>
      <c r="F675" s="78"/>
      <c r="G675" s="78"/>
      <c r="H675" s="78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7.25" customHeight="1">
      <c r="A676" s="17"/>
      <c r="B676" s="17"/>
      <c r="C676" s="17"/>
      <c r="D676" s="17"/>
      <c r="E676" s="17"/>
      <c r="F676" s="78"/>
      <c r="G676" s="78"/>
      <c r="H676" s="78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7.25" customHeight="1">
      <c r="A677" s="17"/>
      <c r="B677" s="17"/>
      <c r="C677" s="17"/>
      <c r="D677" s="17"/>
      <c r="E677" s="17"/>
      <c r="F677" s="78"/>
      <c r="G677" s="78"/>
      <c r="H677" s="78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7.25" customHeight="1">
      <c r="A678" s="17"/>
      <c r="B678" s="17"/>
      <c r="C678" s="17"/>
      <c r="D678" s="17"/>
      <c r="E678" s="17"/>
      <c r="F678" s="78"/>
      <c r="G678" s="78"/>
      <c r="H678" s="78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7.25" customHeight="1">
      <c r="A679" s="17"/>
      <c r="B679" s="17"/>
      <c r="C679" s="17"/>
      <c r="D679" s="17"/>
      <c r="E679" s="17"/>
      <c r="F679" s="78"/>
      <c r="G679" s="78"/>
      <c r="H679" s="78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7.25" customHeight="1">
      <c r="A680" s="17"/>
      <c r="B680" s="17"/>
      <c r="C680" s="17"/>
      <c r="D680" s="17"/>
      <c r="E680" s="17"/>
      <c r="F680" s="78"/>
      <c r="G680" s="78"/>
      <c r="H680" s="78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7.25" customHeight="1">
      <c r="A681" s="17"/>
      <c r="B681" s="17"/>
      <c r="C681" s="17"/>
      <c r="D681" s="17"/>
      <c r="E681" s="17"/>
      <c r="F681" s="78"/>
      <c r="G681" s="78"/>
      <c r="H681" s="78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7.25" customHeight="1">
      <c r="A682" s="17"/>
      <c r="B682" s="17"/>
      <c r="C682" s="17"/>
      <c r="D682" s="17"/>
      <c r="E682" s="17"/>
      <c r="F682" s="78"/>
      <c r="G682" s="78"/>
      <c r="H682" s="78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7.25" customHeight="1">
      <c r="A683" s="17"/>
      <c r="B683" s="17"/>
      <c r="C683" s="17"/>
      <c r="D683" s="17"/>
      <c r="E683" s="17"/>
      <c r="F683" s="78"/>
      <c r="G683" s="78"/>
      <c r="H683" s="78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7.25" customHeight="1">
      <c r="A684" s="17"/>
      <c r="B684" s="17"/>
      <c r="C684" s="17"/>
      <c r="D684" s="17"/>
      <c r="E684" s="17"/>
      <c r="F684" s="78"/>
      <c r="G684" s="78"/>
      <c r="H684" s="78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7.25" customHeight="1">
      <c r="A685" s="17"/>
      <c r="B685" s="17"/>
      <c r="C685" s="17"/>
      <c r="D685" s="17"/>
      <c r="E685" s="17"/>
      <c r="F685" s="78"/>
      <c r="G685" s="78"/>
      <c r="H685" s="78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7.25" customHeight="1">
      <c r="A686" s="17"/>
      <c r="B686" s="17"/>
      <c r="C686" s="17"/>
      <c r="D686" s="17"/>
      <c r="E686" s="17"/>
      <c r="F686" s="78"/>
      <c r="G686" s="78"/>
      <c r="H686" s="78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7.25" customHeight="1">
      <c r="A687" s="17"/>
      <c r="B687" s="17"/>
      <c r="C687" s="17"/>
      <c r="D687" s="17"/>
      <c r="E687" s="17"/>
      <c r="F687" s="78"/>
      <c r="G687" s="78"/>
      <c r="H687" s="78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7.25" customHeight="1">
      <c r="A688" s="17"/>
      <c r="B688" s="17"/>
      <c r="C688" s="17"/>
      <c r="D688" s="17"/>
      <c r="E688" s="17"/>
      <c r="F688" s="78"/>
      <c r="G688" s="78"/>
      <c r="H688" s="78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7.25" customHeight="1">
      <c r="A689" s="17"/>
      <c r="B689" s="17"/>
      <c r="C689" s="17"/>
      <c r="D689" s="17"/>
      <c r="E689" s="17"/>
      <c r="F689" s="78"/>
      <c r="G689" s="78"/>
      <c r="H689" s="78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7.25" customHeight="1">
      <c r="A690" s="17"/>
      <c r="B690" s="17"/>
      <c r="C690" s="17"/>
      <c r="D690" s="17"/>
      <c r="E690" s="17"/>
      <c r="F690" s="78"/>
      <c r="G690" s="78"/>
      <c r="H690" s="78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7.25" customHeight="1">
      <c r="A691" s="17"/>
      <c r="B691" s="17"/>
      <c r="C691" s="17"/>
      <c r="D691" s="17"/>
      <c r="E691" s="17"/>
      <c r="F691" s="78"/>
      <c r="G691" s="78"/>
      <c r="H691" s="78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7.25" customHeight="1">
      <c r="A692" s="17"/>
      <c r="B692" s="17"/>
      <c r="C692" s="17"/>
      <c r="D692" s="17"/>
      <c r="E692" s="17"/>
      <c r="F692" s="78"/>
      <c r="G692" s="78"/>
      <c r="H692" s="78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7.25" customHeight="1">
      <c r="A693" s="17"/>
      <c r="B693" s="17"/>
      <c r="C693" s="17"/>
      <c r="D693" s="17"/>
      <c r="E693" s="17"/>
      <c r="F693" s="78"/>
      <c r="G693" s="78"/>
      <c r="H693" s="78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7.25" customHeight="1">
      <c r="A694" s="17"/>
      <c r="B694" s="17"/>
      <c r="C694" s="17"/>
      <c r="D694" s="17"/>
      <c r="E694" s="17"/>
      <c r="F694" s="78"/>
      <c r="G694" s="78"/>
      <c r="H694" s="78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7.25" customHeight="1">
      <c r="A695" s="17"/>
      <c r="B695" s="17"/>
      <c r="C695" s="17"/>
      <c r="D695" s="17"/>
      <c r="E695" s="17"/>
      <c r="F695" s="78"/>
      <c r="G695" s="78"/>
      <c r="H695" s="78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7.25" customHeight="1">
      <c r="A696" s="17"/>
      <c r="B696" s="17"/>
      <c r="C696" s="17"/>
      <c r="D696" s="17"/>
      <c r="E696" s="17"/>
      <c r="F696" s="78"/>
      <c r="G696" s="78"/>
      <c r="H696" s="78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7.25" customHeight="1">
      <c r="A697" s="17"/>
      <c r="B697" s="17"/>
      <c r="C697" s="17"/>
      <c r="D697" s="17"/>
      <c r="E697" s="17"/>
      <c r="F697" s="78"/>
      <c r="G697" s="78"/>
      <c r="H697" s="78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7.25" customHeight="1">
      <c r="A698" s="17"/>
      <c r="B698" s="17"/>
      <c r="C698" s="17"/>
      <c r="D698" s="17"/>
      <c r="E698" s="17"/>
      <c r="F698" s="78"/>
      <c r="G698" s="78"/>
      <c r="H698" s="78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7.25" customHeight="1">
      <c r="A699" s="17"/>
      <c r="B699" s="17"/>
      <c r="C699" s="17"/>
      <c r="D699" s="17"/>
      <c r="E699" s="17"/>
      <c r="F699" s="78"/>
      <c r="G699" s="78"/>
      <c r="H699" s="78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7.25" customHeight="1">
      <c r="A700" s="17"/>
      <c r="B700" s="17"/>
      <c r="C700" s="17"/>
      <c r="D700" s="17"/>
      <c r="E700" s="17"/>
      <c r="F700" s="78"/>
      <c r="G700" s="78"/>
      <c r="H700" s="78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7.25" customHeight="1">
      <c r="A701" s="17"/>
      <c r="B701" s="17"/>
      <c r="C701" s="17"/>
      <c r="D701" s="17"/>
      <c r="E701" s="17"/>
      <c r="F701" s="78"/>
      <c r="G701" s="78"/>
      <c r="H701" s="78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7.25" customHeight="1">
      <c r="A702" s="17"/>
      <c r="B702" s="17"/>
      <c r="C702" s="17"/>
      <c r="D702" s="17"/>
      <c r="E702" s="17"/>
      <c r="F702" s="78"/>
      <c r="G702" s="78"/>
      <c r="H702" s="78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7.25" customHeight="1">
      <c r="A703" s="17"/>
      <c r="B703" s="17"/>
      <c r="C703" s="17"/>
      <c r="D703" s="17"/>
      <c r="E703" s="17"/>
      <c r="F703" s="78"/>
      <c r="G703" s="78"/>
      <c r="H703" s="78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7.25" customHeight="1">
      <c r="A704" s="17"/>
      <c r="B704" s="17"/>
      <c r="C704" s="17"/>
      <c r="D704" s="17"/>
      <c r="E704" s="17"/>
      <c r="F704" s="78"/>
      <c r="G704" s="78"/>
      <c r="H704" s="78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7.25" customHeight="1">
      <c r="A705" s="17"/>
      <c r="B705" s="17"/>
      <c r="C705" s="17"/>
      <c r="D705" s="17"/>
      <c r="E705" s="17"/>
      <c r="F705" s="78"/>
      <c r="G705" s="78"/>
      <c r="H705" s="78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7.25" customHeight="1">
      <c r="A706" s="17"/>
      <c r="B706" s="17"/>
      <c r="C706" s="17"/>
      <c r="D706" s="17"/>
      <c r="E706" s="17"/>
      <c r="F706" s="78"/>
      <c r="G706" s="78"/>
      <c r="H706" s="78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7.25" customHeight="1">
      <c r="A707" s="17"/>
      <c r="B707" s="17"/>
      <c r="C707" s="17"/>
      <c r="D707" s="17"/>
      <c r="E707" s="17"/>
      <c r="F707" s="78"/>
      <c r="G707" s="78"/>
      <c r="H707" s="78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7.25" customHeight="1">
      <c r="A708" s="17"/>
      <c r="B708" s="17"/>
      <c r="C708" s="17"/>
      <c r="D708" s="17"/>
      <c r="E708" s="17"/>
      <c r="F708" s="78"/>
      <c r="G708" s="78"/>
      <c r="H708" s="78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7.25" customHeight="1">
      <c r="A709" s="17"/>
      <c r="B709" s="17"/>
      <c r="C709" s="17"/>
      <c r="D709" s="17"/>
      <c r="E709" s="17"/>
      <c r="F709" s="78"/>
      <c r="G709" s="78"/>
      <c r="H709" s="78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7.25" customHeight="1">
      <c r="A710" s="17"/>
      <c r="B710" s="17"/>
      <c r="C710" s="17"/>
      <c r="D710" s="17"/>
      <c r="E710" s="17"/>
      <c r="F710" s="78"/>
      <c r="G710" s="78"/>
      <c r="H710" s="78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7.25" customHeight="1">
      <c r="A711" s="17"/>
      <c r="B711" s="17"/>
      <c r="C711" s="17"/>
      <c r="D711" s="17"/>
      <c r="E711" s="17"/>
      <c r="F711" s="78"/>
      <c r="G711" s="78"/>
      <c r="H711" s="78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7.25" customHeight="1">
      <c r="A712" s="17"/>
      <c r="B712" s="17"/>
      <c r="C712" s="17"/>
      <c r="D712" s="17"/>
      <c r="E712" s="17"/>
      <c r="F712" s="78"/>
      <c r="G712" s="78"/>
      <c r="H712" s="78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7.25" customHeight="1">
      <c r="A713" s="17"/>
      <c r="B713" s="17"/>
      <c r="C713" s="17"/>
      <c r="D713" s="17"/>
      <c r="E713" s="17"/>
      <c r="F713" s="78"/>
      <c r="G713" s="78"/>
      <c r="H713" s="78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7.25" customHeight="1">
      <c r="A714" s="17"/>
      <c r="B714" s="17"/>
      <c r="C714" s="17"/>
      <c r="D714" s="17"/>
      <c r="E714" s="17"/>
      <c r="F714" s="78"/>
      <c r="G714" s="78"/>
      <c r="H714" s="78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7.25" customHeight="1">
      <c r="A715" s="17"/>
      <c r="B715" s="17"/>
      <c r="C715" s="17"/>
      <c r="D715" s="17"/>
      <c r="E715" s="17"/>
      <c r="F715" s="78"/>
      <c r="G715" s="78"/>
      <c r="H715" s="78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7.25" customHeight="1">
      <c r="A716" s="17"/>
      <c r="B716" s="17"/>
      <c r="C716" s="17"/>
      <c r="D716" s="17"/>
      <c r="E716" s="17"/>
      <c r="F716" s="78"/>
      <c r="G716" s="78"/>
      <c r="H716" s="78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7.25" customHeight="1">
      <c r="A717" s="17"/>
      <c r="B717" s="17"/>
      <c r="C717" s="17"/>
      <c r="D717" s="17"/>
      <c r="E717" s="17"/>
      <c r="F717" s="78"/>
      <c r="G717" s="78"/>
      <c r="H717" s="78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7.25" customHeight="1">
      <c r="A718" s="17"/>
      <c r="B718" s="17"/>
      <c r="C718" s="17"/>
      <c r="D718" s="17"/>
      <c r="E718" s="17"/>
      <c r="F718" s="78"/>
      <c r="G718" s="78"/>
      <c r="H718" s="78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7.25" customHeight="1">
      <c r="A719" s="17"/>
      <c r="B719" s="17"/>
      <c r="C719" s="17"/>
      <c r="D719" s="17"/>
      <c r="E719" s="17"/>
      <c r="F719" s="78"/>
      <c r="G719" s="78"/>
      <c r="H719" s="78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7.25" customHeight="1">
      <c r="A720" s="17"/>
      <c r="B720" s="17"/>
      <c r="C720" s="17"/>
      <c r="D720" s="17"/>
      <c r="E720" s="17"/>
      <c r="F720" s="78"/>
      <c r="G720" s="78"/>
      <c r="H720" s="78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7.25" customHeight="1">
      <c r="A721" s="17"/>
      <c r="B721" s="17"/>
      <c r="C721" s="17"/>
      <c r="D721" s="17"/>
      <c r="E721" s="17"/>
      <c r="F721" s="78"/>
      <c r="G721" s="78"/>
      <c r="H721" s="78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7.25" customHeight="1">
      <c r="A722" s="17"/>
      <c r="B722" s="17"/>
      <c r="C722" s="17"/>
      <c r="D722" s="17"/>
      <c r="E722" s="17"/>
      <c r="F722" s="78"/>
      <c r="G722" s="78"/>
      <c r="H722" s="78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7.25" customHeight="1">
      <c r="A723" s="17"/>
      <c r="B723" s="17"/>
      <c r="C723" s="17"/>
      <c r="D723" s="17"/>
      <c r="E723" s="17"/>
      <c r="F723" s="78"/>
      <c r="G723" s="78"/>
      <c r="H723" s="78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7.25" customHeight="1">
      <c r="A724" s="17"/>
      <c r="B724" s="17"/>
      <c r="C724" s="17"/>
      <c r="D724" s="17"/>
      <c r="E724" s="17"/>
      <c r="F724" s="78"/>
      <c r="G724" s="78"/>
      <c r="H724" s="78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7.25" customHeight="1">
      <c r="A725" s="17"/>
      <c r="B725" s="17"/>
      <c r="C725" s="17"/>
      <c r="D725" s="17"/>
      <c r="E725" s="17"/>
      <c r="F725" s="78"/>
      <c r="G725" s="78"/>
      <c r="H725" s="78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7.25" customHeight="1">
      <c r="A726" s="17"/>
      <c r="B726" s="17"/>
      <c r="C726" s="17"/>
      <c r="D726" s="17"/>
      <c r="E726" s="17"/>
      <c r="F726" s="78"/>
      <c r="G726" s="78"/>
      <c r="H726" s="78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7.25" customHeight="1">
      <c r="A727" s="17"/>
      <c r="B727" s="17"/>
      <c r="C727" s="17"/>
      <c r="D727" s="17"/>
      <c r="E727" s="17"/>
      <c r="F727" s="78"/>
      <c r="G727" s="78"/>
      <c r="H727" s="78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7.25" customHeight="1">
      <c r="A728" s="17"/>
      <c r="B728" s="17"/>
      <c r="C728" s="17"/>
      <c r="D728" s="17"/>
      <c r="E728" s="17"/>
      <c r="F728" s="78"/>
      <c r="G728" s="78"/>
      <c r="H728" s="78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7.25" customHeight="1">
      <c r="A729" s="17"/>
      <c r="B729" s="17"/>
      <c r="C729" s="17"/>
      <c r="D729" s="17"/>
      <c r="E729" s="17"/>
      <c r="F729" s="78"/>
      <c r="G729" s="78"/>
      <c r="H729" s="78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7.25" customHeight="1">
      <c r="A730" s="17"/>
      <c r="B730" s="17"/>
      <c r="C730" s="17"/>
      <c r="D730" s="17"/>
      <c r="E730" s="17"/>
      <c r="F730" s="78"/>
      <c r="G730" s="78"/>
      <c r="H730" s="78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7.25" customHeight="1">
      <c r="A731" s="17"/>
      <c r="B731" s="17"/>
      <c r="C731" s="17"/>
      <c r="D731" s="17"/>
      <c r="E731" s="17"/>
      <c r="F731" s="78"/>
      <c r="G731" s="78"/>
      <c r="H731" s="78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7.25" customHeight="1">
      <c r="A732" s="17"/>
      <c r="B732" s="17"/>
      <c r="C732" s="17"/>
      <c r="D732" s="17"/>
      <c r="E732" s="17"/>
      <c r="F732" s="78"/>
      <c r="G732" s="78"/>
      <c r="H732" s="78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7.25" customHeight="1">
      <c r="A733" s="17"/>
      <c r="B733" s="17"/>
      <c r="C733" s="17"/>
      <c r="D733" s="17"/>
      <c r="E733" s="17"/>
      <c r="F733" s="78"/>
      <c r="G733" s="78"/>
      <c r="H733" s="78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7.25" customHeight="1">
      <c r="A734" s="17"/>
      <c r="B734" s="17"/>
      <c r="C734" s="17"/>
      <c r="D734" s="17"/>
      <c r="E734" s="17"/>
      <c r="F734" s="78"/>
      <c r="G734" s="78"/>
      <c r="H734" s="78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7.25" customHeight="1">
      <c r="A735" s="17"/>
      <c r="B735" s="17"/>
      <c r="C735" s="17"/>
      <c r="D735" s="17"/>
      <c r="E735" s="17"/>
      <c r="F735" s="78"/>
      <c r="G735" s="78"/>
      <c r="H735" s="78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7.25" customHeight="1">
      <c r="A736" s="17"/>
      <c r="B736" s="17"/>
      <c r="C736" s="17"/>
      <c r="D736" s="17"/>
      <c r="E736" s="17"/>
      <c r="F736" s="78"/>
      <c r="G736" s="78"/>
      <c r="H736" s="78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7.25" customHeight="1">
      <c r="A737" s="17"/>
      <c r="B737" s="17"/>
      <c r="C737" s="17"/>
      <c r="D737" s="17"/>
      <c r="E737" s="17"/>
      <c r="F737" s="78"/>
      <c r="G737" s="78"/>
      <c r="H737" s="78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7.25" customHeight="1">
      <c r="A738" s="17"/>
      <c r="B738" s="17"/>
      <c r="C738" s="17"/>
      <c r="D738" s="17"/>
      <c r="E738" s="17"/>
      <c r="F738" s="78"/>
      <c r="G738" s="78"/>
      <c r="H738" s="78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7.25" customHeight="1">
      <c r="A739" s="17"/>
      <c r="B739" s="17"/>
      <c r="C739" s="17"/>
      <c r="D739" s="17"/>
      <c r="E739" s="17"/>
      <c r="F739" s="78"/>
      <c r="G739" s="78"/>
      <c r="H739" s="78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7.25" customHeight="1">
      <c r="A740" s="17"/>
      <c r="B740" s="17"/>
      <c r="C740" s="17"/>
      <c r="D740" s="17"/>
      <c r="E740" s="17"/>
      <c r="F740" s="78"/>
      <c r="G740" s="78"/>
      <c r="H740" s="78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7.25" customHeight="1">
      <c r="A741" s="17"/>
      <c r="B741" s="17"/>
      <c r="C741" s="17"/>
      <c r="D741" s="17"/>
      <c r="E741" s="17"/>
      <c r="F741" s="78"/>
      <c r="G741" s="78"/>
      <c r="H741" s="78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7.25" customHeight="1">
      <c r="A742" s="17"/>
      <c r="B742" s="17"/>
      <c r="C742" s="17"/>
      <c r="D742" s="17"/>
      <c r="E742" s="17"/>
      <c r="F742" s="78"/>
      <c r="G742" s="78"/>
      <c r="H742" s="78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7.25" customHeight="1">
      <c r="A743" s="17"/>
      <c r="B743" s="17"/>
      <c r="C743" s="17"/>
      <c r="D743" s="17"/>
      <c r="E743" s="17"/>
      <c r="F743" s="78"/>
      <c r="G743" s="78"/>
      <c r="H743" s="78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7.25" customHeight="1">
      <c r="A744" s="17"/>
      <c r="B744" s="17"/>
      <c r="C744" s="17"/>
      <c r="D744" s="17"/>
      <c r="E744" s="17"/>
      <c r="F744" s="78"/>
      <c r="G744" s="78"/>
      <c r="H744" s="78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7.25" customHeight="1">
      <c r="A745" s="17"/>
      <c r="B745" s="17"/>
      <c r="C745" s="17"/>
      <c r="D745" s="17"/>
      <c r="E745" s="17"/>
      <c r="F745" s="78"/>
      <c r="G745" s="78"/>
      <c r="H745" s="78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7.25" customHeight="1">
      <c r="A746" s="17"/>
      <c r="B746" s="17"/>
      <c r="C746" s="17"/>
      <c r="D746" s="17"/>
      <c r="E746" s="17"/>
      <c r="F746" s="78"/>
      <c r="G746" s="78"/>
      <c r="H746" s="78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7.25" customHeight="1">
      <c r="A747" s="17"/>
      <c r="B747" s="17"/>
      <c r="C747" s="17"/>
      <c r="D747" s="17"/>
      <c r="E747" s="17"/>
      <c r="F747" s="78"/>
      <c r="G747" s="78"/>
      <c r="H747" s="78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7.25" customHeight="1">
      <c r="A748" s="17"/>
      <c r="B748" s="17"/>
      <c r="C748" s="17"/>
      <c r="D748" s="17"/>
      <c r="E748" s="17"/>
      <c r="F748" s="78"/>
      <c r="G748" s="78"/>
      <c r="H748" s="78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7.25" customHeight="1">
      <c r="A749" s="17"/>
      <c r="B749" s="17"/>
      <c r="C749" s="17"/>
      <c r="D749" s="17"/>
      <c r="E749" s="17"/>
      <c r="F749" s="78"/>
      <c r="G749" s="78"/>
      <c r="H749" s="78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7.25" customHeight="1">
      <c r="A750" s="17"/>
      <c r="B750" s="17"/>
      <c r="C750" s="17"/>
      <c r="D750" s="17"/>
      <c r="E750" s="17"/>
      <c r="F750" s="78"/>
      <c r="G750" s="78"/>
      <c r="H750" s="78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7.25" customHeight="1">
      <c r="A751" s="17"/>
      <c r="B751" s="17"/>
      <c r="C751" s="17"/>
      <c r="D751" s="17"/>
      <c r="E751" s="17"/>
      <c r="F751" s="78"/>
      <c r="G751" s="78"/>
      <c r="H751" s="78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7.25" customHeight="1">
      <c r="A752" s="17"/>
      <c r="B752" s="17"/>
      <c r="C752" s="17"/>
      <c r="D752" s="17"/>
      <c r="E752" s="17"/>
      <c r="F752" s="78"/>
      <c r="G752" s="78"/>
      <c r="H752" s="78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7.25" customHeight="1">
      <c r="A753" s="17"/>
      <c r="B753" s="17"/>
      <c r="C753" s="17"/>
      <c r="D753" s="17"/>
      <c r="E753" s="17"/>
      <c r="F753" s="78"/>
      <c r="G753" s="78"/>
      <c r="H753" s="78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7.25" customHeight="1">
      <c r="A754" s="17"/>
      <c r="B754" s="17"/>
      <c r="C754" s="17"/>
      <c r="D754" s="17"/>
      <c r="E754" s="17"/>
      <c r="F754" s="78"/>
      <c r="G754" s="78"/>
      <c r="H754" s="78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7.25" customHeight="1">
      <c r="A755" s="17"/>
      <c r="B755" s="17"/>
      <c r="C755" s="17"/>
      <c r="D755" s="17"/>
      <c r="E755" s="17"/>
      <c r="F755" s="78"/>
      <c r="G755" s="78"/>
      <c r="H755" s="78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7.25" customHeight="1">
      <c r="A756" s="17"/>
      <c r="B756" s="17"/>
      <c r="C756" s="17"/>
      <c r="D756" s="17"/>
      <c r="E756" s="17"/>
      <c r="F756" s="78"/>
      <c r="G756" s="78"/>
      <c r="H756" s="78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7.25" customHeight="1">
      <c r="A757" s="17"/>
      <c r="B757" s="17"/>
      <c r="C757" s="17"/>
      <c r="D757" s="17"/>
      <c r="E757" s="17"/>
      <c r="F757" s="78"/>
      <c r="G757" s="78"/>
      <c r="H757" s="78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7.25" customHeight="1">
      <c r="A758" s="17"/>
      <c r="B758" s="17"/>
      <c r="C758" s="17"/>
      <c r="D758" s="17"/>
      <c r="E758" s="17"/>
      <c r="F758" s="78"/>
      <c r="G758" s="78"/>
      <c r="H758" s="78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7.25" customHeight="1">
      <c r="A759" s="17"/>
      <c r="B759" s="17"/>
      <c r="C759" s="17"/>
      <c r="D759" s="17"/>
      <c r="E759" s="17"/>
      <c r="F759" s="78"/>
      <c r="G759" s="78"/>
      <c r="H759" s="78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7.25" customHeight="1">
      <c r="A760" s="17"/>
      <c r="B760" s="17"/>
      <c r="C760" s="17"/>
      <c r="D760" s="17"/>
      <c r="E760" s="17"/>
      <c r="F760" s="78"/>
      <c r="G760" s="78"/>
      <c r="H760" s="78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7.25" customHeight="1">
      <c r="A761" s="17"/>
      <c r="B761" s="17"/>
      <c r="C761" s="17"/>
      <c r="D761" s="17"/>
      <c r="E761" s="17"/>
      <c r="F761" s="78"/>
      <c r="G761" s="78"/>
      <c r="H761" s="78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7.25" customHeight="1">
      <c r="A762" s="17"/>
      <c r="B762" s="17"/>
      <c r="C762" s="17"/>
      <c r="D762" s="17"/>
      <c r="E762" s="17"/>
      <c r="F762" s="78"/>
      <c r="G762" s="78"/>
      <c r="H762" s="78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7.25" customHeight="1">
      <c r="A763" s="17"/>
      <c r="B763" s="17"/>
      <c r="C763" s="17"/>
      <c r="D763" s="17"/>
      <c r="E763" s="17"/>
      <c r="F763" s="78"/>
      <c r="G763" s="78"/>
      <c r="H763" s="78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7.25" customHeight="1">
      <c r="A764" s="17"/>
      <c r="B764" s="17"/>
      <c r="C764" s="17"/>
      <c r="D764" s="17"/>
      <c r="E764" s="17"/>
      <c r="F764" s="78"/>
      <c r="G764" s="78"/>
      <c r="H764" s="78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7.25" customHeight="1">
      <c r="A765" s="17"/>
      <c r="B765" s="17"/>
      <c r="C765" s="17"/>
      <c r="D765" s="17"/>
      <c r="E765" s="17"/>
      <c r="F765" s="78"/>
      <c r="G765" s="78"/>
      <c r="H765" s="78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7.25" customHeight="1">
      <c r="A766" s="17"/>
      <c r="B766" s="17"/>
      <c r="C766" s="17"/>
      <c r="D766" s="17"/>
      <c r="E766" s="17"/>
      <c r="F766" s="78"/>
      <c r="G766" s="78"/>
      <c r="H766" s="78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7.25" customHeight="1">
      <c r="A767" s="17"/>
      <c r="B767" s="17"/>
      <c r="C767" s="17"/>
      <c r="D767" s="17"/>
      <c r="E767" s="17"/>
      <c r="F767" s="78"/>
      <c r="G767" s="78"/>
      <c r="H767" s="78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7.25" customHeight="1">
      <c r="A768" s="17"/>
      <c r="B768" s="17"/>
      <c r="C768" s="17"/>
      <c r="D768" s="17"/>
      <c r="E768" s="17"/>
      <c r="F768" s="78"/>
      <c r="G768" s="78"/>
      <c r="H768" s="78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7.25" customHeight="1">
      <c r="A769" s="17"/>
      <c r="B769" s="17"/>
      <c r="C769" s="17"/>
      <c r="D769" s="17"/>
      <c r="E769" s="17"/>
      <c r="F769" s="78"/>
      <c r="G769" s="78"/>
      <c r="H769" s="78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7.25" customHeight="1">
      <c r="A770" s="17"/>
      <c r="B770" s="17"/>
      <c r="C770" s="17"/>
      <c r="D770" s="17"/>
      <c r="E770" s="17"/>
      <c r="F770" s="78"/>
      <c r="G770" s="78"/>
      <c r="H770" s="78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7.25" customHeight="1">
      <c r="A771" s="17"/>
      <c r="B771" s="17"/>
      <c r="C771" s="17"/>
      <c r="D771" s="17"/>
      <c r="E771" s="17"/>
      <c r="F771" s="78"/>
      <c r="G771" s="78"/>
      <c r="H771" s="78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7.25" customHeight="1">
      <c r="A772" s="17"/>
      <c r="B772" s="17"/>
      <c r="C772" s="17"/>
      <c r="D772" s="17"/>
      <c r="E772" s="17"/>
      <c r="F772" s="78"/>
      <c r="G772" s="78"/>
      <c r="H772" s="78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7.25" customHeight="1">
      <c r="A773" s="17"/>
      <c r="B773" s="17"/>
      <c r="C773" s="17"/>
      <c r="D773" s="17"/>
      <c r="E773" s="17"/>
      <c r="F773" s="78"/>
      <c r="G773" s="78"/>
      <c r="H773" s="78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7.25" customHeight="1">
      <c r="A774" s="17"/>
      <c r="B774" s="17"/>
      <c r="C774" s="17"/>
      <c r="D774" s="17"/>
      <c r="E774" s="17"/>
      <c r="F774" s="78"/>
      <c r="G774" s="78"/>
      <c r="H774" s="78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7.25" customHeight="1">
      <c r="A775" s="17"/>
      <c r="B775" s="17"/>
      <c r="C775" s="17"/>
      <c r="D775" s="17"/>
      <c r="E775" s="17"/>
      <c r="F775" s="78"/>
      <c r="G775" s="78"/>
      <c r="H775" s="78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7.25" customHeight="1">
      <c r="A776" s="17"/>
      <c r="B776" s="17"/>
      <c r="C776" s="17"/>
      <c r="D776" s="17"/>
      <c r="E776" s="17"/>
      <c r="F776" s="78"/>
      <c r="G776" s="78"/>
      <c r="H776" s="78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7.25" customHeight="1">
      <c r="A777" s="17"/>
      <c r="B777" s="17"/>
      <c r="C777" s="17"/>
      <c r="D777" s="17"/>
      <c r="E777" s="17"/>
      <c r="F777" s="78"/>
      <c r="G777" s="78"/>
      <c r="H777" s="78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7.25" customHeight="1">
      <c r="A778" s="17"/>
      <c r="B778" s="17"/>
      <c r="C778" s="17"/>
      <c r="D778" s="17"/>
      <c r="E778" s="17"/>
      <c r="F778" s="78"/>
      <c r="G778" s="78"/>
      <c r="H778" s="78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7.25" customHeight="1">
      <c r="A779" s="17"/>
      <c r="B779" s="17"/>
      <c r="C779" s="17"/>
      <c r="D779" s="17"/>
      <c r="E779" s="17"/>
      <c r="F779" s="78"/>
      <c r="G779" s="78"/>
      <c r="H779" s="78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7.25" customHeight="1">
      <c r="A780" s="17"/>
      <c r="B780" s="17"/>
      <c r="C780" s="17"/>
      <c r="D780" s="17"/>
      <c r="E780" s="17"/>
      <c r="F780" s="78"/>
      <c r="G780" s="78"/>
      <c r="H780" s="78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7.25" customHeight="1">
      <c r="A781" s="17"/>
      <c r="B781" s="17"/>
      <c r="C781" s="17"/>
      <c r="D781" s="17"/>
      <c r="E781" s="17"/>
      <c r="F781" s="78"/>
      <c r="G781" s="78"/>
      <c r="H781" s="78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7.25" customHeight="1">
      <c r="A782" s="17"/>
      <c r="B782" s="17"/>
      <c r="C782" s="17"/>
      <c r="D782" s="17"/>
      <c r="E782" s="17"/>
      <c r="F782" s="78"/>
      <c r="G782" s="78"/>
      <c r="H782" s="78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7.25" customHeight="1">
      <c r="A783" s="17"/>
      <c r="B783" s="17"/>
      <c r="C783" s="17"/>
      <c r="D783" s="17"/>
      <c r="E783" s="17"/>
      <c r="F783" s="78"/>
      <c r="G783" s="78"/>
      <c r="H783" s="78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7.25" customHeight="1">
      <c r="A784" s="17"/>
      <c r="B784" s="17"/>
      <c r="C784" s="17"/>
      <c r="D784" s="17"/>
      <c r="E784" s="17"/>
      <c r="F784" s="78"/>
      <c r="G784" s="78"/>
      <c r="H784" s="78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7.25" customHeight="1">
      <c r="A785" s="17"/>
      <c r="B785" s="17"/>
      <c r="C785" s="17"/>
      <c r="D785" s="17"/>
      <c r="E785" s="17"/>
      <c r="F785" s="78"/>
      <c r="G785" s="78"/>
      <c r="H785" s="78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7.25" customHeight="1">
      <c r="A786" s="17"/>
      <c r="B786" s="17"/>
      <c r="C786" s="17"/>
      <c r="D786" s="17"/>
      <c r="E786" s="17"/>
      <c r="F786" s="78"/>
      <c r="G786" s="78"/>
      <c r="H786" s="78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7.25" customHeight="1">
      <c r="A787" s="17"/>
      <c r="B787" s="17"/>
      <c r="C787" s="17"/>
      <c r="D787" s="17"/>
      <c r="E787" s="17"/>
      <c r="F787" s="78"/>
      <c r="G787" s="78"/>
      <c r="H787" s="78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7.25" customHeight="1">
      <c r="A788" s="17"/>
      <c r="B788" s="17"/>
      <c r="C788" s="17"/>
      <c r="D788" s="17"/>
      <c r="E788" s="17"/>
      <c r="F788" s="78"/>
      <c r="G788" s="78"/>
      <c r="H788" s="78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7.25" customHeight="1">
      <c r="A789" s="17"/>
      <c r="B789" s="17"/>
      <c r="C789" s="17"/>
      <c r="D789" s="17"/>
      <c r="E789" s="17"/>
      <c r="F789" s="78"/>
      <c r="G789" s="78"/>
      <c r="H789" s="78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7.25" customHeight="1">
      <c r="A790" s="17"/>
      <c r="B790" s="17"/>
      <c r="C790" s="17"/>
      <c r="D790" s="17"/>
      <c r="E790" s="17"/>
      <c r="F790" s="78"/>
      <c r="G790" s="78"/>
      <c r="H790" s="78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7.25" customHeight="1">
      <c r="A791" s="17"/>
      <c r="B791" s="17"/>
      <c r="C791" s="17"/>
      <c r="D791" s="17"/>
      <c r="E791" s="17"/>
      <c r="F791" s="78"/>
      <c r="G791" s="78"/>
      <c r="H791" s="78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7.25" customHeight="1">
      <c r="A792" s="17"/>
      <c r="B792" s="17"/>
      <c r="C792" s="17"/>
      <c r="D792" s="17"/>
      <c r="E792" s="17"/>
      <c r="F792" s="78"/>
      <c r="G792" s="78"/>
      <c r="H792" s="78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7.25" customHeight="1">
      <c r="A793" s="17"/>
      <c r="B793" s="17"/>
      <c r="C793" s="17"/>
      <c r="D793" s="17"/>
      <c r="E793" s="17"/>
      <c r="F793" s="78"/>
      <c r="G793" s="78"/>
      <c r="H793" s="78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7.25" customHeight="1">
      <c r="A794" s="17"/>
      <c r="B794" s="17"/>
      <c r="C794" s="17"/>
      <c r="D794" s="17"/>
      <c r="E794" s="17"/>
      <c r="F794" s="78"/>
      <c r="G794" s="78"/>
      <c r="H794" s="78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7.25" customHeight="1">
      <c r="A795" s="17"/>
      <c r="B795" s="17"/>
      <c r="C795" s="17"/>
      <c r="D795" s="17"/>
      <c r="E795" s="17"/>
      <c r="F795" s="78"/>
      <c r="G795" s="78"/>
      <c r="H795" s="78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7.25" customHeight="1">
      <c r="A796" s="17"/>
      <c r="B796" s="17"/>
      <c r="C796" s="17"/>
      <c r="D796" s="17"/>
      <c r="E796" s="17"/>
      <c r="F796" s="78"/>
      <c r="G796" s="78"/>
      <c r="H796" s="78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7.25" customHeight="1">
      <c r="A797" s="17"/>
      <c r="B797" s="17"/>
      <c r="C797" s="17"/>
      <c r="D797" s="17"/>
      <c r="E797" s="17"/>
      <c r="F797" s="78"/>
      <c r="G797" s="78"/>
      <c r="H797" s="78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7.25" customHeight="1">
      <c r="A798" s="17"/>
      <c r="B798" s="17"/>
      <c r="C798" s="17"/>
      <c r="D798" s="17"/>
      <c r="E798" s="17"/>
      <c r="F798" s="78"/>
      <c r="G798" s="78"/>
      <c r="H798" s="78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7.25" customHeight="1">
      <c r="A799" s="17"/>
      <c r="B799" s="17"/>
      <c r="C799" s="17"/>
      <c r="D799" s="17"/>
      <c r="E799" s="17"/>
      <c r="F799" s="78"/>
      <c r="G799" s="78"/>
      <c r="H799" s="78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7.25" customHeight="1">
      <c r="A800" s="17"/>
      <c r="B800" s="17"/>
      <c r="C800" s="17"/>
      <c r="D800" s="17"/>
      <c r="E800" s="17"/>
      <c r="F800" s="78"/>
      <c r="G800" s="78"/>
      <c r="H800" s="78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7.25" customHeight="1">
      <c r="A801" s="17"/>
      <c r="B801" s="17"/>
      <c r="C801" s="17"/>
      <c r="D801" s="17"/>
      <c r="E801" s="17"/>
      <c r="F801" s="78"/>
      <c r="G801" s="78"/>
      <c r="H801" s="78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7.25" customHeight="1">
      <c r="A802" s="17"/>
      <c r="B802" s="17"/>
      <c r="C802" s="17"/>
      <c r="D802" s="17"/>
      <c r="E802" s="17"/>
      <c r="F802" s="78"/>
      <c r="G802" s="78"/>
      <c r="H802" s="78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7.25" customHeight="1">
      <c r="A803" s="17"/>
      <c r="B803" s="17"/>
      <c r="C803" s="17"/>
      <c r="D803" s="17"/>
      <c r="E803" s="17"/>
      <c r="F803" s="78"/>
      <c r="G803" s="78"/>
      <c r="H803" s="78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7.25" customHeight="1">
      <c r="A804" s="17"/>
      <c r="B804" s="17"/>
      <c r="C804" s="17"/>
      <c r="D804" s="17"/>
      <c r="E804" s="17"/>
      <c r="F804" s="78"/>
      <c r="G804" s="78"/>
      <c r="H804" s="78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7.25" customHeight="1">
      <c r="A805" s="17"/>
      <c r="B805" s="17"/>
      <c r="C805" s="17"/>
      <c r="D805" s="17"/>
      <c r="E805" s="17"/>
      <c r="F805" s="78"/>
      <c r="G805" s="78"/>
      <c r="H805" s="78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7.25" customHeight="1">
      <c r="A806" s="17"/>
      <c r="B806" s="17"/>
      <c r="C806" s="17"/>
      <c r="D806" s="17"/>
      <c r="E806" s="17"/>
      <c r="F806" s="78"/>
      <c r="G806" s="78"/>
      <c r="H806" s="78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7.25" customHeight="1">
      <c r="A807" s="17"/>
      <c r="B807" s="17"/>
      <c r="C807" s="17"/>
      <c r="D807" s="17"/>
      <c r="E807" s="17"/>
      <c r="F807" s="78"/>
      <c r="G807" s="78"/>
      <c r="H807" s="78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7.25" customHeight="1">
      <c r="A808" s="17"/>
      <c r="B808" s="17"/>
      <c r="C808" s="17"/>
      <c r="D808" s="17"/>
      <c r="E808" s="17"/>
      <c r="F808" s="78"/>
      <c r="G808" s="78"/>
      <c r="H808" s="78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7.25" customHeight="1">
      <c r="A809" s="17"/>
      <c r="B809" s="17"/>
      <c r="C809" s="17"/>
      <c r="D809" s="17"/>
      <c r="E809" s="17"/>
      <c r="F809" s="78"/>
      <c r="G809" s="78"/>
      <c r="H809" s="78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7.25" customHeight="1">
      <c r="A810" s="17"/>
      <c r="B810" s="17"/>
      <c r="C810" s="17"/>
      <c r="D810" s="17"/>
      <c r="E810" s="17"/>
      <c r="F810" s="78"/>
      <c r="G810" s="78"/>
      <c r="H810" s="78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7.25" customHeight="1">
      <c r="A811" s="17"/>
      <c r="B811" s="17"/>
      <c r="C811" s="17"/>
      <c r="D811" s="17"/>
      <c r="E811" s="17"/>
      <c r="F811" s="78"/>
      <c r="G811" s="78"/>
      <c r="H811" s="78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7.25" customHeight="1">
      <c r="A812" s="17"/>
      <c r="B812" s="17"/>
      <c r="C812" s="17"/>
      <c r="D812" s="17"/>
      <c r="E812" s="17"/>
      <c r="F812" s="78"/>
      <c r="G812" s="78"/>
      <c r="H812" s="78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7.25" customHeight="1">
      <c r="A813" s="17"/>
      <c r="B813" s="17"/>
      <c r="C813" s="17"/>
      <c r="D813" s="17"/>
      <c r="E813" s="17"/>
      <c r="F813" s="78"/>
      <c r="G813" s="78"/>
      <c r="H813" s="78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7.25" customHeight="1">
      <c r="A814" s="17"/>
      <c r="B814" s="17"/>
      <c r="C814" s="17"/>
      <c r="D814" s="17"/>
      <c r="E814" s="17"/>
      <c r="F814" s="78"/>
      <c r="G814" s="78"/>
      <c r="H814" s="78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7.25" customHeight="1">
      <c r="A815" s="17"/>
      <c r="B815" s="17"/>
      <c r="C815" s="17"/>
      <c r="D815" s="17"/>
      <c r="E815" s="17"/>
      <c r="F815" s="78"/>
      <c r="G815" s="78"/>
      <c r="H815" s="78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7.25" customHeight="1">
      <c r="A816" s="17"/>
      <c r="B816" s="17"/>
      <c r="C816" s="17"/>
      <c r="D816" s="17"/>
      <c r="E816" s="17"/>
      <c r="F816" s="78"/>
      <c r="G816" s="78"/>
      <c r="H816" s="78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7.25" customHeight="1">
      <c r="A817" s="17"/>
      <c r="B817" s="17"/>
      <c r="C817" s="17"/>
      <c r="D817" s="17"/>
      <c r="E817" s="17"/>
      <c r="F817" s="78"/>
      <c r="G817" s="78"/>
      <c r="H817" s="78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7.25" customHeight="1">
      <c r="A818" s="17"/>
      <c r="B818" s="17"/>
      <c r="C818" s="17"/>
      <c r="D818" s="17"/>
      <c r="E818" s="17"/>
      <c r="F818" s="78"/>
      <c r="G818" s="78"/>
      <c r="H818" s="78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7.25" customHeight="1">
      <c r="A819" s="17"/>
      <c r="B819" s="17"/>
      <c r="C819" s="17"/>
      <c r="D819" s="17"/>
      <c r="E819" s="17"/>
      <c r="F819" s="78"/>
      <c r="G819" s="78"/>
      <c r="H819" s="78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7.25" customHeight="1">
      <c r="A820" s="17"/>
      <c r="B820" s="17"/>
      <c r="C820" s="17"/>
      <c r="D820" s="17"/>
      <c r="E820" s="17"/>
      <c r="F820" s="78"/>
      <c r="G820" s="78"/>
      <c r="H820" s="78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7.25" customHeight="1">
      <c r="A821" s="17"/>
      <c r="B821" s="17"/>
      <c r="C821" s="17"/>
      <c r="D821" s="17"/>
      <c r="E821" s="17"/>
      <c r="F821" s="78"/>
      <c r="G821" s="78"/>
      <c r="H821" s="78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7.25" customHeight="1">
      <c r="A822" s="17"/>
      <c r="B822" s="17"/>
      <c r="C822" s="17"/>
      <c r="D822" s="17"/>
      <c r="E822" s="17"/>
      <c r="F822" s="78"/>
      <c r="G822" s="78"/>
      <c r="H822" s="78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7.25" customHeight="1">
      <c r="A823" s="17"/>
      <c r="B823" s="17"/>
      <c r="C823" s="17"/>
      <c r="D823" s="17"/>
      <c r="E823" s="17"/>
      <c r="F823" s="78"/>
      <c r="G823" s="78"/>
      <c r="H823" s="78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7.25" customHeight="1">
      <c r="A824" s="17"/>
      <c r="B824" s="17"/>
      <c r="C824" s="17"/>
      <c r="D824" s="17"/>
      <c r="E824" s="17"/>
      <c r="F824" s="78"/>
      <c r="G824" s="78"/>
      <c r="H824" s="78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7.25" customHeight="1">
      <c r="A825" s="17"/>
      <c r="B825" s="17"/>
      <c r="C825" s="17"/>
      <c r="D825" s="17"/>
      <c r="E825" s="17"/>
      <c r="F825" s="78"/>
      <c r="G825" s="78"/>
      <c r="H825" s="78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7.25" customHeight="1">
      <c r="A826" s="17"/>
      <c r="B826" s="17"/>
      <c r="C826" s="17"/>
      <c r="D826" s="17"/>
      <c r="E826" s="17"/>
      <c r="F826" s="78"/>
      <c r="G826" s="78"/>
      <c r="H826" s="78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7.25" customHeight="1">
      <c r="A827" s="17"/>
      <c r="B827" s="17"/>
      <c r="C827" s="17"/>
      <c r="D827" s="17"/>
      <c r="E827" s="17"/>
      <c r="F827" s="78"/>
      <c r="G827" s="78"/>
      <c r="H827" s="78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7.25" customHeight="1">
      <c r="A828" s="17"/>
      <c r="B828" s="17"/>
      <c r="C828" s="17"/>
      <c r="D828" s="17"/>
      <c r="E828" s="17"/>
      <c r="F828" s="78"/>
      <c r="G828" s="78"/>
      <c r="H828" s="78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7.25" customHeight="1">
      <c r="A829" s="17"/>
      <c r="B829" s="17"/>
      <c r="C829" s="17"/>
      <c r="D829" s="17"/>
      <c r="E829" s="17"/>
      <c r="F829" s="78"/>
      <c r="G829" s="78"/>
      <c r="H829" s="78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7.25" customHeight="1">
      <c r="A830" s="17"/>
      <c r="B830" s="17"/>
      <c r="C830" s="17"/>
      <c r="D830" s="17"/>
      <c r="E830" s="17"/>
      <c r="F830" s="78"/>
      <c r="G830" s="78"/>
      <c r="H830" s="78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7.25" customHeight="1">
      <c r="A831" s="17"/>
      <c r="B831" s="17"/>
      <c r="C831" s="17"/>
      <c r="D831" s="17"/>
      <c r="E831" s="17"/>
      <c r="F831" s="78"/>
      <c r="G831" s="78"/>
      <c r="H831" s="78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7.25" customHeight="1">
      <c r="A832" s="17"/>
      <c r="B832" s="17"/>
      <c r="C832" s="17"/>
      <c r="D832" s="17"/>
      <c r="E832" s="17"/>
      <c r="F832" s="78"/>
      <c r="G832" s="78"/>
      <c r="H832" s="78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7.25" customHeight="1">
      <c r="A833" s="17"/>
      <c r="B833" s="17"/>
      <c r="C833" s="17"/>
      <c r="D833" s="17"/>
      <c r="E833" s="17"/>
      <c r="F833" s="78"/>
      <c r="G833" s="78"/>
      <c r="H833" s="78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7.25" customHeight="1">
      <c r="A834" s="17"/>
      <c r="B834" s="17"/>
      <c r="C834" s="17"/>
      <c r="D834" s="17"/>
      <c r="E834" s="17"/>
      <c r="F834" s="78"/>
      <c r="G834" s="78"/>
      <c r="H834" s="78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7.25" customHeight="1">
      <c r="A835" s="17"/>
      <c r="B835" s="17"/>
      <c r="C835" s="17"/>
      <c r="D835" s="17"/>
      <c r="E835" s="17"/>
      <c r="F835" s="78"/>
      <c r="G835" s="78"/>
      <c r="H835" s="78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7.25" customHeight="1">
      <c r="A836" s="17"/>
      <c r="B836" s="17"/>
      <c r="C836" s="17"/>
      <c r="D836" s="17"/>
      <c r="E836" s="17"/>
      <c r="F836" s="78"/>
      <c r="G836" s="78"/>
      <c r="H836" s="78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7.25" customHeight="1">
      <c r="A837" s="17"/>
      <c r="B837" s="17"/>
      <c r="C837" s="17"/>
      <c r="D837" s="17"/>
      <c r="E837" s="17"/>
      <c r="F837" s="78"/>
      <c r="G837" s="78"/>
      <c r="H837" s="78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7.25" customHeight="1">
      <c r="A838" s="17"/>
      <c r="B838" s="17"/>
      <c r="C838" s="17"/>
      <c r="D838" s="17"/>
      <c r="E838" s="17"/>
      <c r="F838" s="78"/>
      <c r="G838" s="78"/>
      <c r="H838" s="78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7.25" customHeight="1">
      <c r="A839" s="17"/>
      <c r="B839" s="17"/>
      <c r="C839" s="17"/>
      <c r="D839" s="17"/>
      <c r="E839" s="17"/>
      <c r="F839" s="78"/>
      <c r="G839" s="78"/>
      <c r="H839" s="78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7.25" customHeight="1">
      <c r="A840" s="17"/>
      <c r="B840" s="17"/>
      <c r="C840" s="17"/>
      <c r="D840" s="17"/>
      <c r="E840" s="17"/>
      <c r="F840" s="78"/>
      <c r="G840" s="78"/>
      <c r="H840" s="78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7.25" customHeight="1">
      <c r="A841" s="17"/>
      <c r="B841" s="17"/>
      <c r="C841" s="17"/>
      <c r="D841" s="17"/>
      <c r="E841" s="17"/>
      <c r="F841" s="78"/>
      <c r="G841" s="78"/>
      <c r="H841" s="78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7.25" customHeight="1">
      <c r="A842" s="17"/>
      <c r="B842" s="17"/>
      <c r="C842" s="17"/>
      <c r="D842" s="17"/>
      <c r="E842" s="17"/>
      <c r="F842" s="78"/>
      <c r="G842" s="78"/>
      <c r="H842" s="78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7.25" customHeight="1">
      <c r="A843" s="17"/>
      <c r="B843" s="17"/>
      <c r="C843" s="17"/>
      <c r="D843" s="17"/>
      <c r="E843" s="17"/>
      <c r="F843" s="78"/>
      <c r="G843" s="78"/>
      <c r="H843" s="78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7.25" customHeight="1">
      <c r="A844" s="17"/>
      <c r="B844" s="17"/>
      <c r="C844" s="17"/>
      <c r="D844" s="17"/>
      <c r="E844" s="17"/>
      <c r="F844" s="78"/>
      <c r="G844" s="78"/>
      <c r="H844" s="78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7.25" customHeight="1">
      <c r="A845" s="17"/>
      <c r="B845" s="17"/>
      <c r="C845" s="17"/>
      <c r="D845" s="17"/>
      <c r="E845" s="17"/>
      <c r="F845" s="78"/>
      <c r="G845" s="78"/>
      <c r="H845" s="78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7.25" customHeight="1">
      <c r="A846" s="17"/>
      <c r="B846" s="17"/>
      <c r="C846" s="17"/>
      <c r="D846" s="17"/>
      <c r="E846" s="17"/>
      <c r="F846" s="78"/>
      <c r="G846" s="78"/>
      <c r="H846" s="78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7.25" customHeight="1">
      <c r="A847" s="17"/>
      <c r="B847" s="17"/>
      <c r="C847" s="17"/>
      <c r="D847" s="17"/>
      <c r="E847" s="17"/>
      <c r="F847" s="78"/>
      <c r="G847" s="78"/>
      <c r="H847" s="78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7.25" customHeight="1">
      <c r="A848" s="17"/>
      <c r="B848" s="17"/>
      <c r="C848" s="17"/>
      <c r="D848" s="17"/>
      <c r="E848" s="17"/>
      <c r="F848" s="78"/>
      <c r="G848" s="78"/>
      <c r="H848" s="78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7.25" customHeight="1">
      <c r="A849" s="17"/>
      <c r="B849" s="17"/>
      <c r="C849" s="17"/>
      <c r="D849" s="17"/>
      <c r="E849" s="17"/>
      <c r="F849" s="78"/>
      <c r="G849" s="78"/>
      <c r="H849" s="78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7.25" customHeight="1">
      <c r="A850" s="17"/>
      <c r="B850" s="17"/>
      <c r="C850" s="17"/>
      <c r="D850" s="17"/>
      <c r="E850" s="17"/>
      <c r="F850" s="78"/>
      <c r="G850" s="78"/>
      <c r="H850" s="78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7.25" customHeight="1">
      <c r="A851" s="17"/>
      <c r="B851" s="17"/>
      <c r="C851" s="17"/>
      <c r="D851" s="17"/>
      <c r="E851" s="17"/>
      <c r="F851" s="78"/>
      <c r="G851" s="78"/>
      <c r="H851" s="78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7.25" customHeight="1">
      <c r="A852" s="17"/>
      <c r="B852" s="17"/>
      <c r="C852" s="17"/>
      <c r="D852" s="17"/>
      <c r="E852" s="17"/>
      <c r="F852" s="78"/>
      <c r="G852" s="78"/>
      <c r="H852" s="78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7.25" customHeight="1">
      <c r="A853" s="17"/>
      <c r="B853" s="17"/>
      <c r="C853" s="17"/>
      <c r="D853" s="17"/>
      <c r="E853" s="17"/>
      <c r="F853" s="78"/>
      <c r="G853" s="78"/>
      <c r="H853" s="78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7.25" customHeight="1">
      <c r="A854" s="17"/>
      <c r="B854" s="17"/>
      <c r="C854" s="17"/>
      <c r="D854" s="17"/>
      <c r="E854" s="17"/>
      <c r="F854" s="78"/>
      <c r="G854" s="78"/>
      <c r="H854" s="78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7.25" customHeight="1">
      <c r="A855" s="17"/>
      <c r="B855" s="17"/>
      <c r="C855" s="17"/>
      <c r="D855" s="17"/>
      <c r="E855" s="17"/>
      <c r="F855" s="78"/>
      <c r="G855" s="78"/>
      <c r="H855" s="78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7.25" customHeight="1">
      <c r="A856" s="17"/>
      <c r="B856" s="17"/>
      <c r="C856" s="17"/>
      <c r="D856" s="17"/>
      <c r="E856" s="17"/>
      <c r="F856" s="78"/>
      <c r="G856" s="78"/>
      <c r="H856" s="78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7.25" customHeight="1">
      <c r="A857" s="17"/>
      <c r="B857" s="17"/>
      <c r="C857" s="17"/>
      <c r="D857" s="17"/>
      <c r="E857" s="17"/>
      <c r="F857" s="78"/>
      <c r="G857" s="78"/>
      <c r="H857" s="78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7.25" customHeight="1">
      <c r="A858" s="17"/>
      <c r="B858" s="17"/>
      <c r="C858" s="17"/>
      <c r="D858" s="17"/>
      <c r="E858" s="17"/>
      <c r="F858" s="78"/>
      <c r="G858" s="78"/>
      <c r="H858" s="78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7.25" customHeight="1">
      <c r="A859" s="17"/>
      <c r="B859" s="17"/>
      <c r="C859" s="17"/>
      <c r="D859" s="17"/>
      <c r="E859" s="17"/>
      <c r="F859" s="78"/>
      <c r="G859" s="78"/>
      <c r="H859" s="78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7.25" customHeight="1">
      <c r="A860" s="17"/>
      <c r="B860" s="17"/>
      <c r="C860" s="17"/>
      <c r="D860" s="17"/>
      <c r="E860" s="17"/>
      <c r="F860" s="78"/>
      <c r="G860" s="78"/>
      <c r="H860" s="78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7.25" customHeight="1">
      <c r="A861" s="17"/>
      <c r="B861" s="17"/>
      <c r="C861" s="17"/>
      <c r="D861" s="17"/>
      <c r="E861" s="17"/>
      <c r="F861" s="78"/>
      <c r="G861" s="78"/>
      <c r="H861" s="78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7.25" customHeight="1">
      <c r="A862" s="17"/>
      <c r="B862" s="17"/>
      <c r="C862" s="17"/>
      <c r="D862" s="17"/>
      <c r="E862" s="17"/>
      <c r="F862" s="78"/>
      <c r="G862" s="78"/>
      <c r="H862" s="78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7.25" customHeight="1">
      <c r="A863" s="17"/>
      <c r="B863" s="17"/>
      <c r="C863" s="17"/>
      <c r="D863" s="17"/>
      <c r="E863" s="17"/>
      <c r="F863" s="78"/>
      <c r="G863" s="78"/>
      <c r="H863" s="78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7.25" customHeight="1">
      <c r="A864" s="17"/>
      <c r="B864" s="17"/>
      <c r="C864" s="17"/>
      <c r="D864" s="17"/>
      <c r="E864" s="17"/>
      <c r="F864" s="78"/>
      <c r="G864" s="78"/>
      <c r="H864" s="78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7.25" customHeight="1">
      <c r="A865" s="17"/>
      <c r="B865" s="17"/>
      <c r="C865" s="17"/>
      <c r="D865" s="17"/>
      <c r="E865" s="17"/>
      <c r="F865" s="78"/>
      <c r="G865" s="78"/>
      <c r="H865" s="78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7.25" customHeight="1">
      <c r="A866" s="17"/>
      <c r="B866" s="17"/>
      <c r="C866" s="17"/>
      <c r="D866" s="17"/>
      <c r="E866" s="17"/>
      <c r="F866" s="78"/>
      <c r="G866" s="78"/>
      <c r="H866" s="78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7.25" customHeight="1">
      <c r="A867" s="17"/>
      <c r="B867" s="17"/>
      <c r="C867" s="17"/>
      <c r="D867" s="17"/>
      <c r="E867" s="17"/>
      <c r="F867" s="78"/>
      <c r="G867" s="78"/>
      <c r="H867" s="78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7.25" customHeight="1">
      <c r="A868" s="17"/>
      <c r="B868" s="17"/>
      <c r="C868" s="17"/>
      <c r="D868" s="17"/>
      <c r="E868" s="17"/>
      <c r="F868" s="78"/>
      <c r="G868" s="78"/>
      <c r="H868" s="78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7.25" customHeight="1">
      <c r="A869" s="17"/>
      <c r="B869" s="17"/>
      <c r="C869" s="17"/>
      <c r="D869" s="17"/>
      <c r="E869" s="17"/>
      <c r="F869" s="78"/>
      <c r="G869" s="78"/>
      <c r="H869" s="78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7.25" customHeight="1">
      <c r="A870" s="17"/>
      <c r="B870" s="17"/>
      <c r="C870" s="17"/>
      <c r="D870" s="17"/>
      <c r="E870" s="17"/>
      <c r="F870" s="78"/>
      <c r="G870" s="78"/>
      <c r="H870" s="78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7.25" customHeight="1">
      <c r="A871" s="17"/>
      <c r="B871" s="17"/>
      <c r="C871" s="17"/>
      <c r="D871" s="17"/>
      <c r="E871" s="17"/>
      <c r="F871" s="78"/>
      <c r="G871" s="78"/>
      <c r="H871" s="78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7.25" customHeight="1">
      <c r="A872" s="17"/>
      <c r="B872" s="17"/>
      <c r="C872" s="17"/>
      <c r="D872" s="17"/>
      <c r="E872" s="17"/>
      <c r="F872" s="78"/>
      <c r="G872" s="78"/>
      <c r="H872" s="78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7.25" customHeight="1">
      <c r="A873" s="17"/>
      <c r="B873" s="17"/>
      <c r="C873" s="17"/>
      <c r="D873" s="17"/>
      <c r="E873" s="17"/>
      <c r="F873" s="78"/>
      <c r="G873" s="78"/>
      <c r="H873" s="78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7.25" customHeight="1">
      <c r="A874" s="17"/>
      <c r="B874" s="17"/>
      <c r="C874" s="17"/>
      <c r="D874" s="17"/>
      <c r="E874" s="17"/>
      <c r="F874" s="78"/>
      <c r="G874" s="78"/>
      <c r="H874" s="78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7.25" customHeight="1">
      <c r="A875" s="17"/>
      <c r="B875" s="17"/>
      <c r="C875" s="17"/>
      <c r="D875" s="17"/>
      <c r="E875" s="17"/>
      <c r="F875" s="78"/>
      <c r="G875" s="78"/>
      <c r="H875" s="78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7.25" customHeight="1">
      <c r="A876" s="17"/>
      <c r="B876" s="17"/>
      <c r="C876" s="17"/>
      <c r="D876" s="17"/>
      <c r="E876" s="17"/>
      <c r="F876" s="78"/>
      <c r="G876" s="78"/>
      <c r="H876" s="78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7.25" customHeight="1">
      <c r="A877" s="17"/>
      <c r="B877" s="17"/>
      <c r="C877" s="17"/>
      <c r="D877" s="17"/>
      <c r="E877" s="17"/>
      <c r="F877" s="78"/>
      <c r="G877" s="78"/>
      <c r="H877" s="78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7.25" customHeight="1">
      <c r="A878" s="17"/>
      <c r="B878" s="17"/>
      <c r="C878" s="17"/>
      <c r="D878" s="17"/>
      <c r="E878" s="17"/>
      <c r="F878" s="78"/>
      <c r="G878" s="78"/>
      <c r="H878" s="78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7.25" customHeight="1">
      <c r="A879" s="17"/>
      <c r="B879" s="17"/>
      <c r="C879" s="17"/>
      <c r="D879" s="17"/>
      <c r="E879" s="17"/>
      <c r="F879" s="78"/>
      <c r="G879" s="78"/>
      <c r="H879" s="78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7.25" customHeight="1">
      <c r="A880" s="17"/>
      <c r="B880" s="17"/>
      <c r="C880" s="17"/>
      <c r="D880" s="17"/>
      <c r="E880" s="17"/>
      <c r="F880" s="78"/>
      <c r="G880" s="78"/>
      <c r="H880" s="78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7.25" customHeight="1">
      <c r="A881" s="17"/>
      <c r="B881" s="17"/>
      <c r="C881" s="17"/>
      <c r="D881" s="17"/>
      <c r="E881" s="17"/>
      <c r="F881" s="78"/>
      <c r="G881" s="78"/>
      <c r="H881" s="78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7.25" customHeight="1">
      <c r="A882" s="17"/>
      <c r="B882" s="17"/>
      <c r="C882" s="17"/>
      <c r="D882" s="17"/>
      <c r="E882" s="17"/>
      <c r="F882" s="78"/>
      <c r="G882" s="78"/>
      <c r="H882" s="78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7.25" customHeight="1">
      <c r="A883" s="17"/>
      <c r="B883" s="17"/>
      <c r="C883" s="17"/>
      <c r="D883" s="17"/>
      <c r="E883" s="17"/>
      <c r="F883" s="78"/>
      <c r="G883" s="78"/>
      <c r="H883" s="78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7.25" customHeight="1">
      <c r="A884" s="17"/>
      <c r="B884" s="17"/>
      <c r="C884" s="17"/>
      <c r="D884" s="17"/>
      <c r="E884" s="17"/>
      <c r="F884" s="78"/>
      <c r="G884" s="78"/>
      <c r="H884" s="78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7.25" customHeight="1">
      <c r="A885" s="17"/>
      <c r="B885" s="17"/>
      <c r="C885" s="17"/>
      <c r="D885" s="17"/>
      <c r="E885" s="17"/>
      <c r="F885" s="78"/>
      <c r="G885" s="78"/>
      <c r="H885" s="78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7.25" customHeight="1">
      <c r="A886" s="17"/>
      <c r="B886" s="17"/>
      <c r="C886" s="17"/>
      <c r="D886" s="17"/>
      <c r="E886" s="17"/>
      <c r="F886" s="78"/>
      <c r="G886" s="78"/>
      <c r="H886" s="78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7.25" customHeight="1">
      <c r="A887" s="17"/>
      <c r="B887" s="17"/>
      <c r="C887" s="17"/>
      <c r="D887" s="17"/>
      <c r="E887" s="17"/>
      <c r="F887" s="78"/>
      <c r="G887" s="78"/>
      <c r="H887" s="78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7.25" customHeight="1">
      <c r="A888" s="17"/>
      <c r="B888" s="17"/>
      <c r="C888" s="17"/>
      <c r="D888" s="17"/>
      <c r="E888" s="17"/>
      <c r="F888" s="78"/>
      <c r="G888" s="78"/>
      <c r="H888" s="78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7.25" customHeight="1">
      <c r="A889" s="17"/>
      <c r="B889" s="17"/>
      <c r="C889" s="17"/>
      <c r="D889" s="17"/>
      <c r="E889" s="17"/>
      <c r="F889" s="78"/>
      <c r="G889" s="78"/>
      <c r="H889" s="78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7.25" customHeight="1">
      <c r="A890" s="17"/>
      <c r="B890" s="17"/>
      <c r="C890" s="17"/>
      <c r="D890" s="17"/>
      <c r="E890" s="17"/>
      <c r="F890" s="78"/>
      <c r="G890" s="78"/>
      <c r="H890" s="78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7.25" customHeight="1">
      <c r="A891" s="17"/>
      <c r="B891" s="17"/>
      <c r="C891" s="17"/>
      <c r="D891" s="17"/>
      <c r="E891" s="17"/>
      <c r="F891" s="78"/>
      <c r="G891" s="78"/>
      <c r="H891" s="78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7.25" customHeight="1">
      <c r="A892" s="17"/>
      <c r="B892" s="17"/>
      <c r="C892" s="17"/>
      <c r="D892" s="17"/>
      <c r="E892" s="17"/>
      <c r="F892" s="78"/>
      <c r="G892" s="78"/>
      <c r="H892" s="78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7.25" customHeight="1">
      <c r="A893" s="17"/>
      <c r="B893" s="17"/>
      <c r="C893" s="17"/>
      <c r="D893" s="17"/>
      <c r="E893" s="17"/>
      <c r="F893" s="78"/>
      <c r="G893" s="78"/>
      <c r="H893" s="78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7.25" customHeight="1">
      <c r="A894" s="17"/>
      <c r="B894" s="17"/>
      <c r="C894" s="17"/>
      <c r="D894" s="17"/>
      <c r="E894" s="17"/>
      <c r="F894" s="78"/>
      <c r="G894" s="78"/>
      <c r="H894" s="78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7.25" customHeight="1">
      <c r="A895" s="17"/>
      <c r="B895" s="17"/>
      <c r="C895" s="17"/>
      <c r="D895" s="17"/>
      <c r="E895" s="17"/>
      <c r="F895" s="78"/>
      <c r="G895" s="78"/>
      <c r="H895" s="78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7.25" customHeight="1">
      <c r="A896" s="17"/>
      <c r="B896" s="17"/>
      <c r="C896" s="17"/>
      <c r="D896" s="17"/>
      <c r="E896" s="17"/>
      <c r="F896" s="78"/>
      <c r="G896" s="78"/>
      <c r="H896" s="78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7.25" customHeight="1">
      <c r="A897" s="17"/>
      <c r="B897" s="17"/>
      <c r="C897" s="17"/>
      <c r="D897" s="17"/>
      <c r="E897" s="17"/>
      <c r="F897" s="78"/>
      <c r="G897" s="78"/>
      <c r="H897" s="78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7.25" customHeight="1">
      <c r="A898" s="17"/>
      <c r="B898" s="17"/>
      <c r="C898" s="17"/>
      <c r="D898" s="17"/>
      <c r="E898" s="17"/>
      <c r="F898" s="78"/>
      <c r="G898" s="78"/>
      <c r="H898" s="78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7.25" customHeight="1">
      <c r="A899" s="17"/>
      <c r="B899" s="17"/>
      <c r="C899" s="17"/>
      <c r="D899" s="17"/>
      <c r="E899" s="17"/>
      <c r="F899" s="78"/>
      <c r="G899" s="78"/>
      <c r="H899" s="78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7.25" customHeight="1">
      <c r="A900" s="17"/>
      <c r="B900" s="17"/>
      <c r="C900" s="17"/>
      <c r="D900" s="17"/>
      <c r="E900" s="17"/>
      <c r="F900" s="78"/>
      <c r="G900" s="78"/>
      <c r="H900" s="78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7.25" customHeight="1">
      <c r="A901" s="17"/>
      <c r="B901" s="17"/>
      <c r="C901" s="17"/>
      <c r="D901" s="17"/>
      <c r="E901" s="17"/>
      <c r="F901" s="78"/>
      <c r="G901" s="78"/>
      <c r="H901" s="78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7.25" customHeight="1">
      <c r="A902" s="17"/>
      <c r="B902" s="17"/>
      <c r="C902" s="17"/>
      <c r="D902" s="17"/>
      <c r="E902" s="17"/>
      <c r="F902" s="78"/>
      <c r="G902" s="78"/>
      <c r="H902" s="78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7.25" customHeight="1">
      <c r="A903" s="17"/>
      <c r="B903" s="17"/>
      <c r="C903" s="17"/>
      <c r="D903" s="17"/>
      <c r="E903" s="17"/>
      <c r="F903" s="78"/>
      <c r="G903" s="78"/>
      <c r="H903" s="78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7.25" customHeight="1">
      <c r="A904" s="17"/>
      <c r="B904" s="17"/>
      <c r="C904" s="17"/>
      <c r="D904" s="17"/>
      <c r="E904" s="17"/>
      <c r="F904" s="78"/>
      <c r="G904" s="78"/>
      <c r="H904" s="78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7.25" customHeight="1">
      <c r="A905" s="17"/>
      <c r="B905" s="17"/>
      <c r="C905" s="17"/>
      <c r="D905" s="17"/>
      <c r="E905" s="17"/>
      <c r="F905" s="78"/>
      <c r="G905" s="78"/>
      <c r="H905" s="78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7.25" customHeight="1">
      <c r="A906" s="17"/>
      <c r="B906" s="17"/>
      <c r="C906" s="17"/>
      <c r="D906" s="17"/>
      <c r="E906" s="17"/>
      <c r="F906" s="78"/>
      <c r="G906" s="78"/>
      <c r="H906" s="78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7.25" customHeight="1">
      <c r="A907" s="17"/>
      <c r="B907" s="17"/>
      <c r="C907" s="17"/>
      <c r="D907" s="17"/>
      <c r="E907" s="17"/>
      <c r="F907" s="78"/>
      <c r="G907" s="78"/>
      <c r="H907" s="78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7.25" customHeight="1">
      <c r="A908" s="17"/>
      <c r="B908" s="17"/>
      <c r="C908" s="17"/>
      <c r="D908" s="17"/>
      <c r="E908" s="17"/>
      <c r="F908" s="78"/>
      <c r="G908" s="78"/>
      <c r="H908" s="78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7.25" customHeight="1">
      <c r="A909" s="17"/>
      <c r="B909" s="17"/>
      <c r="C909" s="17"/>
      <c r="D909" s="17"/>
      <c r="E909" s="17"/>
      <c r="F909" s="78"/>
      <c r="G909" s="78"/>
      <c r="H909" s="78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7.25" customHeight="1">
      <c r="A910" s="17"/>
      <c r="B910" s="17"/>
      <c r="C910" s="17"/>
      <c r="D910" s="17"/>
      <c r="E910" s="17"/>
      <c r="F910" s="78"/>
      <c r="G910" s="78"/>
      <c r="H910" s="78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7.25" customHeight="1">
      <c r="A911" s="17"/>
      <c r="B911" s="17"/>
      <c r="C911" s="17"/>
      <c r="D911" s="17"/>
      <c r="E911" s="17"/>
      <c r="F911" s="78"/>
      <c r="G911" s="78"/>
      <c r="H911" s="78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7.25" customHeight="1">
      <c r="A912" s="17"/>
      <c r="B912" s="17"/>
      <c r="C912" s="17"/>
      <c r="D912" s="17"/>
      <c r="E912" s="17"/>
      <c r="F912" s="78"/>
      <c r="G912" s="78"/>
      <c r="H912" s="78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7.25" customHeight="1">
      <c r="A913" s="17"/>
      <c r="B913" s="17"/>
      <c r="C913" s="17"/>
      <c r="D913" s="17"/>
      <c r="E913" s="17"/>
      <c r="F913" s="78"/>
      <c r="G913" s="78"/>
      <c r="H913" s="78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7.25" customHeight="1">
      <c r="A914" s="17"/>
      <c r="B914" s="17"/>
      <c r="C914" s="17"/>
      <c r="D914" s="17"/>
      <c r="E914" s="17"/>
      <c r="F914" s="78"/>
      <c r="G914" s="78"/>
      <c r="H914" s="78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7.25" customHeight="1">
      <c r="A915" s="17"/>
      <c r="B915" s="17"/>
      <c r="C915" s="17"/>
      <c r="D915" s="17"/>
      <c r="E915" s="17"/>
      <c r="F915" s="78"/>
      <c r="G915" s="78"/>
      <c r="H915" s="78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7.25" customHeight="1">
      <c r="A916" s="17"/>
      <c r="B916" s="17"/>
      <c r="C916" s="17"/>
      <c r="D916" s="17"/>
      <c r="E916" s="17"/>
      <c r="F916" s="78"/>
      <c r="G916" s="78"/>
      <c r="H916" s="78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7.25" customHeight="1">
      <c r="A917" s="17"/>
      <c r="B917" s="17"/>
      <c r="C917" s="17"/>
      <c r="D917" s="17"/>
      <c r="E917" s="17"/>
      <c r="F917" s="78"/>
      <c r="G917" s="78"/>
      <c r="H917" s="78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7.25" customHeight="1">
      <c r="A918" s="17"/>
      <c r="B918" s="17"/>
      <c r="C918" s="17"/>
      <c r="D918" s="17"/>
      <c r="E918" s="17"/>
      <c r="F918" s="78"/>
      <c r="G918" s="78"/>
      <c r="H918" s="78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7.25" customHeight="1">
      <c r="A919" s="17"/>
      <c r="B919" s="17"/>
      <c r="C919" s="17"/>
      <c r="D919" s="17"/>
      <c r="E919" s="17"/>
      <c r="F919" s="78"/>
      <c r="G919" s="78"/>
      <c r="H919" s="78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7.25" customHeight="1">
      <c r="A920" s="17"/>
      <c r="B920" s="17"/>
      <c r="C920" s="17"/>
      <c r="D920" s="17"/>
      <c r="E920" s="17"/>
      <c r="F920" s="78"/>
      <c r="G920" s="78"/>
      <c r="H920" s="78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7.25" customHeight="1">
      <c r="A921" s="17"/>
      <c r="B921" s="17"/>
      <c r="C921" s="17"/>
      <c r="D921" s="17"/>
      <c r="E921" s="17"/>
      <c r="F921" s="78"/>
      <c r="G921" s="78"/>
      <c r="H921" s="78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7.25" customHeight="1">
      <c r="A922" s="17"/>
      <c r="B922" s="17"/>
      <c r="C922" s="17"/>
      <c r="D922" s="17"/>
      <c r="E922" s="17"/>
      <c r="F922" s="78"/>
      <c r="G922" s="78"/>
      <c r="H922" s="78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7.25" customHeight="1">
      <c r="A923" s="17"/>
      <c r="B923" s="17"/>
      <c r="C923" s="17"/>
      <c r="D923" s="17"/>
      <c r="E923" s="17"/>
      <c r="F923" s="78"/>
      <c r="G923" s="78"/>
      <c r="H923" s="78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7.25" customHeight="1">
      <c r="A924" s="17"/>
      <c r="B924" s="17"/>
      <c r="C924" s="17"/>
      <c r="D924" s="17"/>
      <c r="E924" s="17"/>
      <c r="F924" s="78"/>
      <c r="G924" s="78"/>
      <c r="H924" s="78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7.25" customHeight="1">
      <c r="A925" s="17"/>
      <c r="B925" s="17"/>
      <c r="C925" s="17"/>
      <c r="D925" s="17"/>
      <c r="E925" s="17"/>
      <c r="F925" s="78"/>
      <c r="G925" s="78"/>
      <c r="H925" s="78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7.25" customHeight="1">
      <c r="A926" s="17"/>
      <c r="B926" s="17"/>
      <c r="C926" s="17"/>
      <c r="D926" s="17"/>
      <c r="E926" s="17"/>
      <c r="F926" s="78"/>
      <c r="G926" s="78"/>
      <c r="H926" s="78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7.25" customHeight="1">
      <c r="A927" s="17"/>
      <c r="B927" s="17"/>
      <c r="C927" s="17"/>
      <c r="D927" s="17"/>
      <c r="E927" s="17"/>
      <c r="F927" s="78"/>
      <c r="G927" s="78"/>
      <c r="H927" s="78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7.25" customHeight="1">
      <c r="A928" s="17"/>
      <c r="B928" s="17"/>
      <c r="C928" s="17"/>
      <c r="D928" s="17"/>
      <c r="E928" s="17"/>
      <c r="F928" s="78"/>
      <c r="G928" s="78"/>
      <c r="H928" s="78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7.25" customHeight="1">
      <c r="A929" s="17"/>
      <c r="B929" s="17"/>
      <c r="C929" s="17"/>
      <c r="D929" s="17"/>
      <c r="E929" s="17"/>
      <c r="F929" s="78"/>
      <c r="G929" s="78"/>
      <c r="H929" s="78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7.25" customHeight="1">
      <c r="A930" s="17"/>
      <c r="B930" s="17"/>
      <c r="C930" s="17"/>
      <c r="D930" s="17"/>
      <c r="E930" s="17"/>
      <c r="F930" s="78"/>
      <c r="G930" s="78"/>
      <c r="H930" s="78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7.25" customHeight="1">
      <c r="A931" s="17"/>
      <c r="B931" s="17"/>
      <c r="C931" s="17"/>
      <c r="D931" s="17"/>
      <c r="E931" s="17"/>
      <c r="F931" s="78"/>
      <c r="G931" s="78"/>
      <c r="H931" s="78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7.25" customHeight="1">
      <c r="A932" s="17"/>
      <c r="B932" s="17"/>
      <c r="C932" s="17"/>
      <c r="D932" s="17"/>
      <c r="E932" s="17"/>
      <c r="F932" s="78"/>
      <c r="G932" s="78"/>
      <c r="H932" s="78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7.25" customHeight="1">
      <c r="A933" s="17"/>
      <c r="B933" s="17"/>
      <c r="C933" s="17"/>
      <c r="D933" s="17"/>
      <c r="E933" s="17"/>
      <c r="F933" s="78"/>
      <c r="G933" s="78"/>
      <c r="H933" s="78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7.25" customHeight="1">
      <c r="A934" s="17"/>
      <c r="B934" s="17"/>
      <c r="C934" s="17"/>
      <c r="D934" s="17"/>
      <c r="E934" s="17"/>
      <c r="F934" s="78"/>
      <c r="G934" s="78"/>
      <c r="H934" s="78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7.25" customHeight="1">
      <c r="A935" s="17"/>
      <c r="B935" s="17"/>
      <c r="C935" s="17"/>
      <c r="D935" s="17"/>
      <c r="E935" s="17"/>
      <c r="F935" s="78"/>
      <c r="G935" s="78"/>
      <c r="H935" s="78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7.25" customHeight="1">
      <c r="A936" s="17"/>
      <c r="B936" s="17"/>
      <c r="C936" s="17"/>
      <c r="D936" s="17"/>
      <c r="E936" s="17"/>
      <c r="F936" s="78"/>
      <c r="G936" s="78"/>
      <c r="H936" s="78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7.25" customHeight="1">
      <c r="A937" s="17"/>
      <c r="B937" s="17"/>
      <c r="C937" s="17"/>
      <c r="D937" s="17"/>
      <c r="E937" s="17"/>
      <c r="F937" s="78"/>
      <c r="G937" s="78"/>
      <c r="H937" s="78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7.25" customHeight="1">
      <c r="A938" s="17"/>
      <c r="B938" s="17"/>
      <c r="C938" s="17"/>
      <c r="D938" s="17"/>
      <c r="E938" s="17"/>
      <c r="F938" s="78"/>
      <c r="G938" s="78"/>
      <c r="H938" s="78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7.25" customHeight="1">
      <c r="A939" s="17"/>
      <c r="B939" s="17"/>
      <c r="C939" s="17"/>
      <c r="D939" s="17"/>
      <c r="E939" s="17"/>
      <c r="F939" s="78"/>
      <c r="G939" s="78"/>
      <c r="H939" s="78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7.25" customHeight="1">
      <c r="A940" s="17"/>
      <c r="B940" s="17"/>
      <c r="C940" s="17"/>
      <c r="D940" s="17"/>
      <c r="E940" s="17"/>
      <c r="F940" s="78"/>
      <c r="G940" s="78"/>
      <c r="H940" s="78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7.25" customHeight="1">
      <c r="A941" s="17"/>
      <c r="B941" s="17"/>
      <c r="C941" s="17"/>
      <c r="D941" s="17"/>
      <c r="E941" s="17"/>
      <c r="F941" s="78"/>
      <c r="G941" s="78"/>
      <c r="H941" s="78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7.25" customHeight="1">
      <c r="A942" s="17"/>
      <c r="B942" s="17"/>
      <c r="C942" s="17"/>
      <c r="D942" s="17"/>
      <c r="E942" s="17"/>
      <c r="F942" s="78"/>
      <c r="G942" s="78"/>
      <c r="H942" s="78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7.25" customHeight="1">
      <c r="A943" s="17"/>
      <c r="B943" s="17"/>
      <c r="C943" s="17"/>
      <c r="D943" s="17"/>
      <c r="E943" s="17"/>
      <c r="F943" s="78"/>
      <c r="G943" s="78"/>
      <c r="H943" s="78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7.25" customHeight="1">
      <c r="A944" s="17"/>
      <c r="B944" s="17"/>
      <c r="C944" s="17"/>
      <c r="D944" s="17"/>
      <c r="E944" s="17"/>
      <c r="F944" s="78"/>
      <c r="G944" s="78"/>
      <c r="H944" s="78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7.25" customHeight="1">
      <c r="A945" s="17"/>
      <c r="B945" s="17"/>
      <c r="C945" s="17"/>
      <c r="D945" s="17"/>
      <c r="E945" s="17"/>
      <c r="F945" s="78"/>
      <c r="G945" s="78"/>
      <c r="H945" s="78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7.25" customHeight="1">
      <c r="A946" s="17"/>
      <c r="B946" s="17"/>
      <c r="C946" s="17"/>
      <c r="D946" s="17"/>
      <c r="E946" s="17"/>
      <c r="F946" s="78"/>
      <c r="G946" s="78"/>
      <c r="H946" s="78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7.25" customHeight="1">
      <c r="A947" s="17"/>
      <c r="B947" s="17"/>
      <c r="C947" s="17"/>
      <c r="D947" s="17"/>
      <c r="E947" s="17"/>
      <c r="F947" s="78"/>
      <c r="G947" s="78"/>
      <c r="H947" s="78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7.25" customHeight="1">
      <c r="A948" s="17"/>
      <c r="B948" s="17"/>
      <c r="C948" s="17"/>
      <c r="D948" s="17"/>
      <c r="E948" s="17"/>
      <c r="F948" s="78"/>
      <c r="G948" s="78"/>
      <c r="H948" s="78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7.25" customHeight="1">
      <c r="A949" s="17"/>
      <c r="B949" s="17"/>
      <c r="C949" s="17"/>
      <c r="D949" s="17"/>
      <c r="E949" s="17"/>
      <c r="F949" s="78"/>
      <c r="G949" s="78"/>
      <c r="H949" s="78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7.25" customHeight="1">
      <c r="A950" s="17"/>
      <c r="B950" s="17"/>
      <c r="C950" s="17"/>
      <c r="D950" s="17"/>
      <c r="E950" s="17"/>
      <c r="F950" s="78"/>
      <c r="G950" s="78"/>
      <c r="H950" s="78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7.25" customHeight="1">
      <c r="A951" s="17"/>
      <c r="B951" s="17"/>
      <c r="C951" s="17"/>
      <c r="D951" s="17"/>
      <c r="E951" s="17"/>
      <c r="F951" s="78"/>
      <c r="G951" s="78"/>
      <c r="H951" s="78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7.25" customHeight="1">
      <c r="A952" s="17"/>
      <c r="B952" s="17"/>
      <c r="C952" s="17"/>
      <c r="D952" s="17"/>
      <c r="E952" s="17"/>
      <c r="F952" s="78"/>
      <c r="G952" s="78"/>
      <c r="H952" s="78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7.25" customHeight="1">
      <c r="A953" s="17"/>
      <c r="B953" s="17"/>
      <c r="C953" s="17"/>
      <c r="D953" s="17"/>
      <c r="E953" s="17"/>
      <c r="F953" s="78"/>
      <c r="G953" s="78"/>
      <c r="H953" s="78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7.25" customHeight="1">
      <c r="A954" s="17"/>
      <c r="B954" s="17"/>
      <c r="C954" s="17"/>
      <c r="D954" s="17"/>
      <c r="E954" s="17"/>
      <c r="F954" s="78"/>
      <c r="G954" s="78"/>
      <c r="H954" s="78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7.25" customHeight="1">
      <c r="A955" s="17"/>
      <c r="B955" s="17"/>
      <c r="C955" s="17"/>
      <c r="D955" s="17"/>
      <c r="E955" s="17"/>
      <c r="F955" s="78"/>
      <c r="G955" s="78"/>
      <c r="H955" s="78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7.25" customHeight="1">
      <c r="A956" s="17"/>
      <c r="B956" s="17"/>
      <c r="C956" s="17"/>
      <c r="D956" s="17"/>
      <c r="E956" s="17"/>
      <c r="F956" s="78"/>
      <c r="G956" s="78"/>
      <c r="H956" s="78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7.25" customHeight="1">
      <c r="A957" s="17"/>
      <c r="B957" s="17"/>
      <c r="C957" s="17"/>
      <c r="D957" s="17"/>
      <c r="E957" s="17"/>
      <c r="F957" s="78"/>
      <c r="G957" s="78"/>
      <c r="H957" s="78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7.25" customHeight="1">
      <c r="A958" s="17"/>
      <c r="B958" s="17"/>
      <c r="C958" s="17"/>
      <c r="D958" s="17"/>
      <c r="E958" s="17"/>
      <c r="F958" s="78"/>
      <c r="G958" s="78"/>
      <c r="H958" s="78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7.25" customHeight="1">
      <c r="A959" s="17"/>
      <c r="B959" s="17"/>
      <c r="C959" s="17"/>
      <c r="D959" s="17"/>
      <c r="E959" s="17"/>
      <c r="F959" s="78"/>
      <c r="G959" s="78"/>
      <c r="H959" s="78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7.25" customHeight="1">
      <c r="A960" s="17"/>
      <c r="B960" s="17"/>
      <c r="C960" s="17"/>
      <c r="D960" s="17"/>
      <c r="E960" s="17"/>
      <c r="F960" s="78"/>
      <c r="G960" s="78"/>
      <c r="H960" s="78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7.25" customHeight="1">
      <c r="A961" s="17"/>
      <c r="B961" s="17"/>
      <c r="C961" s="17"/>
      <c r="D961" s="17"/>
      <c r="E961" s="17"/>
      <c r="F961" s="78"/>
      <c r="G961" s="78"/>
      <c r="H961" s="78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7.25" customHeight="1">
      <c r="A962" s="17"/>
      <c r="B962" s="17"/>
      <c r="C962" s="17"/>
      <c r="D962" s="17"/>
      <c r="E962" s="17"/>
      <c r="F962" s="78"/>
      <c r="G962" s="78"/>
      <c r="H962" s="78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7.25" customHeight="1">
      <c r="A963" s="17"/>
      <c r="B963" s="17"/>
      <c r="C963" s="17"/>
      <c r="D963" s="17"/>
      <c r="E963" s="17"/>
      <c r="F963" s="78"/>
      <c r="G963" s="78"/>
      <c r="H963" s="78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7.25" customHeight="1">
      <c r="A964" s="17"/>
      <c r="B964" s="17"/>
      <c r="C964" s="17"/>
      <c r="D964" s="17"/>
      <c r="E964" s="17"/>
      <c r="F964" s="78"/>
      <c r="G964" s="78"/>
      <c r="H964" s="78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7.25" customHeight="1">
      <c r="A965" s="17"/>
      <c r="B965" s="17"/>
      <c r="C965" s="17"/>
      <c r="D965" s="17"/>
      <c r="E965" s="17"/>
      <c r="F965" s="78"/>
      <c r="G965" s="78"/>
      <c r="H965" s="78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7.25" customHeight="1">
      <c r="A966" s="17"/>
      <c r="B966" s="17"/>
      <c r="C966" s="17"/>
      <c r="D966" s="17"/>
      <c r="E966" s="17"/>
      <c r="F966" s="78"/>
      <c r="G966" s="78"/>
      <c r="H966" s="78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7.25" customHeight="1">
      <c r="A967" s="17"/>
      <c r="B967" s="17"/>
      <c r="C967" s="17"/>
      <c r="D967" s="17"/>
      <c r="E967" s="17"/>
      <c r="F967" s="78"/>
      <c r="G967" s="78"/>
      <c r="H967" s="78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7.25" customHeight="1">
      <c r="A968" s="17"/>
      <c r="B968" s="17"/>
      <c r="C968" s="17"/>
      <c r="D968" s="17"/>
      <c r="E968" s="17"/>
      <c r="F968" s="78"/>
      <c r="G968" s="78"/>
      <c r="H968" s="78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7.25" customHeight="1">
      <c r="A969" s="17"/>
      <c r="B969" s="17"/>
      <c r="C969" s="17"/>
      <c r="D969" s="17"/>
      <c r="E969" s="17"/>
      <c r="F969" s="78"/>
      <c r="G969" s="78"/>
      <c r="H969" s="78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7.25" customHeight="1">
      <c r="A970" s="17"/>
      <c r="B970" s="17"/>
      <c r="C970" s="17"/>
      <c r="D970" s="17"/>
      <c r="E970" s="17"/>
      <c r="F970" s="78"/>
      <c r="G970" s="78"/>
      <c r="H970" s="78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7.25" customHeight="1">
      <c r="A971" s="17"/>
      <c r="B971" s="17"/>
      <c r="C971" s="17"/>
      <c r="D971" s="17"/>
      <c r="E971" s="17"/>
      <c r="F971" s="78"/>
      <c r="G971" s="78"/>
      <c r="H971" s="78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7.25" customHeight="1">
      <c r="A972" s="17"/>
      <c r="B972" s="17"/>
      <c r="C972" s="17"/>
      <c r="D972" s="17"/>
      <c r="E972" s="17"/>
      <c r="F972" s="78"/>
      <c r="G972" s="78"/>
      <c r="H972" s="78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7.25" customHeight="1">
      <c r="A973" s="17"/>
      <c r="B973" s="17"/>
      <c r="C973" s="17"/>
      <c r="D973" s="17"/>
      <c r="E973" s="17"/>
      <c r="F973" s="78"/>
      <c r="G973" s="78"/>
      <c r="H973" s="78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7.25" customHeight="1">
      <c r="A974" s="17"/>
      <c r="B974" s="17"/>
      <c r="C974" s="17"/>
      <c r="D974" s="17"/>
      <c r="E974" s="17"/>
      <c r="F974" s="78"/>
      <c r="G974" s="78"/>
      <c r="H974" s="78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7.25" customHeight="1">
      <c r="A975" s="17"/>
      <c r="B975" s="17"/>
      <c r="C975" s="17"/>
      <c r="D975" s="17"/>
      <c r="E975" s="17"/>
      <c r="F975" s="78"/>
      <c r="G975" s="78"/>
      <c r="H975" s="78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7.25" customHeight="1">
      <c r="A976" s="17"/>
      <c r="B976" s="17"/>
      <c r="C976" s="17"/>
      <c r="D976" s="17"/>
      <c r="E976" s="17"/>
      <c r="F976" s="78"/>
      <c r="G976" s="78"/>
      <c r="H976" s="78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7.25" customHeight="1">
      <c r="A977" s="17"/>
      <c r="B977" s="17"/>
      <c r="C977" s="17"/>
      <c r="D977" s="17"/>
      <c r="E977" s="17"/>
      <c r="F977" s="78"/>
      <c r="G977" s="78"/>
      <c r="H977" s="78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7.25" customHeight="1">
      <c r="A978" s="17"/>
      <c r="B978" s="17"/>
      <c r="C978" s="17"/>
      <c r="D978" s="17"/>
      <c r="E978" s="17"/>
      <c r="F978" s="78"/>
      <c r="G978" s="78"/>
      <c r="H978" s="78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7.25" customHeight="1">
      <c r="A979" s="17"/>
      <c r="B979" s="17"/>
      <c r="C979" s="17"/>
      <c r="D979" s="17"/>
      <c r="E979" s="17"/>
      <c r="F979" s="78"/>
      <c r="G979" s="78"/>
      <c r="H979" s="78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7.25" customHeight="1">
      <c r="A980" s="17"/>
      <c r="B980" s="17"/>
      <c r="C980" s="17"/>
      <c r="D980" s="17"/>
      <c r="E980" s="17"/>
      <c r="F980" s="78"/>
      <c r="G980" s="78"/>
      <c r="H980" s="78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7.25" customHeight="1">
      <c r="A981" s="17"/>
      <c r="B981" s="17"/>
      <c r="C981" s="17"/>
      <c r="D981" s="17"/>
      <c r="E981" s="17"/>
      <c r="F981" s="78"/>
      <c r="G981" s="78"/>
      <c r="H981" s="78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7.25" customHeight="1">
      <c r="A982" s="17"/>
      <c r="B982" s="17"/>
      <c r="C982" s="17"/>
      <c r="D982" s="17"/>
      <c r="E982" s="17"/>
      <c r="F982" s="78"/>
      <c r="G982" s="78"/>
      <c r="H982" s="78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7.25" customHeight="1">
      <c r="A983" s="17"/>
      <c r="B983" s="17"/>
      <c r="C983" s="17"/>
      <c r="D983" s="17"/>
      <c r="E983" s="17"/>
      <c r="F983" s="78"/>
      <c r="G983" s="78"/>
      <c r="H983" s="78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7.25" customHeight="1">
      <c r="A984" s="17"/>
      <c r="B984" s="17"/>
      <c r="C984" s="17"/>
      <c r="D984" s="17"/>
      <c r="E984" s="17"/>
      <c r="F984" s="78"/>
      <c r="G984" s="78"/>
      <c r="H984" s="78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7.25" customHeight="1">
      <c r="A985" s="17"/>
      <c r="B985" s="17"/>
      <c r="C985" s="17"/>
      <c r="D985" s="17"/>
      <c r="E985" s="17"/>
      <c r="F985" s="78"/>
      <c r="G985" s="78"/>
      <c r="H985" s="78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7.25" customHeight="1">
      <c r="A986" s="17"/>
      <c r="B986" s="17"/>
      <c r="C986" s="17"/>
      <c r="D986" s="17"/>
      <c r="E986" s="17"/>
      <c r="F986" s="78"/>
      <c r="G986" s="78"/>
      <c r="H986" s="78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7.25" customHeight="1">
      <c r="A987" s="17"/>
      <c r="B987" s="17"/>
      <c r="C987" s="17"/>
      <c r="D987" s="17"/>
      <c r="E987" s="17"/>
      <c r="F987" s="78"/>
      <c r="G987" s="78"/>
      <c r="H987" s="78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7.25" customHeight="1">
      <c r="A988" s="17"/>
      <c r="B988" s="17"/>
      <c r="C988" s="17"/>
      <c r="D988" s="17"/>
      <c r="E988" s="17"/>
      <c r="F988" s="78"/>
      <c r="G988" s="78"/>
      <c r="H988" s="78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7.25" customHeight="1">
      <c r="A989" s="17"/>
      <c r="B989" s="17"/>
      <c r="C989" s="17"/>
      <c r="D989" s="17"/>
      <c r="E989" s="17"/>
      <c r="F989" s="78"/>
      <c r="G989" s="78"/>
      <c r="H989" s="78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7.25" customHeight="1">
      <c r="A990" s="17"/>
      <c r="B990" s="17"/>
      <c r="C990" s="17"/>
      <c r="D990" s="17"/>
      <c r="E990" s="17"/>
      <c r="F990" s="78"/>
      <c r="G990" s="78"/>
      <c r="H990" s="78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7.25" customHeight="1">
      <c r="A991" s="17"/>
      <c r="B991" s="17"/>
      <c r="C991" s="17"/>
      <c r="D991" s="17"/>
      <c r="E991" s="17"/>
      <c r="F991" s="78"/>
      <c r="G991" s="78"/>
      <c r="H991" s="78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7.25" customHeight="1">
      <c r="A992" s="17"/>
      <c r="B992" s="17"/>
      <c r="C992" s="17"/>
      <c r="D992" s="17"/>
      <c r="E992" s="17"/>
      <c r="F992" s="78"/>
      <c r="G992" s="78"/>
      <c r="H992" s="78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7.25" customHeight="1">
      <c r="A993" s="17"/>
      <c r="B993" s="17"/>
      <c r="C993" s="17"/>
      <c r="D993" s="17"/>
      <c r="E993" s="17"/>
      <c r="F993" s="78"/>
      <c r="G993" s="78"/>
      <c r="H993" s="78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7.25" customHeight="1">
      <c r="A994" s="17"/>
      <c r="B994" s="17"/>
      <c r="C994" s="17"/>
      <c r="D994" s="17"/>
      <c r="E994" s="17"/>
      <c r="F994" s="78"/>
      <c r="G994" s="78"/>
      <c r="H994" s="78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7.25" customHeight="1">
      <c r="A995" s="17"/>
      <c r="B995" s="17"/>
      <c r="C995" s="17"/>
      <c r="D995" s="17"/>
      <c r="E995" s="17"/>
      <c r="F995" s="78"/>
      <c r="G995" s="78"/>
      <c r="H995" s="78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7.25" customHeight="1">
      <c r="A996" s="17"/>
      <c r="B996" s="17"/>
      <c r="C996" s="17"/>
      <c r="D996" s="17"/>
      <c r="E996" s="17"/>
      <c r="F996" s="78"/>
      <c r="G996" s="78"/>
      <c r="H996" s="78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7.25" customHeight="1">
      <c r="A997" s="17"/>
      <c r="B997" s="17"/>
      <c r="C997" s="17"/>
      <c r="D997" s="17"/>
      <c r="E997" s="17"/>
      <c r="F997" s="78"/>
      <c r="G997" s="78"/>
      <c r="H997" s="78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7.25" customHeight="1">
      <c r="A998" s="17"/>
      <c r="B998" s="17"/>
      <c r="C998" s="17"/>
      <c r="D998" s="17"/>
      <c r="E998" s="17"/>
      <c r="F998" s="78"/>
      <c r="G998" s="78"/>
      <c r="H998" s="78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7.25" customHeight="1">
      <c r="A999" s="17"/>
      <c r="B999" s="17"/>
      <c r="C999" s="17"/>
      <c r="D999" s="17"/>
      <c r="E999" s="17"/>
      <c r="F999" s="78"/>
      <c r="G999" s="78"/>
      <c r="H999" s="78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7.25" customHeight="1">
      <c r="A1000" s="17"/>
      <c r="B1000" s="17"/>
      <c r="C1000" s="17"/>
      <c r="D1000" s="17"/>
      <c r="E1000" s="17"/>
      <c r="F1000" s="78"/>
      <c r="G1000" s="78"/>
      <c r="H1000" s="78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A$5:$I$96"/>
  <dataValidations>
    <dataValidation type="list" allowBlank="1" showErrorMessage="1" sqref="B6:B207">
      <formula1>"농산물,축산물,가공식품"</formula1>
    </dataValidation>
  </dataValidations>
  <printOptions/>
  <pageMargins bottom="0.7480314960629921" footer="0.0" header="0.0" left="0.7086614173228347" right="0.7086614173228347" top="0.7480314960629921"/>
  <pageSetup paperSize="9" scale="36" orientation="portrait"/>
  <drawing r:id="rId2"/>
  <legacyDrawing r:id="rId3"/>
</worksheet>
</file>