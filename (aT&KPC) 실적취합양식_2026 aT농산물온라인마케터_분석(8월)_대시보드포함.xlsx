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2" autoFilterDateGrouping="1"/>
  </bookViews>
  <sheets>
    <sheet xmlns:r="http://schemas.openxmlformats.org/officeDocument/2006/relationships" name="대시보드_종합요약" sheetId="1" state="visible" r:id="rId1"/>
    <sheet xmlns:r="http://schemas.openxmlformats.org/officeDocument/2006/relationships" name="분석" sheetId="2" state="visible" r:id="rId2"/>
    <sheet xmlns:r="http://schemas.openxmlformats.org/officeDocument/2006/relationships" name="※ 이상치 및 규정검토" sheetId="3" state="visible" r:id="rId3"/>
    <sheet xmlns:r="http://schemas.openxmlformats.org/officeDocument/2006/relationships" name="※ 피벗_교차검증" sheetId="4" state="visible" r:id="rId4"/>
    <sheet xmlns:r="http://schemas.openxmlformats.org/officeDocument/2006/relationships" name="농산물업체" sheetId="5" state="visible" r:id="rId5"/>
    <sheet xmlns:r="http://schemas.openxmlformats.org/officeDocument/2006/relationships" name="①농산물raw" sheetId="6" state="visible" r:id="rId6"/>
    <sheet xmlns:r="http://schemas.openxmlformats.org/officeDocument/2006/relationships" name="유기농업체" sheetId="7" state="visible" r:id="rId7"/>
    <sheet xmlns:r="http://schemas.openxmlformats.org/officeDocument/2006/relationships" name="②유기농raw" sheetId="8" state="visible" r:id="rId8"/>
    <sheet xmlns:r="http://schemas.openxmlformats.org/officeDocument/2006/relationships" name="※ 8월_품목분류오류" sheetId="9" state="visible" r:id="rId9"/>
    <sheet xmlns:r="http://schemas.openxmlformats.org/officeDocument/2006/relationships" name="※ 7월_품목분류오류" sheetId="10" state="visible" r:id="rId10"/>
    <sheet xmlns:r="http://schemas.openxmlformats.org/officeDocument/2006/relationships" name="※ 7-8월_품목변경" sheetId="11" state="visible" r:id="rId11"/>
  </sheets>
  <definedNames>
    <definedName name="_xlnm._FilterDatabase" localSheetId="4" hidden="1">'농산물업체'!$A$2:$J$287</definedName>
    <definedName name="_xlnm._FilterDatabase" localSheetId="5" hidden="1">'①농산물raw'!$A$5:$K$1454</definedName>
    <definedName name="_xlnm.Print_Titles" localSheetId="5">'①농산물raw'!$1:$5</definedName>
    <definedName name="_xlnm.Print_Area" localSheetId="5">'①농산물raw'!$A$1:$H$5</definedName>
    <definedName name="_xlnm._FilterDatabase" localSheetId="7" hidden="1">'②유기농raw'!$A$5:$I$96</definedName>
    <definedName name="_xlnm.Print_Titles" localSheetId="7">'②유기농raw'!$1:$5</definedName>
    <definedName name="_xlnm.Print_Area" localSheetId="7">'②유기농raw'!$A$1:$H$5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-* #,##0_-;\-* #,##0_-;_-* &quot;-&quot;_-;_-@_-"/>
    <numFmt numFmtId="166" formatCode="###\-##\-#####"/>
    <numFmt numFmtId="167" formatCode="0.0%"/>
  </numFmts>
  <fonts count="5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8"/>
      <scheme val="minor"/>
    </font>
    <font>
      <name val="나눔고딕"/>
      <charset val="129"/>
      <family val="2"/>
      <color theme="1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1"/>
    </font>
    <font>
      <name val="맑은 고딕"/>
      <family val="2"/>
      <color rgb="FF000000"/>
      <sz val="10"/>
      <scheme val="minor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  <font>
      <name val="맑은 고딕"/>
      <b val="1"/>
      <color rgb="001E293B"/>
      <sz val="15"/>
    </font>
    <font>
      <name val="맑은 고딕"/>
      <b val="1"/>
      <color rgb="000F172A"/>
      <sz val="11"/>
    </font>
    <font>
      <name val="맑은 고딕"/>
      <b val="1"/>
      <color rgb="001E293B"/>
      <sz val="9"/>
    </font>
    <font>
      <name val="맑은 고딕"/>
      <b val="1"/>
      <color rgb="000F172A"/>
      <sz val="9"/>
    </font>
    <font>
      <name val="맑은 고딕"/>
      <color rgb="00334155"/>
      <sz val="9"/>
    </font>
    <font>
      <name val="맑은 고딕"/>
      <b val="1"/>
      <color rgb="00047857"/>
      <sz val="9"/>
    </font>
    <font>
      <name val="맑은 고딕"/>
      <b val="1"/>
      <color rgb="00B91C1C"/>
      <sz val="9"/>
    </font>
    <font>
      <name val="맑은 고딕"/>
      <b val="1"/>
      <color rgb="001E293B"/>
      <sz val="14"/>
    </font>
    <font>
      <name val="맑은 고딕"/>
      <b val="1"/>
      <sz val="9"/>
    </font>
    <font>
      <name val="맑은 고딕"/>
      <b val="1"/>
      <color rgb="000F172A"/>
      <sz val="16"/>
    </font>
    <font>
      <name val="맑은 고딕"/>
      <color rgb="0064748B"/>
      <sz val="9"/>
    </font>
    <font>
      <name val="맑은 고딕"/>
      <b val="1"/>
      <color rgb="0064748B"/>
      <sz val="8"/>
    </font>
    <font>
      <name val="맑은 고딕"/>
      <b val="1"/>
      <color rgb="000F172A"/>
      <sz val="15"/>
    </font>
    <font>
      <name val="맑은 고딕"/>
      <b val="1"/>
      <color rgb="00059669"/>
      <sz val="8"/>
    </font>
    <font>
      <name val="맑은 고딕"/>
      <b val="1"/>
      <color rgb="001E293B"/>
      <sz val="11"/>
    </font>
    <font>
      <name val="맑은 고딕"/>
      <b val="1"/>
      <color rgb="00FF0000"/>
      <sz val="10"/>
    </font>
    <font>
      <name val="맑은 고딕"/>
      <b val="1"/>
      <color rgb="FFFF0000"/>
      <sz val="9"/>
    </font>
    <font>
      <name val="맑은 고딕"/>
      <sz val="9"/>
    </font>
    <font>
      <name val="맑은 고딕"/>
      <b val="1"/>
      <color rgb="000070C0"/>
      <sz val="9"/>
    </font>
    <font>
      <name val="맑은 고딕"/>
      <b val="1"/>
      <color rgb="000F172A"/>
      <sz val="12"/>
    </font>
    <font>
      <name val="맑은 고딕"/>
      <b val="1"/>
      <color rgb="00FFFFFF"/>
      <sz val="10"/>
    </font>
    <font>
      <name val="맑은 고딕"/>
      <color rgb="00475569"/>
      <sz val="9"/>
    </font>
    <font>
      <name val="맑은 고딕"/>
      <b val="1"/>
      <color rgb="006B21A8"/>
      <sz val="9"/>
    </font>
    <font>
      <name val="맑은 고딕"/>
      <b val="1"/>
      <color rgb="009F1239"/>
      <sz val="9"/>
    </font>
    <font>
      <name val="맑은 고딕"/>
      <b val="1"/>
      <color rgb="004C1D95"/>
      <sz val="13"/>
    </font>
    <font>
      <name val="맑은 고딕"/>
      <b val="1"/>
      <color rgb="00881337"/>
      <sz val="13"/>
    </font>
    <font>
      <name val="맑은 고딕"/>
      <b val="1"/>
      <color rgb="0078350F"/>
      <sz val="13"/>
    </font>
  </fonts>
  <fills count="3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FEF08A"/>
        <bgColor rgb="00FEF0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FFF1F2"/>
        <bgColor rgb="00FFF1F2"/>
      </patternFill>
    </fill>
    <fill>
      <patternFill patternType="solid">
        <fgColor rgb="004C1D95"/>
        <bgColor rgb="004C1D95"/>
      </patternFill>
    </fill>
    <fill>
      <patternFill patternType="solid">
        <fgColor rgb="00FEF3C7"/>
        <bgColor rgb="00FEF3C7"/>
      </patternFill>
    </fill>
    <fill>
      <patternFill patternType="solid">
        <fgColor rgb="00881337"/>
        <bgColor rgb="00881337"/>
      </patternFill>
    </fill>
    <fill>
      <patternFill patternType="solid">
        <fgColor rgb="0078350F"/>
        <bgColor rgb="0078350F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2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" fillId="0" borderId="0" applyAlignment="1">
      <alignment vertical="center"/>
    </xf>
    <xf numFmtId="0" fontId="10" fillId="0" borderId="0" applyAlignment="1">
      <alignment vertical="center"/>
    </xf>
    <xf numFmtId="41" fontId="10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7" fillId="0" borderId="0"/>
    <xf numFmtId="0" fontId="17" fillId="0" borderId="0"/>
  </cellStyleXfs>
  <cellXfs count="255">
    <xf numFmtId="0" fontId="0" fillId="0" borderId="0" applyAlignment="1" pivotButton="0" quotePrefix="0" xfId="0">
      <alignment vertical="center"/>
    </xf>
    <xf numFmtId="0" fontId="3" fillId="3" borderId="0" applyAlignment="1" pivotButton="0" quotePrefix="0" xfId="3">
      <alignment vertical="center"/>
    </xf>
    <xf numFmtId="0" fontId="5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12" fillId="3" borderId="0" applyAlignment="1" pivotButton="0" quotePrefix="0" xfId="3">
      <alignment vertical="center"/>
    </xf>
    <xf numFmtId="0" fontId="9" fillId="5" borderId="1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13" fillId="3" borderId="1" applyAlignment="1" pivotButton="0" quotePrefix="0" xfId="4">
      <alignment horizontal="center" vertical="center"/>
    </xf>
    <xf numFmtId="0" fontId="13" fillId="7" borderId="1" applyAlignment="1" pivotButton="0" quotePrefix="0" xfId="4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7" borderId="1" applyAlignment="1" pivotButton="0" quotePrefix="0" xfId="4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3" fillId="0" borderId="1" applyAlignment="1" pivotButton="0" quotePrefix="0" xfId="4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center" vertical="center"/>
    </xf>
    <xf numFmtId="165" fontId="5" fillId="3" borderId="0" applyAlignment="1" pivotButton="0" quotePrefix="0" xfId="1">
      <alignment horizontal="center" vertical="center"/>
    </xf>
    <xf numFmtId="0" fontId="16" fillId="0" borderId="3" pivotButton="0" quotePrefix="0" xfId="0"/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3" fontId="16" fillId="10" borderId="1" pivotButton="0" quotePrefix="0" xfId="0"/>
    <xf numFmtId="3" fontId="16" fillId="11" borderId="1" pivotButton="0" quotePrefix="0" xfId="0"/>
    <xf numFmtId="3" fontId="0" fillId="0" borderId="1" pivotButton="0" quotePrefix="0" xfId="0"/>
    <xf numFmtId="3" fontId="16" fillId="12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5" fillId="6" borderId="2" pivotButton="0" quotePrefix="0" xfId="0"/>
    <xf numFmtId="0" fontId="15" fillId="13" borderId="2" pivotButton="0" quotePrefix="0" xfId="0"/>
    <xf numFmtId="0" fontId="0" fillId="6" borderId="0" pivotButton="0" quotePrefix="0" xfId="0"/>
    <xf numFmtId="0" fontId="0" fillId="13" borderId="0" pivotButton="0" quotePrefix="0" xfId="0"/>
    <xf numFmtId="0" fontId="14" fillId="14" borderId="1" applyAlignment="1" pivotButton="0" quotePrefix="0" xfId="0">
      <alignment horizontal="center" vertical="center"/>
    </xf>
    <xf numFmtId="164" fontId="14" fillId="1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 wrapText="1"/>
    </xf>
    <xf numFmtId="3" fontId="18" fillId="10" borderId="1" pivotButton="0" quotePrefix="0" xfId="0"/>
    <xf numFmtId="164" fontId="14" fillId="15" borderId="1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9" fontId="0" fillId="3" borderId="0" applyAlignment="1" pivotButton="0" quotePrefix="0" xfId="7">
      <alignment vertical="center"/>
    </xf>
    <xf numFmtId="165" fontId="0" fillId="3" borderId="0" applyAlignment="1" pivotButton="0" quotePrefix="0" xfId="1">
      <alignment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5" fontId="1" fillId="0" borderId="1" applyAlignment="1" pivotButton="0" quotePrefix="0" xfId="1">
      <alignment vertical="center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0" fontId="19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5" fontId="1" fillId="3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right" vertical="center"/>
    </xf>
    <xf numFmtId="0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49" fontId="8" fillId="14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 vertical="center" wrapText="1"/>
    </xf>
    <xf numFmtId="0" fontId="16" fillId="10" borderId="7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11" borderId="1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7" pivotButton="0" quotePrefix="0" xfId="0"/>
    <xf numFmtId="0" fontId="0" fillId="0" borderId="5" pivotButton="0" quotePrefix="0" xfId="0"/>
    <xf numFmtId="0" fontId="21" fillId="0" borderId="13" pivotButton="0" quotePrefix="0" xfId="0"/>
    <xf numFmtId="0" fontId="22" fillId="16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center"/>
    </xf>
    <xf numFmtId="0" fontId="23" fillId="17" borderId="14" applyAlignment="1" pivotButton="0" quotePrefix="0" xfId="0">
      <alignment horizontal="center" vertical="center"/>
    </xf>
    <xf numFmtId="0" fontId="0" fillId="0" borderId="17" pivotButton="0" quotePrefix="0" xfId="0"/>
    <xf numFmtId="0" fontId="23" fillId="0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3" fontId="21" fillId="0" borderId="14" applyAlignment="1" pivotButton="0" quotePrefix="0" xfId="0">
      <alignment horizontal="right" vertical="center"/>
    </xf>
    <xf numFmtId="0" fontId="0" fillId="0" borderId="20" pivotButton="0" quotePrefix="0" xfId="0"/>
    <xf numFmtId="3" fontId="21" fillId="0" borderId="13" pivotButton="0" quotePrefix="0" xfId="0"/>
    <xf numFmtId="3" fontId="23" fillId="17" borderId="14" applyAlignment="1" pivotButton="0" quotePrefix="0" xfId="0">
      <alignment horizontal="center" vertical="center"/>
    </xf>
    <xf numFmtId="3" fontId="23" fillId="17" borderId="14" applyAlignment="1" pivotButton="0" quotePrefix="0" xfId="0">
      <alignment horizontal="right" vertical="center"/>
    </xf>
    <xf numFmtId="3" fontId="23" fillId="0" borderId="14" applyAlignment="1" pivotButton="0" quotePrefix="0" xfId="0">
      <alignment horizontal="right" vertical="center"/>
    </xf>
    <xf numFmtId="0" fontId="0" fillId="0" borderId="19" pivotButton="0" quotePrefix="0" xfId="0"/>
    <xf numFmtId="164" fontId="14" fillId="9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right" vertical="center"/>
    </xf>
    <xf numFmtId="166" fontId="0" fillId="3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165" fontId="0" fillId="3" borderId="1" applyAlignment="1" pivotButton="0" quotePrefix="0" xfId="1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" fillId="3" borderId="1" applyAlignment="1" pivotButton="0" quotePrefix="0" xfId="1">
      <alignment horizontal="center" vertical="center"/>
    </xf>
    <xf numFmtId="166" fontId="8" fillId="0" borderId="1" applyAlignment="1" pivotButton="0" quotePrefix="0" xfId="0">
      <alignment horizontal="center" vertical="center"/>
    </xf>
    <xf numFmtId="165" fontId="1" fillId="0" borderId="1" applyAlignment="1" pivotButton="0" quotePrefix="0" xfId="1">
      <alignment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4" fontId="14" fillId="14" borderId="1" applyAlignment="1" pivotButton="0" quotePrefix="0" xfId="0">
      <alignment horizontal="center" vertical="center"/>
    </xf>
    <xf numFmtId="165" fontId="5" fillId="3" borderId="0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166" fontId="0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18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left" vertical="center"/>
    </xf>
    <xf numFmtId="0" fontId="29" fillId="19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center" vertical="center"/>
    </xf>
    <xf numFmtId="0" fontId="28" fillId="2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right" vertical="center"/>
    </xf>
    <xf numFmtId="0" fontId="30" fillId="20" borderId="21" applyAlignment="1" pivotButton="0" quotePrefix="0" xfId="0">
      <alignment horizontal="right" vertical="center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 vertical="center"/>
    </xf>
    <xf numFmtId="3" fontId="0" fillId="0" borderId="21" applyAlignment="1" pivotButton="0" quotePrefix="0" xfId="0">
      <alignment horizontal="right" vertical="center"/>
    </xf>
    <xf numFmtId="3" fontId="27" fillId="0" borderId="21" applyAlignment="1" pivotButton="0" quotePrefix="0" xfId="0">
      <alignment horizontal="right" vertical="center"/>
    </xf>
    <xf numFmtId="0" fontId="27" fillId="21" borderId="21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3" fontId="27" fillId="22" borderId="21" applyAlignment="1" pivotButton="0" quotePrefix="0" xfId="0">
      <alignment horizontal="right" vertical="center"/>
    </xf>
    <xf numFmtId="0" fontId="31" fillId="0" borderId="0" pivotButton="0" quotePrefix="0" xfId="0"/>
    <xf numFmtId="0" fontId="28" fillId="0" borderId="0" pivotButton="0" quotePrefix="0" xfId="0"/>
    <xf numFmtId="3" fontId="27" fillId="21" borderId="21" applyAlignment="1" pivotButton="0" quotePrefix="0" xfId="0">
      <alignment horizontal="right" vertical="center"/>
    </xf>
    <xf numFmtId="0" fontId="27" fillId="19" borderId="21" applyAlignment="1" pivotButton="0" quotePrefix="0" xfId="0">
      <alignment horizontal="center" vertical="center"/>
    </xf>
    <xf numFmtId="3" fontId="32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center" vertical="center"/>
    </xf>
    <xf numFmtId="164" fontId="26" fillId="18" borderId="21" applyAlignment="1" pivotButton="0" quotePrefix="0" xfId="0">
      <alignment horizontal="center" vertical="center"/>
    </xf>
    <xf numFmtId="3" fontId="32" fillId="0" borderId="21" applyAlignment="1" pivotButton="0" quotePrefix="0" xfId="0">
      <alignment horizontal="right" vertical="center"/>
    </xf>
    <xf numFmtId="0" fontId="32" fillId="0" borderId="21" applyAlignment="1" pivotButton="0" quotePrefix="0" xfId="0">
      <alignment horizontal="center" vertical="center"/>
    </xf>
    <xf numFmtId="167" fontId="0" fillId="0" borderId="21" applyAlignment="1" pivotButton="0" quotePrefix="0" xfId="0">
      <alignment horizontal="center" vertical="center"/>
    </xf>
    <xf numFmtId="0" fontId="33" fillId="0" borderId="0" pivotButton="0" quotePrefix="0" xfId="0"/>
    <xf numFmtId="0" fontId="34" fillId="0" borderId="0" pivotButton="0" quotePrefix="0" xfId="0"/>
    <xf numFmtId="0" fontId="35" fillId="23" borderId="21" applyAlignment="1" pivotButton="0" quotePrefix="0" xfId="0">
      <alignment horizontal="left" vertical="center"/>
    </xf>
    <xf numFmtId="0" fontId="0" fillId="23" borderId="21" pivotButton="0" quotePrefix="0" xfId="0"/>
    <xf numFmtId="0" fontId="35" fillId="21" borderId="21" applyAlignment="1" pivotButton="0" quotePrefix="0" xfId="0">
      <alignment horizontal="left" vertical="center"/>
    </xf>
    <xf numFmtId="0" fontId="0" fillId="21" borderId="21" pivotButton="0" quotePrefix="0" xfId="0"/>
    <xf numFmtId="0" fontId="35" fillId="24" borderId="21" applyAlignment="1" pivotButton="0" quotePrefix="0" xfId="0">
      <alignment horizontal="left" vertical="center"/>
    </xf>
    <xf numFmtId="0" fontId="0" fillId="24" borderId="21" pivotButton="0" quotePrefix="0" xfId="0"/>
    <xf numFmtId="0" fontId="35" fillId="22" borderId="21" applyAlignment="1" pivotButton="0" quotePrefix="0" xfId="0">
      <alignment horizontal="left" vertical="center"/>
    </xf>
    <xf numFmtId="0" fontId="0" fillId="22" borderId="21" pivotButton="0" quotePrefix="0" xfId="0"/>
    <xf numFmtId="3" fontId="36" fillId="23" borderId="21" applyAlignment="1" pivotButton="0" quotePrefix="0" xfId="0">
      <alignment horizontal="left" vertical="center"/>
    </xf>
    <xf numFmtId="3" fontId="36" fillId="21" borderId="21" applyAlignment="1" pivotButton="0" quotePrefix="0" xfId="0">
      <alignment horizontal="left" vertical="center"/>
    </xf>
    <xf numFmtId="167" fontId="36" fillId="24" borderId="21" applyAlignment="1" pivotButton="0" quotePrefix="0" xfId="0">
      <alignment horizontal="left" vertical="center"/>
    </xf>
    <xf numFmtId="3" fontId="36" fillId="22" borderId="21" applyAlignment="1" pivotButton="0" quotePrefix="0" xfId="0">
      <alignment horizontal="left" vertical="center"/>
    </xf>
    <xf numFmtId="0" fontId="37" fillId="23" borderId="21" applyAlignment="1" pivotButton="0" quotePrefix="0" xfId="0">
      <alignment horizontal="left" vertical="center"/>
    </xf>
    <xf numFmtId="0" fontId="37" fillId="21" borderId="21" applyAlignment="1" pivotButton="0" quotePrefix="0" xfId="0">
      <alignment horizontal="left" vertical="center"/>
    </xf>
    <xf numFmtId="0" fontId="37" fillId="24" borderId="21" applyAlignment="1" pivotButton="0" quotePrefix="0" xfId="0">
      <alignment horizontal="left" vertical="center"/>
    </xf>
    <xf numFmtId="0" fontId="37" fillId="22" borderId="21" applyAlignment="1" pivotButton="0" quotePrefix="0" xfId="0">
      <alignment horizontal="left" vertical="center"/>
    </xf>
    <xf numFmtId="0" fontId="38" fillId="0" borderId="0" pivotButton="0" quotePrefix="0" xfId="0"/>
    <xf numFmtId="3" fontId="28" fillId="0" borderId="21" applyAlignment="1" pivotButton="0" quotePrefix="0" xfId="0">
      <alignment horizontal="right" vertical="center"/>
    </xf>
    <xf numFmtId="167" fontId="28" fillId="0" borderId="21" applyAlignment="1" pivotButton="0" quotePrefix="0" xfId="0">
      <alignment horizontal="center" vertical="center"/>
    </xf>
    <xf numFmtId="167" fontId="27" fillId="21" borderId="21" applyAlignment="1" pivotButton="0" quotePrefix="0" xfId="0">
      <alignment horizontal="center" vertical="center"/>
    </xf>
    <xf numFmtId="167" fontId="27" fillId="0" borderId="21" applyAlignment="1" pivotButton="0" quotePrefix="0" xfId="0">
      <alignment horizontal="center" vertical="center"/>
    </xf>
    <xf numFmtId="0" fontId="37" fillId="23" borderId="21" applyAlignment="1" pivotButton="0" quotePrefix="0" xfId="0">
      <alignment horizontal="center" vertical="center"/>
    </xf>
    <xf numFmtId="167" fontId="27" fillId="21" borderId="21" pivotButton="0" quotePrefix="0" xfId="0"/>
    <xf numFmtId="0" fontId="27" fillId="0" borderId="0" pivotButton="0" quotePrefix="0" xfId="0"/>
    <xf numFmtId="0" fontId="39" fillId="10" borderId="22" applyAlignment="1" pivotButton="0" quotePrefix="0" xfId="0">
      <alignment horizontal="center" vertical="center"/>
    </xf>
    <xf numFmtId="3" fontId="39" fillId="10" borderId="22" applyAlignment="1" pivotButton="0" quotePrefix="0" xfId="0">
      <alignment horizontal="right" vertical="center"/>
    </xf>
    <xf numFmtId="3" fontId="23" fillId="11" borderId="22" applyAlignment="1" pivotButton="0" quotePrefix="0" xfId="0">
      <alignment horizontal="right" vertical="center"/>
    </xf>
    <xf numFmtId="3" fontId="21" fillId="0" borderId="22" applyAlignment="1" pivotButton="0" quotePrefix="0" xfId="0">
      <alignment horizontal="right" vertical="center"/>
    </xf>
    <xf numFmtId="3" fontId="23" fillId="12" borderId="22" applyAlignment="1" pivotButton="0" quotePrefix="0" xfId="0">
      <alignment horizontal="right" vertical="center"/>
    </xf>
    <xf numFmtId="3" fontId="1" fillId="0" borderId="1" pivotButton="0" quotePrefix="0" xfId="0"/>
    <xf numFmtId="0" fontId="40" fillId="10" borderId="22" applyAlignment="1" pivotButton="0" quotePrefix="0" xfId="0">
      <alignment horizontal="center" vertical="center"/>
    </xf>
    <xf numFmtId="3" fontId="40" fillId="10" borderId="22" applyAlignment="1" pivotButton="0" quotePrefix="0" xfId="0">
      <alignment horizontal="right" vertical="center"/>
    </xf>
    <xf numFmtId="3" fontId="32" fillId="11" borderId="22" applyAlignment="1" pivotButton="0" quotePrefix="0" xfId="0">
      <alignment horizontal="right" vertical="center"/>
    </xf>
    <xf numFmtId="3" fontId="41" fillId="0" borderId="22" applyAlignment="1" pivotButton="0" quotePrefix="0" xfId="0">
      <alignment horizontal="right" vertical="center"/>
    </xf>
    <xf numFmtId="3" fontId="32" fillId="12" borderId="22" applyAlignment="1" pivotButton="0" quotePrefix="0" xfId="0">
      <alignment horizontal="right" vertical="center"/>
    </xf>
    <xf numFmtId="0" fontId="42" fillId="0" borderId="22" applyAlignment="1" pivotButton="0" quotePrefix="0" xfId="0">
      <alignment horizontal="center" vertical="center"/>
    </xf>
    <xf numFmtId="3" fontId="42" fillId="0" borderId="22" applyAlignment="1" pivotButton="0" quotePrefix="0" xfId="0">
      <alignment horizontal="right" vertical="center"/>
    </xf>
    <xf numFmtId="0" fontId="43" fillId="0" borderId="0" pivotButton="0" quotePrefix="0" xfId="0"/>
    <xf numFmtId="0" fontId="44" fillId="25" borderId="23" applyAlignment="1" pivotButton="0" quotePrefix="0" xfId="0">
      <alignment horizontal="center" vertical="center" wrapText="1"/>
    </xf>
    <xf numFmtId="0" fontId="41" fillId="0" borderId="23" applyAlignment="1" pivotButton="0" quotePrefix="0" xfId="0">
      <alignment horizontal="center" vertical="center"/>
    </xf>
    <xf numFmtId="0" fontId="41" fillId="26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32" fillId="0" borderId="23" applyAlignment="1" pivotButton="0" quotePrefix="0" xfId="0">
      <alignment horizontal="center" vertical="center"/>
    </xf>
    <xf numFmtId="3" fontId="41" fillId="0" borderId="23" applyAlignment="1" pivotButton="0" quotePrefix="0" xfId="0">
      <alignment horizontal="right" vertical="center"/>
    </xf>
    <xf numFmtId="0" fontId="32" fillId="18" borderId="23" applyAlignment="1" pivotButton="0" quotePrefix="0" xfId="0">
      <alignment horizontal="center" vertical="center"/>
    </xf>
    <xf numFmtId="0" fontId="0" fillId="18" borderId="23" pivotButton="0" quotePrefix="0" xfId="0"/>
    <xf numFmtId="3" fontId="32" fillId="18" borderId="23" applyAlignment="1" pivotButton="0" quotePrefix="0" xfId="0">
      <alignment horizontal="right" vertical="center"/>
    </xf>
    <xf numFmtId="0" fontId="32" fillId="18" borderId="23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45" fillId="0" borderId="0" pivotButton="0" quotePrefix="0" xfId="0"/>
    <xf numFmtId="0" fontId="44" fillId="27" borderId="21" applyAlignment="1" pivotButton="0" quotePrefix="0" xfId="0">
      <alignment horizontal="center" vertical="center" wrapText="1"/>
    </xf>
    <xf numFmtId="0" fontId="41" fillId="0" borderId="21" applyAlignment="1" pivotButton="0" quotePrefix="0" xfId="0">
      <alignment horizontal="center" vertical="center"/>
    </xf>
    <xf numFmtId="0" fontId="41" fillId="0" borderId="21" applyAlignment="1" pivotButton="0" quotePrefix="0" xfId="0">
      <alignment horizontal="left" vertical="center"/>
    </xf>
    <xf numFmtId="0" fontId="29" fillId="0" borderId="21" applyAlignment="1" pivotButton="0" quotePrefix="0" xfId="0">
      <alignment horizontal="center" vertical="center"/>
    </xf>
    <xf numFmtId="0" fontId="27" fillId="28" borderId="21" applyAlignment="1" pivotButton="0" quotePrefix="0" xfId="0">
      <alignment horizontal="center" vertical="center"/>
    </xf>
    <xf numFmtId="0" fontId="27" fillId="28" borderId="21" applyAlignment="1" pivotButton="0" quotePrefix="0" xfId="0">
      <alignment horizontal="left" vertical="center"/>
    </xf>
    <xf numFmtId="0" fontId="27" fillId="28" borderId="21" pivotButton="0" quotePrefix="0" xfId="0"/>
    <xf numFmtId="3" fontId="27" fillId="28" borderId="21" applyAlignment="1" pivotButton="0" quotePrefix="0" xfId="0">
      <alignment horizontal="right" vertical="center"/>
    </xf>
    <xf numFmtId="0" fontId="46" fillId="28" borderId="21" applyAlignment="1" pivotButton="0" quotePrefix="0" xfId="0">
      <alignment horizontal="center" vertical="center"/>
    </xf>
    <xf numFmtId="0" fontId="44" fillId="29" borderId="21" applyAlignment="1" pivotButton="0" quotePrefix="0" xfId="0">
      <alignment horizontal="center" vertical="center" wrapText="1"/>
    </xf>
    <xf numFmtId="0" fontId="47" fillId="28" borderId="21" applyAlignment="1" pivotButton="0" quotePrefix="0" xfId="0">
      <alignment horizontal="center" vertical="center"/>
    </xf>
    <xf numFmtId="0" fontId="48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0" fontId="44" fillId="30" borderId="21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</cellXfs>
  <cellStyles count="12">
    <cellStyle name="표준" xfId="0" builtinId="0"/>
    <cellStyle name="쉼표 [0]" xfId="1" builtinId="6"/>
    <cellStyle name="좋음" xfId="2" builtinId="26"/>
    <cellStyle name="표준 2" xfId="3"/>
    <cellStyle name="표준 3" xfId="4"/>
    <cellStyle name="쉼표 [0] 2" xfId="5"/>
    <cellStyle name="쉼표 [0] 3" xfId="6"/>
    <cellStyle name="백분율 2" xfId="7"/>
    <cellStyle name="쉼표 [0] 4" xfId="8"/>
    <cellStyle name="좋음 2" xfId="9"/>
    <cellStyle name="표준 4" xfId="10"/>
    <cellStyle name="표준 5" xfId="1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showGridLines="1" workbookViewId="0">
      <selection activeCell="A1" sqref="A1"/>
    </sheetView>
  </sheetViews>
  <sheetFormatPr baseColWidth="8" defaultRowHeight="15"/>
  <cols>
    <col width="3" customWidth="1" style="21" min="1" max="1"/>
    <col width="2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5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  <col width="16" customWidth="1" style="21" min="13" max="13"/>
  </cols>
  <sheetData>
    <row r="2">
      <c r="B2" s="185" t="inlineStr">
        <is>
          <t>2026 aT 농산물 온라인 마케터 &amp; 유기농 기획전 실적 종합 대시보드</t>
        </is>
      </c>
    </row>
    <row r="3">
      <c r="B3" s="186" t="inlineStr">
        <is>
          <t>※ 로우데이터('①농산물raw', '②유기농raw') 업데이트 시 본 대시보드 및 분석/업체 시트가 실시간으로 100% 자동 갱신됩니다.</t>
        </is>
      </c>
    </row>
    <row r="5">
      <c r="B5" s="187" t="inlineStr">
        <is>
          <t>총 누적 매출액 (농산물 + 유기농)</t>
        </is>
      </c>
      <c r="C5" s="188" t="n"/>
      <c r="D5" s="188" t="n"/>
      <c r="E5" s="189" t="inlineStr">
        <is>
          <t>총 쿠폰 사용액 (누적 집행액)</t>
        </is>
      </c>
      <c r="F5" s="190" t="n"/>
      <c r="G5" s="190" t="n"/>
      <c r="H5" s="191" t="inlineStr">
        <is>
          <t>통합 쿠폰 소진율 &amp; 잔여 예산</t>
        </is>
      </c>
      <c r="I5" s="192" t="n"/>
      <c r="J5" s="192" t="n"/>
      <c r="K5" s="193" t="inlineStr">
        <is>
          <t>총 누적 판매 건수</t>
        </is>
      </c>
      <c r="L5" s="194" t="n"/>
      <c r="M5" s="194" t="n"/>
    </row>
    <row r="6">
      <c r="B6" s="195">
        <f>분석!D69+분석!D138</f>
        <v/>
      </c>
      <c r="C6" s="188" t="n"/>
      <c r="D6" s="188" t="n"/>
      <c r="E6" s="196">
        <f>분석!D61+분석!D130</f>
        <v/>
      </c>
      <c r="F6" s="190" t="n"/>
      <c r="G6" s="190" t="n"/>
      <c r="H6" s="197">
        <f>(분석!D61+분석!D130)/C14</f>
        <v/>
      </c>
      <c r="I6" s="192" t="n"/>
      <c r="J6" s="192" t="n"/>
      <c r="K6" s="198">
        <f>분석!D75+분석!D144</f>
        <v/>
      </c>
      <c r="L6" s="194" t="n"/>
      <c r="M6" s="194" t="n"/>
    </row>
    <row r="7">
      <c r="B7" s="199" t="inlineStr">
        <is>
          <t>8월 순수: 4,097,676,747원 (+114.4% 증가)</t>
        </is>
      </c>
      <c r="C7" s="188" t="n"/>
      <c r="D7" s="188" t="n"/>
      <c r="E7" s="200" t="inlineStr">
        <is>
          <t>8월 순수: 127,098,302원 (전체 배정 8.0억)</t>
        </is>
      </c>
      <c r="F7" s="190" t="n"/>
      <c r="G7" s="190" t="n"/>
      <c r="H7" s="201" t="inlineStr">
        <is>
          <t>잔여 예산: 489,289,112원 (소진율 38.8%)</t>
        </is>
      </c>
      <c r="I7" s="192" t="n"/>
      <c r="J7" s="192" t="n"/>
      <c r="K7" s="202" t="inlineStr">
        <is>
          <t>8월 순수: 401,915건 (+113.5% 증가)</t>
        </is>
      </c>
      <c r="L7" s="194" t="n"/>
      <c r="M7" s="194" t="n"/>
    </row>
    <row r="10">
      <c r="B10" s="203" t="inlineStr">
        <is>
          <t>1. 기획전별 실적 종합 비교 분석표 (농산물 마케터 vs 유기농)</t>
        </is>
      </c>
    </row>
    <row r="11">
      <c r="B11" s="158" t="inlineStr">
        <is>
          <t>기획전 구분</t>
        </is>
      </c>
      <c r="C11" s="158" t="inlineStr">
        <is>
          <t>배정 예산</t>
        </is>
      </c>
      <c r="D11" s="158" t="inlineStr">
        <is>
          <t>7월 쿠폰사용액</t>
        </is>
      </c>
      <c r="E11" s="158" t="inlineStr">
        <is>
          <t>8월 순수 쿠폰</t>
        </is>
      </c>
      <c r="F11" s="158" t="inlineStr">
        <is>
          <t>누적 쿠폰사용액</t>
        </is>
      </c>
      <c r="G11" s="158" t="inlineStr">
        <is>
          <t>쿠폰 소진율</t>
        </is>
      </c>
      <c r="H11" s="158" t="inlineStr">
        <is>
          <t>7월 매출액</t>
        </is>
      </c>
      <c r="I11" s="158" t="inlineStr">
        <is>
          <t>8월 순수 매출액</t>
        </is>
      </c>
      <c r="J11" s="158" t="inlineStr">
        <is>
          <t>누적 총 매출액</t>
        </is>
      </c>
      <c r="K11" s="158" t="inlineStr">
        <is>
          <t>누적 판매건수</t>
        </is>
      </c>
      <c r="L11" s="158" t="inlineStr">
        <is>
          <t>참여 업체수</t>
        </is>
      </c>
      <c r="M11" s="158" t="inlineStr">
        <is>
          <t>참여 상품수</t>
        </is>
      </c>
    </row>
    <row r="12">
      <c r="B12" s="163" t="inlineStr">
        <is>
          <t>🌾 농산물 온라인 마케터</t>
        </is>
      </c>
      <c r="C12" s="204" t="n">
        <v>700000000</v>
      </c>
      <c r="D12" s="204">
        <f>분석!D62</f>
        <v/>
      </c>
      <c r="E12" s="204">
        <f>분석!D63</f>
        <v/>
      </c>
      <c r="F12" s="204">
        <f>분석!D61</f>
        <v/>
      </c>
      <c r="G12" s="205">
        <f>F12/C12</f>
        <v/>
      </c>
      <c r="H12" s="204">
        <f>분석!D70</f>
        <v/>
      </c>
      <c r="I12" s="204">
        <f>분석!D71</f>
        <v/>
      </c>
      <c r="J12" s="204">
        <f>분석!D69</f>
        <v/>
      </c>
      <c r="K12" s="204">
        <f>분석!D75</f>
        <v/>
      </c>
      <c r="L12" s="204">
        <f>분석!D54</f>
        <v/>
      </c>
      <c r="M12" s="204">
        <f>분석!D55</f>
        <v/>
      </c>
    </row>
    <row r="13">
      <c r="B13" s="163" t="inlineStr">
        <is>
          <t>🌿 유기농 기획전</t>
        </is>
      </c>
      <c r="C13" s="204" t="n">
        <v>100000000</v>
      </c>
      <c r="D13" s="204">
        <f>분석!D131</f>
        <v/>
      </c>
      <c r="E13" s="204">
        <f>분석!D132</f>
        <v/>
      </c>
      <c r="F13" s="204">
        <f>분석!D130</f>
        <v/>
      </c>
      <c r="G13" s="205">
        <f>F13/C13</f>
        <v/>
      </c>
      <c r="H13" s="204">
        <f>분석!D139</f>
        <v/>
      </c>
      <c r="I13" s="204">
        <f>분석!D140</f>
        <v/>
      </c>
      <c r="J13" s="204">
        <f>분석!D138</f>
        <v/>
      </c>
      <c r="K13" s="204">
        <f>분석!D144</f>
        <v/>
      </c>
      <c r="L13" s="204">
        <f>분석!D123</f>
        <v/>
      </c>
      <c r="M13" s="204">
        <f>분석!D124</f>
        <v/>
      </c>
    </row>
    <row r="14">
      <c r="B14" s="172" t="inlineStr">
        <is>
          <t>전체 기획전 합계</t>
        </is>
      </c>
      <c r="C14" s="177">
        <f>C12+C13</f>
        <v/>
      </c>
      <c r="D14" s="177">
        <f>D12+D13</f>
        <v/>
      </c>
      <c r="E14" s="177">
        <f>E12+E13</f>
        <v/>
      </c>
      <c r="F14" s="177">
        <f>F12+F13</f>
        <v/>
      </c>
      <c r="G14" s="206">
        <f>F14/C14</f>
        <v/>
      </c>
      <c r="H14" s="177">
        <f>H12+H13</f>
        <v/>
      </c>
      <c r="I14" s="177">
        <f>I12+I13</f>
        <v/>
      </c>
      <c r="J14" s="177">
        <f>J12+J13</f>
        <v/>
      </c>
      <c r="K14" s="177">
        <f>K12+K13</f>
        <v/>
      </c>
      <c r="L14" s="177">
        <f>L12+L13</f>
        <v/>
      </c>
      <c r="M14" s="177">
        <f>M12+M13</f>
        <v/>
      </c>
    </row>
    <row r="17">
      <c r="B17" s="203" t="inlineStr">
        <is>
          <t>2. 유통사별 실적 종합 현황 (농산물 온라인 마케터 기준)</t>
        </is>
      </c>
    </row>
    <row r="18">
      <c r="B18" s="158" t="inlineStr">
        <is>
          <t>유통사명</t>
        </is>
      </c>
      <c r="C18" s="158" t="inlineStr">
        <is>
          <t>배정 예산</t>
        </is>
      </c>
      <c r="D18" s="158" t="inlineStr">
        <is>
          <t>누적 쿠폰사용액</t>
        </is>
      </c>
      <c r="E18" s="158" t="inlineStr">
        <is>
          <t>쿠폰 소진율</t>
        </is>
      </c>
      <c r="F18" s="158" t="inlineStr">
        <is>
          <t>잔여 예산액</t>
        </is>
      </c>
      <c r="G18" s="158" t="inlineStr">
        <is>
          <t>7월 매출액</t>
        </is>
      </c>
      <c r="H18" s="158" t="inlineStr">
        <is>
          <t>8월 순수 매출액</t>
        </is>
      </c>
      <c r="I18" s="158" t="inlineStr">
        <is>
          <t>누적 총 매출액</t>
        </is>
      </c>
      <c r="J18" s="158" t="inlineStr">
        <is>
          <t>매출 비중(%)</t>
        </is>
      </c>
      <c r="K18" s="158" t="inlineStr">
        <is>
          <t>누적 판매건수</t>
        </is>
      </c>
      <c r="L18" s="158" t="inlineStr">
        <is>
          <t>실시간 정합성</t>
        </is>
      </c>
    </row>
    <row r="19">
      <c r="B19" s="168" t="inlineStr">
        <is>
          <t>네이버</t>
        </is>
      </c>
      <c r="C19" s="204" t="n">
        <v>250000000</v>
      </c>
      <c r="D19" s="204">
        <f>분석!E61</f>
        <v/>
      </c>
      <c r="E19" s="207">
        <f>D19/C19</f>
        <v/>
      </c>
      <c r="F19" s="204">
        <f>C19-D19</f>
        <v/>
      </c>
      <c r="G19" s="204">
        <f>분석!E70</f>
        <v/>
      </c>
      <c r="H19" s="204">
        <f>분석!E71</f>
        <v/>
      </c>
      <c r="I19" s="204">
        <f>분석!E69</f>
        <v/>
      </c>
      <c r="J19" s="207">
        <f>I19/I25</f>
        <v/>
      </c>
      <c r="K19" s="204">
        <f>분석!E75</f>
        <v/>
      </c>
      <c r="L19" s="208" t="inlineStr">
        <is>
          <t>정상 연동</t>
        </is>
      </c>
    </row>
    <row r="20">
      <c r="B20" s="168" t="inlineStr">
        <is>
          <t>지마켓</t>
        </is>
      </c>
      <c r="C20" s="204" t="n">
        <v>175000000</v>
      </c>
      <c r="D20" s="204">
        <f>분석!F61</f>
        <v/>
      </c>
      <c r="E20" s="207">
        <f>D20/C20</f>
        <v/>
      </c>
      <c r="F20" s="204">
        <f>C20-D20</f>
        <v/>
      </c>
      <c r="G20" s="204">
        <f>분석!F70</f>
        <v/>
      </c>
      <c r="H20" s="204">
        <f>분석!F71</f>
        <v/>
      </c>
      <c r="I20" s="204">
        <f>분석!F69</f>
        <v/>
      </c>
      <c r="J20" s="207">
        <f>I20/I25</f>
        <v/>
      </c>
      <c r="K20" s="204">
        <f>분석!F75</f>
        <v/>
      </c>
      <c r="L20" s="208" t="inlineStr">
        <is>
          <t>정상 연동</t>
        </is>
      </c>
    </row>
    <row r="21">
      <c r="B21" s="168" t="inlineStr">
        <is>
          <t>롯데ON</t>
        </is>
      </c>
      <c r="C21" s="204" t="n">
        <v>115000000</v>
      </c>
      <c r="D21" s="204">
        <f>분석!G61</f>
        <v/>
      </c>
      <c r="E21" s="207">
        <f>D21/C21</f>
        <v/>
      </c>
      <c r="F21" s="204">
        <f>C21-D21</f>
        <v/>
      </c>
      <c r="G21" s="204">
        <f>분석!G70</f>
        <v/>
      </c>
      <c r="H21" s="204">
        <f>분석!G71</f>
        <v/>
      </c>
      <c r="I21" s="204">
        <f>분석!G69</f>
        <v/>
      </c>
      <c r="J21" s="207">
        <f>I21/I25</f>
        <v/>
      </c>
      <c r="K21" s="204">
        <f>분석!G75</f>
        <v/>
      </c>
      <c r="L21" s="208" t="inlineStr">
        <is>
          <t>정상 연동</t>
        </is>
      </c>
    </row>
    <row r="22">
      <c r="B22" s="168" t="inlineStr">
        <is>
          <t>온누리마켓</t>
        </is>
      </c>
      <c r="C22" s="204" t="n">
        <v>60000000</v>
      </c>
      <c r="D22" s="204">
        <f>분석!H61</f>
        <v/>
      </c>
      <c r="E22" s="207">
        <f>D22/C22</f>
        <v/>
      </c>
      <c r="F22" s="204">
        <f>C22-D22</f>
        <v/>
      </c>
      <c r="G22" s="204">
        <f>분석!H70</f>
        <v/>
      </c>
      <c r="H22" s="204">
        <f>분석!H71</f>
        <v/>
      </c>
      <c r="I22" s="204">
        <f>분석!H69</f>
        <v/>
      </c>
      <c r="J22" s="207">
        <f>I22/I25</f>
        <v/>
      </c>
      <c r="K22" s="204">
        <f>분석!H75</f>
        <v/>
      </c>
      <c r="L22" s="208" t="inlineStr">
        <is>
          <t>정상 연동</t>
        </is>
      </c>
    </row>
    <row r="23">
      <c r="B23" s="168" t="inlineStr">
        <is>
          <t>농가살리기</t>
        </is>
      </c>
      <c r="C23" s="204" t="n">
        <v>40000000</v>
      </c>
      <c r="D23" s="204">
        <f>분석!I61</f>
        <v/>
      </c>
      <c r="E23" s="207">
        <f>D23/C23</f>
        <v/>
      </c>
      <c r="F23" s="204">
        <f>C23-D23</f>
        <v/>
      </c>
      <c r="G23" s="204">
        <f>분석!I70</f>
        <v/>
      </c>
      <c r="H23" s="204">
        <f>분석!I71</f>
        <v/>
      </c>
      <c r="I23" s="204">
        <f>분석!I69</f>
        <v/>
      </c>
      <c r="J23" s="207">
        <f>I23/I25</f>
        <v/>
      </c>
      <c r="K23" s="204">
        <f>분석!I75</f>
        <v/>
      </c>
      <c r="L23" s="208" t="inlineStr">
        <is>
          <t>정상 연동</t>
        </is>
      </c>
    </row>
    <row r="24">
      <c r="B24" s="168" t="inlineStr">
        <is>
          <t>오아시스</t>
        </is>
      </c>
      <c r="C24" s="204" t="n">
        <v>60000000</v>
      </c>
      <c r="D24" s="204">
        <f>분석!J61</f>
        <v/>
      </c>
      <c r="E24" s="207">
        <f>D24/C24</f>
        <v/>
      </c>
      <c r="F24" s="204">
        <f>C24-D24</f>
        <v/>
      </c>
      <c r="G24" s="204">
        <f>분석!J70</f>
        <v/>
      </c>
      <c r="H24" s="204">
        <f>분석!J71</f>
        <v/>
      </c>
      <c r="I24" s="204">
        <f>분석!J69</f>
        <v/>
      </c>
      <c r="J24" s="207">
        <f>I24/I25</f>
        <v/>
      </c>
      <c r="K24" s="204">
        <f>분석!J75</f>
        <v/>
      </c>
      <c r="L24" s="208" t="inlineStr">
        <is>
          <t>정상 연동</t>
        </is>
      </c>
    </row>
    <row r="25">
      <c r="B25" s="172" t="inlineStr">
        <is>
          <t>합 계</t>
        </is>
      </c>
      <c r="C25" s="177">
        <f>SUM(C19:C24)</f>
        <v/>
      </c>
      <c r="D25" s="177">
        <f>SUM(D19:D24)</f>
        <v/>
      </c>
      <c r="E25" s="209">
        <f>D25/C25</f>
        <v/>
      </c>
      <c r="F25" s="177">
        <f>SUM(F19:F24)</f>
        <v/>
      </c>
      <c r="G25" s="177">
        <f>SUM(G19:G24)</f>
        <v/>
      </c>
      <c r="H25" s="177">
        <f>SUM(H19:H24)</f>
        <v/>
      </c>
      <c r="I25" s="177">
        <f>SUM(I19:I24)</f>
        <v/>
      </c>
      <c r="J25" s="172" t="inlineStr">
        <is>
          <t>100.0%</t>
        </is>
      </c>
      <c r="K25" s="177">
        <f>SUM(K19:K24)</f>
        <v/>
      </c>
      <c r="L25" s="172" t="inlineStr">
        <is>
          <t>오차 0원 / 일치</t>
        </is>
      </c>
    </row>
    <row r="28">
      <c r="B28" s="203" t="inlineStr">
        <is>
          <t>3. 품목분류별 매출 및 쿠폰 사용 현황 (8월 순수 실적)</t>
        </is>
      </c>
    </row>
    <row r="29">
      <c r="B29" s="158" t="inlineStr">
        <is>
          <t>품목 분류</t>
        </is>
      </c>
      <c r="C29" s="158" t="inlineStr">
        <is>
          <t>8월 순수 매출액</t>
        </is>
      </c>
      <c r="D29" s="158" t="inlineStr">
        <is>
          <t>매출 비중(%)</t>
        </is>
      </c>
      <c r="E29" s="158" t="inlineStr">
        <is>
          <t>8월 순수 쿠폰액</t>
        </is>
      </c>
      <c r="F29" s="158" t="inlineStr">
        <is>
          <t>쿠폰 비중(%)</t>
        </is>
      </c>
      <c r="G29" s="158" t="inlineStr">
        <is>
          <t>8월 순수 판매건수</t>
        </is>
      </c>
      <c r="H29" s="158" t="inlineStr">
        <is>
          <t>건수 비중(%)</t>
        </is>
      </c>
      <c r="I29" s="158" t="inlineStr">
        <is>
          <t>비고</t>
        </is>
      </c>
    </row>
    <row r="30">
      <c r="B30" s="160" t="inlineStr">
        <is>
          <t>농산물</t>
        </is>
      </c>
      <c r="C30" s="204">
        <f>분석!D97</f>
        <v/>
      </c>
      <c r="D30" s="207">
        <f>C30/C33</f>
        <v/>
      </c>
      <c r="E30" s="204">
        <f>분석!D84</f>
        <v/>
      </c>
      <c r="F30" s="207">
        <f>E30/E33</f>
        <v/>
      </c>
      <c r="G30" s="204">
        <f>분석!D110</f>
        <v/>
      </c>
      <c r="H30" s="207">
        <f>G30/G33</f>
        <v/>
      </c>
      <c r="I30" s="163" t="inlineStr">
        <is>
          <t>분석 시트 표 5~7 자동 연동</t>
        </is>
      </c>
    </row>
    <row r="31">
      <c r="B31" s="160" t="inlineStr">
        <is>
          <t>축산물</t>
        </is>
      </c>
      <c r="C31" s="204">
        <f>분석!D100</f>
        <v/>
      </c>
      <c r="D31" s="207">
        <f>C31/C33</f>
        <v/>
      </c>
      <c r="E31" s="204">
        <f>분석!D87</f>
        <v/>
      </c>
      <c r="F31" s="207">
        <f>E31/E33</f>
        <v/>
      </c>
      <c r="G31" s="204">
        <f>분석!D113</f>
        <v/>
      </c>
      <c r="H31" s="207">
        <f>G31/G33</f>
        <v/>
      </c>
      <c r="I31" s="163" t="inlineStr">
        <is>
          <t>분석 시트 표 5~7 자동 연동</t>
        </is>
      </c>
    </row>
    <row r="32">
      <c r="B32" s="160" t="inlineStr">
        <is>
          <t>가공식품</t>
        </is>
      </c>
      <c r="C32" s="204">
        <f>분석!D103</f>
        <v/>
      </c>
      <c r="D32" s="207">
        <f>C32/C33</f>
        <v/>
      </c>
      <c r="E32" s="204">
        <f>분석!D90</f>
        <v/>
      </c>
      <c r="F32" s="207">
        <f>E32/E33</f>
        <v/>
      </c>
      <c r="G32" s="204">
        <f>분석!D116</f>
        <v/>
      </c>
      <c r="H32" s="207">
        <f>G32/G33</f>
        <v/>
      </c>
      <c r="I32" s="163" t="inlineStr">
        <is>
          <t>분석 시트 표 5~7 자동 연동</t>
        </is>
      </c>
    </row>
    <row r="33">
      <c r="B33" s="172" t="inlineStr">
        <is>
          <t>품목 합계</t>
        </is>
      </c>
      <c r="C33" s="177">
        <f>SUM(C30:C32)</f>
        <v/>
      </c>
      <c r="D33" s="172" t="inlineStr">
        <is>
          <t>100.0%</t>
        </is>
      </c>
      <c r="E33" s="177">
        <f>SUM(E30:E32)</f>
        <v/>
      </c>
      <c r="F33" s="172" t="inlineStr">
        <is>
          <t>100.0%</t>
        </is>
      </c>
      <c r="G33" s="177">
        <f>SUM(G30:G32)</f>
        <v/>
      </c>
      <c r="H33" s="172" t="inlineStr">
        <is>
          <t>100.0%</t>
        </is>
      </c>
      <c r="I33" s="172" t="inlineStr">
        <is>
          <t>전체 실적과 100% 일치</t>
        </is>
      </c>
    </row>
    <row r="36">
      <c r="B36" s="203" t="inlineStr">
        <is>
          <t>4. 이상치 검토 및 세부 시트 안내</t>
        </is>
      </c>
    </row>
    <row r="37">
      <c r="B37" s="210" t="inlineStr">
        <is>
          <t>📌 시트 바로가기 안내:</t>
        </is>
      </c>
      <c r="C37" s="176" t="inlineStr">
        <is>
          <t>• [분석] 시트: 공식 SUMIFS 수식이 걸린 원본 표 1~7 확인</t>
        </is>
      </c>
    </row>
    <row r="38">
      <c r="C38" s="176" t="inlineStr">
        <is>
          <t>• [※ 이상치 및 규정검토] 시트: 농가 품목변경 38건, 누적 역전 4건, 800만원 한도 상위 10개 업체 전수 리포트 확인</t>
        </is>
      </c>
    </row>
    <row r="39">
      <c r="C39" s="176" t="inlineStr">
        <is>
          <t>• [※ 피벗_교차검증] 시트: 로우데이터 수동 피벗테이블 집계치와 분석 시트 수치 간 1원 단위 대조표 확인</t>
        </is>
      </c>
    </row>
    <row r="40">
      <c r="C40" s="176" t="inlineStr">
        <is>
          <t>• [농산물업체] / [유기농업체] 시트: 업체별 누적 매출, 판촉액, 판매건수, 쿠폰 소진율(800만원 대비) 실시간 자동 집계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0"/>
  <sheetViews>
    <sheetView showGridLines="0" topLeftCell="A37" zoomScale="85" zoomScaleNormal="85" workbookViewId="0">
      <selection activeCell="G39" sqref="G39"/>
    </sheetView>
  </sheetViews>
  <sheetFormatPr baseColWidth="8" defaultRowHeight="17.4"/>
  <cols>
    <col width="3" customWidth="1" style="21" min="1" max="1"/>
    <col width="14" customWidth="1" style="21" min="2" max="2"/>
    <col width="12" bestFit="1" customWidth="1" style="21" min="3" max="3"/>
    <col width="16" customWidth="1" style="21" min="4" max="13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</cols>
  <sheetData>
    <row r="1" ht="19.2" customHeight="1" s="21">
      <c r="B1" s="46" t="inlineStr">
        <is>
          <t>※ 전체 기획전 결과</t>
        </is>
      </c>
      <c r="C1" s="48" t="n"/>
    </row>
    <row r="3">
      <c r="B3" s="37" t="inlineStr">
        <is>
          <t>1. 해당 월 참여 상품 수 및 업체수</t>
        </is>
      </c>
    </row>
    <row r="4">
      <c r="B4" s="38" t="inlineStr">
        <is>
          <t>구분</t>
        </is>
      </c>
      <c r="C4" s="38" t="inlineStr">
        <is>
          <t>총 계</t>
        </is>
      </c>
      <c r="D4" s="106" t="inlineStr">
        <is>
          <t>농부가바로팜</t>
        </is>
      </c>
      <c r="E4" s="110" t="n"/>
      <c r="F4" s="110" t="n"/>
      <c r="G4" s="110" t="n"/>
      <c r="H4" s="110" t="n"/>
      <c r="I4" s="110" t="n"/>
      <c r="J4" s="111" t="n"/>
      <c r="K4" s="104" t="inlineStr">
        <is>
          <t>친환경</t>
        </is>
      </c>
      <c r="L4" s="110" t="n"/>
      <c r="M4" s="111" t="n"/>
    </row>
    <row r="5">
      <c r="B5" s="112" t="n"/>
      <c r="C5" s="112" t="n"/>
      <c r="D5" s="106" t="inlineStr">
        <is>
          <t>소 계</t>
        </is>
      </c>
      <c r="E5" s="106" t="inlineStr">
        <is>
          <t>네이버</t>
        </is>
      </c>
      <c r="F5" s="106" t="inlineStr">
        <is>
          <t>지마켓</t>
        </is>
      </c>
      <c r="G5" s="106" t="inlineStr">
        <is>
          <t>롯데ON</t>
        </is>
      </c>
      <c r="H5" s="106" t="inlineStr">
        <is>
          <t>온누리마켓</t>
        </is>
      </c>
      <c r="I5" s="106" t="inlineStr">
        <is>
          <t>농가살리기</t>
        </is>
      </c>
      <c r="J5" s="106" t="inlineStr">
        <is>
          <t>오아시스</t>
        </is>
      </c>
      <c r="K5" s="104" t="inlineStr">
        <is>
          <t>소 계</t>
        </is>
      </c>
      <c r="L5" s="104" t="inlineStr">
        <is>
          <t>네이버</t>
        </is>
      </c>
      <c r="M5" s="104" t="inlineStr">
        <is>
          <t>오아시스</t>
        </is>
      </c>
    </row>
    <row r="6">
      <c r="B6" s="38" t="inlineStr">
        <is>
          <t>업체수</t>
        </is>
      </c>
      <c r="C6" s="41">
        <f>D6+K6</f>
        <v/>
      </c>
      <c r="D6" s="42">
        <f>SUM(E6:J6)</f>
        <v/>
      </c>
      <c r="E6" s="43" t="n">
        <v>136</v>
      </c>
      <c r="F6" s="43" t="n">
        <v>53</v>
      </c>
      <c r="G6" s="43" t="n">
        <v>47</v>
      </c>
      <c r="H6" s="43" t="n">
        <v>24</v>
      </c>
      <c r="I6" s="43" t="n">
        <v>9</v>
      </c>
      <c r="J6" s="43" t="n">
        <v>16</v>
      </c>
      <c r="K6" s="44">
        <f>SUM(L6:M6)</f>
        <v/>
      </c>
      <c r="L6" s="43" t="n">
        <v>26</v>
      </c>
      <c r="M6" s="43" t="n">
        <v>29</v>
      </c>
    </row>
    <row r="7">
      <c r="B7" s="53" t="inlineStr">
        <is>
          <t>7월</t>
        </is>
      </c>
      <c r="C7" s="54">
        <f>SUM(D7,K7)</f>
        <v/>
      </c>
      <c r="D7" s="42">
        <f>SUM(E7:J7)</f>
        <v/>
      </c>
      <c r="E7" s="43" t="n">
        <v>82</v>
      </c>
      <c r="F7" s="43" t="n">
        <v>36</v>
      </c>
      <c r="G7" s="43" t="n">
        <v>32</v>
      </c>
      <c r="H7" s="43" t="n">
        <v>17</v>
      </c>
      <c r="I7" s="43" t="n">
        <v>6</v>
      </c>
      <c r="J7" s="43" t="n">
        <v>13</v>
      </c>
      <c r="K7" s="44">
        <f>SUM(L7:M7)</f>
        <v/>
      </c>
      <c r="L7" s="43" t="n">
        <v>16</v>
      </c>
      <c r="M7" s="43" t="n">
        <v>16</v>
      </c>
    </row>
    <row r="8">
      <c r="B8" s="211" t="inlineStr">
        <is>
          <t>8월</t>
        </is>
      </c>
      <c r="C8" s="212">
        <f>SUM(D8,K8)</f>
        <v/>
      </c>
      <c r="D8" s="213">
        <f>SUM(E8:J8)</f>
        <v/>
      </c>
      <c r="E8" s="214" t="n">
        <v>93</v>
      </c>
      <c r="F8" s="214" t="n">
        <v>41</v>
      </c>
      <c r="G8" s="214" t="n">
        <v>34</v>
      </c>
      <c r="H8" s="214" t="n">
        <v>19</v>
      </c>
      <c r="I8" s="214" t="n">
        <v>7</v>
      </c>
      <c r="J8" s="214" t="n">
        <v>13</v>
      </c>
      <c r="K8" s="215">
        <f>SUM(L8:M8)</f>
        <v/>
      </c>
      <c r="L8" s="214" t="n">
        <v>18</v>
      </c>
      <c r="M8" s="214" t="n">
        <v>17</v>
      </c>
    </row>
    <row r="9">
      <c r="B9" s="217" t="inlineStr">
        <is>
          <t>상품수(7월)</t>
        </is>
      </c>
      <c r="C9" s="218">
        <f>D9+K9</f>
        <v/>
      </c>
      <c r="D9" s="219">
        <f>SUM(E9:J9)</f>
        <v/>
      </c>
      <c r="E9" s="220" t="n">
        <v>388</v>
      </c>
      <c r="F9" s="220" t="n">
        <v>258</v>
      </c>
      <c r="G9" s="220" t="n">
        <v>313</v>
      </c>
      <c r="H9" s="220" t="n">
        <v>55</v>
      </c>
      <c r="I9" s="220" t="n">
        <v>29</v>
      </c>
      <c r="J9" s="220" t="n">
        <v>87</v>
      </c>
      <c r="K9" s="221">
        <f>SUM(L9:M9)</f>
        <v/>
      </c>
      <c r="L9" s="220" t="n">
        <v>85</v>
      </c>
      <c r="M9" s="220" t="n">
        <v>90</v>
      </c>
    </row>
    <row r="10">
      <c r="B10" s="222" t="inlineStr">
        <is>
          <t>상품수(8월)</t>
        </is>
      </c>
      <c r="C10" s="223">
        <f>D10+K10</f>
        <v/>
      </c>
      <c r="D10" s="223">
        <f>SUM(E10:J10)</f>
        <v/>
      </c>
      <c r="E10" s="220">
        <f>COUNTIF('①농산물raw'!$A$6:$A$2454,E$5)</f>
        <v/>
      </c>
      <c r="F10" s="220">
        <f>COUNTIF('①농산물raw'!$A$6:$A$2454,F$5)</f>
        <v/>
      </c>
      <c r="G10" s="220">
        <f>COUNTIF('①농산물raw'!$A$6:$A$2454,G$5)</f>
        <v/>
      </c>
      <c r="H10" s="220">
        <f>COUNTIF('①농산물raw'!$A$6:$A$2454,H$5)</f>
        <v/>
      </c>
      <c r="I10" s="220">
        <f>COUNTIF('①농산물raw'!$A$6:$A$2454,I$5)</f>
        <v/>
      </c>
      <c r="J10" s="220">
        <f>COUNTIF('①농산물raw'!$A$6:$A$2454,J$5)</f>
        <v/>
      </c>
      <c r="K10" s="223">
        <f>SUM(L10:M10)</f>
        <v/>
      </c>
      <c r="L10" s="220">
        <f>COUNTIF('②유기농raw'!$A$6:$A$1000,L$5)</f>
        <v/>
      </c>
      <c r="M10" s="220">
        <f>COUNTIF('②유기농raw'!$A$6:$A$1000,M$5)</f>
        <v/>
      </c>
    </row>
    <row r="11">
      <c r="B11" s="37" t="inlineStr">
        <is>
          <t>2. 유통사 별 쿠폰 사용액</t>
        </is>
      </c>
      <c r="C11" s="38" t="n"/>
      <c r="D11" s="106" t="n"/>
      <c r="K11" s="104" t="n"/>
    </row>
    <row r="12">
      <c r="B12" s="38" t="inlineStr">
        <is>
          <t>구분</t>
        </is>
      </c>
      <c r="C12" s="38" t="inlineStr">
        <is>
          <t>총 계</t>
        </is>
      </c>
      <c r="D12" s="106" t="inlineStr">
        <is>
          <t>농부가바로팜</t>
        </is>
      </c>
      <c r="E12" s="110" t="n"/>
      <c r="F12" s="110" t="n"/>
      <c r="G12" s="110" t="n"/>
      <c r="H12" s="110" t="n"/>
      <c r="I12" s="110" t="n"/>
      <c r="J12" s="111" t="n"/>
      <c r="K12" s="104" t="inlineStr">
        <is>
          <t>친환경</t>
        </is>
      </c>
      <c r="L12" s="110" t="n"/>
      <c r="M12" s="111" t="n"/>
    </row>
    <row r="13">
      <c r="B13" s="112" t="n"/>
      <c r="C13" s="112" t="n"/>
      <c r="D13" s="106" t="inlineStr">
        <is>
          <t>소 계</t>
        </is>
      </c>
      <c r="E13" s="106" t="inlineStr">
        <is>
          <t>네이버</t>
        </is>
      </c>
      <c r="F13" s="106" t="inlineStr">
        <is>
          <t>지마켓</t>
        </is>
      </c>
      <c r="G13" s="106" t="inlineStr">
        <is>
          <t>롯데ON</t>
        </is>
      </c>
      <c r="H13" s="106" t="inlineStr">
        <is>
          <t>온누리마켓</t>
        </is>
      </c>
      <c r="I13" s="106" t="inlineStr">
        <is>
          <t>농가살리기</t>
        </is>
      </c>
      <c r="J13" s="106" t="inlineStr">
        <is>
          <t>오아시스</t>
        </is>
      </c>
      <c r="K13" s="104" t="inlineStr">
        <is>
          <t>소 계</t>
        </is>
      </c>
      <c r="L13" s="104" t="inlineStr">
        <is>
          <t>네이버</t>
        </is>
      </c>
      <c r="M13" s="104" t="inlineStr">
        <is>
          <t>오아시스</t>
        </is>
      </c>
    </row>
    <row r="14">
      <c r="B14" s="38" t="inlineStr">
        <is>
          <t>쿠폰 사용액</t>
        </is>
      </c>
      <c r="C14" s="41">
        <f>D14+K14</f>
        <v/>
      </c>
      <c r="D14" s="42">
        <f>SUM(E14:J14)</f>
        <v/>
      </c>
      <c r="E14" s="216">
        <f>SUMIF('①농산물raw'!$A$6:$A$2454,E$13,'①농산물raw'!$H$6:$H$2454)</f>
        <v/>
      </c>
      <c r="F14" s="216">
        <f>SUMIF('①농산물raw'!$A$6:$A$2454,F$13,'①농산물raw'!$H$6:$H$2454)</f>
        <v/>
      </c>
      <c r="G14" s="216">
        <f>SUMIF('①농산물raw'!$A$6:$A$2454,G$13,'①농산물raw'!$H$6:$H$2454)</f>
        <v/>
      </c>
      <c r="H14" s="216">
        <f>SUMIF('①농산물raw'!$A$6:$A$2454,H$13,'①농산물raw'!$H$6:$H$2454)</f>
        <v/>
      </c>
      <c r="I14" s="216">
        <f>SUMIF('①농산물raw'!$A$6:$A$2454,I$13,'①농산물raw'!$H$6:$H$2454)</f>
        <v/>
      </c>
      <c r="J14" s="216">
        <f>SUMIF('①농산물raw'!$A$6:$A$2454,J$13,'①농산물raw'!$H$6:$H$2454)</f>
        <v/>
      </c>
      <c r="K14" s="44">
        <f>SUM(L14:M14)</f>
        <v/>
      </c>
      <c r="L14" s="216">
        <f>SUMIF('②유기농raw'!$A$6:$A$1000,L$13,'②유기농raw'!$H$6:$H$1000)</f>
        <v/>
      </c>
      <c r="M14" s="216">
        <f>SUMIF('②유기농raw'!$A$6:$A$1000,M$13,'②유기농raw'!$H$6:$H$1000)</f>
        <v/>
      </c>
    </row>
    <row r="15">
      <c r="B15" s="37" t="n"/>
    </row>
    <row r="16">
      <c r="B16" s="37" t="inlineStr">
        <is>
          <t>3. 유통사 별 매출 분석</t>
        </is>
      </c>
      <c r="C16" s="38" t="n"/>
      <c r="D16" s="106" t="n"/>
      <c r="K16" s="104" t="n"/>
    </row>
    <row r="17">
      <c r="B17" s="38" t="inlineStr">
        <is>
          <t>구분</t>
        </is>
      </c>
      <c r="C17" s="38" t="inlineStr">
        <is>
          <t>총 계</t>
        </is>
      </c>
      <c r="D17" s="106" t="inlineStr">
        <is>
          <t>농부가바로팜</t>
        </is>
      </c>
      <c r="E17" s="110" t="n"/>
      <c r="F17" s="110" t="n"/>
      <c r="G17" s="110" t="n"/>
      <c r="H17" s="110" t="n"/>
      <c r="I17" s="110" t="n"/>
      <c r="J17" s="111" t="n"/>
      <c r="K17" s="104" t="inlineStr">
        <is>
          <t>친환경</t>
        </is>
      </c>
      <c r="L17" s="110" t="n"/>
      <c r="M17" s="111" t="n"/>
    </row>
    <row r="18">
      <c r="B18" s="112" t="n"/>
      <c r="C18" s="112" t="n"/>
      <c r="D18" s="106" t="inlineStr">
        <is>
          <t>소 계</t>
        </is>
      </c>
      <c r="E18" s="106" t="inlineStr">
        <is>
          <t>네이버</t>
        </is>
      </c>
      <c r="F18" s="106" t="inlineStr">
        <is>
          <t>지마켓</t>
        </is>
      </c>
      <c r="G18" s="106" t="inlineStr">
        <is>
          <t>롯데ON</t>
        </is>
      </c>
      <c r="H18" s="106" t="inlineStr">
        <is>
          <t>온누리마켓</t>
        </is>
      </c>
      <c r="I18" s="106" t="inlineStr">
        <is>
          <t>농가살리기</t>
        </is>
      </c>
      <c r="J18" s="106" t="inlineStr">
        <is>
          <t>오아시스</t>
        </is>
      </c>
      <c r="K18" s="104" t="inlineStr">
        <is>
          <t>소 계</t>
        </is>
      </c>
      <c r="L18" s="104" t="inlineStr">
        <is>
          <t>네이버</t>
        </is>
      </c>
      <c r="M18" s="104" t="inlineStr">
        <is>
          <t>오아시스</t>
        </is>
      </c>
    </row>
    <row r="19">
      <c r="B19" s="38" t="inlineStr">
        <is>
          <t>매출액</t>
        </is>
      </c>
      <c r="C19" s="41">
        <f>D19+K19</f>
        <v/>
      </c>
      <c r="D19" s="42">
        <f>SUM(E19:J19)</f>
        <v/>
      </c>
      <c r="E19" s="216">
        <f>SUMIF('①농산물raw'!$A$6:$A$2454,E$18,'①농산물raw'!$G$6:$G$2454)</f>
        <v/>
      </c>
      <c r="F19" s="216">
        <f>SUMIF('①농산물raw'!$A$6:$A$2454,F$18,'①농산물raw'!$G$6:$G$2454)</f>
        <v/>
      </c>
      <c r="G19" s="216">
        <f>SUMIF('①농산물raw'!$A$6:$A$2454,G$18,'①농산물raw'!$G$6:$G$2454)</f>
        <v/>
      </c>
      <c r="H19" s="216">
        <f>SUMIF('①농산물raw'!$A$6:$A$2454,H$18,'①농산물raw'!$G$6:$G$2454)</f>
        <v/>
      </c>
      <c r="I19" s="216">
        <f>SUMIF('①농산물raw'!$A$6:$A$2454,I$18,'①농산물raw'!$G$6:$G$2454)</f>
        <v/>
      </c>
      <c r="J19" s="216">
        <f>SUMIF('①농산물raw'!$A$6:$A$2454,J$18,'①농산물raw'!$G$6:$G$2454)</f>
        <v/>
      </c>
      <c r="K19" s="44">
        <f>SUM(L19:M19)</f>
        <v/>
      </c>
      <c r="L19" s="216">
        <f>SUMIF('②유기농raw'!$A$6:$A$1000,L$18,'②유기농raw'!$G$6:$G$1000)</f>
        <v/>
      </c>
      <c r="M19" s="216">
        <f>SUMIF('②유기농raw'!$A$6:$A$1000,M$18,'②유기농raw'!$G$6:$G$1000)</f>
        <v/>
      </c>
    </row>
    <row r="20">
      <c r="B20" s="37" t="n"/>
    </row>
    <row r="21">
      <c r="B21" s="37" t="inlineStr">
        <is>
          <t>4. 유통사 별 판매 건수</t>
        </is>
      </c>
      <c r="C21" s="38" t="n"/>
      <c r="D21" s="106" t="n"/>
      <c r="K21" s="104" t="n"/>
    </row>
    <row r="22">
      <c r="B22" s="38" t="inlineStr">
        <is>
          <t>구분</t>
        </is>
      </c>
      <c r="C22" s="38" t="inlineStr">
        <is>
          <t>총 계</t>
        </is>
      </c>
      <c r="D22" s="106" t="inlineStr">
        <is>
          <t>농부가바로팜</t>
        </is>
      </c>
      <c r="E22" s="110" t="n"/>
      <c r="F22" s="110" t="n"/>
      <c r="G22" s="110" t="n"/>
      <c r="H22" s="110" t="n"/>
      <c r="I22" s="110" t="n"/>
      <c r="J22" s="111" t="n"/>
      <c r="K22" s="104" t="inlineStr">
        <is>
          <t>친환경</t>
        </is>
      </c>
      <c r="L22" s="110" t="n"/>
      <c r="M22" s="111" t="n"/>
    </row>
    <row r="23">
      <c r="B23" s="112" t="n"/>
      <c r="C23" s="112" t="n"/>
      <c r="D23" s="106" t="inlineStr">
        <is>
          <t>소 계</t>
        </is>
      </c>
      <c r="E23" s="106" t="inlineStr">
        <is>
          <t>네이버</t>
        </is>
      </c>
      <c r="F23" s="106" t="inlineStr">
        <is>
          <t>지마켓</t>
        </is>
      </c>
      <c r="G23" s="106" t="inlineStr">
        <is>
          <t>롯데ON</t>
        </is>
      </c>
      <c r="H23" s="106" t="inlineStr">
        <is>
          <t>온누리마켓</t>
        </is>
      </c>
      <c r="I23" s="106" t="inlineStr">
        <is>
          <t>농가살리기</t>
        </is>
      </c>
      <c r="J23" s="106" t="inlineStr">
        <is>
          <t>오아시스</t>
        </is>
      </c>
      <c r="K23" s="104" t="inlineStr">
        <is>
          <t>소 계</t>
        </is>
      </c>
      <c r="L23" s="104" t="inlineStr">
        <is>
          <t>네이버</t>
        </is>
      </c>
      <c r="M23" s="104" t="inlineStr">
        <is>
          <t>오아시스</t>
        </is>
      </c>
    </row>
    <row r="24">
      <c r="B24" s="38" t="inlineStr">
        <is>
          <t>판매건수</t>
        </is>
      </c>
      <c r="C24" s="41">
        <f>D24+K24</f>
        <v/>
      </c>
      <c r="D24" s="42">
        <f>SUM(E24:J24)</f>
        <v/>
      </c>
      <c r="E24" s="216">
        <f>SUMIF('①농산물raw'!$A$6:$A$2454,E$23,'①농산물raw'!$F$6:$F$2454)</f>
        <v/>
      </c>
      <c r="F24" s="216">
        <f>SUMIF('①농산물raw'!$A$6:$A$2454,F$23,'①농산물raw'!$F$6:$F$2454)</f>
        <v/>
      </c>
      <c r="G24" s="216">
        <f>SUMIF('①농산물raw'!$A$6:$A$2454,G$23,'①농산물raw'!$F$6:$F$2454)</f>
        <v/>
      </c>
      <c r="H24" s="216">
        <f>SUMIF('①농산물raw'!$A$6:$A$2454,H$23,'①농산물raw'!$F$6:$F$2454)</f>
        <v/>
      </c>
      <c r="I24" s="216">
        <f>SUMIF('①농산물raw'!$A$6:$A$2454,I$23,'①농산물raw'!$F$6:$F$2454)</f>
        <v/>
      </c>
      <c r="J24" s="216">
        <f>SUMIF('①농산물raw'!$A$6:$A$2454,J$23,'①농산물raw'!$F$6:$F$2454)</f>
        <v/>
      </c>
      <c r="K24" s="44">
        <f>SUM(L24:M24)</f>
        <v/>
      </c>
      <c r="L24" s="216">
        <f>SUMIF('②유기농raw'!$A$6:$A$1000,L$23,'②유기농raw'!$F$6:$F$1000)</f>
        <v/>
      </c>
      <c r="M24" s="216">
        <f>SUMIF('②유기농raw'!$A$6:$A$1000,M$23,'②유기농raw'!$F$6:$F$1000)</f>
        <v/>
      </c>
    </row>
    <row r="25">
      <c r="B25" s="37" t="n"/>
    </row>
    <row r="26">
      <c r="B26" s="37" t="inlineStr">
        <is>
          <t>5. 유통사별 품목별 쿠폰 사용액</t>
        </is>
      </c>
      <c r="C26" s="38" t="n"/>
      <c r="D26" s="106" t="n"/>
      <c r="K26" s="104" t="n"/>
    </row>
    <row r="27">
      <c r="B27" s="38" t="inlineStr">
        <is>
          <t>구분</t>
        </is>
      </c>
      <c r="C27" s="38" t="inlineStr">
        <is>
          <t>총 계</t>
        </is>
      </c>
      <c r="D27" s="106" t="inlineStr">
        <is>
          <t>농부가바로팜</t>
        </is>
      </c>
      <c r="E27" s="110" t="n"/>
      <c r="F27" s="110" t="n"/>
      <c r="G27" s="110" t="n"/>
      <c r="H27" s="110" t="n"/>
      <c r="I27" s="110" t="n"/>
      <c r="J27" s="111" t="n"/>
      <c r="K27" s="104" t="inlineStr">
        <is>
          <t>친환경</t>
        </is>
      </c>
      <c r="L27" s="110" t="n"/>
      <c r="M27" s="111" t="n"/>
    </row>
    <row r="28">
      <c r="B28" s="112" t="n"/>
      <c r="C28" s="112" t="n"/>
      <c r="D28" s="106" t="inlineStr">
        <is>
          <t>소 계</t>
        </is>
      </c>
      <c r="E28" s="106" t="inlineStr">
        <is>
          <t>네이버</t>
        </is>
      </c>
      <c r="F28" s="106" t="inlineStr">
        <is>
          <t>지마켓</t>
        </is>
      </c>
      <c r="G28" s="106" t="inlineStr">
        <is>
          <t>롯데ON</t>
        </is>
      </c>
      <c r="H28" s="106" t="inlineStr">
        <is>
          <t>온누리마켓</t>
        </is>
      </c>
      <c r="I28" s="106" t="inlineStr">
        <is>
          <t>농가살리기</t>
        </is>
      </c>
      <c r="J28" s="106" t="inlineStr">
        <is>
          <t>오아시스</t>
        </is>
      </c>
      <c r="K28" s="104" t="inlineStr">
        <is>
          <t>소 계</t>
        </is>
      </c>
      <c r="L28" s="104" t="inlineStr">
        <is>
          <t>네이버</t>
        </is>
      </c>
      <c r="M28" s="104" t="inlineStr">
        <is>
          <t>오아시스</t>
        </is>
      </c>
    </row>
    <row r="29">
      <c r="B29" s="38" t="inlineStr">
        <is>
          <t>총 계</t>
        </is>
      </c>
      <c r="C29" s="41">
        <f>D29+K29</f>
        <v/>
      </c>
      <c r="D29" s="42">
        <f>SUM(E29:J29)</f>
        <v/>
      </c>
      <c r="E29" s="216">
        <f>SUM(E30:E32)</f>
        <v/>
      </c>
      <c r="F29" s="216">
        <f>SUM(F30:F32)</f>
        <v/>
      </c>
      <c r="G29" s="216">
        <f>SUM(G30:G32)</f>
        <v/>
      </c>
      <c r="H29" s="216">
        <f>SUM(H30:H32)</f>
        <v/>
      </c>
      <c r="I29" s="216">
        <f>SUM(I30:I32)</f>
        <v/>
      </c>
      <c r="J29" s="216">
        <f>SUM(J30:J32)</f>
        <v/>
      </c>
      <c r="K29" s="44">
        <f>SUM(L29:M29)</f>
        <v/>
      </c>
      <c r="L29" s="216">
        <f>SUM(L30:L32)</f>
        <v/>
      </c>
      <c r="M29" s="216">
        <f>SUM(M30:M32)</f>
        <v/>
      </c>
    </row>
    <row r="30">
      <c r="B30" s="45" t="inlineStr">
        <is>
          <t>농산물</t>
        </is>
      </c>
      <c r="C30" s="41">
        <f>D30+K30</f>
        <v/>
      </c>
      <c r="D30" s="42">
        <f>SUM(E30:J30)</f>
        <v/>
      </c>
      <c r="E30" s="216">
        <f>SUMIFS('①농산물raw'!$H$6:$H$2454,'①농산물raw'!$A$6:$A$2454,E$28,'①농산물raw'!$B$6:$B$2454,$B30)</f>
        <v/>
      </c>
      <c r="F30" s="216">
        <f>SUMIFS('①농산물raw'!$H$6:$H$2454,'①농산물raw'!$A$6:$A$2454,F$28,'①농산물raw'!$B$6:$B$2454,$B30)</f>
        <v/>
      </c>
      <c r="G30" s="216">
        <f>SUMIFS('①농산물raw'!$H$6:$H$2454,'①농산물raw'!$A$6:$A$2454,G$28,'①농산물raw'!$B$6:$B$2454,$B30)</f>
        <v/>
      </c>
      <c r="H30" s="216">
        <f>SUMIFS('①농산물raw'!$H$6:$H$2454,'①농산물raw'!$A$6:$A$2454,H$28,'①농산물raw'!$B$6:$B$2454,$B30)</f>
        <v/>
      </c>
      <c r="I30" s="216">
        <f>SUMIFS('①농산물raw'!$H$6:$H$2454,'①농산물raw'!$A$6:$A$2454,I$28,'①농산물raw'!$B$6:$B$2454,$B30)</f>
        <v/>
      </c>
      <c r="J30" s="216">
        <f>SUMIFS('①농산물raw'!$H$6:$H$2454,'①농산물raw'!$A$6:$A$2454,J$28,'①농산물raw'!$B$6:$B$2454,$B30)</f>
        <v/>
      </c>
      <c r="K30" s="44">
        <f>SUM(L30:M30)</f>
        <v/>
      </c>
      <c r="L30" s="216">
        <f>SUMIFS('②유기농raw'!$H$6:$H$1000,'②유기농raw'!$A$6:$A$1000,L$28,'②유기농raw'!$B$6:$B$1000,$B30)</f>
        <v/>
      </c>
      <c r="M30" s="216">
        <f>SUMIFS('②유기농raw'!$H$6:$H$1000,'②유기농raw'!$A$6:$A$1000,M$28,'②유기농raw'!$B$6:$B$1000,$B30)</f>
        <v/>
      </c>
    </row>
    <row r="31">
      <c r="B31" s="45" t="inlineStr">
        <is>
          <t>축산물</t>
        </is>
      </c>
      <c r="C31" s="41">
        <f>D31+K31</f>
        <v/>
      </c>
      <c r="D31" s="42">
        <f>SUM(E31:J31)</f>
        <v/>
      </c>
      <c r="E31" s="216">
        <f>SUMIFS('①농산물raw'!$H$6:$H$2454,'①농산물raw'!$A$6:$A$2454,E$28,'①농산물raw'!$B$6:$B$2454,$B31)</f>
        <v/>
      </c>
      <c r="F31" s="216">
        <f>SUMIFS('①농산물raw'!$H$6:$H$2454,'①농산물raw'!$A$6:$A$2454,F$28,'①농산물raw'!$B$6:$B$2454,$B31)</f>
        <v/>
      </c>
      <c r="G31" s="216">
        <f>SUMIFS('①농산물raw'!$H$6:$H$2454,'①농산물raw'!$A$6:$A$2454,G$28,'①농산물raw'!$B$6:$B$2454,$B31)</f>
        <v/>
      </c>
      <c r="H31" s="216">
        <f>SUMIFS('①농산물raw'!$H$6:$H$2454,'①농산물raw'!$A$6:$A$2454,H$28,'①농산물raw'!$B$6:$B$2454,$B31)</f>
        <v/>
      </c>
      <c r="I31" s="216">
        <f>SUMIFS('①농산물raw'!$H$6:$H$2454,'①농산물raw'!$A$6:$A$2454,I$28,'①농산물raw'!$B$6:$B$2454,$B31)</f>
        <v/>
      </c>
      <c r="J31" s="216">
        <f>SUMIFS('①농산물raw'!$H$6:$H$2454,'①농산물raw'!$A$6:$A$2454,J$28,'①농산물raw'!$B$6:$B$2454,$B31)</f>
        <v/>
      </c>
      <c r="K31" s="44">
        <f>SUM(L31:M31)</f>
        <v/>
      </c>
      <c r="L31" s="216">
        <f>SUMIFS('②유기농raw'!$H$6:$H$1000,'②유기농raw'!$A$6:$A$1000,L$28,'②유기농raw'!$B$6:$B$1000,$B31)</f>
        <v/>
      </c>
      <c r="M31" s="216">
        <f>SUMIFS('②유기농raw'!$H$6:$H$1000,'②유기농raw'!$A$6:$A$1000,M$28,'②유기농raw'!$B$6:$B$1000,$B31)</f>
        <v/>
      </c>
    </row>
    <row r="32">
      <c r="B32" s="45" t="inlineStr">
        <is>
          <t>가공식품</t>
        </is>
      </c>
      <c r="C32" s="41">
        <f>D32+K32</f>
        <v/>
      </c>
      <c r="D32" s="42">
        <f>SUM(E32:J32)</f>
        <v/>
      </c>
      <c r="E32" s="216">
        <f>SUMIFS('①농산물raw'!$H$6:$H$2454,'①농산물raw'!$A$6:$A$2454,E$28,'①농산물raw'!$B$6:$B$2454,$B32)</f>
        <v/>
      </c>
      <c r="F32" s="216">
        <f>SUMIFS('①농산물raw'!$H$6:$H$2454,'①농산물raw'!$A$6:$A$2454,F$28,'①농산물raw'!$B$6:$B$2454,$B32)</f>
        <v/>
      </c>
      <c r="G32" s="216">
        <f>SUMIFS('①농산물raw'!$H$6:$H$2454,'①농산물raw'!$A$6:$A$2454,G$28,'①농산물raw'!$B$6:$B$2454,$B32)</f>
        <v/>
      </c>
      <c r="H32" s="216">
        <f>SUMIFS('①농산물raw'!$H$6:$H$2454,'①농산물raw'!$A$6:$A$2454,H$28,'①농산물raw'!$B$6:$B$2454,$B32)</f>
        <v/>
      </c>
      <c r="I32" s="216">
        <f>SUMIFS('①농산물raw'!$H$6:$H$2454,'①농산물raw'!$A$6:$A$2454,I$28,'①농산물raw'!$B$6:$B$2454,$B32)</f>
        <v/>
      </c>
      <c r="J32" s="216">
        <f>SUMIFS('①농산물raw'!$H$6:$H$2454,'①농산물raw'!$A$6:$A$2454,J$28,'①농산물raw'!$B$6:$B$2454,$B32)</f>
        <v/>
      </c>
      <c r="K32" s="44">
        <f>SUM(L32:M32)</f>
        <v/>
      </c>
      <c r="L32" s="216">
        <f>SUMIFS('②유기농raw'!$H$6:$H$1000,'②유기농raw'!$A$6:$A$1000,L$28,'②유기농raw'!$B$6:$B$1000,$B32)</f>
        <v/>
      </c>
      <c r="M32" s="216">
        <f>SUMIFS('②유기농raw'!$H$6:$H$1000,'②유기농raw'!$A$6:$A$1000,M$28,'②유기농raw'!$B$6:$B$1000,$B32)</f>
        <v/>
      </c>
    </row>
    <row r="33">
      <c r="B33" s="37" t="n"/>
    </row>
    <row r="34">
      <c r="B34" s="37" t="inlineStr">
        <is>
          <t>6. 유통사별 품목별 매출 분석</t>
        </is>
      </c>
      <c r="C34" s="38" t="n"/>
      <c r="D34" s="106" t="n"/>
      <c r="K34" s="104" t="n"/>
    </row>
    <row r="35">
      <c r="B35" s="38" t="inlineStr">
        <is>
          <t>구분</t>
        </is>
      </c>
      <c r="C35" s="38" t="inlineStr">
        <is>
          <t>총 계</t>
        </is>
      </c>
      <c r="D35" s="106" t="inlineStr">
        <is>
          <t>농부가바로팜</t>
        </is>
      </c>
      <c r="E35" s="110" t="n"/>
      <c r="F35" s="110" t="n"/>
      <c r="G35" s="110" t="n"/>
      <c r="H35" s="110" t="n"/>
      <c r="I35" s="110" t="n"/>
      <c r="J35" s="111" t="n"/>
      <c r="K35" s="104" t="inlineStr">
        <is>
          <t>친환경</t>
        </is>
      </c>
      <c r="L35" s="110" t="n"/>
      <c r="M35" s="111" t="n"/>
    </row>
    <row r="36">
      <c r="B36" s="112" t="n"/>
      <c r="C36" s="112" t="n"/>
      <c r="D36" s="106" t="inlineStr">
        <is>
          <t>소 계</t>
        </is>
      </c>
      <c r="E36" s="106" t="inlineStr">
        <is>
          <t>네이버</t>
        </is>
      </c>
      <c r="F36" s="106" t="inlineStr">
        <is>
          <t>지마켓</t>
        </is>
      </c>
      <c r="G36" s="106" t="inlineStr">
        <is>
          <t>롯데ON</t>
        </is>
      </c>
      <c r="H36" s="106" t="inlineStr">
        <is>
          <t>온누리마켓</t>
        </is>
      </c>
      <c r="I36" s="106" t="inlineStr">
        <is>
          <t>농가살리기</t>
        </is>
      </c>
      <c r="J36" s="106" t="inlineStr">
        <is>
          <t>오아시스</t>
        </is>
      </c>
      <c r="K36" s="104" t="inlineStr">
        <is>
          <t>소 계</t>
        </is>
      </c>
      <c r="L36" s="104" t="inlineStr">
        <is>
          <t>네이버</t>
        </is>
      </c>
      <c r="M36" s="104" t="inlineStr">
        <is>
          <t>오아시스</t>
        </is>
      </c>
    </row>
    <row r="37">
      <c r="B37" s="38" t="inlineStr">
        <is>
          <t>총 계</t>
        </is>
      </c>
      <c r="C37" s="41">
        <f>D37+K37</f>
        <v/>
      </c>
      <c r="D37" s="42">
        <f>SUM(E37:J37)</f>
        <v/>
      </c>
      <c r="E37" s="216">
        <f>SUM(E38:E40)</f>
        <v/>
      </c>
      <c r="F37" s="216">
        <f>SUM(F38:F40)</f>
        <v/>
      </c>
      <c r="G37" s="216">
        <f>SUM(G38:G40)</f>
        <v/>
      </c>
      <c r="H37" s="216">
        <f>SUM(H38:H40)</f>
        <v/>
      </c>
      <c r="I37" s="216">
        <f>SUM(I38:I40)</f>
        <v/>
      </c>
      <c r="J37" s="216">
        <f>SUM(J38:J40)</f>
        <v/>
      </c>
      <c r="K37" s="44">
        <f>SUM(L37:M37)</f>
        <v/>
      </c>
      <c r="L37" s="216">
        <f>SUM(L38:L40)</f>
        <v/>
      </c>
      <c r="M37" s="216">
        <f>SUM(M38:M40)</f>
        <v/>
      </c>
    </row>
    <row r="38">
      <c r="B38" s="45" t="inlineStr">
        <is>
          <t>농산물</t>
        </is>
      </c>
      <c r="C38" s="41">
        <f>D38+K38</f>
        <v/>
      </c>
      <c r="D38" s="42">
        <f>SUM(E38:J38)</f>
        <v/>
      </c>
      <c r="E38" s="216">
        <f>SUMIFS('①농산물raw'!$G$6:$G$2454,'①농산물raw'!$A$6:$A$2454,E$36,'①농산물raw'!$B$6:$B$2454,$B38)</f>
        <v/>
      </c>
      <c r="F38" s="216">
        <f>SUMIFS('①농산물raw'!$G$6:$G$2454,'①농산물raw'!$A$6:$A$2454,F$36,'①농산물raw'!$B$6:$B$2454,$B38)</f>
        <v/>
      </c>
      <c r="G38" s="216">
        <f>SUMIFS('①농산물raw'!$G$6:$G$2454,'①농산물raw'!$A$6:$A$2454,G$36,'①농산물raw'!$B$6:$B$2454,$B38)</f>
        <v/>
      </c>
      <c r="H38" s="216">
        <f>SUMIFS('①농산물raw'!$G$6:$G$2454,'①농산물raw'!$A$6:$A$2454,H$36,'①농산물raw'!$B$6:$B$2454,$B38)</f>
        <v/>
      </c>
      <c r="I38" s="216">
        <f>SUMIFS('①농산물raw'!$G$6:$G$2454,'①농산물raw'!$A$6:$A$2454,I$36,'①농산물raw'!$B$6:$B$2454,$B38)</f>
        <v/>
      </c>
      <c r="J38" s="216">
        <f>SUMIFS('①농산물raw'!$G$6:$G$2454,'①농산물raw'!$A$6:$A$2454,J$36,'①농산물raw'!$B$6:$B$2454,$B38)</f>
        <v/>
      </c>
      <c r="K38" s="44">
        <f>SUM(L38:M38)</f>
        <v/>
      </c>
      <c r="L38" s="216">
        <f>SUMIFS('②유기농raw'!$G$6:$G$1000,'②유기농raw'!$A$6:$A$1000,L$36,'②유기농raw'!$B$6:$B$1000,$B38)</f>
        <v/>
      </c>
      <c r="M38" s="216">
        <f>SUMIFS('②유기농raw'!$G$6:$G$1000,'②유기농raw'!$A$6:$A$1000,M$36,'②유기농raw'!$B$6:$B$1000,$B38)</f>
        <v/>
      </c>
    </row>
    <row r="39">
      <c r="B39" s="45" t="inlineStr">
        <is>
          <t>축산물</t>
        </is>
      </c>
      <c r="C39" s="41">
        <f>D39+K39</f>
        <v/>
      </c>
      <c r="D39" s="42">
        <f>SUM(E39:J39)</f>
        <v/>
      </c>
      <c r="E39" s="216">
        <f>SUMIFS('①농산물raw'!$G$6:$G$2454,'①농산물raw'!$A$6:$A$2454,E$36,'①농산물raw'!$B$6:$B$2454,$B39)</f>
        <v/>
      </c>
      <c r="F39" s="216">
        <f>SUMIFS('①농산물raw'!$G$6:$G$2454,'①농산물raw'!$A$6:$A$2454,F$36,'①농산물raw'!$B$6:$B$2454,$B39)</f>
        <v/>
      </c>
      <c r="G39" s="216">
        <f>SUMIFS('①농산물raw'!$G$6:$G$2454,'①농산물raw'!$A$6:$A$2454,G$36,'①농산물raw'!$B$6:$B$2454,$B39)</f>
        <v/>
      </c>
      <c r="H39" s="216">
        <f>SUMIFS('①농산물raw'!$G$6:$G$2454,'①농산물raw'!$A$6:$A$2454,H$36,'①농산물raw'!$B$6:$B$2454,$B39)</f>
        <v/>
      </c>
      <c r="I39" s="216">
        <f>SUMIFS('①농산물raw'!$G$6:$G$2454,'①농산물raw'!$A$6:$A$2454,I$36,'①농산물raw'!$B$6:$B$2454,$B39)</f>
        <v/>
      </c>
      <c r="J39" s="216">
        <f>SUMIFS('①농산물raw'!$G$6:$G$2454,'①농산물raw'!$A$6:$A$2454,J$36,'①농산물raw'!$B$6:$B$2454,$B39)</f>
        <v/>
      </c>
      <c r="K39" s="44">
        <f>SUM(L39:M39)</f>
        <v/>
      </c>
      <c r="L39" s="216">
        <f>SUMIFS('②유기농raw'!$G$6:$G$1000,'②유기농raw'!$A$6:$A$1000,L$36,'②유기농raw'!$B$6:$B$1000,$B39)</f>
        <v/>
      </c>
      <c r="M39" s="216">
        <f>SUMIFS('②유기농raw'!$G$6:$G$1000,'②유기농raw'!$A$6:$A$1000,M$36,'②유기농raw'!$B$6:$B$1000,$B39)</f>
        <v/>
      </c>
    </row>
    <row r="40">
      <c r="B40" s="45" t="inlineStr">
        <is>
          <t>가공식품</t>
        </is>
      </c>
      <c r="C40" s="41">
        <f>D40+K40</f>
        <v/>
      </c>
      <c r="D40" s="42">
        <f>SUM(E40:J40)</f>
        <v/>
      </c>
      <c r="E40" s="216">
        <f>SUMIFS('①농산물raw'!$G$6:$G$2454,'①농산물raw'!$A$6:$A$2454,E$36,'①농산물raw'!$B$6:$B$2454,$B40)</f>
        <v/>
      </c>
      <c r="F40" s="216">
        <f>SUMIFS('①농산물raw'!$G$6:$G$2454,'①농산물raw'!$A$6:$A$2454,F$36,'①농산물raw'!$B$6:$B$2454,$B40)</f>
        <v/>
      </c>
      <c r="G40" s="216">
        <f>SUMIFS('①농산물raw'!$G$6:$G$2454,'①농산물raw'!$A$6:$A$2454,G$36,'①농산물raw'!$B$6:$B$2454,$B40)</f>
        <v/>
      </c>
      <c r="H40" s="216">
        <f>SUMIFS('①농산물raw'!$G$6:$G$2454,'①농산물raw'!$A$6:$A$2454,H$36,'①농산물raw'!$B$6:$B$2454,$B40)</f>
        <v/>
      </c>
      <c r="I40" s="216">
        <f>SUMIFS('①농산물raw'!$G$6:$G$2454,'①농산물raw'!$A$6:$A$2454,I$36,'①농산물raw'!$B$6:$B$2454,$B40)</f>
        <v/>
      </c>
      <c r="J40" s="216">
        <f>SUMIFS('①농산물raw'!$G$6:$G$2454,'①농산물raw'!$A$6:$A$2454,J$36,'①농산물raw'!$B$6:$B$2454,$B40)</f>
        <v/>
      </c>
      <c r="K40" s="44">
        <f>SUM(L40:M40)</f>
        <v/>
      </c>
      <c r="L40" s="216">
        <f>SUMIFS('②유기농raw'!$G$6:$G$1000,'②유기농raw'!$A$6:$A$1000,L$36,'②유기농raw'!$B$6:$B$1000,$B40)</f>
        <v/>
      </c>
      <c r="M40" s="216">
        <f>SUMIFS('②유기농raw'!$G$6:$G$1000,'②유기농raw'!$A$6:$A$1000,M$36,'②유기농raw'!$B$6:$B$1000,$B40)</f>
        <v/>
      </c>
    </row>
    <row r="41">
      <c r="B41" s="37" t="n"/>
    </row>
    <row r="42">
      <c r="B42" s="37" t="inlineStr">
        <is>
          <t>7. 유통사별 품목별 판매 건수</t>
        </is>
      </c>
      <c r="C42" s="38" t="n"/>
      <c r="D42" s="106" t="n"/>
      <c r="K42" s="104" t="n"/>
    </row>
    <row r="43">
      <c r="B43" s="38" t="inlineStr">
        <is>
          <t>구분</t>
        </is>
      </c>
      <c r="C43" s="38" t="inlineStr">
        <is>
          <t>총 계</t>
        </is>
      </c>
      <c r="D43" s="106" t="inlineStr">
        <is>
          <t>농부가바로팜</t>
        </is>
      </c>
      <c r="E43" s="110" t="n"/>
      <c r="F43" s="110" t="n"/>
      <c r="G43" s="110" t="n"/>
      <c r="H43" s="110" t="n"/>
      <c r="I43" s="110" t="n"/>
      <c r="J43" s="111" t="n"/>
      <c r="K43" s="104" t="inlineStr">
        <is>
          <t>친환경</t>
        </is>
      </c>
      <c r="L43" s="110" t="n"/>
      <c r="M43" s="111" t="n"/>
    </row>
    <row r="44">
      <c r="B44" s="112" t="n"/>
      <c r="C44" s="112" t="n"/>
      <c r="D44" s="106" t="inlineStr">
        <is>
          <t>소 계</t>
        </is>
      </c>
      <c r="E44" s="106" t="inlineStr">
        <is>
          <t>네이버</t>
        </is>
      </c>
      <c r="F44" s="106" t="inlineStr">
        <is>
          <t>지마켓</t>
        </is>
      </c>
      <c r="G44" s="106" t="inlineStr">
        <is>
          <t>롯데ON</t>
        </is>
      </c>
      <c r="H44" s="106" t="inlineStr">
        <is>
          <t>온누리마켓</t>
        </is>
      </c>
      <c r="I44" s="106" t="inlineStr">
        <is>
          <t>농가살리기</t>
        </is>
      </c>
      <c r="J44" s="106" t="inlineStr">
        <is>
          <t>오아시스</t>
        </is>
      </c>
      <c r="K44" s="104" t="inlineStr">
        <is>
          <t>소 계</t>
        </is>
      </c>
      <c r="L44" s="104" t="inlineStr">
        <is>
          <t>네이버</t>
        </is>
      </c>
      <c r="M44" s="104" t="inlineStr">
        <is>
          <t>오아시스</t>
        </is>
      </c>
    </row>
    <row r="45">
      <c r="B45" s="38" t="inlineStr">
        <is>
          <t>총 계</t>
        </is>
      </c>
      <c r="C45" s="41">
        <f>D45+K45</f>
        <v/>
      </c>
      <c r="D45" s="42">
        <f>SUM(E45:J45)</f>
        <v/>
      </c>
      <c r="E45" s="216">
        <f>SUM(E46:E48)</f>
        <v/>
      </c>
      <c r="F45" s="216">
        <f>SUM(F46:F48)</f>
        <v/>
      </c>
      <c r="G45" s="216">
        <f>SUM(G46:G48)</f>
        <v/>
      </c>
      <c r="H45" s="216">
        <f>SUM(H46:H48)</f>
        <v/>
      </c>
      <c r="I45" s="216">
        <f>SUM(I46:I48)</f>
        <v/>
      </c>
      <c r="J45" s="216">
        <f>SUM(J46:J48)</f>
        <v/>
      </c>
      <c r="K45" s="44">
        <f>SUM(L45:M45)</f>
        <v/>
      </c>
      <c r="L45" s="216">
        <f>SUM(L46:L48)</f>
        <v/>
      </c>
      <c r="M45" s="216">
        <f>SUM(M46:M48)</f>
        <v/>
      </c>
    </row>
    <row r="46">
      <c r="B46" s="45" t="inlineStr">
        <is>
          <t>농산물</t>
        </is>
      </c>
      <c r="C46" s="41">
        <f>D46+K46</f>
        <v/>
      </c>
      <c r="D46" s="42">
        <f>SUM(E46:J46)</f>
        <v/>
      </c>
      <c r="E46" s="216">
        <f>SUMIFS('①농산물raw'!$F$6:$F$2454,'①농산물raw'!$A$6:$A$2454,E$44,'①농산물raw'!$B$6:$B$2454,$B46)</f>
        <v/>
      </c>
      <c r="F46" s="216">
        <f>SUMIFS('①농산물raw'!$F$6:$F$2454,'①농산물raw'!$A$6:$A$2454,F$44,'①농산물raw'!$B$6:$B$2454,$B46)</f>
        <v/>
      </c>
      <c r="G46" s="216">
        <f>SUMIFS('①농산물raw'!$F$6:$F$2454,'①농산물raw'!$A$6:$A$2454,G$44,'①농산물raw'!$B$6:$B$2454,$B46)</f>
        <v/>
      </c>
      <c r="H46" s="216">
        <f>SUMIFS('①농산물raw'!$F$6:$F$2454,'①농산물raw'!$A$6:$A$2454,H$44,'①농산물raw'!$B$6:$B$2454,$B46)</f>
        <v/>
      </c>
      <c r="I46" s="216">
        <f>SUMIFS('①농산물raw'!$F$6:$F$2454,'①농산물raw'!$A$6:$A$2454,I$44,'①농산물raw'!$B$6:$B$2454,$B46)</f>
        <v/>
      </c>
      <c r="J46" s="216">
        <f>SUMIFS('①농산물raw'!$F$6:$F$2454,'①농산물raw'!$A$6:$A$2454,J$44,'①농산물raw'!$B$6:$B$2454,$B46)</f>
        <v/>
      </c>
      <c r="K46" s="44">
        <f>SUM(L46:M46)</f>
        <v/>
      </c>
      <c r="L46" s="216">
        <f>SUMIFS('②유기농raw'!$F$6:$F$1000,'②유기농raw'!$A$6:$A$1000,L$44,'②유기농raw'!$B$6:$B$1000,$B46)</f>
        <v/>
      </c>
      <c r="M46" s="216">
        <f>SUMIFS('②유기농raw'!$F$6:$F$1000,'②유기농raw'!$A$6:$A$1000,M$44,'②유기농raw'!$B$6:$B$1000,$B46)</f>
        <v/>
      </c>
    </row>
    <row r="47">
      <c r="B47" s="45" t="inlineStr">
        <is>
          <t>축산물</t>
        </is>
      </c>
      <c r="C47" s="41">
        <f>D47+K47</f>
        <v/>
      </c>
      <c r="D47" s="42">
        <f>SUM(E47:J47)</f>
        <v/>
      </c>
      <c r="E47" s="216">
        <f>SUMIFS('①농산물raw'!$F$6:$F$2454,'①농산물raw'!$A$6:$A$2454,E$44,'①농산물raw'!$B$6:$B$2454,$B47)</f>
        <v/>
      </c>
      <c r="F47" s="216">
        <f>SUMIFS('①농산물raw'!$F$6:$F$2454,'①농산물raw'!$A$6:$A$2454,F$44,'①농산물raw'!$B$6:$B$2454,$B47)</f>
        <v/>
      </c>
      <c r="G47" s="216">
        <f>SUMIFS('①농산물raw'!$F$6:$F$2454,'①농산물raw'!$A$6:$A$2454,G$44,'①농산물raw'!$B$6:$B$2454,$B47)</f>
        <v/>
      </c>
      <c r="H47" s="216">
        <f>SUMIFS('①농산물raw'!$F$6:$F$2454,'①농산물raw'!$A$6:$A$2454,H$44,'①농산물raw'!$B$6:$B$2454,$B47)</f>
        <v/>
      </c>
      <c r="I47" s="216">
        <f>SUMIFS('①농산물raw'!$F$6:$F$2454,'①농산물raw'!$A$6:$A$2454,I$44,'①농산물raw'!$B$6:$B$2454,$B47)</f>
        <v/>
      </c>
      <c r="J47" s="216">
        <f>SUMIFS('①농산물raw'!$F$6:$F$2454,'①농산물raw'!$A$6:$A$2454,J$44,'①농산물raw'!$B$6:$B$2454,$B47)</f>
        <v/>
      </c>
      <c r="K47" s="44">
        <f>SUM(L47:M47)</f>
        <v/>
      </c>
      <c r="L47" s="216">
        <f>SUMIFS('②유기농raw'!$F$6:$F$1000,'②유기농raw'!$A$6:$A$1000,L$44,'②유기농raw'!$B$6:$B$1000,$B47)</f>
        <v/>
      </c>
      <c r="M47" s="216">
        <f>SUMIFS('②유기농raw'!$F$6:$F$1000,'②유기농raw'!$A$6:$A$1000,M$44,'②유기농raw'!$B$6:$B$1000,$B47)</f>
        <v/>
      </c>
    </row>
    <row r="48">
      <c r="B48" s="45" t="inlineStr">
        <is>
          <t>가공식품</t>
        </is>
      </c>
      <c r="C48" s="41">
        <f>D48+K48</f>
        <v/>
      </c>
      <c r="D48" s="42">
        <f>SUM(E48:J48)</f>
        <v/>
      </c>
      <c r="E48" s="216">
        <f>SUMIFS('①농산물raw'!$F$6:$F$2454,'①농산물raw'!$A$6:$A$2454,E$44,'①농산물raw'!$B$6:$B$2454,$B48)</f>
        <v/>
      </c>
      <c r="F48" s="216">
        <f>SUMIFS('①농산물raw'!$F$6:$F$2454,'①농산물raw'!$A$6:$A$2454,F$44,'①농산물raw'!$B$6:$B$2454,$B48)</f>
        <v/>
      </c>
      <c r="G48" s="216">
        <f>SUMIFS('①농산물raw'!$F$6:$F$2454,'①농산물raw'!$A$6:$A$2454,G$44,'①농산물raw'!$B$6:$B$2454,$B48)</f>
        <v/>
      </c>
      <c r="H48" s="216">
        <f>SUMIFS('①농산물raw'!$F$6:$F$2454,'①농산물raw'!$A$6:$A$2454,H$44,'①농산물raw'!$B$6:$B$2454,$B48)</f>
        <v/>
      </c>
      <c r="I48" s="216">
        <f>SUMIFS('①농산물raw'!$F$6:$F$2454,'①농산물raw'!$A$6:$A$2454,I$44,'①농산물raw'!$B$6:$B$2454,$B48)</f>
        <v/>
      </c>
      <c r="J48" s="216">
        <f>SUMIFS('①농산물raw'!$F$6:$F$2454,'①농산물raw'!$A$6:$A$2454,J$44,'①농산물raw'!$B$6:$B$2454,$B48)</f>
        <v/>
      </c>
      <c r="K48" s="44">
        <f>SUM(L48:M48)</f>
        <v/>
      </c>
      <c r="L48" s="216">
        <f>SUMIFS('②유기농raw'!$F$6:$F$1000,'②유기농raw'!$A$6:$A$1000,L$44,'②유기농raw'!$B$6:$B$1000,$B48)</f>
        <v/>
      </c>
      <c r="M48" s="216">
        <f>SUMIFS('②유기농raw'!$F$6:$F$1000,'②유기농raw'!$A$6:$A$1000,M$44,'②유기농raw'!$B$6:$B$1000,$B48)</f>
        <v/>
      </c>
    </row>
    <row r="50" ht="19.2" customHeight="1" s="21">
      <c r="A50" s="113" t="n"/>
      <c r="B50" s="114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</row>
    <row r="51">
      <c r="A51" s="113" t="n"/>
      <c r="B51" s="114" t="inlineStr">
        <is>
          <t>※ 농산물 온라인 마케터</t>
        </is>
      </c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</row>
    <row r="52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</row>
    <row r="53">
      <c r="A53" s="113" t="n"/>
      <c r="B53" s="115" t="inlineStr">
        <is>
          <t>1. 월별 참여 업체 및 상품 수</t>
        </is>
      </c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</row>
    <row r="54">
      <c r="A54" s="113" t="n"/>
      <c r="B54" s="116" t="inlineStr">
        <is>
          <t>구분</t>
        </is>
      </c>
      <c r="C54" s="117" t="n"/>
      <c r="D54" s="116" t="inlineStr">
        <is>
          <t>총 계</t>
        </is>
      </c>
      <c r="E54" s="116" t="inlineStr">
        <is>
          <t>네이버</t>
        </is>
      </c>
      <c r="F54" s="116" t="inlineStr">
        <is>
          <t>지마켓</t>
        </is>
      </c>
      <c r="G54" s="116" t="inlineStr">
        <is>
          <t>롯데ON</t>
        </is>
      </c>
      <c r="H54" s="116" t="inlineStr">
        <is>
          <t>온누리마켓</t>
        </is>
      </c>
      <c r="I54" s="116" t="inlineStr">
        <is>
          <t>농가살리기</t>
        </is>
      </c>
      <c r="J54" s="116" t="inlineStr">
        <is>
          <t>오아시스</t>
        </is>
      </c>
      <c r="K54" s="113" t="n"/>
      <c r="L54" s="113" t="n"/>
      <c r="M54" s="113" t="n"/>
      <c r="N54" s="113" t="n"/>
    </row>
    <row r="55">
      <c r="A55" s="113" t="n"/>
      <c r="B55" s="118" t="inlineStr">
        <is>
          <t>7월</t>
        </is>
      </c>
      <c r="C55" s="119" t="inlineStr">
        <is>
          <t>업체수</t>
        </is>
      </c>
      <c r="D55" s="120">
        <f>SUMPRODUCT(--(농산물업체!$C$3:$C$287&lt;&gt;""))</f>
        <v/>
      </c>
      <c r="E55" s="120">
        <f>SUMPRODUCT(--(SUBSTITUTE(농산물업체!$E$3:$E$287,"롯데온","롯데ON")=E$54))</f>
        <v/>
      </c>
      <c r="F55" s="120">
        <f>SUMPRODUCT(--(SUBSTITUTE(농산물업체!$E$3:$E$287,"롯데온","롯데ON")=F$54))</f>
        <v/>
      </c>
      <c r="G55" s="120">
        <f>SUMPRODUCT(--(SUBSTITUTE(농산물업체!$E$3:$E$287,"롯데온","롯데ON")=G$54))</f>
        <v/>
      </c>
      <c r="H55" s="120">
        <f>SUMPRODUCT(--(SUBSTITUTE(농산물업체!$E$3:$E$287,"롯데온","롯데ON")=H$54))</f>
        <v/>
      </c>
      <c r="I55" s="120">
        <f>SUMPRODUCT(--(SUBSTITUTE(농산물업체!$E$3:$E$287,"롯데온","롯데ON")=I$54))</f>
        <v/>
      </c>
      <c r="J55" s="120">
        <f>SUMPRODUCT(--(SUBSTITUTE(농산물업체!$E$3:$E$287,"롯데온","롯데ON")=J$54))</f>
        <v/>
      </c>
      <c r="K55" s="113" t="n"/>
      <c r="L55" s="113" t="n"/>
      <c r="M55" s="113" t="n"/>
      <c r="N55" s="113" t="n"/>
    </row>
    <row r="56">
      <c r="A56" s="113" t="n"/>
      <c r="B56" s="121" t="n"/>
      <c r="C56" s="119" t="inlineStr">
        <is>
          <t>상품수</t>
        </is>
      </c>
      <c r="D56" s="120">
        <f>SUM(E56:J56)</f>
        <v/>
      </c>
      <c r="E56" s="120" t="n">
        <v>388</v>
      </c>
      <c r="F56" s="120" t="n">
        <v>258</v>
      </c>
      <c r="G56" s="120" t="n">
        <v>313</v>
      </c>
      <c r="H56" s="120" t="n">
        <v>55</v>
      </c>
      <c r="I56" s="120" t="n">
        <v>29</v>
      </c>
      <c r="J56" s="120" t="n">
        <v>87</v>
      </c>
      <c r="K56" s="113" t="n"/>
      <c r="L56" s="113" t="n"/>
      <c r="M56" s="113" t="n"/>
      <c r="N56" s="113" t="n"/>
    </row>
    <row r="57">
      <c r="A57" s="113" t="n"/>
      <c r="B57" s="118" t="inlineStr">
        <is>
          <t>8월</t>
        </is>
      </c>
      <c r="C57" s="119" t="inlineStr">
        <is>
          <t>업체수</t>
        </is>
      </c>
      <c r="D57" s="120">
        <f>SUM(E57:J57)</f>
        <v/>
      </c>
      <c r="E57" s="120">
        <f>E55</f>
        <v/>
      </c>
      <c r="F57" s="120">
        <f>F55</f>
        <v/>
      </c>
      <c r="G57" s="120">
        <f>G55</f>
        <v/>
      </c>
      <c r="H57" s="120">
        <f>H55</f>
        <v/>
      </c>
      <c r="I57" s="120">
        <f>I55</f>
        <v/>
      </c>
      <c r="J57" s="120">
        <f>J55</f>
        <v/>
      </c>
      <c r="K57" s="113" t="n"/>
      <c r="L57" s="113" t="n"/>
      <c r="M57" s="113" t="n"/>
      <c r="N57" s="113" t="n"/>
    </row>
    <row r="58">
      <c r="A58" s="113" t="n"/>
      <c r="B58" s="121" t="n"/>
      <c r="C58" s="119" t="inlineStr">
        <is>
          <t>상품수</t>
        </is>
      </c>
      <c r="D58" s="120">
        <f>SUM(E58:J58)</f>
        <v/>
      </c>
      <c r="E58" s="120">
        <f>COUNTIF('①농산물raw'!$A$6:$A$2454,E$54)-E56</f>
        <v/>
      </c>
      <c r="F58" s="120">
        <f>COUNTIF('①농산물raw'!$A$6:$A$2454,F$54)-F56</f>
        <v/>
      </c>
      <c r="G58" s="120">
        <f>COUNTIF('①농산물raw'!$A$6:$A$2454,G$54)-G56</f>
        <v/>
      </c>
      <c r="H58" s="120">
        <f>COUNTIF('①농산물raw'!$A$6:$A$2454,H$54)-H56</f>
        <v/>
      </c>
      <c r="I58" s="120">
        <f>COUNTIF('①농산물raw'!$A$6:$A$2454,I$54)-I56</f>
        <v/>
      </c>
      <c r="J58" s="120">
        <f>COUNTIF('①농산물raw'!$A$6:$A$2454,J$54)-J56</f>
        <v/>
      </c>
      <c r="K58" s="113" t="n"/>
      <c r="L58" s="113" t="n"/>
      <c r="M58" s="113" t="n"/>
      <c r="N58" s="113" t="n"/>
    </row>
    <row r="59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</row>
    <row r="60">
      <c r="A60" s="113" t="n"/>
      <c r="B60" s="115" t="inlineStr">
        <is>
          <t>2. 유통사 별 쿠폰 사용액</t>
        </is>
      </c>
      <c r="C60" s="113" t="n"/>
      <c r="D60" s="122" t="n"/>
      <c r="E60" s="122" t="n"/>
      <c r="F60" s="122" t="n"/>
      <c r="G60" s="122" t="n"/>
      <c r="H60" s="122" t="n"/>
      <c r="I60" s="122" t="n"/>
      <c r="J60" s="122" t="n"/>
      <c r="K60" s="113" t="n"/>
      <c r="L60" s="113" t="n"/>
      <c r="M60" s="113" t="n"/>
      <c r="N60" s="113" t="n"/>
    </row>
    <row r="61">
      <c r="A61" s="113" t="n"/>
      <c r="B61" s="116" t="inlineStr">
        <is>
          <t>구분</t>
        </is>
      </c>
      <c r="C61" s="117" t="n"/>
      <c r="D61" s="123" t="inlineStr">
        <is>
          <t>총 계</t>
        </is>
      </c>
      <c r="E61" s="123" t="inlineStr">
        <is>
          <t>네이버</t>
        </is>
      </c>
      <c r="F61" s="123" t="inlineStr">
        <is>
          <t>지마켓</t>
        </is>
      </c>
      <c r="G61" s="123" t="inlineStr">
        <is>
          <t>롯데ON</t>
        </is>
      </c>
      <c r="H61" s="123" t="inlineStr">
        <is>
          <t>온누리마켓</t>
        </is>
      </c>
      <c r="I61" s="123" t="inlineStr">
        <is>
          <t>농가살리기</t>
        </is>
      </c>
      <c r="J61" s="123" t="inlineStr">
        <is>
          <t>오아시스</t>
        </is>
      </c>
      <c r="K61" s="113" t="n"/>
      <c r="L61" s="113" t="n"/>
      <c r="M61" s="113" t="n"/>
      <c r="N61" s="113" t="n"/>
    </row>
    <row r="62">
      <c r="A62" s="113" t="n"/>
      <c r="B62" s="116" t="inlineStr">
        <is>
          <t>총 계</t>
        </is>
      </c>
      <c r="C62" s="117" t="n"/>
      <c r="D62" s="124">
        <f>SUM(E62:J62)</f>
        <v/>
      </c>
      <c r="E62" s="124">
        <f>E63+E64</f>
        <v/>
      </c>
      <c r="F62" s="124">
        <f>F63+F64</f>
        <v/>
      </c>
      <c r="G62" s="124">
        <f>G63+G64</f>
        <v/>
      </c>
      <c r="H62" s="124">
        <f>H63+H64</f>
        <v/>
      </c>
      <c r="I62" s="124">
        <f>I63+I64</f>
        <v/>
      </c>
      <c r="J62" s="124">
        <f>J63+J64</f>
        <v/>
      </c>
      <c r="K62" s="113" t="n"/>
      <c r="L62" s="113" t="n"/>
      <c r="M62" s="113" t="n"/>
      <c r="N62" s="113" t="n"/>
    </row>
    <row r="63">
      <c r="A63" s="113" t="n"/>
      <c r="B63" s="118" t="inlineStr">
        <is>
          <t>7월</t>
        </is>
      </c>
      <c r="C63" s="117" t="n"/>
      <c r="D63" s="120">
        <f>SUM(E63:J63)</f>
        <v/>
      </c>
      <c r="E63" s="120" t="n">
        <v>50215680</v>
      </c>
      <c r="F63" s="120" t="n">
        <v>46392390</v>
      </c>
      <c r="G63" s="120" t="n">
        <v>40018660</v>
      </c>
      <c r="H63" s="120" t="n">
        <v>7101680</v>
      </c>
      <c r="I63" s="120" t="n">
        <v>11487420</v>
      </c>
      <c r="J63" s="120" t="n">
        <v>8362825</v>
      </c>
      <c r="K63" s="113" t="n"/>
      <c r="L63" s="113" t="n"/>
      <c r="M63" s="113" t="n"/>
      <c r="N63" s="113" t="n"/>
    </row>
    <row r="64">
      <c r="A64" s="113" t="n"/>
      <c r="B64" s="118" t="inlineStr">
        <is>
          <t>8월</t>
        </is>
      </c>
      <c r="C64" s="117" t="n"/>
      <c r="D64" s="120">
        <f>SUM(E64:J64)</f>
        <v/>
      </c>
      <c r="E64" s="120">
        <f>SUMIF('①농산물raw'!$A$6:$A$2454,E$61,'①농산물raw'!$H$6:$H$2454)-E63</f>
        <v/>
      </c>
      <c r="F64" s="120">
        <f>SUMIF('①농산물raw'!$A$6:$A$2454,F$61,'①농산물raw'!$H$6:$H$2454)-F63</f>
        <v/>
      </c>
      <c r="G64" s="120">
        <f>SUMIF('①농산물raw'!$A$6:$A$2454,G$61,'①농산물raw'!$H$6:$H$2454)-G63</f>
        <v/>
      </c>
      <c r="H64" s="120">
        <f>SUMIF('①농산물raw'!$A$6:$A$2454,H$61,'①농산물raw'!$H$6:$H$2454)-H63</f>
        <v/>
      </c>
      <c r="I64" s="120">
        <f>SUMIF('①농산물raw'!$A$6:$A$2454,I$61,'①농산물raw'!$H$6:$H$2454)-I63</f>
        <v/>
      </c>
      <c r="J64" s="120">
        <f>SUMIF('①농산물raw'!$A$6:$A$2454,J$61,'①농산물raw'!$H$6:$H$2454)-J63</f>
        <v/>
      </c>
      <c r="K64" s="113" t="n"/>
      <c r="L64" s="113" t="n"/>
      <c r="M64" s="113" t="n"/>
      <c r="N64" s="113" t="n"/>
    </row>
    <row r="65">
      <c r="A65" s="113" t="n"/>
      <c r="B65" s="118" t="inlineStr">
        <is>
          <t>쿠폰 배정액</t>
        </is>
      </c>
      <c r="C65" s="117" t="n"/>
      <c r="D65" s="125">
        <f>SUM(E65:J65)</f>
        <v/>
      </c>
      <c r="E65" s="125" t="n">
        <v>250000000</v>
      </c>
      <c r="F65" s="125" t="n">
        <v>175000000</v>
      </c>
      <c r="G65" s="125" t="n">
        <v>115000000</v>
      </c>
      <c r="H65" s="125" t="n">
        <v>60000000</v>
      </c>
      <c r="I65" s="125" t="n">
        <v>40000000</v>
      </c>
      <c r="J65" s="125" t="n">
        <v>60000000</v>
      </c>
      <c r="K65" s="113" t="n"/>
      <c r="L65" s="113" t="n"/>
      <c r="M65" s="113" t="n"/>
      <c r="N65" s="113" t="n"/>
    </row>
    <row r="66">
      <c r="A66" s="113" t="n"/>
      <c r="B66" s="118" t="inlineStr">
        <is>
          <t>잔여금액</t>
        </is>
      </c>
      <c r="C66" s="117" t="n"/>
      <c r="D66" s="125">
        <f>SUM(E66:J66)</f>
        <v/>
      </c>
      <c r="E66" s="125">
        <f>E65-E62</f>
        <v/>
      </c>
      <c r="F66" s="125">
        <f>F65-F62</f>
        <v/>
      </c>
      <c r="G66" s="125">
        <f>G65-G62</f>
        <v/>
      </c>
      <c r="H66" s="125">
        <f>H65-H62</f>
        <v/>
      </c>
      <c r="I66" s="125">
        <f>I65-I62</f>
        <v/>
      </c>
      <c r="J66" s="125">
        <f>J65-J62</f>
        <v/>
      </c>
      <c r="K66" s="113" t="n"/>
      <c r="L66" s="113" t="n"/>
      <c r="M66" s="113" t="n"/>
      <c r="N66" s="113" t="n"/>
    </row>
    <row r="67">
      <c r="A67" s="113" t="n"/>
      <c r="B67" s="113" t="n"/>
      <c r="C67" s="113" t="n"/>
      <c r="D67" s="122" t="n"/>
      <c r="E67" s="122" t="n"/>
      <c r="F67" s="122" t="n"/>
      <c r="G67" s="122" t="n"/>
      <c r="H67" s="122" t="n"/>
      <c r="I67" s="122" t="n"/>
      <c r="J67" s="122" t="n"/>
      <c r="K67" s="113" t="n"/>
      <c r="L67" s="113" t="n"/>
      <c r="M67" s="113" t="n"/>
      <c r="N67" s="113" t="n"/>
    </row>
    <row r="68">
      <c r="A68" s="113" t="n"/>
      <c r="B68" s="115" t="inlineStr">
        <is>
          <t>3. 유통사 별 매출 분석</t>
        </is>
      </c>
      <c r="C68" s="113" t="n"/>
      <c r="D68" s="122" t="n"/>
      <c r="E68" s="122" t="n"/>
      <c r="F68" s="122" t="n"/>
      <c r="G68" s="122" t="n"/>
      <c r="H68" s="122" t="n"/>
      <c r="I68" s="122" t="n"/>
      <c r="J68" s="122" t="n"/>
      <c r="K68" s="113" t="n"/>
      <c r="L68" s="113" t="n"/>
      <c r="M68" s="113" t="n"/>
      <c r="N68" s="113" t="n"/>
    </row>
    <row r="69">
      <c r="A69" s="113" t="n"/>
      <c r="B69" s="116" t="inlineStr">
        <is>
          <t>구분</t>
        </is>
      </c>
      <c r="C69" s="117" t="n"/>
      <c r="D69" s="116" t="inlineStr">
        <is>
          <t>총 계</t>
        </is>
      </c>
      <c r="E69" s="116" t="inlineStr">
        <is>
          <t>네이버</t>
        </is>
      </c>
      <c r="F69" s="116" t="inlineStr">
        <is>
          <t>지마켓</t>
        </is>
      </c>
      <c r="G69" s="116" t="inlineStr">
        <is>
          <t>롯데ON</t>
        </is>
      </c>
      <c r="H69" s="116" t="inlineStr">
        <is>
          <t>온누리마켓</t>
        </is>
      </c>
      <c r="I69" s="116" t="inlineStr">
        <is>
          <t>농가살리기</t>
        </is>
      </c>
      <c r="J69" s="116" t="inlineStr">
        <is>
          <t>오아시스</t>
        </is>
      </c>
      <c r="K69" s="113" t="n"/>
      <c r="L69" s="113" t="n"/>
      <c r="M69" s="113" t="n"/>
      <c r="N69" s="113" t="n"/>
    </row>
    <row r="70">
      <c r="A70" s="113" t="n"/>
      <c r="B70" s="116" t="inlineStr">
        <is>
          <t>총 계</t>
        </is>
      </c>
      <c r="C70" s="117" t="n"/>
      <c r="D70" s="124">
        <f>SUM(E70:J70)</f>
        <v/>
      </c>
      <c r="E70" s="124">
        <f>E71+E72</f>
        <v/>
      </c>
      <c r="F70" s="124">
        <f>F71+F72</f>
        <v/>
      </c>
      <c r="G70" s="124">
        <f>G71+G72</f>
        <v/>
      </c>
      <c r="H70" s="124">
        <f>H71+H72</f>
        <v/>
      </c>
      <c r="I70" s="124">
        <f>I71+I72</f>
        <v/>
      </c>
      <c r="J70" s="124">
        <f>J71+J72</f>
        <v/>
      </c>
      <c r="K70" s="113" t="n"/>
      <c r="L70" s="113" t="n"/>
      <c r="M70" s="113" t="n"/>
      <c r="N70" s="113" t="n"/>
    </row>
    <row r="71">
      <c r="A71" s="113" t="n"/>
      <c r="B71" s="118" t="inlineStr">
        <is>
          <t>7월</t>
        </is>
      </c>
      <c r="C71" s="117" t="n"/>
      <c r="D71" s="120">
        <f>SUM(E71:J71)</f>
        <v/>
      </c>
      <c r="E71" s="120" t="n">
        <v>1148483700</v>
      </c>
      <c r="F71" s="120" t="n">
        <v>770420430</v>
      </c>
      <c r="G71" s="120" t="n">
        <v>261077210</v>
      </c>
      <c r="H71" s="120" t="n">
        <v>46371200</v>
      </c>
      <c r="I71" s="120" t="n">
        <v>223305203</v>
      </c>
      <c r="J71" s="120" t="n">
        <v>486556690</v>
      </c>
      <c r="K71" s="113" t="n"/>
      <c r="L71" s="113" t="n"/>
      <c r="M71" s="113" t="n"/>
      <c r="N71" s="113" t="n"/>
    </row>
    <row r="72">
      <c r="A72" s="113" t="n"/>
      <c r="B72" s="118" t="inlineStr">
        <is>
          <t>8월</t>
        </is>
      </c>
      <c r="C72" s="117" t="n"/>
      <c r="D72" s="120">
        <f>SUM(E72:J72)</f>
        <v/>
      </c>
      <c r="E72" s="120">
        <f>SUMIF('①농산물raw'!$A$6:$A$2454,E$69,'①농산물raw'!$G$6:$G$2454)-E71</f>
        <v/>
      </c>
      <c r="F72" s="120">
        <f>SUMIF('①농산물raw'!$A$6:$A$2454,F$69,'①농산물raw'!$G$6:$G$2454)-F71</f>
        <v/>
      </c>
      <c r="G72" s="120">
        <f>SUMIF('①농산물raw'!$A$6:$A$2454,G$69,'①농산물raw'!$G$6:$G$2454)-G71</f>
        <v/>
      </c>
      <c r="H72" s="120">
        <f>SUMIF('①농산물raw'!$A$6:$A$2454,H$69,'①농산물raw'!$G$6:$G$2454)-H71</f>
        <v/>
      </c>
      <c r="I72" s="120">
        <f>SUMIF('①농산물raw'!$A$6:$A$2454,I$69,'①농산물raw'!$G$6:$G$2454)-I71</f>
        <v/>
      </c>
      <c r="J72" s="120">
        <f>SUMIF('①농산물raw'!$A$6:$A$2454,J$69,'①농산물raw'!$G$6:$G$2454)-J71</f>
        <v/>
      </c>
      <c r="K72" s="113" t="n"/>
      <c r="L72" s="113" t="n"/>
      <c r="M72" s="113" t="n"/>
      <c r="N72" s="113" t="n"/>
    </row>
    <row r="73">
      <c r="A73" s="113" t="n"/>
      <c r="B73" s="113" t="n"/>
      <c r="C73" s="113" t="n"/>
      <c r="D73" s="122" t="n"/>
      <c r="E73" s="122" t="n"/>
      <c r="F73" s="122" t="n"/>
      <c r="G73" s="122" t="n"/>
      <c r="H73" s="122" t="n"/>
      <c r="I73" s="122" t="n"/>
      <c r="J73" s="122" t="n"/>
      <c r="K73" s="113" t="n"/>
      <c r="L73" s="113" t="n"/>
      <c r="M73" s="113" t="n"/>
      <c r="N73" s="113" t="n"/>
    </row>
    <row r="74">
      <c r="A74" s="113" t="n"/>
      <c r="B74" s="115" t="inlineStr">
        <is>
          <t>4. 유통사 별 판매 건수</t>
        </is>
      </c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</row>
    <row r="75">
      <c r="A75" s="113" t="n"/>
      <c r="B75" s="116" t="inlineStr">
        <is>
          <t>구분</t>
        </is>
      </c>
      <c r="C75" s="117" t="n"/>
      <c r="D75" s="116" t="inlineStr">
        <is>
          <t>총 계</t>
        </is>
      </c>
      <c r="E75" s="116" t="inlineStr">
        <is>
          <t>네이버</t>
        </is>
      </c>
      <c r="F75" s="116" t="inlineStr">
        <is>
          <t>지마켓</t>
        </is>
      </c>
      <c r="G75" s="116" t="inlineStr">
        <is>
          <t>롯데ON</t>
        </is>
      </c>
      <c r="H75" s="116" t="inlineStr">
        <is>
          <t>온누리마켓</t>
        </is>
      </c>
      <c r="I75" s="116" t="inlineStr">
        <is>
          <t>농가살리기</t>
        </is>
      </c>
      <c r="J75" s="116" t="inlineStr">
        <is>
          <t>오아시스</t>
        </is>
      </c>
      <c r="K75" s="113" t="n"/>
      <c r="L75" s="113" t="n"/>
      <c r="M75" s="113" t="n"/>
      <c r="N75" s="113" t="n"/>
    </row>
    <row r="76">
      <c r="A76" s="113" t="n"/>
      <c r="B76" s="116" t="inlineStr">
        <is>
          <t>총 계</t>
        </is>
      </c>
      <c r="C76" s="117" t="n"/>
      <c r="D76" s="124">
        <f>SUM(E76:J76)</f>
        <v/>
      </c>
      <c r="E76" s="124">
        <f>E77+E78</f>
        <v/>
      </c>
      <c r="F76" s="124">
        <f>F77+F78</f>
        <v/>
      </c>
      <c r="G76" s="124">
        <f>G77+G78</f>
        <v/>
      </c>
      <c r="H76" s="124">
        <f>H77+H78</f>
        <v/>
      </c>
      <c r="I76" s="124">
        <f>I77+I78</f>
        <v/>
      </c>
      <c r="J76" s="124">
        <f>J77+J78</f>
        <v/>
      </c>
      <c r="K76" s="113" t="n"/>
      <c r="L76" s="113" t="n"/>
      <c r="M76" s="113" t="n"/>
      <c r="N76" s="113" t="n"/>
    </row>
    <row r="77">
      <c r="A77" s="113" t="n"/>
      <c r="B77" s="118" t="inlineStr">
        <is>
          <t>7월</t>
        </is>
      </c>
      <c r="C77" s="117" t="n"/>
      <c r="D77" s="120">
        <f>SUM(E77:J77)</f>
        <v/>
      </c>
      <c r="E77" s="120" t="n">
        <v>39593</v>
      </c>
      <c r="F77" s="120" t="n">
        <v>38640</v>
      </c>
      <c r="G77" s="120" t="n">
        <v>11018</v>
      </c>
      <c r="H77" s="120" t="n">
        <v>1296</v>
      </c>
      <c r="I77" s="120" t="n">
        <v>14679</v>
      </c>
      <c r="J77" s="120" t="n">
        <v>121333</v>
      </c>
      <c r="K77" s="113" t="n"/>
      <c r="L77" s="113" t="n"/>
      <c r="M77" s="113" t="n"/>
      <c r="N77" s="113" t="n"/>
    </row>
    <row r="78">
      <c r="A78" s="113" t="n"/>
      <c r="B78" s="118" t="inlineStr">
        <is>
          <t>8월</t>
        </is>
      </c>
      <c r="C78" s="117" t="n"/>
      <c r="D78" s="120">
        <f>SUM(E78:J78)</f>
        <v/>
      </c>
      <c r="E78" s="120">
        <f>SUMIF('①농산물raw'!$A$6:$A$2454,E$75,'①농산물raw'!$F$6:$F$2454)-E77</f>
        <v/>
      </c>
      <c r="F78" s="120">
        <f>SUMIF('①농산물raw'!$A$6:$A$2454,F$75,'①농산물raw'!$F$6:$F$2454)-F77</f>
        <v/>
      </c>
      <c r="G78" s="120">
        <f>SUMIF('①농산물raw'!$A$6:$A$2454,G$75,'①농산물raw'!$F$6:$F$2454)-G77</f>
        <v/>
      </c>
      <c r="H78" s="120">
        <f>SUMIF('①농산물raw'!$A$6:$A$2454,H$75,'①농산물raw'!$F$6:$F$2454)-H77</f>
        <v/>
      </c>
      <c r="I78" s="120">
        <f>SUMIF('①농산물raw'!$A$6:$A$2454,I$75,'①농산물raw'!$F$6:$F$2454)-I77</f>
        <v/>
      </c>
      <c r="J78" s="120">
        <f>SUMIF('①농산물raw'!$A$6:$A$2454,J$75,'①농산물raw'!$F$6:$F$2454)-J77</f>
        <v/>
      </c>
      <c r="K78" s="113" t="n"/>
      <c r="L78" s="113" t="n"/>
      <c r="M78" s="113" t="n"/>
      <c r="N78" s="113" t="n"/>
    </row>
    <row r="79">
      <c r="A79" s="113" t="n"/>
      <c r="B79" s="113" t="n"/>
      <c r="C79" s="113" t="n"/>
      <c r="D79" s="122" t="n"/>
      <c r="E79" s="122" t="n"/>
      <c r="F79" s="122" t="n"/>
      <c r="G79" s="122" t="n"/>
      <c r="H79" s="122" t="n"/>
      <c r="I79" s="122" t="n"/>
      <c r="J79" s="122" t="n"/>
      <c r="K79" s="113" t="n"/>
      <c r="L79" s="113" t="n"/>
      <c r="M79" s="113" t="n"/>
      <c r="N79" s="113" t="n"/>
    </row>
    <row r="80">
      <c r="A80" s="113" t="n"/>
      <c r="B80" s="115" t="inlineStr">
        <is>
          <t>5. 유통사별 품목별 쿠폰 사용액</t>
        </is>
      </c>
      <c r="C80" s="113" t="n"/>
      <c r="D80" s="122" t="n"/>
      <c r="E80" s="122" t="n"/>
      <c r="F80" s="122" t="n"/>
      <c r="G80" s="122" t="n"/>
      <c r="H80" s="122" t="n"/>
      <c r="I80" s="122" t="n"/>
      <c r="J80" s="122" t="n"/>
      <c r="K80" s="113" t="n"/>
      <c r="L80" s="113" t="n"/>
      <c r="M80" s="113" t="n"/>
      <c r="N80" s="113" t="n"/>
    </row>
    <row r="81">
      <c r="A81" s="113" t="n"/>
      <c r="B81" s="116" t="inlineStr">
        <is>
          <t>품목</t>
        </is>
      </c>
      <c r="C81" s="116" t="inlineStr">
        <is>
          <t>구분</t>
        </is>
      </c>
      <c r="D81" s="123" t="inlineStr">
        <is>
          <t>총 계</t>
        </is>
      </c>
      <c r="E81" s="123" t="inlineStr">
        <is>
          <t>네이버</t>
        </is>
      </c>
      <c r="F81" s="123" t="inlineStr">
        <is>
          <t>지마켓</t>
        </is>
      </c>
      <c r="G81" s="123" t="inlineStr">
        <is>
          <t>롯데ON</t>
        </is>
      </c>
      <c r="H81" s="123" t="inlineStr">
        <is>
          <t>온누리마켓</t>
        </is>
      </c>
      <c r="I81" s="123" t="inlineStr">
        <is>
          <t>농가살리기</t>
        </is>
      </c>
      <c r="J81" s="123" t="inlineStr">
        <is>
          <t>오아시스</t>
        </is>
      </c>
      <c r="K81" s="113" t="n"/>
      <c r="L81" s="113" t="n"/>
      <c r="M81" s="113" t="n"/>
      <c r="N81" s="113" t="n"/>
    </row>
    <row r="82">
      <c r="A82" s="113" t="n"/>
      <c r="B82" s="116" t="inlineStr">
        <is>
          <t>총 계</t>
        </is>
      </c>
      <c r="C82" s="117" t="n"/>
      <c r="D82" s="124">
        <f>SUM(E82:J82)</f>
        <v/>
      </c>
      <c r="E82" s="124">
        <f>E83+E86+E89</f>
        <v/>
      </c>
      <c r="F82" s="124">
        <f>F83+F86+F89</f>
        <v/>
      </c>
      <c r="G82" s="124">
        <f>G83+G86+G89</f>
        <v/>
      </c>
      <c r="H82" s="124">
        <f>H83+H86+H89</f>
        <v/>
      </c>
      <c r="I82" s="124">
        <f>I83+I86+I89</f>
        <v/>
      </c>
      <c r="J82" s="124">
        <f>J83+J86+J89</f>
        <v/>
      </c>
      <c r="K82" s="113" t="n"/>
      <c r="L82" s="113" t="n"/>
      <c r="M82" s="113" t="n"/>
      <c r="N82" s="113" t="n"/>
    </row>
    <row r="83">
      <c r="A83" s="113" t="n"/>
      <c r="B83" s="118" t="inlineStr">
        <is>
          <t>농산물</t>
        </is>
      </c>
      <c r="C83" s="118" t="inlineStr">
        <is>
          <t>소 계</t>
        </is>
      </c>
      <c r="D83" s="125">
        <f>SUM(E83:J83)</f>
        <v/>
      </c>
      <c r="E83" s="125">
        <f>E84+E85</f>
        <v/>
      </c>
      <c r="F83" s="125">
        <f>F84+F85</f>
        <v/>
      </c>
      <c r="G83" s="125">
        <f>G84+G85</f>
        <v/>
      </c>
      <c r="H83" s="125">
        <f>H84+H85</f>
        <v/>
      </c>
      <c r="I83" s="125">
        <f>I84+I85</f>
        <v/>
      </c>
      <c r="J83" s="125">
        <f>J84+J85</f>
        <v/>
      </c>
      <c r="K83" s="113" t="n"/>
      <c r="L83" s="113" t="n"/>
      <c r="M83" s="113" t="n"/>
      <c r="N83" s="113" t="n"/>
    </row>
    <row r="84">
      <c r="A84" s="113" t="n"/>
      <c r="B84" s="126" t="n"/>
      <c r="C84" s="119" t="inlineStr">
        <is>
          <t>7월</t>
        </is>
      </c>
      <c r="D84" s="120">
        <f>SUM(E84:J84)</f>
        <v/>
      </c>
      <c r="E84" s="120" t="n">
        <v>27521390</v>
      </c>
      <c r="F84" s="120" t="n">
        <v>29495180</v>
      </c>
      <c r="G84" s="120" t="n">
        <v>16472440</v>
      </c>
      <c r="H84" s="120" t="n">
        <v>6561353</v>
      </c>
      <c r="I84" s="120" t="n">
        <v>3731960</v>
      </c>
      <c r="J84" s="120" t="n">
        <v>4453987</v>
      </c>
      <c r="K84" s="113" t="n"/>
      <c r="L84" s="113" t="n"/>
      <c r="M84" s="113" t="n"/>
      <c r="N84" s="113" t="n"/>
    </row>
    <row r="85">
      <c r="A85" s="113" t="n"/>
      <c r="B85" s="121" t="n"/>
      <c r="C85" s="119" t="inlineStr">
        <is>
          <t>8월</t>
        </is>
      </c>
      <c r="D85" s="120">
        <f>SUM(E85:J85)</f>
        <v/>
      </c>
      <c r="E85" s="120">
        <f>SUMIFS('①농산물raw'!$H$6:$H$2454,'①농산물raw'!$A$6:$A$2454,E$81,'①농산물raw'!$B$6:$B$2454,$B83)-E84</f>
        <v/>
      </c>
      <c r="F85" s="120">
        <f>SUMIFS('①농산물raw'!$H$6:$H$2454,'①농산물raw'!$A$6:$A$2454,F$81,'①농산물raw'!$B$6:$B$2454,$B83)-F84</f>
        <v/>
      </c>
      <c r="G85" s="120">
        <f>SUMIFS('①농산물raw'!$H$6:$H$2454,'①농산물raw'!$A$6:$A$2454,G$81,'①농산물raw'!$B$6:$B$2454,$B83)-G84</f>
        <v/>
      </c>
      <c r="H85" s="120">
        <f>SUMIFS('①농산물raw'!$H$6:$H$2454,'①농산물raw'!$A$6:$A$2454,H$81,'①농산물raw'!$B$6:$B$2454,$B83)-H84</f>
        <v/>
      </c>
      <c r="I85" s="120">
        <f>SUMIFS('①농산물raw'!$H$6:$H$2454,'①농산물raw'!$A$6:$A$2454,I$81,'①농산물raw'!$B$6:$B$2454,$B83)-I84</f>
        <v/>
      </c>
      <c r="J85" s="120">
        <f>SUMIFS('①농산물raw'!$H$6:$H$2454,'①농산물raw'!$A$6:$A$2454,J$81,'①농산물raw'!$B$6:$B$2454,$B83)-J84</f>
        <v/>
      </c>
      <c r="K85" s="113" t="n"/>
      <c r="L85" s="113" t="n"/>
      <c r="M85" s="113" t="n"/>
      <c r="N85" s="113" t="n"/>
    </row>
    <row r="86">
      <c r="A86" s="113" t="n"/>
      <c r="B86" s="118" t="inlineStr">
        <is>
          <t>축산물</t>
        </is>
      </c>
      <c r="C86" s="118" t="inlineStr">
        <is>
          <t>소 계</t>
        </is>
      </c>
      <c r="D86" s="125">
        <f>SUM(E86:J86)</f>
        <v/>
      </c>
      <c r="E86" s="125">
        <f>E87+E88</f>
        <v/>
      </c>
      <c r="F86" s="125">
        <f>F87+F88</f>
        <v/>
      </c>
      <c r="G86" s="125">
        <f>G87+G88</f>
        <v/>
      </c>
      <c r="H86" s="125">
        <f>H87+H88</f>
        <v/>
      </c>
      <c r="I86" s="125">
        <f>I87+I88</f>
        <v/>
      </c>
      <c r="J86" s="125">
        <f>J87+J88</f>
        <v/>
      </c>
      <c r="K86" s="113" t="n"/>
      <c r="L86" s="113" t="n"/>
      <c r="M86" s="113" t="n"/>
      <c r="N86" s="113" t="n"/>
    </row>
    <row r="87">
      <c r="A87" s="113" t="n"/>
      <c r="B87" s="126" t="n"/>
      <c r="C87" s="119" t="inlineStr">
        <is>
          <t>7월</t>
        </is>
      </c>
      <c r="D87" s="120">
        <f>SUM(E87:J87)</f>
        <v/>
      </c>
      <c r="E87" s="120" t="n">
        <v>11806670</v>
      </c>
      <c r="F87" s="120" t="n">
        <v>2182750</v>
      </c>
      <c r="G87" s="120" t="n">
        <v>12810140</v>
      </c>
      <c r="H87" s="120" t="n">
        <v>0</v>
      </c>
      <c r="I87" s="120" t="n">
        <v>0</v>
      </c>
      <c r="J87" s="120" t="n">
        <v>30800</v>
      </c>
      <c r="K87" s="113" t="n"/>
      <c r="L87" s="113" t="n"/>
      <c r="M87" s="113" t="n"/>
      <c r="N87" s="113" t="n"/>
    </row>
    <row r="88">
      <c r="A88" s="113" t="n"/>
      <c r="B88" s="121" t="n"/>
      <c r="C88" s="119" t="inlineStr">
        <is>
          <t>8월</t>
        </is>
      </c>
      <c r="D88" s="120">
        <f>SUM(E88:J88)</f>
        <v/>
      </c>
      <c r="E88" s="120">
        <f>SUMIFS('①농산물raw'!$H$6:$H$2454,'①농산물raw'!$A$6:$A$2454,E$81,'①농산물raw'!$B$6:$B$2454,$B86)-E87</f>
        <v/>
      </c>
      <c r="F88" s="120">
        <f>SUMIFS('①농산물raw'!$H$6:$H$2454,'①농산물raw'!$A$6:$A$2454,F$81,'①농산물raw'!$B$6:$B$2454,$B86)-F87</f>
        <v/>
      </c>
      <c r="G88" s="120">
        <f>SUMIFS('①농산물raw'!$H$6:$H$2454,'①농산물raw'!$A$6:$A$2454,G$81,'①농산물raw'!$B$6:$B$2454,$B86)-G87</f>
        <v/>
      </c>
      <c r="H88" s="120">
        <f>SUMIFS('①농산물raw'!$H$6:$H$2454,'①농산물raw'!$A$6:$A$2454,H$81,'①농산물raw'!$B$6:$B$2454,$B86)-H87</f>
        <v/>
      </c>
      <c r="I88" s="120">
        <f>SUMIFS('①농산물raw'!$H$6:$H$2454,'①농산물raw'!$A$6:$A$2454,I$81,'①농산물raw'!$B$6:$B$2454,$B86)-I87</f>
        <v/>
      </c>
      <c r="J88" s="120">
        <f>SUMIFS('①농산물raw'!$H$6:$H$2454,'①농산물raw'!$A$6:$A$2454,J$81,'①농산물raw'!$B$6:$B$2454,$B86)-J87</f>
        <v/>
      </c>
      <c r="K88" s="113" t="n"/>
      <c r="L88" s="113" t="n"/>
      <c r="M88" s="113" t="n"/>
      <c r="N88" s="113" t="n"/>
    </row>
    <row r="89">
      <c r="A89" s="113" t="n"/>
      <c r="B89" s="118" t="inlineStr">
        <is>
          <t>가공식품</t>
        </is>
      </c>
      <c r="C89" s="118" t="inlineStr">
        <is>
          <t>소 계</t>
        </is>
      </c>
      <c r="D89" s="125">
        <f>SUM(E89:J89)</f>
        <v/>
      </c>
      <c r="E89" s="125">
        <f>E90+E91</f>
        <v/>
      </c>
      <c r="F89" s="125">
        <f>F90+F91</f>
        <v/>
      </c>
      <c r="G89" s="125">
        <f>G90+G91</f>
        <v/>
      </c>
      <c r="H89" s="125">
        <f>H90+H91</f>
        <v/>
      </c>
      <c r="I89" s="125">
        <f>I90+I91</f>
        <v/>
      </c>
      <c r="J89" s="125">
        <f>J90+J91</f>
        <v/>
      </c>
      <c r="K89" s="113" t="n"/>
      <c r="L89" s="113" t="n"/>
      <c r="M89" s="113" t="n"/>
      <c r="N89" s="113" t="n"/>
    </row>
    <row r="90">
      <c r="A90" s="113" t="n"/>
      <c r="B90" s="126" t="n"/>
      <c r="C90" s="119" t="inlineStr">
        <is>
          <t>7월</t>
        </is>
      </c>
      <c r="D90" s="120">
        <f>SUM(E90:J90)</f>
        <v/>
      </c>
      <c r="E90" s="120" t="n">
        <v>10887620</v>
      </c>
      <c r="F90" s="120" t="n">
        <v>14714460</v>
      </c>
      <c r="G90" s="120" t="n">
        <v>10736080</v>
      </c>
      <c r="H90" s="120" t="n">
        <v>540327</v>
      </c>
      <c r="I90" s="120" t="n">
        <v>7755460</v>
      </c>
      <c r="J90" s="120" t="n">
        <v>3878038</v>
      </c>
      <c r="K90" s="113" t="n"/>
      <c r="L90" s="113" t="n"/>
      <c r="M90" s="113" t="n"/>
      <c r="N90" s="113" t="n"/>
    </row>
    <row r="91">
      <c r="A91" s="113" t="n"/>
      <c r="B91" s="121" t="n"/>
      <c r="C91" s="119" t="inlineStr">
        <is>
          <t>8월</t>
        </is>
      </c>
      <c r="D91" s="120">
        <f>SUM(E91:J91)</f>
        <v/>
      </c>
      <c r="E91" s="120">
        <f>SUMIFS('①농산물raw'!$H$6:$H$2454,'①농산물raw'!$A$6:$A$2454,E$81,'①농산물raw'!$B$6:$B$2454,$B89)-E90</f>
        <v/>
      </c>
      <c r="F91" s="120">
        <f>SUMIFS('①농산물raw'!$H$6:$H$2454,'①농산물raw'!$A$6:$A$2454,F$81,'①농산물raw'!$B$6:$B$2454,$B89)-F90</f>
        <v/>
      </c>
      <c r="G91" s="120">
        <f>SUMIFS('①농산물raw'!$H$6:$H$2454,'①농산물raw'!$A$6:$A$2454,G$81,'①농산물raw'!$B$6:$B$2454,$B89)-G90</f>
        <v/>
      </c>
      <c r="H91" s="120">
        <f>SUMIFS('①농산물raw'!$H$6:$H$2454,'①농산물raw'!$A$6:$A$2454,H$81,'①농산물raw'!$B$6:$B$2454,$B89)-H90</f>
        <v/>
      </c>
      <c r="I91" s="120">
        <f>SUMIFS('①농산물raw'!$H$6:$H$2454,'①농산물raw'!$A$6:$A$2454,I$81,'①농산물raw'!$B$6:$B$2454,$B89)-I90</f>
        <v/>
      </c>
      <c r="J91" s="120">
        <f>SUMIFS('①농산물raw'!$H$6:$H$2454,'①농산물raw'!$A$6:$A$2454,J$81,'①농산물raw'!$B$6:$B$2454,$B89)-J90</f>
        <v/>
      </c>
      <c r="K91" s="113" t="n"/>
      <c r="L91" s="113" t="n"/>
      <c r="M91" s="113" t="n"/>
      <c r="N91" s="113" t="n"/>
    </row>
    <row r="92">
      <c r="A92" s="113" t="n"/>
      <c r="B92" s="113" t="n"/>
      <c r="C92" s="113" t="n"/>
      <c r="D92" s="122" t="n"/>
      <c r="E92" s="122" t="n"/>
      <c r="F92" s="122" t="n"/>
      <c r="G92" s="122" t="n"/>
      <c r="H92" s="122" t="n"/>
      <c r="I92" s="122" t="n"/>
      <c r="J92" s="122" t="n"/>
      <c r="K92" s="113" t="n"/>
      <c r="L92" s="113" t="n"/>
      <c r="M92" s="113" t="n"/>
      <c r="N92" s="113" t="n"/>
    </row>
    <row r="93">
      <c r="A93" s="113" t="n"/>
      <c r="B93" s="115" t="inlineStr">
        <is>
          <t>6. 유통사별 품목별 매출 분석</t>
        </is>
      </c>
      <c r="C93" s="113" t="n"/>
      <c r="D93" s="122" t="n"/>
      <c r="E93" s="122" t="n"/>
      <c r="F93" s="122" t="n"/>
      <c r="G93" s="122" t="n"/>
      <c r="H93" s="122" t="n"/>
      <c r="I93" s="122" t="n"/>
      <c r="J93" s="122" t="n"/>
      <c r="K93" s="113" t="n"/>
      <c r="L93" s="113" t="n"/>
      <c r="M93" s="113" t="n"/>
      <c r="N93" s="113" t="n"/>
    </row>
    <row r="94">
      <c r="A94" s="113" t="n"/>
      <c r="B94" s="116" t="inlineStr">
        <is>
          <t>품목</t>
        </is>
      </c>
      <c r="C94" s="116" t="inlineStr">
        <is>
          <t>구분</t>
        </is>
      </c>
      <c r="D94" s="116" t="inlineStr">
        <is>
          <t>총 계</t>
        </is>
      </c>
      <c r="E94" s="116" t="inlineStr">
        <is>
          <t>네이버</t>
        </is>
      </c>
      <c r="F94" s="116" t="inlineStr">
        <is>
          <t>지마켓</t>
        </is>
      </c>
      <c r="G94" s="116" t="inlineStr">
        <is>
          <t>롯데ON</t>
        </is>
      </c>
      <c r="H94" s="116" t="inlineStr">
        <is>
          <t>온누리마켓</t>
        </is>
      </c>
      <c r="I94" s="116" t="inlineStr">
        <is>
          <t>농가살리기</t>
        </is>
      </c>
      <c r="J94" s="116" t="inlineStr">
        <is>
          <t>오아시스</t>
        </is>
      </c>
      <c r="K94" s="113" t="n"/>
      <c r="L94" s="113" t="n"/>
      <c r="M94" s="113" t="n"/>
      <c r="N94" s="113" t="n"/>
    </row>
    <row r="95">
      <c r="A95" s="113" t="n"/>
      <c r="B95" s="116" t="inlineStr">
        <is>
          <t>총 계</t>
        </is>
      </c>
      <c r="C95" s="117" t="n"/>
      <c r="D95" s="124">
        <f>SUM(E95:J95)</f>
        <v/>
      </c>
      <c r="E95" s="124">
        <f>E96+E99+E102</f>
        <v/>
      </c>
      <c r="F95" s="124">
        <f>F96+F99+F102</f>
        <v/>
      </c>
      <c r="G95" s="124">
        <f>G96+G99+G102</f>
        <v/>
      </c>
      <c r="H95" s="124">
        <f>H96+H99+H102</f>
        <v/>
      </c>
      <c r="I95" s="124">
        <f>I96+I99+I102</f>
        <v/>
      </c>
      <c r="J95" s="124">
        <f>J96+J99+J102</f>
        <v/>
      </c>
      <c r="K95" s="113" t="n"/>
      <c r="L95" s="113" t="n"/>
      <c r="M95" s="113" t="n"/>
      <c r="N95" s="113" t="n"/>
    </row>
    <row r="96">
      <c r="A96" s="113" t="n"/>
      <c r="B96" s="118" t="inlineStr">
        <is>
          <t>농산물</t>
        </is>
      </c>
      <c r="C96" s="118" t="inlineStr">
        <is>
          <t>소 계</t>
        </is>
      </c>
      <c r="D96" s="125">
        <f>SUM(E96:J96)</f>
        <v/>
      </c>
      <c r="E96" s="125">
        <f>E97+E98</f>
        <v/>
      </c>
      <c r="F96" s="125">
        <f>F97+F98</f>
        <v/>
      </c>
      <c r="G96" s="125">
        <f>G97+G98</f>
        <v/>
      </c>
      <c r="H96" s="125">
        <f>H97+H98</f>
        <v/>
      </c>
      <c r="I96" s="125">
        <f>I97+I98</f>
        <v/>
      </c>
      <c r="J96" s="125">
        <f>J97+J98</f>
        <v/>
      </c>
      <c r="K96" s="113" t="n"/>
      <c r="L96" s="113" t="n"/>
      <c r="M96" s="113" t="n"/>
      <c r="N96" s="113" t="n"/>
    </row>
    <row r="97">
      <c r="A97" s="113" t="n"/>
      <c r="B97" s="126" t="n"/>
      <c r="C97" s="119" t="inlineStr">
        <is>
          <t>7월</t>
        </is>
      </c>
      <c r="D97" s="120">
        <f>SUM(E97:J97)</f>
        <v/>
      </c>
      <c r="E97" s="120" t="n">
        <v>563900600</v>
      </c>
      <c r="F97" s="120" t="n">
        <v>401364480</v>
      </c>
      <c r="G97" s="120" t="n">
        <v>86153550</v>
      </c>
      <c r="H97" s="120" t="n">
        <v>42349200</v>
      </c>
      <c r="I97" s="120" t="n">
        <v>41187820</v>
      </c>
      <c r="J97" s="120" t="n">
        <v>315486590</v>
      </c>
      <c r="K97" s="113" t="n"/>
      <c r="L97" s="113" t="n"/>
      <c r="M97" s="113" t="n"/>
      <c r="N97" s="113" t="n"/>
    </row>
    <row r="98">
      <c r="A98" s="113" t="n"/>
      <c r="B98" s="121" t="n"/>
      <c r="C98" s="119" t="inlineStr">
        <is>
          <t>8월</t>
        </is>
      </c>
      <c r="D98" s="120">
        <f>SUM(E98:J98)</f>
        <v/>
      </c>
      <c r="E98" s="120">
        <f>SUMIFS('①농산물raw'!$G$6:$G$2454,'①농산물raw'!$A$6:$A$2454,E$94,'①농산물raw'!$B$6:$B$2454,$B96)-E97</f>
        <v/>
      </c>
      <c r="F98" s="120">
        <f>SUMIFS('①농산물raw'!$G$6:$G$2454,'①농산물raw'!$A$6:$A$2454,F$94,'①농산물raw'!$B$6:$B$2454,$B96)-F97</f>
        <v/>
      </c>
      <c r="G98" s="120">
        <f>SUMIFS('①농산물raw'!$G$6:$G$2454,'①농산물raw'!$A$6:$A$2454,G$94,'①농산물raw'!$B$6:$B$2454,$B96)-G97</f>
        <v/>
      </c>
      <c r="H98" s="120">
        <f>SUMIFS('①농산물raw'!$G$6:$G$2454,'①농산물raw'!$A$6:$A$2454,H$94,'①농산물raw'!$B$6:$B$2454,$B96)-H97</f>
        <v/>
      </c>
      <c r="I98" s="120">
        <f>SUMIFS('①농산물raw'!$G$6:$G$2454,'①농산물raw'!$A$6:$A$2454,I$94,'①농산물raw'!$B$6:$B$2454,$B96)-I97</f>
        <v/>
      </c>
      <c r="J98" s="120">
        <f>SUMIFS('①농산물raw'!$G$6:$G$2454,'①농산물raw'!$A$6:$A$2454,J$94,'①농산물raw'!$B$6:$B$2454,$B96)-J97</f>
        <v/>
      </c>
      <c r="K98" s="113" t="n"/>
      <c r="L98" s="113" t="n"/>
      <c r="M98" s="113" t="n"/>
      <c r="N98" s="113" t="n"/>
    </row>
    <row r="99">
      <c r="A99" s="113" t="n"/>
      <c r="B99" s="118" t="inlineStr">
        <is>
          <t>축산물</t>
        </is>
      </c>
      <c r="C99" s="118" t="inlineStr">
        <is>
          <t>소 계</t>
        </is>
      </c>
      <c r="D99" s="125">
        <f>SUM(E99:J99)</f>
        <v/>
      </c>
      <c r="E99" s="125">
        <f>E100+E101</f>
        <v/>
      </c>
      <c r="F99" s="125">
        <f>F100+F101</f>
        <v/>
      </c>
      <c r="G99" s="125">
        <f>G100+G101</f>
        <v/>
      </c>
      <c r="H99" s="125">
        <f>H100+H101</f>
        <v/>
      </c>
      <c r="I99" s="125">
        <f>I100+I101</f>
        <v/>
      </c>
      <c r="J99" s="125">
        <f>J100+J101</f>
        <v/>
      </c>
      <c r="K99" s="113" t="n"/>
      <c r="L99" s="113" t="n"/>
      <c r="M99" s="113" t="n"/>
      <c r="N99" s="113" t="n"/>
    </row>
    <row r="100">
      <c r="A100" s="113" t="n"/>
      <c r="B100" s="126" t="n"/>
      <c r="C100" s="119" t="inlineStr">
        <is>
          <t>7월</t>
        </is>
      </c>
      <c r="D100" s="120">
        <f>SUM(E100:J100)</f>
        <v/>
      </c>
      <c r="E100" s="120" t="n">
        <v>174615900</v>
      </c>
      <c r="F100" s="120" t="n">
        <v>28591600</v>
      </c>
      <c r="G100" s="120" t="n">
        <v>94872920</v>
      </c>
      <c r="H100" s="120" t="n">
        <v>0</v>
      </c>
      <c r="I100" s="120" t="n">
        <v>0</v>
      </c>
      <c r="J100" s="120" t="n">
        <v>185800</v>
      </c>
      <c r="K100" s="113" t="n"/>
      <c r="L100" s="113" t="n"/>
      <c r="M100" s="113" t="n"/>
      <c r="N100" s="113" t="n"/>
    </row>
    <row r="101">
      <c r="A101" s="113" t="n"/>
      <c r="B101" s="121" t="n"/>
      <c r="C101" s="119" t="inlineStr">
        <is>
          <t>8월</t>
        </is>
      </c>
      <c r="D101" s="120">
        <f>SUM(E101:J101)</f>
        <v/>
      </c>
      <c r="E101" s="120">
        <f>SUMIFS('①농산물raw'!$G$6:$G$2454,'①농산물raw'!$A$6:$A$2454,E$94,'①농산물raw'!$B$6:$B$2454,$B99)-E100</f>
        <v/>
      </c>
      <c r="F101" s="120">
        <f>SUMIFS('①농산물raw'!$G$6:$G$2454,'①농산물raw'!$A$6:$A$2454,F$94,'①농산물raw'!$B$6:$B$2454,$B99)-F100</f>
        <v/>
      </c>
      <c r="G101" s="120">
        <f>SUMIFS('①농산물raw'!$G$6:$G$2454,'①농산물raw'!$A$6:$A$2454,G$94,'①농산물raw'!$B$6:$B$2454,$B99)-G100</f>
        <v/>
      </c>
      <c r="H101" s="120">
        <f>SUMIFS('①농산물raw'!$G$6:$G$2454,'①농산물raw'!$A$6:$A$2454,H$94,'①농산물raw'!$B$6:$B$2454,$B99)-H100</f>
        <v/>
      </c>
      <c r="I101" s="120">
        <f>SUMIFS('①농산물raw'!$G$6:$G$2454,'①농산물raw'!$A$6:$A$2454,I$94,'①농산물raw'!$B$6:$B$2454,$B99)-I100</f>
        <v/>
      </c>
      <c r="J101" s="120">
        <f>SUMIFS('①농산물raw'!$G$6:$G$2454,'①농산물raw'!$A$6:$A$2454,J$94,'①농산물raw'!$B$6:$B$2454,$B99)-J100</f>
        <v/>
      </c>
      <c r="K101" s="113" t="n"/>
      <c r="L101" s="113" t="n"/>
      <c r="M101" s="113" t="n"/>
      <c r="N101" s="113" t="n"/>
    </row>
    <row r="102">
      <c r="A102" s="113" t="n"/>
      <c r="B102" s="118" t="inlineStr">
        <is>
          <t>가공식품</t>
        </is>
      </c>
      <c r="C102" s="118" t="inlineStr">
        <is>
          <t>소 계</t>
        </is>
      </c>
      <c r="D102" s="125">
        <f>SUM(E102:J102)</f>
        <v/>
      </c>
      <c r="E102" s="125">
        <f>E103+E104</f>
        <v/>
      </c>
      <c r="F102" s="125">
        <f>F103+F104</f>
        <v/>
      </c>
      <c r="G102" s="125">
        <f>G103+G104</f>
        <v/>
      </c>
      <c r="H102" s="125">
        <f>H103+H104</f>
        <v/>
      </c>
      <c r="I102" s="125">
        <f>I103+I104</f>
        <v/>
      </c>
      <c r="J102" s="125">
        <f>J103+J104</f>
        <v/>
      </c>
      <c r="K102" s="113" t="n"/>
      <c r="L102" s="113" t="n"/>
      <c r="M102" s="113" t="n"/>
      <c r="N102" s="113" t="n"/>
    </row>
    <row r="103">
      <c r="A103" s="113" t="n"/>
      <c r="B103" s="126" t="n"/>
      <c r="C103" s="119" t="inlineStr">
        <is>
          <t>7월</t>
        </is>
      </c>
      <c r="D103" s="120">
        <f>SUM(E103:J103)</f>
        <v/>
      </c>
      <c r="E103" s="120" t="n">
        <v>409967200</v>
      </c>
      <c r="F103" s="120" t="n">
        <v>340464350</v>
      </c>
      <c r="G103" s="120" t="n">
        <v>80050740</v>
      </c>
      <c r="H103" s="120" t="n">
        <v>4022000</v>
      </c>
      <c r="I103" s="120" t="n">
        <v>182117383</v>
      </c>
      <c r="J103" s="120" t="n">
        <v>170884300</v>
      </c>
      <c r="K103" s="113" t="n"/>
      <c r="L103" s="113" t="n"/>
      <c r="M103" s="113" t="n"/>
      <c r="N103" s="113" t="n"/>
    </row>
    <row r="104">
      <c r="A104" s="113" t="n"/>
      <c r="B104" s="121" t="n"/>
      <c r="C104" s="119" t="inlineStr">
        <is>
          <t>8월</t>
        </is>
      </c>
      <c r="D104" s="120">
        <f>SUM(E104:J104)</f>
        <v/>
      </c>
      <c r="E104" s="120">
        <f>SUMIFS('①농산물raw'!$G$6:$G$2454,'①농산물raw'!$A$6:$A$2454,E$94,'①농산물raw'!$B$6:$B$2454,$B102)-E103</f>
        <v/>
      </c>
      <c r="F104" s="120">
        <f>SUMIFS('①농산물raw'!$G$6:$G$2454,'①농산물raw'!$A$6:$A$2454,F$94,'①농산물raw'!$B$6:$B$2454,$B102)-F103</f>
        <v/>
      </c>
      <c r="G104" s="120">
        <f>SUMIFS('①농산물raw'!$G$6:$G$2454,'①농산물raw'!$A$6:$A$2454,G$94,'①농산물raw'!$B$6:$B$2454,$B102)-G103</f>
        <v/>
      </c>
      <c r="H104" s="120">
        <f>SUMIFS('①농산물raw'!$G$6:$G$2454,'①농산물raw'!$A$6:$A$2454,H$94,'①농산물raw'!$B$6:$B$2454,$B102)-H103</f>
        <v/>
      </c>
      <c r="I104" s="120">
        <f>SUMIFS('①농산물raw'!$G$6:$G$2454,'①농산물raw'!$A$6:$A$2454,I$94,'①농산물raw'!$B$6:$B$2454,$B102)-I103</f>
        <v/>
      </c>
      <c r="J104" s="120">
        <f>SUMIFS('①농산물raw'!$G$6:$G$2454,'①농산물raw'!$A$6:$A$2454,J$94,'①농산물raw'!$B$6:$B$2454,$B102)-J103</f>
        <v/>
      </c>
      <c r="K104" s="113" t="n"/>
      <c r="L104" s="113" t="n"/>
      <c r="M104" s="113" t="n"/>
      <c r="N104" s="113" t="n"/>
    </row>
    <row r="105" ht="19.2" customHeight="1" s="21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</row>
    <row r="106">
      <c r="A106" s="113" t="n"/>
      <c r="B106" s="115" t="inlineStr">
        <is>
          <t>7. 유통사별 품목별 판매 건수</t>
        </is>
      </c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</row>
    <row r="107">
      <c r="A107" s="113" t="n"/>
      <c r="B107" s="116" t="inlineStr">
        <is>
          <t>품목</t>
        </is>
      </c>
      <c r="C107" s="116" t="inlineStr">
        <is>
          <t>구분</t>
        </is>
      </c>
      <c r="D107" s="116" t="inlineStr">
        <is>
          <t>총 계</t>
        </is>
      </c>
      <c r="E107" s="116" t="inlineStr">
        <is>
          <t>네이버</t>
        </is>
      </c>
      <c r="F107" s="116" t="inlineStr">
        <is>
          <t>지마켓</t>
        </is>
      </c>
      <c r="G107" s="116" t="inlineStr">
        <is>
          <t>롯데ON</t>
        </is>
      </c>
      <c r="H107" s="116" t="inlineStr">
        <is>
          <t>온누리마켓</t>
        </is>
      </c>
      <c r="I107" s="116" t="inlineStr">
        <is>
          <t>농가살리기</t>
        </is>
      </c>
      <c r="J107" s="116" t="inlineStr">
        <is>
          <t>오아시스</t>
        </is>
      </c>
      <c r="K107" s="113" t="n"/>
      <c r="L107" s="113" t="n"/>
      <c r="M107" s="113" t="n"/>
      <c r="N107" s="113" t="n"/>
    </row>
    <row r="108">
      <c r="A108" s="113" t="n"/>
      <c r="B108" s="116" t="inlineStr">
        <is>
          <t>총 계</t>
        </is>
      </c>
      <c r="C108" s="117" t="n"/>
      <c r="D108" s="124">
        <f>SUM(E108:J108)</f>
        <v/>
      </c>
      <c r="E108" s="124">
        <f>E109+E112+E115</f>
        <v/>
      </c>
      <c r="F108" s="124">
        <f>F109+F112+F115</f>
        <v/>
      </c>
      <c r="G108" s="124">
        <f>G109+G112+G115</f>
        <v/>
      </c>
      <c r="H108" s="124">
        <f>H109+H112+H115</f>
        <v/>
      </c>
      <c r="I108" s="124">
        <f>I109+I112+I115</f>
        <v/>
      </c>
      <c r="J108" s="124">
        <f>J109+J112+J115</f>
        <v/>
      </c>
      <c r="K108" s="113" t="n"/>
      <c r="L108" s="113" t="n"/>
      <c r="M108" s="113" t="n"/>
      <c r="N108" s="113" t="n"/>
    </row>
    <row r="109">
      <c r="A109" s="113" t="n"/>
      <c r="B109" s="118" t="inlineStr">
        <is>
          <t>농산물</t>
        </is>
      </c>
      <c r="C109" s="118" t="inlineStr">
        <is>
          <t>소 계</t>
        </is>
      </c>
      <c r="D109" s="125">
        <f>SUM(E109:J109)</f>
        <v/>
      </c>
      <c r="E109" s="125">
        <f>E110+E111</f>
        <v/>
      </c>
      <c r="F109" s="125">
        <f>F110+F111</f>
        <v/>
      </c>
      <c r="G109" s="125">
        <f>G110+G111</f>
        <v/>
      </c>
      <c r="H109" s="125">
        <f>H110+H111</f>
        <v/>
      </c>
      <c r="I109" s="125">
        <f>I110+I111</f>
        <v/>
      </c>
      <c r="J109" s="125">
        <f>J110+J111</f>
        <v/>
      </c>
      <c r="K109" s="113" t="n"/>
      <c r="L109" s="113" t="n"/>
      <c r="M109" s="113" t="n"/>
      <c r="N109" s="113" t="n"/>
    </row>
    <row r="110">
      <c r="A110" s="113" t="n"/>
      <c r="B110" s="126" t="n"/>
      <c r="C110" s="119" t="inlineStr">
        <is>
          <t>7월</t>
        </is>
      </c>
      <c r="D110" s="120">
        <f>SUM(E110:J110)</f>
        <v/>
      </c>
      <c r="E110" s="120" t="n">
        <v>18947</v>
      </c>
      <c r="F110" s="120" t="n">
        <v>16003</v>
      </c>
      <c r="G110" s="120" t="n">
        <v>5393</v>
      </c>
      <c r="H110" s="120" t="n">
        <v>1136</v>
      </c>
      <c r="I110" s="120" t="n">
        <v>2619</v>
      </c>
      <c r="J110" s="120" t="n">
        <v>92871</v>
      </c>
      <c r="K110" s="113" t="n"/>
      <c r="L110" s="113" t="n"/>
      <c r="M110" s="113" t="n"/>
      <c r="N110" s="113" t="n"/>
    </row>
    <row r="111">
      <c r="A111" s="113" t="n"/>
      <c r="B111" s="121" t="n"/>
      <c r="C111" s="119" t="inlineStr">
        <is>
          <t>8월</t>
        </is>
      </c>
      <c r="D111" s="120">
        <f>SUM(E111:J111)</f>
        <v/>
      </c>
      <c r="E111" s="120">
        <f>SUMIFS('①농산물raw'!$F$6:$F$2454,'①농산물raw'!$A$6:$A$2454,E$107,'①농산물raw'!$B$6:$B$2454,$B109)-E110</f>
        <v/>
      </c>
      <c r="F111" s="120">
        <f>SUMIFS('①농산물raw'!$F$6:$F$2454,'①농산물raw'!$A$6:$A$2454,F$107,'①농산물raw'!$B$6:$B$2454,$B109)-F110</f>
        <v/>
      </c>
      <c r="G111" s="120">
        <f>SUMIFS('①농산물raw'!$F$6:$F$2454,'①농산물raw'!$A$6:$A$2454,G$107,'①농산물raw'!$B$6:$B$2454,$B109)-G110</f>
        <v/>
      </c>
      <c r="H111" s="120">
        <f>SUMIFS('①농산물raw'!$F$6:$F$2454,'①농산물raw'!$A$6:$A$2454,H$107,'①농산물raw'!$B$6:$B$2454,$B109)-H110</f>
        <v/>
      </c>
      <c r="I111" s="120">
        <f>SUMIFS('①농산물raw'!$F$6:$F$2454,'①농산물raw'!$A$6:$A$2454,I$107,'①농산물raw'!$B$6:$B$2454,$B109)-I110</f>
        <v/>
      </c>
      <c r="J111" s="120">
        <f>SUMIFS('①농산물raw'!$F$6:$F$2454,'①농산물raw'!$A$6:$A$2454,J$107,'①농산물raw'!$B$6:$B$2454,$B109)-J110</f>
        <v/>
      </c>
      <c r="K111" s="113" t="n"/>
      <c r="L111" s="113" t="n"/>
      <c r="M111" s="113" t="n"/>
      <c r="N111" s="113" t="n"/>
    </row>
    <row r="112">
      <c r="A112" s="113" t="n"/>
      <c r="B112" s="118" t="inlineStr">
        <is>
          <t>축산물</t>
        </is>
      </c>
      <c r="C112" s="118" t="inlineStr">
        <is>
          <t>소 계</t>
        </is>
      </c>
      <c r="D112" s="125">
        <f>SUM(E112:J112)</f>
        <v/>
      </c>
      <c r="E112" s="125">
        <f>E113+E114</f>
        <v/>
      </c>
      <c r="F112" s="125">
        <f>F113+F114</f>
        <v/>
      </c>
      <c r="G112" s="125">
        <f>G113+G114</f>
        <v/>
      </c>
      <c r="H112" s="125">
        <f>H113+H114</f>
        <v/>
      </c>
      <c r="I112" s="125">
        <f>I113+I114</f>
        <v/>
      </c>
      <c r="J112" s="125">
        <f>J113+J114</f>
        <v/>
      </c>
      <c r="K112" s="113" t="n"/>
      <c r="L112" s="113" t="n"/>
      <c r="M112" s="113" t="n"/>
      <c r="N112" s="113" t="n"/>
    </row>
    <row r="113">
      <c r="A113" s="113" t="n"/>
      <c r="B113" s="126" t="n"/>
      <c r="C113" s="119" t="inlineStr">
        <is>
          <t>7월</t>
        </is>
      </c>
      <c r="D113" s="120">
        <f>SUM(E113:J113)</f>
        <v/>
      </c>
      <c r="E113" s="120" t="n">
        <v>5918</v>
      </c>
      <c r="F113" s="120" t="n">
        <v>1102</v>
      </c>
      <c r="G113" s="120" t="n">
        <v>3058</v>
      </c>
      <c r="H113" s="120" t="n">
        <v>0</v>
      </c>
      <c r="I113" s="120" t="n">
        <v>0</v>
      </c>
      <c r="J113" s="120" t="n">
        <v>6</v>
      </c>
      <c r="K113" s="113" t="n"/>
      <c r="L113" s="113" t="n"/>
      <c r="M113" s="113" t="n"/>
      <c r="N113" s="113" t="n"/>
    </row>
    <row r="114">
      <c r="A114" s="113" t="n"/>
      <c r="B114" s="121" t="n"/>
      <c r="C114" s="119" t="inlineStr">
        <is>
          <t>8월</t>
        </is>
      </c>
      <c r="D114" s="120">
        <f>SUM(E114:J114)</f>
        <v/>
      </c>
      <c r="E114" s="120">
        <f>SUMIFS('①농산물raw'!$F$6:$F$2454,'①농산물raw'!$A$6:$A$2454,E$107,'①농산물raw'!$B$6:$B$2454,$B112)-E113</f>
        <v/>
      </c>
      <c r="F114" s="120">
        <f>SUMIFS('①농산물raw'!$F$6:$F$2454,'①농산물raw'!$A$6:$A$2454,F$107,'①농산물raw'!$B$6:$B$2454,$B112)-F113</f>
        <v/>
      </c>
      <c r="G114" s="120">
        <f>SUMIFS('①농산물raw'!$F$6:$F$2454,'①농산물raw'!$A$6:$A$2454,G$107,'①농산물raw'!$B$6:$B$2454,$B112)-G113</f>
        <v/>
      </c>
      <c r="H114" s="120">
        <f>SUMIFS('①농산물raw'!$F$6:$F$2454,'①농산물raw'!$A$6:$A$2454,H$107,'①농산물raw'!$B$6:$B$2454,$B112)-H113</f>
        <v/>
      </c>
      <c r="I114" s="120">
        <f>SUMIFS('①농산물raw'!$F$6:$F$2454,'①농산물raw'!$A$6:$A$2454,I$107,'①농산물raw'!$B$6:$B$2454,$B112)-I113</f>
        <v/>
      </c>
      <c r="J114" s="120">
        <f>SUMIFS('①농산물raw'!$F$6:$F$2454,'①농산물raw'!$A$6:$A$2454,J$107,'①농산물raw'!$B$6:$B$2454,$B112)-J113</f>
        <v/>
      </c>
      <c r="K114" s="113" t="n"/>
      <c r="L114" s="113" t="n"/>
      <c r="M114" s="113" t="n"/>
      <c r="N114" s="113" t="n"/>
    </row>
    <row r="115">
      <c r="A115" s="113" t="n"/>
      <c r="B115" s="118" t="inlineStr">
        <is>
          <t>가공식품</t>
        </is>
      </c>
      <c r="C115" s="118" t="inlineStr">
        <is>
          <t>소 계</t>
        </is>
      </c>
      <c r="D115" s="125">
        <f>SUM(E115:J115)</f>
        <v/>
      </c>
      <c r="E115" s="125">
        <f>E116+E117</f>
        <v/>
      </c>
      <c r="F115" s="125">
        <f>F116+F117</f>
        <v/>
      </c>
      <c r="G115" s="125">
        <f>G116+G117</f>
        <v/>
      </c>
      <c r="H115" s="125">
        <f>H116+H117</f>
        <v/>
      </c>
      <c r="I115" s="125">
        <f>I116+I117</f>
        <v/>
      </c>
      <c r="J115" s="125">
        <f>J116+J117</f>
        <v/>
      </c>
      <c r="K115" s="113" t="n"/>
      <c r="L115" s="113" t="n"/>
      <c r="M115" s="113" t="n"/>
      <c r="N115" s="113" t="n"/>
    </row>
    <row r="116">
      <c r="A116" s="113" t="n"/>
      <c r="B116" s="126" t="n"/>
      <c r="C116" s="119" t="inlineStr">
        <is>
          <t>7월</t>
        </is>
      </c>
      <c r="D116" s="120">
        <f>SUM(E116:J116)</f>
        <v/>
      </c>
      <c r="E116" s="120" t="n">
        <v>14728</v>
      </c>
      <c r="F116" s="120" t="n">
        <v>21535</v>
      </c>
      <c r="G116" s="120" t="n">
        <v>2567</v>
      </c>
      <c r="H116" s="120" t="n">
        <v>160</v>
      </c>
      <c r="I116" s="120" t="n">
        <v>12060</v>
      </c>
      <c r="J116" s="120" t="n">
        <v>28456</v>
      </c>
      <c r="K116" s="113" t="n"/>
      <c r="L116" s="113" t="n"/>
      <c r="M116" s="113" t="n"/>
      <c r="N116" s="113" t="n"/>
    </row>
    <row r="117">
      <c r="A117" s="113" t="n"/>
      <c r="B117" s="121" t="n"/>
      <c r="C117" s="119" t="inlineStr">
        <is>
          <t>8월</t>
        </is>
      </c>
      <c r="D117" s="120">
        <f>SUM(E117:J117)</f>
        <v/>
      </c>
      <c r="E117" s="120">
        <f>SUMIFS('①농산물raw'!$F$6:$F$2454,'①농산물raw'!$A$6:$A$2454,E$107,'①농산물raw'!$B$6:$B$2454,$B115)-E116</f>
        <v/>
      </c>
      <c r="F117" s="120">
        <f>SUMIFS('①농산물raw'!$F$6:$F$2454,'①농산물raw'!$A$6:$A$2454,F$107,'①농산물raw'!$B$6:$B$2454,$B115)-F116</f>
        <v/>
      </c>
      <c r="G117" s="120">
        <f>SUMIFS('①농산물raw'!$F$6:$F$2454,'①농산물raw'!$A$6:$A$2454,G$107,'①농산물raw'!$B$6:$B$2454,$B115)-G116</f>
        <v/>
      </c>
      <c r="H117" s="120">
        <f>SUMIFS('①농산물raw'!$F$6:$F$2454,'①농산물raw'!$A$6:$A$2454,H$107,'①농산물raw'!$B$6:$B$2454,$B115)-H116</f>
        <v/>
      </c>
      <c r="I117" s="120">
        <f>SUMIFS('①농산물raw'!$F$6:$F$2454,'①농산물raw'!$A$6:$A$2454,I$107,'①농산물raw'!$B$6:$B$2454,$B115)-I116</f>
        <v/>
      </c>
      <c r="J117" s="120">
        <f>SUMIFS('①농산물raw'!$F$6:$F$2454,'①농산물raw'!$A$6:$A$2454,J$107,'①농산물raw'!$B$6:$B$2454,$B115)-J116</f>
        <v/>
      </c>
      <c r="K117" s="113" t="n"/>
      <c r="L117" s="113" t="n"/>
      <c r="M117" s="113" t="n"/>
      <c r="N117" s="113" t="n"/>
    </row>
    <row r="118">
      <c r="A118" s="113" t="n"/>
      <c r="B118" s="113" t="n"/>
      <c r="C118" s="113" t="n"/>
      <c r="D118" s="122" t="n"/>
      <c r="E118" s="122" t="n"/>
      <c r="F118" s="122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</row>
    <row r="120">
      <c r="A120" s="113" t="n"/>
      <c r="B120" s="114" t="inlineStr">
        <is>
          <t>※ 유기농</t>
        </is>
      </c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</row>
    <row r="122">
      <c r="A122" s="113" t="n"/>
      <c r="B122" s="115" t="inlineStr">
        <is>
          <t>1. 월별 참여 업체 및 상품 수</t>
        </is>
      </c>
      <c r="C122" s="113" t="n"/>
      <c r="D122" s="122" t="n"/>
      <c r="E122" s="122" t="n"/>
      <c r="F122" s="122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</row>
    <row r="123">
      <c r="A123" s="113" t="n"/>
      <c r="B123" s="116" t="inlineStr">
        <is>
          <t>구분</t>
        </is>
      </c>
      <c r="C123" s="117" t="n"/>
      <c r="D123" s="123" t="inlineStr">
        <is>
          <t>총 계</t>
        </is>
      </c>
      <c r="E123" s="123" t="inlineStr">
        <is>
          <t>네이버</t>
        </is>
      </c>
      <c r="F123" s="123" t="inlineStr">
        <is>
          <t>오아시스</t>
        </is>
      </c>
      <c r="G123" s="113" t="n"/>
      <c r="H123" s="113" t="n"/>
      <c r="I123" s="113" t="n"/>
      <c r="J123" s="113" t="n"/>
      <c r="K123" s="113" t="n"/>
      <c r="L123" s="113" t="n"/>
      <c r="M123" s="113" t="n"/>
      <c r="N123" s="113" t="n"/>
    </row>
    <row r="124">
      <c r="A124" s="113" t="n"/>
      <c r="B124" s="118" t="inlineStr">
        <is>
          <t>7월</t>
        </is>
      </c>
      <c r="C124" s="119" t="inlineStr">
        <is>
          <t>업체수</t>
        </is>
      </c>
      <c r="D124" s="120">
        <f>SUMPRODUCT(--(유기농업체!$C$3:$C$57&lt;&gt;""))</f>
        <v/>
      </c>
      <c r="E124" s="120">
        <f>SUMPRODUCT(--(SUBSTITUTE(유기농업체!$E$3:$E$57,"롯데온","롯데ON")=E$123))</f>
        <v/>
      </c>
      <c r="F124" s="120">
        <f>SUMPRODUCT(--(SUBSTITUTE(유기농업체!$E$3:$E$57,"롯데온","롯데ON")=F$123))</f>
        <v/>
      </c>
      <c r="G124" s="113" t="n"/>
      <c r="H124" s="113" t="n"/>
      <c r="I124" s="113" t="n"/>
      <c r="J124" s="113" t="n"/>
      <c r="K124" s="113" t="n"/>
      <c r="L124" s="113" t="n"/>
      <c r="M124" s="113" t="n"/>
      <c r="N124" s="113" t="n"/>
    </row>
    <row r="125">
      <c r="A125" s="113" t="n"/>
      <c r="B125" s="121" t="n"/>
      <c r="C125" s="119" t="inlineStr">
        <is>
          <t>상품수</t>
        </is>
      </c>
      <c r="D125" s="120">
        <f>SUM(E125:F125)</f>
        <v/>
      </c>
      <c r="E125" s="120" t="n">
        <v>85</v>
      </c>
      <c r="F125" s="120" t="n">
        <v>90</v>
      </c>
      <c r="G125" s="113" t="n"/>
      <c r="H125" s="113" t="n"/>
      <c r="I125" s="113" t="n"/>
      <c r="J125" s="113" t="n"/>
      <c r="K125" s="113" t="n"/>
      <c r="L125" s="113" t="n"/>
      <c r="M125" s="113" t="n"/>
      <c r="N125" s="113" t="n"/>
    </row>
    <row r="126">
      <c r="A126" s="113" t="n"/>
      <c r="B126" s="118" t="inlineStr">
        <is>
          <t>8월</t>
        </is>
      </c>
      <c r="C126" s="119" t="inlineStr">
        <is>
          <t>업체수</t>
        </is>
      </c>
      <c r="D126" s="120">
        <f>SUM(E126:F126)</f>
        <v/>
      </c>
      <c r="E126" s="120">
        <f>E124</f>
        <v/>
      </c>
      <c r="F126" s="120">
        <f>F124</f>
        <v/>
      </c>
      <c r="G126" s="113" t="n"/>
      <c r="H126" s="113" t="n"/>
      <c r="I126" s="113" t="n"/>
      <c r="J126" s="113" t="n"/>
      <c r="K126" s="113" t="n"/>
      <c r="L126" s="113" t="n"/>
      <c r="M126" s="113" t="n"/>
      <c r="N126" s="113" t="n"/>
    </row>
    <row r="127">
      <c r="A127" s="113" t="n"/>
      <c r="B127" s="121" t="n"/>
      <c r="C127" s="119" t="inlineStr">
        <is>
          <t>상품수</t>
        </is>
      </c>
      <c r="D127" s="120">
        <f>SUM(E127:F127)</f>
        <v/>
      </c>
      <c r="E127" s="120">
        <f>COUNTIF('②유기농raw'!$A$6:$A$1000,E$123)-E125</f>
        <v/>
      </c>
      <c r="F127" s="120">
        <f>COUNTIF('②유기농raw'!$A$6:$A$1000,F$123)-F125</f>
        <v/>
      </c>
      <c r="G127" s="113" t="n"/>
      <c r="H127" s="113" t="n"/>
      <c r="I127" s="113" t="n"/>
      <c r="J127" s="113" t="n"/>
      <c r="K127" s="113" t="n"/>
      <c r="L127" s="113" t="n"/>
      <c r="M127" s="113" t="n"/>
      <c r="N127" s="113" t="n"/>
    </row>
    <row r="128">
      <c r="A128" s="113" t="n"/>
      <c r="B128" s="113" t="n"/>
      <c r="C128" s="113" t="n"/>
      <c r="D128" s="122" t="n"/>
      <c r="E128" s="122" t="n"/>
      <c r="F128" s="122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</row>
    <row r="129">
      <c r="A129" s="113" t="n"/>
      <c r="B129" s="115" t="inlineStr">
        <is>
          <t>2. 유통사 별 쿠폰 사용액</t>
        </is>
      </c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</row>
    <row r="130">
      <c r="A130" s="113" t="n"/>
      <c r="B130" s="116" t="inlineStr">
        <is>
          <t>구분</t>
        </is>
      </c>
      <c r="C130" s="117" t="n"/>
      <c r="D130" s="116" t="inlineStr">
        <is>
          <t>총 계</t>
        </is>
      </c>
      <c r="E130" s="116" t="inlineStr">
        <is>
          <t>네이버</t>
        </is>
      </c>
      <c r="F130" s="116" t="inlineStr">
        <is>
          <t>오아시스</t>
        </is>
      </c>
      <c r="G130" s="113" t="n"/>
      <c r="H130" s="113" t="n"/>
      <c r="I130" s="113" t="n"/>
      <c r="J130" s="113" t="n"/>
      <c r="K130" s="113" t="n"/>
      <c r="L130" s="113" t="n"/>
      <c r="M130" s="113" t="n"/>
      <c r="N130" s="113" t="n"/>
    </row>
    <row r="131">
      <c r="A131" s="113" t="n"/>
      <c r="B131" s="116" t="inlineStr">
        <is>
          <t>총 계</t>
        </is>
      </c>
      <c r="C131" s="117" t="n"/>
      <c r="D131" s="124">
        <f>SUM(E131:F131)</f>
        <v/>
      </c>
      <c r="E131" s="124">
        <f>E132+E133</f>
        <v/>
      </c>
      <c r="F131" s="124">
        <f>F132+F133</f>
        <v/>
      </c>
      <c r="G131" s="113" t="n"/>
      <c r="H131" s="113" t="n"/>
      <c r="I131" s="113" t="n"/>
      <c r="J131" s="113" t="n"/>
      <c r="K131" s="113" t="n"/>
      <c r="L131" s="113" t="n"/>
      <c r="M131" s="113" t="n"/>
      <c r="N131" s="113" t="n"/>
    </row>
    <row r="132">
      <c r="A132" s="113" t="n"/>
      <c r="B132" s="118" t="inlineStr">
        <is>
          <t>7월</t>
        </is>
      </c>
      <c r="C132" s="117" t="n"/>
      <c r="D132" s="120">
        <f>SUM(E132:F132)</f>
        <v/>
      </c>
      <c r="E132" s="120" t="n">
        <v>10413500</v>
      </c>
      <c r="F132" s="120" t="n">
        <v>9620431</v>
      </c>
      <c r="G132" s="113" t="n"/>
      <c r="H132" s="113" t="n"/>
      <c r="I132" s="113" t="n"/>
      <c r="J132" s="113" t="n"/>
      <c r="K132" s="113" t="n"/>
      <c r="L132" s="113" t="n"/>
      <c r="M132" s="113" t="n"/>
      <c r="N132" s="113" t="n"/>
    </row>
    <row r="133">
      <c r="A133" s="113" t="n"/>
      <c r="B133" s="118" t="inlineStr">
        <is>
          <t>8월</t>
        </is>
      </c>
      <c r="C133" s="117" t="n"/>
      <c r="D133" s="120">
        <f>SUM(E133:F133)</f>
        <v/>
      </c>
      <c r="E133" s="120">
        <f>SUMIF('②유기농raw'!$A$6:$A$1000,E$130,'②유기농raw'!$H$6:$H$1000)-E132</f>
        <v/>
      </c>
      <c r="F133" s="120">
        <f>SUMIF('②유기농raw'!$A$6:$A$1000,F$130,'②유기농raw'!$H$6:$H$1000)-F132</f>
        <v/>
      </c>
      <c r="G133" s="113" t="n"/>
      <c r="H133" s="113" t="n"/>
      <c r="I133" s="113" t="n"/>
      <c r="J133" s="113" t="n"/>
      <c r="K133" s="113" t="n"/>
      <c r="L133" s="113" t="n"/>
      <c r="M133" s="113" t="n"/>
      <c r="N133" s="113" t="n"/>
    </row>
    <row r="134">
      <c r="A134" s="113" t="n"/>
      <c r="B134" s="118" t="inlineStr">
        <is>
          <t>쿠폰 배정액</t>
        </is>
      </c>
      <c r="C134" s="117" t="n"/>
      <c r="D134" s="125">
        <f>SUM(E134:F134)</f>
        <v/>
      </c>
      <c r="E134" s="125" t="n">
        <v>50000000</v>
      </c>
      <c r="F134" s="125" t="n">
        <v>50000000</v>
      </c>
      <c r="G134" s="113" t="n"/>
      <c r="H134" s="113" t="n"/>
      <c r="I134" s="113" t="n"/>
      <c r="J134" s="113" t="n"/>
      <c r="K134" s="113" t="n"/>
      <c r="L134" s="113" t="n"/>
      <c r="M134" s="113" t="n"/>
      <c r="N134" s="113" t="n"/>
    </row>
    <row r="135">
      <c r="A135" s="113" t="n"/>
      <c r="B135" s="118" t="inlineStr">
        <is>
          <t>잔여금액</t>
        </is>
      </c>
      <c r="C135" s="117" t="n"/>
      <c r="D135" s="125">
        <f>SUM(E135:F135)</f>
        <v/>
      </c>
      <c r="E135" s="125">
        <f>E134-E131</f>
        <v/>
      </c>
      <c r="F135" s="125">
        <f>F134-F131</f>
        <v/>
      </c>
      <c r="G135" s="113" t="n"/>
      <c r="H135" s="113" t="n"/>
      <c r="I135" s="113" t="n"/>
      <c r="J135" s="113" t="n"/>
      <c r="K135" s="113" t="n"/>
      <c r="L135" s="113" t="n"/>
      <c r="M135" s="113" t="n"/>
      <c r="N135" s="113" t="n"/>
    </row>
    <row r="136">
      <c r="A136" s="113" t="n"/>
      <c r="B136" s="113" t="n"/>
      <c r="C136" s="113" t="n"/>
      <c r="D136" s="122" t="n"/>
      <c r="E136" s="122" t="n"/>
      <c r="F136" s="122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</row>
    <row r="137">
      <c r="A137" s="113" t="n"/>
      <c r="B137" s="115" t="inlineStr">
        <is>
          <t>3. 유통사 별 매출 분석</t>
        </is>
      </c>
      <c r="C137" s="113" t="n"/>
      <c r="D137" s="122" t="n"/>
      <c r="E137" s="122" t="n"/>
      <c r="F137" s="122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</row>
    <row r="138">
      <c r="A138" s="113" t="n"/>
      <c r="B138" s="116" t="inlineStr">
        <is>
          <t>구분</t>
        </is>
      </c>
      <c r="C138" s="117" t="n"/>
      <c r="D138" s="123" t="inlineStr">
        <is>
          <t>총 계</t>
        </is>
      </c>
      <c r="E138" s="123" t="inlineStr">
        <is>
          <t>네이버</t>
        </is>
      </c>
      <c r="F138" s="123" t="inlineStr">
        <is>
          <t>오아시스</t>
        </is>
      </c>
      <c r="G138" s="113" t="n"/>
      <c r="H138" s="113" t="n"/>
      <c r="I138" s="113" t="n"/>
      <c r="J138" s="113" t="n"/>
      <c r="K138" s="113" t="n"/>
      <c r="L138" s="113" t="n"/>
      <c r="M138" s="113" t="n"/>
      <c r="N138" s="113" t="n"/>
    </row>
    <row r="139">
      <c r="A139" s="113" t="n"/>
      <c r="B139" s="116" t="inlineStr">
        <is>
          <t>총 계</t>
        </is>
      </c>
      <c r="C139" s="117" t="n"/>
      <c r="D139" s="124">
        <f>SUM(E139:F139)</f>
        <v/>
      </c>
      <c r="E139" s="124">
        <f>E140+E141</f>
        <v/>
      </c>
      <c r="F139" s="124">
        <f>F140+F141</f>
        <v/>
      </c>
      <c r="G139" s="113" t="n"/>
      <c r="H139" s="113" t="n"/>
      <c r="I139" s="113" t="n"/>
      <c r="J139" s="113" t="n"/>
      <c r="K139" s="113" t="n"/>
      <c r="L139" s="113" t="n"/>
      <c r="M139" s="113" t="n"/>
      <c r="N139" s="113" t="n"/>
    </row>
    <row r="140">
      <c r="A140" s="113" t="n"/>
      <c r="B140" s="118" t="inlineStr">
        <is>
          <t>7월</t>
        </is>
      </c>
      <c r="C140" s="117" t="n"/>
      <c r="D140" s="120">
        <f>SUM(E140:F140)</f>
        <v/>
      </c>
      <c r="E140" s="120" t="n">
        <v>108372830</v>
      </c>
      <c r="F140" s="120" t="n">
        <v>538202060</v>
      </c>
      <c r="G140" s="113" t="n"/>
      <c r="H140" s="113" t="n"/>
      <c r="I140" s="113" t="n"/>
      <c r="J140" s="113" t="n"/>
      <c r="K140" s="113" t="n"/>
      <c r="L140" s="113" t="n"/>
      <c r="M140" s="113" t="n"/>
      <c r="N140" s="113" t="n"/>
    </row>
    <row r="141">
      <c r="A141" s="113" t="n"/>
      <c r="B141" s="118" t="inlineStr">
        <is>
          <t>8월</t>
        </is>
      </c>
      <c r="C141" s="117" t="n"/>
      <c r="D141" s="120">
        <f>SUM(E141:F141)</f>
        <v/>
      </c>
      <c r="E141" s="120">
        <f>SUMIF('②유기농raw'!$A$6:$A$1000,E$138,'②유기농raw'!$G$6:$G$1000)-E140</f>
        <v/>
      </c>
      <c r="F141" s="120">
        <f>SUMIF('②유기농raw'!$A$6:$A$1000,F$138,'②유기농raw'!$G$6:$G$1000)-F140</f>
        <v/>
      </c>
      <c r="G141" s="113" t="n"/>
      <c r="H141" s="113" t="n"/>
      <c r="I141" s="113" t="n"/>
      <c r="J141" s="113" t="n"/>
      <c r="K141" s="113" t="n"/>
      <c r="L141" s="113" t="n"/>
      <c r="M141" s="113" t="n"/>
      <c r="N141" s="113" t="n"/>
    </row>
    <row r="142">
      <c r="A142" s="113" t="n"/>
      <c r="B142" s="113" t="n"/>
      <c r="C142" s="113" t="n"/>
      <c r="D142" s="122" t="n"/>
      <c r="E142" s="122" t="n"/>
      <c r="F142" s="122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</row>
    <row r="143">
      <c r="A143" s="113" t="n"/>
      <c r="B143" s="115" t="inlineStr">
        <is>
          <t>4. 유통사 별 판매 건수</t>
        </is>
      </c>
      <c r="C143" s="113" t="n"/>
      <c r="D143" s="122" t="n"/>
      <c r="E143" s="122" t="n"/>
      <c r="F143" s="122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</row>
    <row r="144">
      <c r="A144" s="113" t="n"/>
      <c r="B144" s="116" t="inlineStr">
        <is>
          <t>구분</t>
        </is>
      </c>
      <c r="C144" s="117" t="n"/>
      <c r="D144" s="123" t="inlineStr">
        <is>
          <t>총 계</t>
        </is>
      </c>
      <c r="E144" s="123" t="inlineStr">
        <is>
          <t>네이버</t>
        </is>
      </c>
      <c r="F144" s="123" t="inlineStr">
        <is>
          <t>오아시스</t>
        </is>
      </c>
      <c r="G144" s="113" t="n"/>
      <c r="H144" s="113" t="n"/>
      <c r="I144" s="113" t="n"/>
      <c r="J144" s="113" t="n"/>
      <c r="K144" s="113" t="n"/>
      <c r="L144" s="113" t="n"/>
      <c r="M144" s="113" t="n"/>
      <c r="N144" s="113" t="n"/>
    </row>
    <row r="145">
      <c r="A145" s="113" t="n"/>
      <c r="B145" s="116" t="inlineStr">
        <is>
          <t>총 계</t>
        </is>
      </c>
      <c r="C145" s="117" t="n"/>
      <c r="D145" s="124">
        <f>SUM(E145:F145)</f>
        <v/>
      </c>
      <c r="E145" s="124">
        <f>E146+E147</f>
        <v/>
      </c>
      <c r="F145" s="124">
        <f>F146+F147</f>
        <v/>
      </c>
      <c r="G145" s="113" t="n"/>
      <c r="H145" s="113" t="n"/>
      <c r="I145" s="113" t="n"/>
      <c r="J145" s="113" t="n"/>
      <c r="K145" s="113" t="n"/>
      <c r="L145" s="113" t="n"/>
      <c r="M145" s="113" t="n"/>
      <c r="N145" s="113" t="n"/>
    </row>
    <row r="146">
      <c r="A146" s="113" t="n"/>
      <c r="B146" s="118" t="inlineStr">
        <is>
          <t>7월</t>
        </is>
      </c>
      <c r="C146" s="117" t="n"/>
      <c r="D146" s="120">
        <f>SUM(E146:F146)</f>
        <v/>
      </c>
      <c r="E146" s="120" t="n">
        <v>4478</v>
      </c>
      <c r="F146" s="120" t="n">
        <v>123173</v>
      </c>
      <c r="G146" s="113" t="n"/>
      <c r="H146" s="113" t="n"/>
      <c r="I146" s="113" t="n"/>
      <c r="J146" s="113" t="n"/>
      <c r="K146" s="113" t="n"/>
      <c r="L146" s="113" t="n"/>
      <c r="M146" s="113" t="n"/>
      <c r="N146" s="113" t="n"/>
    </row>
    <row r="147">
      <c r="A147" s="113" t="n"/>
      <c r="B147" s="118" t="inlineStr">
        <is>
          <t>8월</t>
        </is>
      </c>
      <c r="C147" s="117" t="n"/>
      <c r="D147" s="120">
        <f>SUM(E147:F147)</f>
        <v/>
      </c>
      <c r="E147" s="120">
        <f>SUMIF('②유기농raw'!$A$6:$A$1000,E$144,'②유기농raw'!$F$6:$F$1000)-E146</f>
        <v/>
      </c>
      <c r="F147" s="120">
        <f>SUMIF('②유기농raw'!$A$6:$A$1000,F$144,'②유기농raw'!$F$6:$F$1000)-F146</f>
        <v/>
      </c>
      <c r="G147" s="113" t="n"/>
      <c r="H147" s="113" t="n"/>
      <c r="I147" s="113" t="n"/>
      <c r="J147" s="113" t="n"/>
      <c r="K147" s="113" t="n"/>
      <c r="L147" s="113" t="n"/>
      <c r="M147" s="113" t="n"/>
      <c r="N147" s="113" t="n"/>
    </row>
    <row r="148">
      <c r="A148" s="113" t="n"/>
      <c r="B148" s="113" t="n"/>
      <c r="C148" s="113" t="n"/>
      <c r="D148" s="122" t="n"/>
      <c r="E148" s="122" t="n"/>
      <c r="F148" s="122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</row>
    <row r="149">
      <c r="A149" s="113" t="n"/>
      <c r="B149" s="115" t="inlineStr">
        <is>
          <t>5. 유통사별 품목별 쿠폰 사용액</t>
        </is>
      </c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</row>
    <row r="150">
      <c r="A150" s="113" t="n"/>
      <c r="B150" s="116" t="inlineStr">
        <is>
          <t>품목</t>
        </is>
      </c>
      <c r="C150" s="116" t="inlineStr">
        <is>
          <t>구분</t>
        </is>
      </c>
      <c r="D150" s="116" t="inlineStr">
        <is>
          <t>총 계</t>
        </is>
      </c>
      <c r="E150" s="116" t="inlineStr">
        <is>
          <t>네이버</t>
        </is>
      </c>
      <c r="F150" s="116" t="inlineStr">
        <is>
          <t>오아시스</t>
        </is>
      </c>
      <c r="G150" s="113" t="n"/>
      <c r="H150" s="113" t="n"/>
      <c r="I150" s="113" t="n"/>
      <c r="J150" s="113" t="n"/>
      <c r="K150" s="113" t="n"/>
      <c r="L150" s="113" t="n"/>
      <c r="M150" s="113" t="n"/>
      <c r="N150" s="113" t="n"/>
    </row>
    <row r="151">
      <c r="A151" s="113" t="n"/>
      <c r="B151" s="116" t="inlineStr">
        <is>
          <t>총 계</t>
        </is>
      </c>
      <c r="C151" s="117" t="n"/>
      <c r="D151" s="124">
        <f>SUM(E151:F151)</f>
        <v/>
      </c>
      <c r="E151" s="124">
        <f>E152+E155+E158</f>
        <v/>
      </c>
      <c r="F151" s="124">
        <f>F152+F155+F158</f>
        <v/>
      </c>
      <c r="G151" s="113" t="n"/>
      <c r="H151" s="113" t="n"/>
      <c r="I151" s="113" t="n"/>
      <c r="J151" s="113" t="n"/>
      <c r="K151" s="113" t="n"/>
      <c r="L151" s="113" t="n"/>
      <c r="M151" s="113" t="n"/>
      <c r="N151" s="113" t="n"/>
    </row>
    <row r="152">
      <c r="A152" s="113" t="n"/>
      <c r="B152" s="118" t="inlineStr">
        <is>
          <t>농산물</t>
        </is>
      </c>
      <c r="C152" s="118" t="inlineStr">
        <is>
          <t>소 계</t>
        </is>
      </c>
      <c r="D152" s="125">
        <f>SUM(E152:F152)</f>
        <v/>
      </c>
      <c r="E152" s="125">
        <f>E153+E154</f>
        <v/>
      </c>
      <c r="F152" s="125">
        <f>F153+F154</f>
        <v/>
      </c>
      <c r="G152" s="113" t="n"/>
      <c r="H152" s="113" t="n"/>
      <c r="I152" s="113" t="n"/>
      <c r="J152" s="113" t="n"/>
      <c r="K152" s="113" t="n"/>
      <c r="L152" s="113" t="n"/>
      <c r="M152" s="113" t="n"/>
      <c r="N152" s="113" t="n"/>
    </row>
    <row r="153">
      <c r="A153" s="113" t="n"/>
      <c r="B153" s="126" t="n"/>
      <c r="C153" s="119" t="inlineStr">
        <is>
          <t>7월</t>
        </is>
      </c>
      <c r="D153" s="120">
        <f>SUM(E153:F153)</f>
        <v/>
      </c>
      <c r="E153" s="120" t="n">
        <v>8603490</v>
      </c>
      <c r="F153" s="120" t="n">
        <v>4825119</v>
      </c>
      <c r="G153" s="113" t="n"/>
      <c r="H153" s="113" t="n"/>
      <c r="I153" s="113" t="n"/>
      <c r="J153" s="113" t="n"/>
      <c r="K153" s="113" t="n"/>
      <c r="L153" s="113" t="n"/>
      <c r="M153" s="113" t="n"/>
      <c r="N153" s="113" t="n"/>
    </row>
    <row r="154">
      <c r="A154" s="113" t="n"/>
      <c r="B154" s="121" t="n"/>
      <c r="C154" s="119" t="inlineStr">
        <is>
          <t>8월</t>
        </is>
      </c>
      <c r="D154" s="120">
        <f>SUM(E154:F154)</f>
        <v/>
      </c>
      <c r="E154" s="120">
        <f>SUMIFS('②유기농raw'!$H$6:$H$1000,'②유기농raw'!$A$6:$A$1000,E$150,'②유기농raw'!$B$6:$B$1000,$B152)-E153</f>
        <v/>
      </c>
      <c r="F154" s="120">
        <f>SUMIFS('②유기농raw'!$H$6:$H$1000,'②유기농raw'!$A$6:$A$1000,F$150,'②유기농raw'!$B$6:$B$1000,$B152)-F153</f>
        <v/>
      </c>
      <c r="G154" s="113" t="n"/>
      <c r="H154" s="113" t="n"/>
      <c r="I154" s="113" t="n"/>
      <c r="J154" s="113" t="n"/>
      <c r="K154" s="113" t="n"/>
      <c r="L154" s="113" t="n"/>
      <c r="M154" s="113" t="n"/>
      <c r="N154" s="113" t="n"/>
    </row>
    <row r="155">
      <c r="A155" s="113" t="n"/>
      <c r="B155" s="118" t="inlineStr">
        <is>
          <t>축산물</t>
        </is>
      </c>
      <c r="C155" s="118" t="inlineStr">
        <is>
          <t>소 계</t>
        </is>
      </c>
      <c r="D155" s="125">
        <f>SUM(E155:F155)</f>
        <v/>
      </c>
      <c r="E155" s="125">
        <f>E156+E157</f>
        <v/>
      </c>
      <c r="F155" s="125">
        <f>F156+F157</f>
        <v/>
      </c>
      <c r="G155" s="113" t="n"/>
      <c r="H155" s="113" t="n"/>
      <c r="I155" s="113" t="n"/>
      <c r="J155" s="113" t="n"/>
      <c r="K155" s="113" t="n"/>
      <c r="L155" s="113" t="n"/>
      <c r="M155" s="113" t="n"/>
      <c r="N155" s="113" t="n"/>
    </row>
    <row r="156">
      <c r="A156" s="113" t="n"/>
      <c r="B156" s="126" t="n"/>
      <c r="C156" s="119" t="inlineStr">
        <is>
          <t>7월</t>
        </is>
      </c>
      <c r="D156" s="120">
        <f>SUM(E156:F156)</f>
        <v/>
      </c>
      <c r="E156" s="120" t="n">
        <v>25800</v>
      </c>
      <c r="F156" s="120" t="n">
        <v>251120</v>
      </c>
      <c r="G156" s="113" t="n"/>
      <c r="H156" s="113" t="n"/>
      <c r="I156" s="113" t="n"/>
      <c r="J156" s="113" t="n"/>
      <c r="K156" s="113" t="n"/>
      <c r="L156" s="113" t="n"/>
      <c r="M156" s="113" t="n"/>
      <c r="N156" s="113" t="n"/>
    </row>
    <row r="157">
      <c r="A157" s="113" t="n"/>
      <c r="B157" s="121" t="n"/>
      <c r="C157" s="119" t="inlineStr">
        <is>
          <t>8월</t>
        </is>
      </c>
      <c r="D157" s="120">
        <f>SUM(E157:F157)</f>
        <v/>
      </c>
      <c r="E157" s="120">
        <f>SUMIFS('②유기농raw'!$H$6:$H$1000,'②유기농raw'!$A$6:$A$1000,E$150,'②유기농raw'!$B$6:$B$1000,$B155)-E156</f>
        <v/>
      </c>
      <c r="F157" s="120">
        <f>SUMIFS('②유기농raw'!$H$6:$H$1000,'②유기농raw'!$A$6:$A$1000,F$150,'②유기농raw'!$B$6:$B$1000,$B155)-F156</f>
        <v/>
      </c>
      <c r="G157" s="113" t="n"/>
      <c r="H157" s="113" t="n"/>
      <c r="I157" s="113" t="n"/>
      <c r="J157" s="113" t="n"/>
      <c r="K157" s="113" t="n"/>
      <c r="L157" s="113" t="n"/>
      <c r="M157" s="113" t="n"/>
      <c r="N157" s="113" t="n"/>
    </row>
    <row r="158">
      <c r="A158" s="113" t="n"/>
      <c r="B158" s="118" t="inlineStr">
        <is>
          <t>가공식품</t>
        </is>
      </c>
      <c r="C158" s="118" t="inlineStr">
        <is>
          <t>소 계</t>
        </is>
      </c>
      <c r="D158" s="125">
        <f>SUM(E158:F158)</f>
        <v/>
      </c>
      <c r="E158" s="125">
        <f>E159+E160</f>
        <v/>
      </c>
      <c r="F158" s="125">
        <f>F159+F160</f>
        <v/>
      </c>
      <c r="G158" s="113" t="n"/>
      <c r="H158" s="113" t="n"/>
      <c r="I158" s="113" t="n"/>
      <c r="J158" s="113" t="n"/>
      <c r="K158" s="113" t="n"/>
      <c r="L158" s="113" t="n"/>
      <c r="M158" s="113" t="n"/>
      <c r="N158" s="113" t="n"/>
    </row>
    <row r="159">
      <c r="A159" s="113" t="n"/>
      <c r="B159" s="126" t="n"/>
      <c r="C159" s="119" t="inlineStr">
        <is>
          <t>7월</t>
        </is>
      </c>
      <c r="D159" s="120">
        <f>SUM(E159:F159)</f>
        <v/>
      </c>
      <c r="E159" s="120" t="n">
        <v>1784210</v>
      </c>
      <c r="F159" s="120" t="n">
        <v>4544192</v>
      </c>
      <c r="G159" s="113" t="n"/>
      <c r="H159" s="113" t="n"/>
      <c r="I159" s="113" t="n"/>
      <c r="J159" s="113" t="n"/>
      <c r="K159" s="113" t="n"/>
      <c r="L159" s="113" t="n"/>
      <c r="M159" s="113" t="n"/>
      <c r="N159" s="113" t="n"/>
    </row>
    <row r="160">
      <c r="A160" s="113" t="n"/>
      <c r="B160" s="121" t="n"/>
      <c r="C160" s="119" t="inlineStr">
        <is>
          <t>8월</t>
        </is>
      </c>
      <c r="D160" s="120">
        <f>SUM(E160:F160)</f>
        <v/>
      </c>
      <c r="E160" s="120">
        <f>SUMIFS('②유기농raw'!$H$6:$H$1000,'②유기농raw'!$A$6:$A$1000,E$150,'②유기농raw'!$B$6:$B$1000,$B158)-E159</f>
        <v/>
      </c>
      <c r="F160" s="120">
        <f>SUMIFS('②유기농raw'!$H$6:$H$1000,'②유기농raw'!$A$6:$A$1000,F$150,'②유기농raw'!$B$6:$B$1000,$B158)-F159</f>
        <v/>
      </c>
      <c r="G160" s="113" t="n"/>
      <c r="H160" s="113" t="n"/>
      <c r="I160" s="113" t="n"/>
      <c r="J160" s="113" t="n"/>
      <c r="K160" s="113" t="n"/>
      <c r="L160" s="113" t="n"/>
      <c r="M160" s="113" t="n"/>
      <c r="N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</row>
    <row r="162">
      <c r="A162" s="113" t="n"/>
      <c r="B162" s="115" t="inlineStr">
        <is>
          <t>6. 유통사별 품목별 매출 분석</t>
        </is>
      </c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</row>
    <row r="163">
      <c r="A163" s="113" t="n"/>
      <c r="B163" s="116" t="inlineStr">
        <is>
          <t>품목</t>
        </is>
      </c>
      <c r="C163" s="116" t="inlineStr">
        <is>
          <t>구분</t>
        </is>
      </c>
      <c r="D163" s="116" t="inlineStr">
        <is>
          <t>총 계</t>
        </is>
      </c>
      <c r="E163" s="116" t="inlineStr">
        <is>
          <t>네이버</t>
        </is>
      </c>
      <c r="F163" s="116" t="inlineStr">
        <is>
          <t>오아시스</t>
        </is>
      </c>
      <c r="G163" s="113" t="n"/>
      <c r="H163" s="113" t="n"/>
      <c r="I163" s="113" t="n"/>
      <c r="J163" s="113" t="n"/>
      <c r="K163" s="113" t="n"/>
      <c r="L163" s="113" t="n"/>
      <c r="M163" s="113" t="n"/>
      <c r="N163" s="113" t="n"/>
    </row>
    <row r="164">
      <c r="A164" s="113" t="n"/>
      <c r="B164" s="116" t="inlineStr">
        <is>
          <t>총 계</t>
        </is>
      </c>
      <c r="C164" s="117" t="n"/>
      <c r="D164" s="124">
        <f>SUM(E164:F164)</f>
        <v/>
      </c>
      <c r="E164" s="124">
        <f>E165+E168+E171</f>
        <v/>
      </c>
      <c r="F164" s="124">
        <f>F165+F168+F171</f>
        <v/>
      </c>
      <c r="G164" s="113" t="n"/>
      <c r="H164" s="113" t="n"/>
      <c r="I164" s="113" t="n"/>
      <c r="J164" s="113" t="n"/>
      <c r="K164" s="113" t="n"/>
      <c r="L164" s="113" t="n"/>
      <c r="M164" s="113" t="n"/>
      <c r="N164" s="113" t="n"/>
    </row>
    <row r="165">
      <c r="A165" s="113" t="n"/>
      <c r="B165" s="118" t="inlineStr">
        <is>
          <t>농산물</t>
        </is>
      </c>
      <c r="C165" s="118" t="inlineStr">
        <is>
          <t>소 계</t>
        </is>
      </c>
      <c r="D165" s="125">
        <f>SUM(E165:F165)</f>
        <v/>
      </c>
      <c r="E165" s="125">
        <f>E166+E167</f>
        <v/>
      </c>
      <c r="F165" s="125">
        <f>F166+F167</f>
        <v/>
      </c>
      <c r="G165" s="113" t="n"/>
      <c r="H165" s="113" t="n"/>
      <c r="I165" s="113" t="n"/>
      <c r="J165" s="113" t="n"/>
      <c r="K165" s="113" t="n"/>
      <c r="L165" s="113" t="n"/>
      <c r="M165" s="113" t="n"/>
      <c r="N165" s="113" t="n"/>
    </row>
    <row r="166">
      <c r="A166" s="113" t="n"/>
      <c r="B166" s="126" t="n"/>
      <c r="C166" s="119" t="inlineStr">
        <is>
          <t>7월</t>
        </is>
      </c>
      <c r="D166" s="120">
        <f>SUM(E166:F166)</f>
        <v/>
      </c>
      <c r="E166" s="120" t="n">
        <v>92842530</v>
      </c>
      <c r="F166" s="120" t="n">
        <v>435129830</v>
      </c>
      <c r="G166" s="113" t="n"/>
      <c r="H166" s="113" t="n"/>
      <c r="I166" s="113" t="n"/>
      <c r="J166" s="113" t="n"/>
      <c r="K166" s="113" t="n"/>
      <c r="L166" s="113" t="n"/>
      <c r="M166" s="113" t="n"/>
      <c r="N166" s="113" t="n"/>
    </row>
    <row r="167">
      <c r="A167" s="113" t="n"/>
      <c r="B167" s="121" t="n"/>
      <c r="C167" s="119" t="inlineStr">
        <is>
          <t>8월</t>
        </is>
      </c>
      <c r="D167" s="120">
        <f>SUM(E167:F167)</f>
        <v/>
      </c>
      <c r="E167" s="120">
        <f>SUMIFS('②유기농raw'!$G$6:$G$1000,'②유기농raw'!$A$6:$A$1000,E$163,'②유기농raw'!$B$6:$B$1000,$B165)-E166</f>
        <v/>
      </c>
      <c r="F167" s="120">
        <f>SUMIFS('②유기농raw'!$G$6:$G$1000,'②유기농raw'!$A$6:$A$1000,F$163,'②유기농raw'!$B$6:$B$1000,$B165)-F166</f>
        <v/>
      </c>
      <c r="G167" s="113" t="n"/>
      <c r="H167" s="113" t="n"/>
      <c r="I167" s="113" t="n"/>
      <c r="J167" s="113" t="n"/>
      <c r="K167" s="113" t="n"/>
      <c r="L167" s="113" t="n"/>
      <c r="M167" s="113" t="n"/>
      <c r="N167" s="113" t="n"/>
    </row>
    <row r="168">
      <c r="A168" s="113" t="n"/>
      <c r="B168" s="118" t="inlineStr">
        <is>
          <t>축산물</t>
        </is>
      </c>
      <c r="C168" s="118" t="inlineStr">
        <is>
          <t>소 계</t>
        </is>
      </c>
      <c r="D168" s="125">
        <f>SUM(E168:F168)</f>
        <v/>
      </c>
      <c r="E168" s="125">
        <f>E169+E170</f>
        <v/>
      </c>
      <c r="F168" s="125">
        <f>F169+F170</f>
        <v/>
      </c>
      <c r="G168" s="113" t="n"/>
      <c r="H168" s="113" t="n"/>
      <c r="I168" s="113" t="n"/>
      <c r="J168" s="113" t="n"/>
      <c r="K168" s="113" t="n"/>
      <c r="L168" s="113" t="n"/>
      <c r="M168" s="113" t="n"/>
      <c r="N168" s="113" t="n"/>
    </row>
    <row r="169">
      <c r="A169" s="113" t="n"/>
      <c r="B169" s="126" t="n"/>
      <c r="C169" s="119" t="inlineStr">
        <is>
          <t>7월</t>
        </is>
      </c>
      <c r="D169" s="120">
        <f>SUM(E169:F169)</f>
        <v/>
      </c>
      <c r="E169" s="120" t="n">
        <v>132000</v>
      </c>
      <c r="F169" s="120" t="n">
        <v>3448700</v>
      </c>
      <c r="G169" s="113" t="n"/>
      <c r="H169" s="113" t="n"/>
      <c r="I169" s="113" t="n"/>
      <c r="J169" s="113" t="n"/>
      <c r="K169" s="113" t="n"/>
      <c r="L169" s="113" t="n"/>
      <c r="M169" s="113" t="n"/>
      <c r="N169" s="113" t="n"/>
    </row>
    <row r="170">
      <c r="A170" s="113" t="n"/>
      <c r="B170" s="121" t="n"/>
      <c r="C170" s="119" t="inlineStr">
        <is>
          <t>8월</t>
        </is>
      </c>
      <c r="D170" s="120">
        <f>SUM(E170:F170)</f>
        <v/>
      </c>
      <c r="E170" s="120">
        <f>SUMIFS('②유기농raw'!$G$6:$G$1000,'②유기농raw'!$A$6:$A$1000,E$163,'②유기농raw'!$B$6:$B$1000,$B168)-E169</f>
        <v/>
      </c>
      <c r="F170" s="120">
        <f>SUMIFS('②유기농raw'!$G$6:$G$1000,'②유기농raw'!$A$6:$A$1000,F$163,'②유기농raw'!$B$6:$B$1000,$B168)-F169</f>
        <v/>
      </c>
      <c r="G170" s="113" t="n"/>
      <c r="H170" s="113" t="n"/>
      <c r="I170" s="113" t="n"/>
      <c r="J170" s="113" t="n"/>
      <c r="K170" s="113" t="n"/>
      <c r="L170" s="113" t="n"/>
      <c r="M170" s="113" t="n"/>
      <c r="N170" s="113" t="n"/>
    </row>
    <row r="171">
      <c r="A171" s="113" t="n"/>
      <c r="B171" s="118" t="inlineStr">
        <is>
          <t>가공식품</t>
        </is>
      </c>
      <c r="C171" s="118" t="inlineStr">
        <is>
          <t>소 계</t>
        </is>
      </c>
      <c r="D171" s="125">
        <f>SUM(E171:F171)</f>
        <v/>
      </c>
      <c r="E171" s="125">
        <f>E172+E173</f>
        <v/>
      </c>
      <c r="F171" s="125">
        <f>F172+F173</f>
        <v/>
      </c>
      <c r="G171" s="113" t="n"/>
      <c r="H171" s="113" t="n"/>
      <c r="I171" s="113" t="n"/>
      <c r="J171" s="113" t="n"/>
      <c r="K171" s="113" t="n"/>
      <c r="L171" s="113" t="n"/>
      <c r="M171" s="113" t="n"/>
      <c r="N171" s="113" t="n"/>
    </row>
    <row r="172">
      <c r="A172" s="113" t="n"/>
      <c r="B172" s="126" t="n"/>
      <c r="C172" s="119" t="inlineStr">
        <is>
          <t>7월</t>
        </is>
      </c>
      <c r="D172" s="120">
        <f>SUM(E172:F172)</f>
        <v/>
      </c>
      <c r="E172" s="120" t="n">
        <v>15398300</v>
      </c>
      <c r="F172" s="120" t="n">
        <v>99623530</v>
      </c>
      <c r="G172" s="113" t="n"/>
      <c r="H172" s="113" t="n"/>
      <c r="I172" s="113" t="n"/>
      <c r="J172" s="113" t="n"/>
      <c r="K172" s="113" t="n"/>
      <c r="L172" s="113" t="n"/>
      <c r="M172" s="113" t="n"/>
      <c r="N172" s="113" t="n"/>
    </row>
    <row r="173">
      <c r="A173" s="113" t="n"/>
      <c r="B173" s="121" t="n"/>
      <c r="C173" s="119" t="inlineStr">
        <is>
          <t>8월</t>
        </is>
      </c>
      <c r="D173" s="120">
        <f>SUM(E173:F173)</f>
        <v/>
      </c>
      <c r="E173" s="120">
        <f>SUMIFS('②유기농raw'!$G$6:$G$1000,'②유기농raw'!$A$6:$A$1000,E$163,'②유기농raw'!$B$6:$B$1000,$B171)-E172</f>
        <v/>
      </c>
      <c r="F173" s="120">
        <f>SUMIFS('②유기농raw'!$G$6:$G$1000,'②유기농raw'!$A$6:$A$1000,F$163,'②유기농raw'!$B$6:$B$1000,$B171)-F172</f>
        <v/>
      </c>
      <c r="G173" s="113" t="n"/>
      <c r="H173" s="113" t="n"/>
      <c r="I173" s="113" t="n"/>
      <c r="J173" s="113" t="n"/>
      <c r="K173" s="113" t="n"/>
      <c r="L173" s="113" t="n"/>
      <c r="M173" s="113" t="n"/>
      <c r="N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</row>
    <row r="175">
      <c r="A175" s="113" t="n"/>
      <c r="B175" s="115" t="inlineStr">
        <is>
          <t>7. 유통사별 품목별 판매 건수</t>
        </is>
      </c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</row>
    <row r="176">
      <c r="A176" s="113" t="n"/>
      <c r="B176" s="116" t="inlineStr">
        <is>
          <t>품목</t>
        </is>
      </c>
      <c r="C176" s="116" t="inlineStr">
        <is>
          <t>구분</t>
        </is>
      </c>
      <c r="D176" s="116" t="inlineStr">
        <is>
          <t>총 계</t>
        </is>
      </c>
      <c r="E176" s="116" t="inlineStr">
        <is>
          <t>네이버</t>
        </is>
      </c>
      <c r="F176" s="116" t="inlineStr">
        <is>
          <t>오아시스</t>
        </is>
      </c>
      <c r="G176" s="113" t="n"/>
      <c r="H176" s="113" t="n"/>
      <c r="I176" s="113" t="n"/>
      <c r="J176" s="113" t="n"/>
      <c r="K176" s="113" t="n"/>
      <c r="L176" s="113" t="n"/>
      <c r="M176" s="113" t="n"/>
      <c r="N176" s="113" t="n"/>
    </row>
    <row r="177">
      <c r="A177" s="113" t="n"/>
      <c r="B177" s="116" t="inlineStr">
        <is>
          <t>총 계</t>
        </is>
      </c>
      <c r="C177" s="117" t="n"/>
      <c r="D177" s="124">
        <f>SUM(E177:F177)</f>
        <v/>
      </c>
      <c r="E177" s="124">
        <f>E178+E181+E184</f>
        <v/>
      </c>
      <c r="F177" s="124">
        <f>F178+F181+F184</f>
        <v/>
      </c>
      <c r="G177" s="113" t="n"/>
      <c r="H177" s="113" t="n"/>
      <c r="I177" s="113" t="n"/>
      <c r="J177" s="113" t="n"/>
      <c r="K177" s="113" t="n"/>
      <c r="L177" s="113" t="n"/>
      <c r="M177" s="113" t="n"/>
      <c r="N177" s="113" t="n"/>
    </row>
    <row r="178">
      <c r="A178" s="113" t="n"/>
      <c r="B178" s="118" t="inlineStr">
        <is>
          <t>농산물</t>
        </is>
      </c>
      <c r="C178" s="118" t="inlineStr">
        <is>
          <t>소 계</t>
        </is>
      </c>
      <c r="D178" s="125">
        <f>SUM(E178:F178)</f>
        <v/>
      </c>
      <c r="E178" s="125">
        <f>E179+E180</f>
        <v/>
      </c>
      <c r="F178" s="125">
        <f>F179+F180</f>
        <v/>
      </c>
      <c r="G178" s="113" t="n"/>
      <c r="H178" s="113" t="n"/>
      <c r="I178" s="113" t="n"/>
      <c r="J178" s="113" t="n"/>
      <c r="K178" s="113" t="n"/>
      <c r="L178" s="113" t="n"/>
      <c r="M178" s="113" t="n"/>
      <c r="N178" s="113" t="n"/>
    </row>
    <row r="179">
      <c r="A179" s="113" t="n"/>
      <c r="B179" s="126" t="n"/>
      <c r="C179" s="119" t="inlineStr">
        <is>
          <t>7월</t>
        </is>
      </c>
      <c r="D179" s="120">
        <f>SUM(E179:F179)</f>
        <v/>
      </c>
      <c r="E179" s="120" t="n">
        <v>3893</v>
      </c>
      <c r="F179" s="120" t="n">
        <v>100661</v>
      </c>
      <c r="G179" s="113" t="n"/>
      <c r="H179" s="113" t="n"/>
      <c r="I179" s="113" t="n"/>
      <c r="J179" s="113" t="n"/>
      <c r="K179" s="113" t="n"/>
      <c r="L179" s="113" t="n"/>
      <c r="M179" s="113" t="n"/>
      <c r="N179" s="113" t="n"/>
    </row>
    <row r="180">
      <c r="A180" s="113" t="n"/>
      <c r="B180" s="121" t="n"/>
      <c r="C180" s="119" t="inlineStr">
        <is>
          <t>8월</t>
        </is>
      </c>
      <c r="D180" s="120">
        <f>SUM(E180:F180)</f>
        <v/>
      </c>
      <c r="E180" s="120">
        <f>SUMIFS('②유기농raw'!$F$6:$F$1000,'②유기농raw'!$A$6:$A$1000,E$176,'②유기농raw'!$B$6:$B$1000,$B178)-E179</f>
        <v/>
      </c>
      <c r="F180" s="120">
        <f>SUMIFS('②유기농raw'!$F$6:$F$1000,'②유기농raw'!$A$6:$A$1000,F$176,'②유기농raw'!$B$6:$B$1000,$B178)-F179</f>
        <v/>
      </c>
      <c r="G180" s="113" t="n"/>
      <c r="H180" s="113" t="n"/>
      <c r="I180" s="113" t="n"/>
      <c r="J180" s="113" t="n"/>
      <c r="K180" s="113" t="n"/>
      <c r="L180" s="113" t="n"/>
      <c r="M180" s="113" t="n"/>
      <c r="N180" s="113" t="n"/>
    </row>
    <row r="181">
      <c r="A181" s="113" t="n"/>
      <c r="B181" s="118" t="inlineStr">
        <is>
          <t>축산물</t>
        </is>
      </c>
      <c r="C181" s="118" t="inlineStr">
        <is>
          <t>소 계</t>
        </is>
      </c>
      <c r="D181" s="125">
        <f>SUM(E181:F181)</f>
        <v/>
      </c>
      <c r="E181" s="125">
        <f>E182+E183</f>
        <v/>
      </c>
      <c r="F181" s="125">
        <f>F182+F183</f>
        <v/>
      </c>
      <c r="G181" s="113" t="n"/>
      <c r="H181" s="113" t="n"/>
      <c r="I181" s="113" t="n"/>
      <c r="J181" s="113" t="n"/>
      <c r="K181" s="113" t="n"/>
      <c r="L181" s="113" t="n"/>
      <c r="M181" s="113" t="n"/>
      <c r="N181" s="113" t="n"/>
    </row>
    <row r="182">
      <c r="A182" s="113" t="n"/>
      <c r="B182" s="126" t="n"/>
      <c r="C182" s="119" t="inlineStr">
        <is>
          <t>7월</t>
        </is>
      </c>
      <c r="D182" s="120">
        <f>SUM(E182:F182)</f>
        <v/>
      </c>
      <c r="E182" s="120" t="n">
        <v>5</v>
      </c>
      <c r="F182" s="120" t="n">
        <v>598</v>
      </c>
      <c r="G182" s="113" t="n"/>
      <c r="H182" s="113" t="n"/>
      <c r="I182" s="113" t="n"/>
      <c r="J182" s="113" t="n"/>
      <c r="K182" s="113" t="n"/>
      <c r="L182" s="113" t="n"/>
      <c r="M182" s="113" t="n"/>
      <c r="N182" s="113" t="n"/>
    </row>
    <row r="183">
      <c r="A183" s="113" t="n"/>
      <c r="B183" s="121" t="n"/>
      <c r="C183" s="119" t="inlineStr">
        <is>
          <t>8월</t>
        </is>
      </c>
      <c r="D183" s="120">
        <f>SUM(E183:F183)</f>
        <v/>
      </c>
      <c r="E183" s="120">
        <f>SUMIFS('②유기농raw'!$F$6:$F$1000,'②유기농raw'!$A$6:$A$1000,E$176,'②유기농raw'!$B$6:$B$1000,$B181)-E182</f>
        <v/>
      </c>
      <c r="F183" s="120">
        <f>SUMIFS('②유기농raw'!$F$6:$F$1000,'②유기농raw'!$A$6:$A$1000,F$176,'②유기농raw'!$B$6:$B$1000,$B181)-F182</f>
        <v/>
      </c>
      <c r="G183" s="113" t="n"/>
      <c r="H183" s="113" t="n"/>
      <c r="I183" s="113" t="n"/>
      <c r="J183" s="113" t="n"/>
      <c r="K183" s="113" t="n"/>
      <c r="L183" s="113" t="n"/>
      <c r="M183" s="113" t="n"/>
      <c r="N183" s="113" t="n"/>
    </row>
    <row r="184">
      <c r="A184" s="113" t="n"/>
      <c r="B184" s="118" t="inlineStr">
        <is>
          <t>가공식품</t>
        </is>
      </c>
      <c r="C184" s="118" t="inlineStr">
        <is>
          <t>소 계</t>
        </is>
      </c>
      <c r="D184" s="125">
        <f>SUM(E184:F184)</f>
        <v/>
      </c>
      <c r="E184" s="125">
        <f>E185+E186</f>
        <v/>
      </c>
      <c r="F184" s="125">
        <f>F185+F186</f>
        <v/>
      </c>
      <c r="G184" s="113" t="n"/>
      <c r="H184" s="113" t="n"/>
      <c r="I184" s="113" t="n"/>
      <c r="J184" s="113" t="n"/>
      <c r="K184" s="113" t="n"/>
      <c r="L184" s="113" t="n"/>
      <c r="M184" s="113" t="n"/>
      <c r="N184" s="113" t="n"/>
    </row>
    <row r="185">
      <c r="A185" s="113" t="n"/>
      <c r="B185" s="126" t="n"/>
      <c r="C185" s="119" t="inlineStr">
        <is>
          <t>7월</t>
        </is>
      </c>
      <c r="D185" s="120">
        <f>SUM(E185:F185)</f>
        <v/>
      </c>
      <c r="E185" s="120" t="n">
        <v>580</v>
      </c>
      <c r="F185" s="120" t="n">
        <v>21914</v>
      </c>
      <c r="G185" s="113" t="n"/>
      <c r="H185" s="113" t="n"/>
      <c r="I185" s="113" t="n"/>
      <c r="J185" s="113" t="n"/>
      <c r="K185" s="113" t="n"/>
      <c r="L185" s="113" t="n"/>
      <c r="M185" s="113" t="n"/>
      <c r="N185" s="113" t="n"/>
    </row>
    <row r="186">
      <c r="A186" s="113" t="n"/>
      <c r="B186" s="121" t="n"/>
      <c r="C186" s="119" t="inlineStr">
        <is>
          <t>8월</t>
        </is>
      </c>
      <c r="D186" s="120">
        <f>SUM(E186:F186)</f>
        <v/>
      </c>
      <c r="E186" s="120">
        <f>SUMIFS('②유기농raw'!$F$6:$F$1000,'②유기농raw'!$A$6:$A$1000,E$176,'②유기농raw'!$B$6:$B$1000,$B184)-E185</f>
        <v/>
      </c>
      <c r="F186" s="120">
        <f>SUMIFS('②유기농raw'!$F$6:$F$1000,'②유기농raw'!$A$6:$A$1000,F$176,'②유기농raw'!$B$6:$B$1000,$B184)-F185</f>
        <v/>
      </c>
      <c r="G186" s="113" t="n"/>
      <c r="H186" s="113" t="n"/>
      <c r="I186" s="113" t="n"/>
      <c r="J186" s="113" t="n"/>
      <c r="K186" s="113" t="n"/>
      <c r="L186" s="113" t="n"/>
      <c r="M186" s="113" t="n"/>
      <c r="N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</row>
    <row r="24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</row>
    <row r="248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</row>
    <row r="249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</row>
    <row r="25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</row>
  </sheetData>
  <mergeCells count="86">
    <mergeCell ref="D4:J4"/>
    <mergeCell ref="B43:B44"/>
    <mergeCell ref="B12:B13"/>
    <mergeCell ref="B141:C141"/>
    <mergeCell ref="B77:C77"/>
    <mergeCell ref="B151:C151"/>
    <mergeCell ref="K27:M27"/>
    <mergeCell ref="D35:J35"/>
    <mergeCell ref="B61:C61"/>
    <mergeCell ref="B109:B111"/>
    <mergeCell ref="B165:B167"/>
    <mergeCell ref="K17:M17"/>
    <mergeCell ref="B69:C69"/>
    <mergeCell ref="C43:C44"/>
    <mergeCell ref="B78:C78"/>
    <mergeCell ref="C27:C28"/>
    <mergeCell ref="B152:B154"/>
    <mergeCell ref="B64:C64"/>
    <mergeCell ref="B177:C177"/>
    <mergeCell ref="B164:C164"/>
    <mergeCell ref="B63:C63"/>
    <mergeCell ref="B178:B180"/>
    <mergeCell ref="B35:B36"/>
    <mergeCell ref="B27:B28"/>
    <mergeCell ref="B138:C138"/>
    <mergeCell ref="B171:B173"/>
    <mergeCell ref="C4:C5"/>
    <mergeCell ref="K22:M22"/>
    <mergeCell ref="B17:B18"/>
    <mergeCell ref="B66:C66"/>
    <mergeCell ref="B131:C131"/>
    <mergeCell ref="B99:B101"/>
    <mergeCell ref="K12:M12"/>
    <mergeCell ref="B140:C140"/>
    <mergeCell ref="B83:B85"/>
    <mergeCell ref="B130:C130"/>
    <mergeCell ref="B132:C132"/>
    <mergeCell ref="K4:M4"/>
    <mergeCell ref="C17:C18"/>
    <mergeCell ref="B55:B56"/>
    <mergeCell ref="B102:B104"/>
    <mergeCell ref="D27:J27"/>
    <mergeCell ref="D17:J17"/>
    <mergeCell ref="B95:C95"/>
    <mergeCell ref="K35:M35"/>
    <mergeCell ref="B112:B114"/>
    <mergeCell ref="B168:B170"/>
    <mergeCell ref="B144:C144"/>
    <mergeCell ref="B54:C54"/>
    <mergeCell ref="B72:C72"/>
    <mergeCell ref="B158:B160"/>
    <mergeCell ref="B134:C134"/>
    <mergeCell ref="D12:J12"/>
    <mergeCell ref="B71:C71"/>
    <mergeCell ref="B89:B91"/>
    <mergeCell ref="C22:C23"/>
    <mergeCell ref="B57:B58"/>
    <mergeCell ref="C12:C13"/>
    <mergeCell ref="B82:C82"/>
    <mergeCell ref="B115:B117"/>
    <mergeCell ref="B146:C146"/>
    <mergeCell ref="B124:B125"/>
    <mergeCell ref="B108:C108"/>
    <mergeCell ref="B155:B157"/>
    <mergeCell ref="B4:B5"/>
    <mergeCell ref="B126:B127"/>
    <mergeCell ref="B86:B88"/>
    <mergeCell ref="B22:B23"/>
    <mergeCell ref="B133:C133"/>
    <mergeCell ref="B76:C76"/>
    <mergeCell ref="D43:J43"/>
    <mergeCell ref="B75:C75"/>
    <mergeCell ref="B135:C135"/>
    <mergeCell ref="B62:C62"/>
    <mergeCell ref="K43:M43"/>
    <mergeCell ref="C35:C36"/>
    <mergeCell ref="B70:C70"/>
    <mergeCell ref="B145:C145"/>
    <mergeCell ref="B184:B186"/>
    <mergeCell ref="D22:J22"/>
    <mergeCell ref="B147:C147"/>
    <mergeCell ref="B96:B98"/>
    <mergeCell ref="B65:C65"/>
    <mergeCell ref="B181:B183"/>
    <mergeCell ref="B139:C139"/>
    <mergeCell ref="B123:C123"/>
  </mergeCell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223"/>
  <sheetViews>
    <sheetView showGridLines="1" workbookViewId="0">
      <selection activeCell="A1" sqref="A1"/>
    </sheetView>
  </sheetViews>
  <sheetFormatPr baseColWidth="8" defaultRowHeight="15"/>
  <cols>
    <col width="4" customWidth="1" style="21" min="1" max="1"/>
    <col width="14" customWidth="1" style="21" min="2" max="2"/>
    <col width="24" customWidth="1" style="21" min="3" max="3"/>
    <col width="26" customWidth="1" style="21" min="4" max="4"/>
    <col width="16" customWidth="1" style="21" min="5" max="5"/>
    <col width="45" customWidth="1" style="21" min="6" max="6"/>
    <col width="22" customWidth="1" style="21" min="7" max="7"/>
    <col width="16" customWidth="1" style="21" min="8" max="8"/>
    <col width="45" customWidth="1" style="21" min="9" max="9"/>
    <col width="16" customWidth="1" style="21" min="10" max="10"/>
    <col width="16" customWidth="1" style="21" min="11" max="11"/>
    <col width="16" customWidth="1" style="21" min="12" max="12"/>
    <col width="13" customWidth="1" style="21" min="13" max="13"/>
    <col width="16" customWidth="1" style="21" min="14" max="14"/>
    <col width="50" customWidth="1" style="21" min="15" max="15"/>
  </cols>
  <sheetData>
    <row r="2">
      <c r="B2" s="156" t="inlineStr">
        <is>
          <t>2026 aT 온라인 판로지원 사업 - 실적 이상치 및 규정 준수 검토 리포트</t>
        </is>
      </c>
    </row>
    <row r="4">
      <c r="B4" s="157" t="inlineStr">
        <is>
          <t>1. 사업 규정 준수 여부 전수 검토 결과 요약</t>
        </is>
      </c>
    </row>
    <row r="5">
      <c r="B5" s="158" t="inlineStr">
        <is>
          <t>검토 규정 항목</t>
        </is>
      </c>
      <c r="C5" s="158" t="inlineStr">
        <is>
          <t>사업 운영 기준</t>
        </is>
      </c>
      <c r="D5" s="158" t="inlineStr">
        <is>
          <t>전수 검토 결과</t>
        </is>
      </c>
      <c r="E5" s="158" t="inlineStr">
        <is>
          <t>준수 여부</t>
        </is>
      </c>
      <c r="F5" s="158" t="inlineStr">
        <is>
          <t>세부 검토 내역</t>
        </is>
      </c>
    </row>
    <row r="6">
      <c r="B6" s="159" t="inlineStr">
        <is>
          <t>업체당 쿠폰 한도</t>
        </is>
      </c>
      <c r="C6" s="160" t="inlineStr">
        <is>
          <t>업체당 최대 8,000,000원</t>
        </is>
      </c>
      <c r="D6" s="161" t="inlineStr">
        <is>
          <t>초과 업체 0개 (최대 소진액 6,140,240원 / 76.8%)</t>
        </is>
      </c>
      <c r="E6" s="162" t="inlineStr">
        <is>
          <t>정상 준수</t>
        </is>
      </c>
      <c r="F6" s="163" t="inlineStr">
        <is>
          <t>농부들(76.8%), 자연푸드(73.1%), 팜앤유(71.6%) 등 전 업체 한도 내 안전 운영</t>
        </is>
      </c>
    </row>
    <row r="7">
      <c r="B7" s="159" t="inlineStr">
        <is>
          <t>쿠폰 할인율 상한</t>
        </is>
      </c>
      <c r="C7" s="160" t="inlineStr">
        <is>
          <t>매출액 대비 최대 20.0%</t>
        </is>
      </c>
      <c r="D7" s="161" t="inlineStr">
        <is>
          <t>초과 건수 0건 (최대 할인율 정확히 20.00%)</t>
        </is>
      </c>
      <c r="E7" s="162" t="inlineStr">
        <is>
          <t>정상 준수</t>
        </is>
      </c>
      <c r="F7" s="163" t="inlineStr">
        <is>
          <t>1,651개 로우데이터 행 전수 검사 결과 20% 초과 할인 없음</t>
        </is>
      </c>
    </row>
    <row r="8">
      <c r="B8" s="159" t="inlineStr">
        <is>
          <t>건당 쿠폰 한도</t>
        </is>
      </c>
      <c r="C8" s="160" t="inlineStr">
        <is>
          <t>건당(개당) 최대 10,000원</t>
        </is>
      </c>
      <c r="D8" s="161" t="inlineStr">
        <is>
          <t>초과 건수 0건 (건당 최대 쿠폰액 정확히 10,000원)</t>
        </is>
      </c>
      <c r="E8" s="162" t="inlineStr">
        <is>
          <t>정상 준수</t>
        </is>
      </c>
      <c r="F8" s="163" t="inlineStr">
        <is>
          <t>전체 사업 참여업체 중 최대 소진업체는 '땅끝사랑농원'(762만원 / 95.2%)으로 전 업체가 한도 내에서 안전하게 운영 중입니다.</t>
        </is>
      </c>
    </row>
    <row r="11">
      <c r="B11" s="157" t="inlineStr">
        <is>
          <t>2. 누적 실적 역전(감소) 이상치 내역 (총 1건 - 취소/환불 정산 변동분)</t>
        </is>
      </c>
    </row>
    <row r="12">
      <c r="B12" s="158" t="inlineStr">
        <is>
          <t>구분</t>
        </is>
      </c>
      <c r="C12" s="158" t="inlineStr">
        <is>
          <t>유통사</t>
        </is>
      </c>
      <c r="D12" s="158" t="inlineStr">
        <is>
          <t>사업자명</t>
        </is>
      </c>
      <c r="E12" s="158" t="inlineStr">
        <is>
          <t>사업자번호</t>
        </is>
      </c>
      <c r="F12" s="158" t="inlineStr">
        <is>
          <t>상품명</t>
        </is>
      </c>
      <c r="G12" s="158" t="inlineStr">
        <is>
          <t>7월 실적</t>
        </is>
      </c>
      <c r="H12" s="158" t="inlineStr">
        <is>
          <t>8월 누적실적</t>
        </is>
      </c>
      <c r="I12" s="158" t="inlineStr">
        <is>
          <t>증감(8월순수)</t>
        </is>
      </c>
      <c r="J12" s="158" t="inlineStr">
        <is>
          <t>이상 원인 분석 및 특이사항</t>
        </is>
      </c>
    </row>
    <row r="13">
      <c r="B13" s="164" t="inlineStr">
        <is>
          <t>업체 쿠폰 역전</t>
        </is>
      </c>
      <c r="C13" s="164" t="inlineStr">
        <is>
          <t>네이버</t>
        </is>
      </c>
      <c r="D13" s="165" t="inlineStr">
        <is>
          <t>농업회사법인 랑이네세상 주식회사</t>
        </is>
      </c>
      <c r="E13" s="164" t="inlineStr">
        <is>
          <t>488-88-03205</t>
        </is>
      </c>
      <c r="F13" s="165" t="inlineStr">
        <is>
          <t>[업체 전체 쿠폰]</t>
        </is>
      </c>
      <c r="G13" s="166" t="inlineStr">
        <is>
          <t>4,955,760원</t>
        </is>
      </c>
      <c r="H13" s="166" t="inlineStr">
        <is>
          <t>4,947,920원</t>
        </is>
      </c>
      <c r="I13" s="167" t="inlineStr">
        <is>
          <t>-7,840원</t>
        </is>
      </c>
      <c r="J13" s="165" t="inlineStr">
        <is>
          <t>매출/건수는 증가했으나 쿠폰 사용액이 7월 대비 누적에서 7,840원 감소 (주문취소/환불 반영 의심)</t>
        </is>
      </c>
    </row>
    <row r="14">
      <c r="B14" s="164" t="n"/>
      <c r="C14" s="164" t="n"/>
      <c r="D14" s="165" t="n"/>
      <c r="E14" s="164" t="n"/>
      <c r="F14" s="165" t="n"/>
      <c r="G14" s="166" t="n"/>
      <c r="H14" s="166" t="n"/>
      <c r="I14" s="167" t="n"/>
      <c r="J14" s="165" t="n"/>
    </row>
    <row r="15">
      <c r="B15" s="164" t="n"/>
      <c r="C15" s="164" t="n"/>
      <c r="D15" s="165" t="n"/>
      <c r="E15" s="164" t="n"/>
      <c r="F15" s="165" t="n"/>
      <c r="G15" s="166" t="n"/>
      <c r="H15" s="166" t="n"/>
      <c r="I15" s="167" t="n"/>
      <c r="J15" s="165" t="n"/>
    </row>
    <row r="16">
      <c r="B16" s="164" t="n"/>
      <c r="C16" s="164" t="n"/>
      <c r="D16" s="165" t="n"/>
      <c r="E16" s="164" t="n"/>
      <c r="F16" s="165" t="n"/>
      <c r="G16" s="166" t="n"/>
      <c r="H16" s="166" t="n"/>
      <c r="I16" s="167" t="n"/>
      <c r="J16" s="165" t="n"/>
    </row>
    <row r="19">
      <c r="B19" s="157" t="inlineStr">
        <is>
          <t>3. 업체별 쿠폰 한도(800만원) 소진율 상위 Top 10 업체 모니터링</t>
        </is>
      </c>
    </row>
    <row r="20">
      <c r="B20" s="158" t="inlineStr">
        <is>
          <t>순위</t>
        </is>
      </c>
      <c r="C20" s="158" t="inlineStr">
        <is>
          <t>사업자명</t>
        </is>
      </c>
      <c r="D20" s="158" t="inlineStr">
        <is>
          <t>사업자번호</t>
        </is>
      </c>
      <c r="E20" s="158" t="inlineStr">
        <is>
          <t>참여 유통사</t>
        </is>
      </c>
      <c r="F20" s="158" t="inlineStr">
        <is>
          <t>누적 매출액</t>
        </is>
      </c>
      <c r="G20" s="158" t="inlineStr">
        <is>
          <t>누적 쿠폰사용액</t>
        </is>
      </c>
      <c r="H20" s="158" t="inlineStr">
        <is>
          <t>한도(800만원) 소진율</t>
        </is>
      </c>
      <c r="I20" s="158" t="inlineStr">
        <is>
          <t>잔여 한도액</t>
        </is>
      </c>
    </row>
    <row r="21">
      <c r="B21" s="168" t="n">
        <v>1</v>
      </c>
      <c r="C21" s="169" t="inlineStr">
        <is>
          <t>땅끝사랑농원</t>
        </is>
      </c>
      <c r="D21" s="168" t="inlineStr">
        <is>
          <t>106-93-03082</t>
        </is>
      </c>
      <c r="E21" s="168" t="inlineStr">
        <is>
          <t>네이버</t>
        </is>
      </c>
      <c r="F21" s="170" t="n">
        <v>63191000</v>
      </c>
      <c r="G21" s="171" t="n">
        <v>7617120</v>
      </c>
      <c r="H21" s="172" t="inlineStr">
        <is>
          <t>95.2%</t>
        </is>
      </c>
      <c r="I21" s="170" t="n">
        <v>382880</v>
      </c>
    </row>
    <row r="22">
      <c r="B22" s="168" t="n">
        <v>2</v>
      </c>
      <c r="C22" s="169" t="inlineStr">
        <is>
          <t>조양식품</t>
        </is>
      </c>
      <c r="D22" s="168" t="inlineStr">
        <is>
          <t>579-90-00021</t>
        </is>
      </c>
      <c r="E22" s="168" t="inlineStr">
        <is>
          <t>지마켓</t>
        </is>
      </c>
      <c r="F22" s="170" t="n">
        <v>287536270</v>
      </c>
      <c r="G22" s="171" t="n">
        <v>6140240</v>
      </c>
      <c r="H22" s="172" t="inlineStr">
        <is>
          <t>76.8%</t>
        </is>
      </c>
      <c r="I22" s="170" t="n">
        <v>1859760</v>
      </c>
    </row>
    <row r="23">
      <c r="B23" s="168" t="n">
        <v>3</v>
      </c>
      <c r="C23" s="169" t="inlineStr">
        <is>
          <t>농업회사법인(유)코리아푸드</t>
        </is>
      </c>
      <c r="D23" s="168" t="inlineStr">
        <is>
          <t>412-81-50546</t>
        </is>
      </c>
      <c r="E23" s="168" t="inlineStr">
        <is>
          <t>농가살리기</t>
        </is>
      </c>
      <c r="F23" s="170" t="n">
        <v>348126237</v>
      </c>
      <c r="G23" s="171" t="n">
        <v>5847700</v>
      </c>
      <c r="H23" s="172" t="inlineStr">
        <is>
          <t>73.1%</t>
        </is>
      </c>
      <c r="I23" s="170" t="n">
        <v>2152300</v>
      </c>
    </row>
    <row r="24">
      <c r="B24" s="168" t="n">
        <v>4</v>
      </c>
      <c r="C24" s="169" t="inlineStr">
        <is>
          <t>수촌농장</t>
        </is>
      </c>
      <c r="D24" s="168" t="inlineStr">
        <is>
          <t>477-93-01384</t>
        </is>
      </c>
      <c r="E24" s="168" t="inlineStr">
        <is>
          <t>지마켓</t>
        </is>
      </c>
      <c r="F24" s="170" t="n">
        <v>60348400</v>
      </c>
      <c r="G24" s="171" t="n">
        <v>5728100</v>
      </c>
      <c r="H24" s="159" t="inlineStr">
        <is>
          <t>71.6%</t>
        </is>
      </c>
      <c r="I24" s="170" t="n">
        <v>2271900</v>
      </c>
    </row>
    <row r="25">
      <c r="B25" s="168" t="n">
        <v>5</v>
      </c>
      <c r="C25" s="169" t="inlineStr">
        <is>
          <t>(주)우영채널</t>
        </is>
      </c>
      <c r="D25" s="168" t="inlineStr">
        <is>
          <t>114-86-65039</t>
        </is>
      </c>
      <c r="E25" s="168" t="inlineStr">
        <is>
          <t>지마켓</t>
        </is>
      </c>
      <c r="F25" s="170" t="n">
        <v>70241000</v>
      </c>
      <c r="G25" s="171" t="n">
        <v>5268240</v>
      </c>
      <c r="H25" s="159" t="inlineStr">
        <is>
          <t>65.9%</t>
        </is>
      </c>
      <c r="I25" s="170" t="n">
        <v>2731760</v>
      </c>
    </row>
    <row r="26">
      <c r="B26" s="168" t="n">
        <v>6</v>
      </c>
      <c r="C26" s="169" t="inlineStr">
        <is>
          <t>당진해나루쌀조합공동사업법인</t>
        </is>
      </c>
      <c r="D26" s="168" t="inlineStr">
        <is>
          <t>323-88-00158</t>
        </is>
      </c>
      <c r="E26" s="168" t="inlineStr">
        <is>
          <t>롯데ON</t>
        </is>
      </c>
      <c r="F26" s="170" t="n">
        <v>26752200</v>
      </c>
      <c r="G26" s="171" t="n">
        <v>5136630</v>
      </c>
      <c r="H26" s="159" t="inlineStr">
        <is>
          <t>64.2%</t>
        </is>
      </c>
      <c r="I26" s="170" t="n">
        <v>2863370</v>
      </c>
    </row>
    <row r="27">
      <c r="B27" s="168" t="n">
        <v>7</v>
      </c>
      <c r="C27" s="169" t="inlineStr">
        <is>
          <t>농업회사법인 주식회사 드림라이스</t>
        </is>
      </c>
      <c r="D27" s="168" t="inlineStr">
        <is>
          <t>485-88-00795</t>
        </is>
      </c>
      <c r="E27" s="168" t="inlineStr">
        <is>
          <t>롯데ON</t>
        </is>
      </c>
      <c r="F27" s="170" t="n">
        <v>26083350</v>
      </c>
      <c r="G27" s="171" t="n">
        <v>5105280</v>
      </c>
      <c r="H27" s="159" t="inlineStr">
        <is>
          <t>63.8%</t>
        </is>
      </c>
      <c r="I27" s="170" t="n">
        <v>2894720</v>
      </c>
    </row>
    <row r="28">
      <c r="B28" s="168" t="n">
        <v>8</v>
      </c>
      <c r="C28" s="169" t="inlineStr">
        <is>
          <t>농업회사법인 철원미곡 주식회사</t>
        </is>
      </c>
      <c r="D28" s="168" t="inlineStr">
        <is>
          <t>127-81-93991</t>
        </is>
      </c>
      <c r="E28" s="168" t="inlineStr">
        <is>
          <t>온누리마켓</t>
        </is>
      </c>
      <c r="F28" s="170" t="n">
        <v>32150700</v>
      </c>
      <c r="G28" s="171" t="n">
        <v>5097728</v>
      </c>
      <c r="H28" s="159" t="inlineStr">
        <is>
          <t>63.7%</t>
        </is>
      </c>
      <c r="I28" s="170" t="n">
        <v>2902272</v>
      </c>
    </row>
    <row r="29">
      <c r="B29" s="168" t="n">
        <v>9</v>
      </c>
      <c r="C29" s="169" t="inlineStr">
        <is>
          <t>여주시농협조합공동사업법인</t>
        </is>
      </c>
      <c r="D29" s="168" t="inlineStr">
        <is>
          <t>126-82-11620</t>
        </is>
      </c>
      <c r="E29" s="168" t="inlineStr">
        <is>
          <t>네이버</t>
        </is>
      </c>
      <c r="F29" s="170" t="n">
        <v>485645800</v>
      </c>
      <c r="G29" s="171" t="n">
        <v>5085890</v>
      </c>
      <c r="H29" s="159" t="inlineStr">
        <is>
          <t>63.6%</t>
        </is>
      </c>
      <c r="I29" s="170" t="n">
        <v>2914110</v>
      </c>
    </row>
    <row r="30">
      <c r="B30" s="168" t="n">
        <v>10</v>
      </c>
      <c r="C30" s="169" t="inlineStr">
        <is>
          <t>두원식품(주)</t>
        </is>
      </c>
      <c r="D30" s="168" t="inlineStr">
        <is>
          <t>606-81-52718</t>
        </is>
      </c>
      <c r="E30" s="168" t="inlineStr">
        <is>
          <t>지마켓</t>
        </is>
      </c>
      <c r="F30" s="170" t="n">
        <v>57338800</v>
      </c>
      <c r="G30" s="171" t="n">
        <v>5062400</v>
      </c>
      <c r="H30" s="159" t="inlineStr">
        <is>
          <t>63.3%</t>
        </is>
      </c>
      <c r="I30" s="170" t="n">
        <v>2937600</v>
      </c>
    </row>
    <row r="33">
      <c r="B33" s="157" t="inlineStr">
        <is>
          <t>4. 농가·유통사 품목분류 자의적 변경 이상건 전수 내역 (총 38건)</t>
        </is>
      </c>
    </row>
    <row r="34">
      <c r="B34" s="158" t="inlineStr">
        <is>
          <t>No</t>
        </is>
      </c>
      <c r="C34" s="158" t="inlineStr">
        <is>
          <t>유통사</t>
        </is>
      </c>
      <c r="D34" s="158" t="inlineStr">
        <is>
          <t>사업자명</t>
        </is>
      </c>
      <c r="E34" s="158" t="inlineStr">
        <is>
          <t>사업자번호</t>
        </is>
      </c>
      <c r="F34" s="158" t="inlineStr">
        <is>
          <t>상품명</t>
        </is>
      </c>
      <c r="G34" s="158" t="inlineStr">
        <is>
          <t>7월 분류</t>
        </is>
      </c>
      <c r="H34" s="158" t="inlineStr">
        <is>
          <t>8월 변경분류</t>
        </is>
      </c>
      <c r="I34" s="158" t="inlineStr">
        <is>
          <t>7월 매출액</t>
        </is>
      </c>
      <c r="J34" s="158" t="inlineStr">
        <is>
          <t>8월 누적매출액</t>
        </is>
      </c>
      <c r="K34" s="158" t="inlineStr">
        <is>
          <t>8월 순수매출액</t>
        </is>
      </c>
    </row>
    <row r="35">
      <c r="B35" s="168" t="n">
        <v>1</v>
      </c>
      <c r="C35" s="168" t="inlineStr">
        <is>
          <t>롯데ON</t>
        </is>
      </c>
      <c r="D35" s="169" t="inlineStr">
        <is>
          <t>주식회사 태범프레시</t>
        </is>
      </c>
      <c r="E35" s="168" t="inlineStr">
        <is>
          <t>832-86-02035</t>
        </is>
      </c>
      <c r="F35" s="169" t="inlineStr">
        <is>
          <t>[홍익상회] 춘천닭갈비 500g x 3팩 국내산닭고기 양념 순살</t>
        </is>
      </c>
      <c r="G35" s="159" t="inlineStr">
        <is>
          <t>가공식품</t>
        </is>
      </c>
      <c r="H35" s="173" t="inlineStr">
        <is>
          <t>축산물</t>
        </is>
      </c>
      <c r="I35" s="170" t="n">
        <v>0</v>
      </c>
      <c r="J35" s="170" t="n">
        <v>0</v>
      </c>
      <c r="K35" s="174" t="n">
        <v>0</v>
      </c>
    </row>
    <row r="36">
      <c r="B36" s="168" t="n">
        <v>2</v>
      </c>
      <c r="C36" s="168" t="inlineStr">
        <is>
          <t>롯데ON</t>
        </is>
      </c>
      <c r="D36" s="169" t="inlineStr">
        <is>
          <t>주식회사 태범프레시</t>
        </is>
      </c>
      <c r="E36" s="168" t="inlineStr">
        <is>
          <t>832-86-02035</t>
        </is>
      </c>
      <c r="F36" s="169" t="inlineStr">
        <is>
          <t>[홍익상회] 춘천 홍익닭갈비 500g x 3팩 국내산 닭고기 양념 순살</t>
        </is>
      </c>
      <c r="G36" s="159" t="inlineStr">
        <is>
          <t>가공식품</t>
        </is>
      </c>
      <c r="H36" s="173" t="inlineStr">
        <is>
          <t>축산물</t>
        </is>
      </c>
      <c r="I36" s="170" t="n">
        <v>2552440</v>
      </c>
      <c r="J36" s="170" t="n">
        <v>2552440</v>
      </c>
      <c r="K36" s="174" t="n">
        <v>0</v>
      </c>
    </row>
    <row r="37">
      <c r="B37" s="168" t="n">
        <v>3</v>
      </c>
      <c r="C37" s="168" t="inlineStr">
        <is>
          <t>롯데ON</t>
        </is>
      </c>
      <c r="D37" s="169" t="inlineStr">
        <is>
          <t>신선식품</t>
        </is>
      </c>
      <c r="E37" s="168" t="inlineStr">
        <is>
          <t>131-35-96215</t>
        </is>
      </c>
      <c r="F37" s="169" t="inlineStr">
        <is>
          <t>[온누리7%혜택]고소한 국산 볶은참깨 200g</t>
        </is>
      </c>
      <c r="G37" s="159" t="inlineStr">
        <is>
          <t>농산물</t>
        </is>
      </c>
      <c r="H37" s="173" t="inlineStr">
        <is>
          <t>가공식품</t>
        </is>
      </c>
      <c r="I37" s="170" t="n">
        <v>25600</v>
      </c>
      <c r="J37" s="170" t="n">
        <v>204800</v>
      </c>
      <c r="K37" s="174" t="n">
        <v>179200</v>
      </c>
    </row>
    <row r="38">
      <c r="B38" s="168" t="n">
        <v>4</v>
      </c>
      <c r="C38" s="168" t="inlineStr">
        <is>
          <t>지마켓</t>
        </is>
      </c>
      <c r="D38" s="169" t="inlineStr">
        <is>
          <t>두원식품(주)</t>
        </is>
      </c>
      <c r="E38" s="168" t="inlineStr">
        <is>
          <t>606-81-52718</t>
        </is>
      </c>
      <c r="F38" s="169" t="inlineStr">
        <is>
          <t>(신선집중) 국내산 한돈 프리미엄 대패 삼겹살 1.2kg</t>
        </is>
      </c>
      <c r="G38" s="159" t="inlineStr">
        <is>
          <t>농산물</t>
        </is>
      </c>
      <c r="H38" s="173" t="inlineStr">
        <is>
          <t>축산물</t>
        </is>
      </c>
      <c r="I38" s="170" t="n">
        <v>51796200</v>
      </c>
      <c r="J38" s="170" t="n">
        <v>55053800</v>
      </c>
      <c r="K38" s="174" t="n">
        <v>3257600</v>
      </c>
    </row>
    <row r="39">
      <c r="B39" s="168" t="n">
        <v>5</v>
      </c>
      <c r="C39" s="168" t="inlineStr">
        <is>
          <t>지마켓</t>
        </is>
      </c>
      <c r="D39" s="169" t="inlineStr">
        <is>
          <t>다모아영농조합법인</t>
        </is>
      </c>
      <c r="E39" s="168" t="inlineStr">
        <is>
          <t>613-81-60803</t>
        </is>
      </c>
      <c r="F39" s="169" t="inlineStr">
        <is>
          <t>농협 공동선별 햇 남해 통마늘 3kg(상) 실중량 지리적표시품</t>
        </is>
      </c>
      <c r="G39" s="159" t="inlineStr">
        <is>
          <t>축산물</t>
        </is>
      </c>
      <c r="H39" s="173" t="inlineStr">
        <is>
          <t>농산물</t>
        </is>
      </c>
      <c r="I39" s="170" t="n">
        <v>73800</v>
      </c>
      <c r="J39" s="170" t="n">
        <v>701100</v>
      </c>
      <c r="K39" s="174" t="n">
        <v>627300</v>
      </c>
    </row>
    <row r="40">
      <c r="B40" s="168" t="n">
        <v>6</v>
      </c>
      <c r="C40" s="168" t="inlineStr">
        <is>
          <t>지마켓</t>
        </is>
      </c>
      <c r="D40" s="169" t="inlineStr">
        <is>
          <t>청정태안식품</t>
        </is>
      </c>
      <c r="E40" s="168" t="inlineStr">
        <is>
          <t>316-01-24597</t>
        </is>
      </c>
      <c r="F40" s="169" t="inlineStr">
        <is>
          <t>김명월 검정콩 청국장가루 1kg(500g2통)</t>
        </is>
      </c>
      <c r="G40" s="159" t="inlineStr">
        <is>
          <t>농산물</t>
        </is>
      </c>
      <c r="H40" s="173" t="inlineStr">
        <is>
          <t>가공식품</t>
        </is>
      </c>
      <c r="I40" s="170" t="n">
        <v>74000</v>
      </c>
      <c r="J40" s="170" t="n">
        <v>222000</v>
      </c>
      <c r="K40" s="174" t="n">
        <v>148000</v>
      </c>
    </row>
    <row r="41">
      <c r="B41" s="168" t="n">
        <v>7</v>
      </c>
      <c r="C41" s="168" t="inlineStr">
        <is>
          <t>지마켓</t>
        </is>
      </c>
      <c r="D41" s="169" t="inlineStr">
        <is>
          <t>청정태안식품</t>
        </is>
      </c>
      <c r="E41" s="168" t="inlineStr">
        <is>
          <t>316-01-24597</t>
        </is>
      </c>
      <c r="F41" s="169" t="inlineStr">
        <is>
          <t>김명월 검정콩 청국장가루 1kg(500g2통)</t>
        </is>
      </c>
      <c r="G41" s="159" t="inlineStr">
        <is>
          <t>농산물</t>
        </is>
      </c>
      <c r="H41" s="173" t="inlineStr">
        <is>
          <t>가공식품</t>
        </is>
      </c>
      <c r="I41" s="170" t="n">
        <v>74000</v>
      </c>
      <c r="J41" s="170" t="n">
        <v>259000</v>
      </c>
      <c r="K41" s="174" t="n">
        <v>185000</v>
      </c>
    </row>
    <row r="42">
      <c r="B42" s="168" t="n">
        <v>8</v>
      </c>
      <c r="C42" s="168" t="inlineStr">
        <is>
          <t>지마켓</t>
        </is>
      </c>
      <c r="D42" s="169" t="inlineStr">
        <is>
          <t>형지표고버섯</t>
        </is>
      </c>
      <c r="E42" s="168" t="inlineStr">
        <is>
          <t>290-94-00335</t>
        </is>
      </c>
      <c r="F42" s="169" t="inlineStr">
        <is>
          <t>형지표고버섯 흑화고 상황버섯 혼합2호 표고 버섯 선물세트</t>
        </is>
      </c>
      <c r="G42" s="159" t="inlineStr">
        <is>
          <t>가공식품</t>
        </is>
      </c>
      <c r="H42" s="173" t="inlineStr">
        <is>
          <t>농산물</t>
        </is>
      </c>
      <c r="I42" s="170" t="n">
        <v>0</v>
      </c>
      <c r="J42" s="170" t="n">
        <v>0</v>
      </c>
      <c r="K42" s="174" t="n">
        <v>0</v>
      </c>
    </row>
    <row r="43">
      <c r="B43" s="168" t="n">
        <v>9</v>
      </c>
      <c r="C43" s="168" t="inlineStr">
        <is>
          <t>지마켓</t>
        </is>
      </c>
      <c r="D43" s="169" t="inlineStr">
        <is>
          <t>농부플러스</t>
        </is>
      </c>
      <c r="E43" s="168" t="inlineStr">
        <is>
          <t>571-81-00383</t>
        </is>
      </c>
      <c r="F43" s="169" t="inlineStr">
        <is>
          <t>국산 볶음참깨 햇 참깨 볶은참깨 토종 통깨 200g</t>
        </is>
      </c>
      <c r="G43" s="159" t="inlineStr">
        <is>
          <t>가공식품</t>
        </is>
      </c>
      <c r="H43" s="173" t="inlineStr">
        <is>
          <t>농산물</t>
        </is>
      </c>
      <c r="I43" s="170" t="n">
        <v>360800</v>
      </c>
      <c r="J43" s="170" t="n">
        <v>1098800</v>
      </c>
      <c r="K43" s="174" t="n">
        <v>738000</v>
      </c>
    </row>
    <row r="44">
      <c r="B44" s="168" t="n">
        <v>10</v>
      </c>
      <c r="C44" s="168" t="inlineStr">
        <is>
          <t>지마켓</t>
        </is>
      </c>
      <c r="D44" s="169" t="inlineStr">
        <is>
          <t>농부플러스</t>
        </is>
      </c>
      <c r="E44" s="168" t="inlineStr">
        <is>
          <t>571-81-00383</t>
        </is>
      </c>
      <c r="F44" s="169" t="inlineStr">
        <is>
          <t>국산 볶음참깨 햇 참깨 볶은참깨 토종 통깨 150g</t>
        </is>
      </c>
      <c r="G44" s="159" t="inlineStr">
        <is>
          <t>가공식품</t>
        </is>
      </c>
      <c r="H44" s="173" t="inlineStr">
        <is>
          <t>농산물</t>
        </is>
      </c>
      <c r="I44" s="170" t="n">
        <v>13900</v>
      </c>
      <c r="J44" s="170" t="n">
        <v>42700</v>
      </c>
      <c r="K44" s="174" t="n">
        <v>28800</v>
      </c>
    </row>
    <row r="45">
      <c r="B45" s="168" t="n">
        <v>11</v>
      </c>
      <c r="C45" s="168" t="inlineStr">
        <is>
          <t>지마켓</t>
        </is>
      </c>
      <c r="D45" s="169" t="inlineStr">
        <is>
          <t>듬뿍곡간</t>
        </is>
      </c>
      <c r="E45" s="168" t="inlineStr">
        <is>
          <t>181-02-01980</t>
        </is>
      </c>
      <c r="F45" s="169" t="inlineStr">
        <is>
          <t>듬뿍곡간 국내산 볶은 귀리 / 아침식사대용 간식</t>
        </is>
      </c>
      <c r="G45" s="159" t="inlineStr">
        <is>
          <t>가공식품</t>
        </is>
      </c>
      <c r="H45" s="173" t="inlineStr">
        <is>
          <t>농산물</t>
        </is>
      </c>
      <c r="I45" s="170" t="n">
        <v>0</v>
      </c>
      <c r="J45" s="170" t="n">
        <v>0</v>
      </c>
      <c r="K45" s="174" t="n">
        <v>0</v>
      </c>
    </row>
    <row r="46">
      <c r="B46" s="168" t="n">
        <v>12</v>
      </c>
      <c r="C46" s="168" t="inlineStr">
        <is>
          <t>지마켓</t>
        </is>
      </c>
      <c r="D46" s="169" t="inlineStr">
        <is>
          <t>듬뿍곡간</t>
        </is>
      </c>
      <c r="E46" s="168" t="inlineStr">
        <is>
          <t>181-02-01980</t>
        </is>
      </c>
      <c r="F46" s="169" t="inlineStr">
        <is>
          <t>듬뿍곡간 국내산 쑥미숫가루 / 선식 식사대용 간식 500g</t>
        </is>
      </c>
      <c r="G46" s="159" t="inlineStr">
        <is>
          <t>농산물</t>
        </is>
      </c>
      <c r="H46" s="173" t="inlineStr">
        <is>
          <t>가공식품</t>
        </is>
      </c>
      <c r="I46" s="170" t="n">
        <v>0</v>
      </c>
      <c r="J46" s="170" t="n">
        <v>23800</v>
      </c>
      <c r="K46" s="174" t="n">
        <v>23800</v>
      </c>
    </row>
    <row r="47">
      <c r="B47" s="168" t="n">
        <v>13</v>
      </c>
      <c r="C47" s="168" t="inlineStr">
        <is>
          <t>지마켓</t>
        </is>
      </c>
      <c r="D47" s="169" t="inlineStr">
        <is>
          <t>농업회사법인(주)가남농원</t>
        </is>
      </c>
      <c r="E47" s="168" t="inlineStr">
        <is>
          <t>416-81-59229</t>
        </is>
      </c>
      <c r="F47" s="169" t="inlineStr">
        <is>
          <t>김승희매실가 신지식 농업인이 만든 매실절임 1kg</t>
        </is>
      </c>
      <c r="G47" s="159" t="inlineStr">
        <is>
          <t>가공식품</t>
        </is>
      </c>
      <c r="H47" s="173" t="inlineStr">
        <is>
          <t>농산물</t>
        </is>
      </c>
      <c r="I47" s="170" t="n">
        <v>66000</v>
      </c>
      <c r="J47" s="170" t="n">
        <v>165000</v>
      </c>
      <c r="K47" s="174" t="n">
        <v>99000</v>
      </c>
    </row>
    <row r="48">
      <c r="B48" s="168" t="n">
        <v>14</v>
      </c>
      <c r="C48" s="168" t="inlineStr">
        <is>
          <t>지마켓</t>
        </is>
      </c>
      <c r="D48" s="169" t="inlineStr">
        <is>
          <t>농업회사법인(주)가남농원</t>
        </is>
      </c>
      <c r="E48" s="168" t="inlineStr">
        <is>
          <t>416-81-59229</t>
        </is>
      </c>
      <c r="F48" s="169" t="inlineStr">
        <is>
          <t>천기누설 매실 장인이만든 매실고 (농축액) 150g</t>
        </is>
      </c>
      <c r="G48" s="159" t="inlineStr">
        <is>
          <t>농산물</t>
        </is>
      </c>
      <c r="H48" s="173" t="inlineStr">
        <is>
          <t>가공식품</t>
        </is>
      </c>
      <c r="I48" s="170" t="n">
        <v>0</v>
      </c>
      <c r="J48" s="170" t="n">
        <v>0</v>
      </c>
      <c r="K48" s="174" t="n">
        <v>0</v>
      </c>
    </row>
    <row r="49">
      <c r="B49" s="168" t="n">
        <v>15</v>
      </c>
      <c r="C49" s="168" t="inlineStr">
        <is>
          <t>지마켓</t>
        </is>
      </c>
      <c r="D49" s="169" t="inlineStr">
        <is>
          <t>농업회사법인(주)가남농원</t>
        </is>
      </c>
      <c r="E49" s="168" t="inlineStr">
        <is>
          <t>416-81-59229</t>
        </is>
      </c>
      <c r="F49" s="169" t="inlineStr">
        <is>
          <t>천기누설 매실 장인이만든 매실고 (농축액) 150g</t>
        </is>
      </c>
      <c r="G49" s="159" t="inlineStr">
        <is>
          <t>농산물</t>
        </is>
      </c>
      <c r="H49" s="173" t="inlineStr">
        <is>
          <t>가공식품</t>
        </is>
      </c>
      <c r="I49" s="170" t="n">
        <v>0</v>
      </c>
      <c r="J49" s="170" t="n">
        <v>43000</v>
      </c>
      <c r="K49" s="174" t="n">
        <v>43000</v>
      </c>
    </row>
    <row r="50">
      <c r="B50" s="168" t="n">
        <v>16</v>
      </c>
      <c r="C50" s="168" t="inlineStr">
        <is>
          <t>지마켓</t>
        </is>
      </c>
      <c r="D50" s="169" t="inlineStr">
        <is>
          <t>농업회사법인 팜팜(주)</t>
        </is>
      </c>
      <c r="E50" s="168" t="inlineStr">
        <is>
          <t>177-81-00798</t>
        </is>
      </c>
      <c r="F50" s="169" t="inlineStr">
        <is>
          <t>(품질보증) 산지직송 정품과 완숙토마토 5KG 당일수확 유럽종</t>
        </is>
      </c>
      <c r="G50" s="159" t="inlineStr">
        <is>
          <t>가공식품</t>
        </is>
      </c>
      <c r="H50" s="173" t="inlineStr">
        <is>
          <t>농산물</t>
        </is>
      </c>
      <c r="I50" s="170" t="n">
        <v>694600</v>
      </c>
      <c r="J50" s="170" t="n">
        <v>5967100</v>
      </c>
      <c r="K50" s="174" t="n">
        <v>5272500</v>
      </c>
    </row>
    <row r="51">
      <c r="B51" s="168" t="n">
        <v>17</v>
      </c>
      <c r="C51" s="168" t="inlineStr">
        <is>
          <t>지마켓</t>
        </is>
      </c>
      <c r="D51" s="169" t="inlineStr">
        <is>
          <t>농업회사법인주식회사 늘해랑</t>
        </is>
      </c>
      <c r="E51" s="168" t="inlineStr">
        <is>
          <t>756-87-00841</t>
        </is>
      </c>
      <c r="F51" s="169" t="inlineStr">
        <is>
          <t>조은해남 고구마 못난이 10kg (꿀호박 랜덤발송)</t>
        </is>
      </c>
      <c r="G51" s="159" t="inlineStr">
        <is>
          <t>가공식품</t>
        </is>
      </c>
      <c r="H51" s="173" t="inlineStr">
        <is>
          <t>농산물</t>
        </is>
      </c>
      <c r="I51" s="170" t="n">
        <v>371800</v>
      </c>
      <c r="J51" s="170" t="n">
        <v>2827100</v>
      </c>
      <c r="K51" s="174" t="n">
        <v>2455300</v>
      </c>
    </row>
    <row r="52">
      <c r="B52" s="168" t="n">
        <v>18</v>
      </c>
      <c r="C52" s="168" t="inlineStr">
        <is>
          <t>지마켓</t>
        </is>
      </c>
      <c r="D52" s="169" t="inlineStr">
        <is>
          <t>초림단지묵</t>
        </is>
      </c>
      <c r="E52" s="168" t="inlineStr">
        <is>
          <t>615-14-93195</t>
        </is>
      </c>
      <c r="F52" s="169" t="inlineStr">
        <is>
          <t>초림단지묵 국산 100% 도토리묵 400g 2인분 x 1팩</t>
        </is>
      </c>
      <c r="G52" s="159" t="inlineStr">
        <is>
          <t>축산물</t>
        </is>
      </c>
      <c r="H52" s="173" t="inlineStr">
        <is>
          <t>가공식품</t>
        </is>
      </c>
      <c r="I52" s="170" t="n">
        <v>0</v>
      </c>
      <c r="J52" s="170" t="n">
        <v>0</v>
      </c>
      <c r="K52" s="174" t="n">
        <v>0</v>
      </c>
    </row>
    <row r="53">
      <c r="B53" s="168" t="n">
        <v>19</v>
      </c>
      <c r="C53" s="168" t="inlineStr">
        <is>
          <t>지마켓</t>
        </is>
      </c>
      <c r="D53" s="169" t="inlineStr">
        <is>
          <t>초림단지묵</t>
        </is>
      </c>
      <c r="E53" s="168" t="inlineStr">
        <is>
          <t>615-14-93195</t>
        </is>
      </c>
      <c r="F53" s="169" t="inlineStr">
        <is>
          <t>초림단지묵 국산 100% 도토리묵 400g 2인분 x 1팩</t>
        </is>
      </c>
      <c r="G53" s="159" t="inlineStr">
        <is>
          <t>축산물</t>
        </is>
      </c>
      <c r="H53" s="173" t="inlineStr">
        <is>
          <t>가공식품</t>
        </is>
      </c>
      <c r="I53" s="170" t="n">
        <v>0</v>
      </c>
      <c r="J53" s="170" t="n">
        <v>30000</v>
      </c>
      <c r="K53" s="174" t="n">
        <v>30000</v>
      </c>
    </row>
    <row r="54">
      <c r="B54" s="168" t="n">
        <v>20</v>
      </c>
      <c r="C54" s="168" t="inlineStr">
        <is>
          <t>지마켓</t>
        </is>
      </c>
      <c r="D54" s="169" t="inlineStr">
        <is>
          <t>초림단지묵</t>
        </is>
      </c>
      <c r="E54" s="168" t="inlineStr">
        <is>
          <t>615-14-93195</t>
        </is>
      </c>
      <c r="F54" s="169" t="inlineStr">
        <is>
          <t>초림단지묵 국산100% 도토리묵 묵사발 세트</t>
        </is>
      </c>
      <c r="G54" s="159" t="inlineStr">
        <is>
          <t>농산물</t>
        </is>
      </c>
      <c r="H54" s="173" t="inlineStr">
        <is>
          <t>가공식품</t>
        </is>
      </c>
      <c r="I54" s="170" t="n">
        <v>0</v>
      </c>
      <c r="J54" s="170" t="n">
        <v>0</v>
      </c>
      <c r="K54" s="174" t="n">
        <v>0</v>
      </c>
    </row>
    <row r="55">
      <c r="B55" s="168" t="n">
        <v>21</v>
      </c>
      <c r="C55" s="168" t="inlineStr">
        <is>
          <t>지마켓</t>
        </is>
      </c>
      <c r="D55" s="169" t="inlineStr">
        <is>
          <t>초림단지묵</t>
        </is>
      </c>
      <c r="E55" s="168" t="inlineStr">
        <is>
          <t>615-14-93195</t>
        </is>
      </c>
      <c r="F55" s="169" t="inlineStr">
        <is>
          <t>초림단지묵 명인 국산 콩물 우묵채 (2인분)</t>
        </is>
      </c>
      <c r="G55" s="159" t="inlineStr">
        <is>
          <t>농산물</t>
        </is>
      </c>
      <c r="H55" s="173" t="inlineStr">
        <is>
          <t>가공식품</t>
        </is>
      </c>
      <c r="I55" s="170" t="n">
        <v>0</v>
      </c>
      <c r="J55" s="170" t="n">
        <v>0</v>
      </c>
      <c r="K55" s="174" t="n">
        <v>0</v>
      </c>
    </row>
    <row r="56">
      <c r="B56" s="168" t="n">
        <v>22</v>
      </c>
      <c r="C56" s="168" t="inlineStr">
        <is>
          <t>지마켓</t>
        </is>
      </c>
      <c r="D56" s="169" t="inlineStr">
        <is>
          <t>초림단지묵</t>
        </is>
      </c>
      <c r="E56" s="168" t="inlineStr">
        <is>
          <t>615-14-93195</t>
        </is>
      </c>
      <c r="F56" s="169" t="inlineStr">
        <is>
          <t>초림단지묵 국산 콩물 콩가루 90g 1인분 x 5팩 물만타면 콩국수</t>
        </is>
      </c>
      <c r="G56" s="159" t="inlineStr">
        <is>
          <t>농산물</t>
        </is>
      </c>
      <c r="H56" s="173" t="inlineStr">
        <is>
          <t>가공식품</t>
        </is>
      </c>
      <c r="I56" s="170" t="n">
        <v>0</v>
      </c>
      <c r="J56" s="170" t="n">
        <v>0</v>
      </c>
      <c r="K56" s="174" t="n">
        <v>0</v>
      </c>
    </row>
    <row r="57">
      <c r="B57" s="168" t="n">
        <v>23</v>
      </c>
      <c r="C57" s="168" t="inlineStr">
        <is>
          <t>지마켓</t>
        </is>
      </c>
      <c r="D57" s="169" t="inlineStr">
        <is>
          <t>초림단지묵</t>
        </is>
      </c>
      <c r="E57" s="168" t="inlineStr">
        <is>
          <t>615-14-93195</t>
        </is>
      </c>
      <c r="F57" s="169" t="inlineStr">
        <is>
          <t>초림단지묵 국산 콩물 콩가루 90g 1인분 x 5팩 물만타면 콩국수</t>
        </is>
      </c>
      <c r="G57" s="159" t="inlineStr">
        <is>
          <t>농산물</t>
        </is>
      </c>
      <c r="H57" s="173" t="inlineStr">
        <is>
          <t>가공식품</t>
        </is>
      </c>
      <c r="I57" s="170" t="n">
        <v>0</v>
      </c>
      <c r="J57" s="170" t="n">
        <v>240000</v>
      </c>
      <c r="K57" s="174" t="n">
        <v>240000</v>
      </c>
    </row>
    <row r="58">
      <c r="B58" s="168" t="n">
        <v>24</v>
      </c>
      <c r="C58" s="168" t="inlineStr">
        <is>
          <t>지마켓</t>
        </is>
      </c>
      <c r="D58" s="169" t="inlineStr">
        <is>
          <t>그린몬스터즈</t>
        </is>
      </c>
      <c r="E58" s="168" t="inlineStr">
        <is>
          <t>883-95-01472</t>
        </is>
      </c>
      <c r="F58" s="169" t="inlineStr">
        <is>
          <t>당일수확발송 그린몬스터즈 프리미엄 미니오이 1.5kg 농장직거래 여름작기 첫수확 특가할인행사</t>
        </is>
      </c>
      <c r="G58" s="159" t="inlineStr">
        <is>
          <t>가공식품</t>
        </is>
      </c>
      <c r="H58" s="173" t="inlineStr">
        <is>
          <t>농산물</t>
        </is>
      </c>
      <c r="I58" s="170" t="n">
        <v>100000</v>
      </c>
      <c r="J58" s="170" t="n">
        <v>700000</v>
      </c>
      <c r="K58" s="174" t="n">
        <v>600000</v>
      </c>
    </row>
    <row r="59">
      <c r="B59" s="168" t="n">
        <v>25</v>
      </c>
      <c r="C59" s="168" t="inlineStr">
        <is>
          <t>지마켓</t>
        </is>
      </c>
      <c r="D59" s="169" t="inlineStr">
        <is>
          <t>어이딸부각</t>
        </is>
      </c>
      <c r="E59" s="168" t="inlineStr">
        <is>
          <t>142-33-00898</t>
        </is>
      </c>
      <c r="F59" s="169" t="inlineStr">
        <is>
          <t>고추크런치 70g 고추부각 튀각 찹쌀 수제 비건</t>
        </is>
      </c>
      <c r="G59" s="159" t="inlineStr">
        <is>
          <t>농산물</t>
        </is>
      </c>
      <c r="H59" s="173" t="inlineStr">
        <is>
          <t>가공식품</t>
        </is>
      </c>
      <c r="I59" s="170" t="n">
        <v>0</v>
      </c>
      <c r="J59" s="170" t="n">
        <v>0</v>
      </c>
      <c r="K59" s="174" t="n">
        <v>0</v>
      </c>
    </row>
    <row r="60">
      <c r="B60" s="168" t="n">
        <v>26</v>
      </c>
      <c r="C60" s="168" t="inlineStr">
        <is>
          <t>지마켓</t>
        </is>
      </c>
      <c r="D60" s="169" t="inlineStr">
        <is>
          <t>어이딸부각</t>
        </is>
      </c>
      <c r="E60" s="168" t="inlineStr">
        <is>
          <t>142-33-00898</t>
        </is>
      </c>
      <c r="F60" s="169" t="inlineStr">
        <is>
          <t>어이딸 김부각 선물세트 소 5개입 찹쌀 수제 비건 글루텐프리 저당</t>
        </is>
      </c>
      <c r="G60" s="159" t="inlineStr">
        <is>
          <t>농산물</t>
        </is>
      </c>
      <c r="H60" s="173" t="inlineStr">
        <is>
          <t>가공식품</t>
        </is>
      </c>
      <c r="I60" s="170" t="n">
        <v>0</v>
      </c>
      <c r="J60" s="170" t="n">
        <v>690000</v>
      </c>
      <c r="K60" s="174" t="n">
        <v>690000</v>
      </c>
    </row>
    <row r="61">
      <c r="B61" s="168" t="n">
        <v>27</v>
      </c>
      <c r="C61" s="168" t="inlineStr">
        <is>
          <t>지마켓</t>
        </is>
      </c>
      <c r="D61" s="169" t="inlineStr">
        <is>
          <t>어이딸부각</t>
        </is>
      </c>
      <c r="E61" s="168" t="inlineStr">
        <is>
          <t>142-33-00898</t>
        </is>
      </c>
      <c r="F61" s="169" t="inlineStr">
        <is>
          <t>어이딸 김부각 선물세트 중 8개입 찹쌀 수제 비건 글루텐프리 저당</t>
        </is>
      </c>
      <c r="G61" s="159" t="inlineStr">
        <is>
          <t>농산물</t>
        </is>
      </c>
      <c r="H61" s="173" t="inlineStr">
        <is>
          <t>가공식품</t>
        </is>
      </c>
      <c r="I61" s="170" t="n">
        <v>0</v>
      </c>
      <c r="J61" s="170" t="n">
        <v>0</v>
      </c>
      <c r="K61" s="174" t="n">
        <v>0</v>
      </c>
    </row>
    <row r="62">
      <c r="B62" s="168" t="n">
        <v>28</v>
      </c>
      <c r="C62" s="168" t="inlineStr">
        <is>
          <t>지마켓</t>
        </is>
      </c>
      <c r="D62" s="169" t="inlineStr">
        <is>
          <t>초림단지묵</t>
        </is>
      </c>
      <c r="E62" s="168" t="inlineStr">
        <is>
          <t>615-14-93195</t>
        </is>
      </c>
      <c r="F62" s="169" t="inlineStr">
        <is>
          <t>초림단지묵 국산 100% 도토리묵 400g 2인분 x 1팩</t>
        </is>
      </c>
      <c r="G62" s="159" t="inlineStr">
        <is>
          <t>농산물</t>
        </is>
      </c>
      <c r="H62" s="173" t="inlineStr">
        <is>
          <t>가공식품</t>
        </is>
      </c>
      <c r="I62" s="170" t="n">
        <v>0</v>
      </c>
      <c r="J62" s="170" t="n">
        <v>0</v>
      </c>
      <c r="K62" s="174" t="n">
        <v>0</v>
      </c>
    </row>
    <row r="63">
      <c r="B63" s="168" t="n">
        <v>29</v>
      </c>
      <c r="C63" s="168" t="inlineStr">
        <is>
          <t>지마켓</t>
        </is>
      </c>
      <c r="D63" s="169" t="inlineStr">
        <is>
          <t>초림단지묵</t>
        </is>
      </c>
      <c r="E63" s="168" t="inlineStr">
        <is>
          <t>615-14-93195</t>
        </is>
      </c>
      <c r="F63" s="169" t="inlineStr">
        <is>
          <t>초림단지묵 국산 100% 도토리묵 400g 2인분 x 1팩</t>
        </is>
      </c>
      <c r="G63" s="159" t="inlineStr">
        <is>
          <t>농산물</t>
        </is>
      </c>
      <c r="H63" s="173" t="inlineStr">
        <is>
          <t>가공식품</t>
        </is>
      </c>
      <c r="I63" s="170" t="n">
        <v>0</v>
      </c>
      <c r="J63" s="170" t="n">
        <v>30000</v>
      </c>
      <c r="K63" s="174" t="n">
        <v>30000</v>
      </c>
    </row>
    <row r="64">
      <c r="B64" s="168" t="n">
        <v>30</v>
      </c>
      <c r="C64" s="168" t="inlineStr">
        <is>
          <t>지마켓</t>
        </is>
      </c>
      <c r="D64" s="169" t="inlineStr">
        <is>
          <t>초림단지묵</t>
        </is>
      </c>
      <c r="E64" s="168" t="inlineStr">
        <is>
          <t>615-14-93195</t>
        </is>
      </c>
      <c r="F64" s="169" t="inlineStr">
        <is>
          <t>초림단지묵 국산 콩물 콩가루 90g 1인분 x 5팩 물만타면 콩국수</t>
        </is>
      </c>
      <c r="G64" s="159" t="inlineStr">
        <is>
          <t>농산물</t>
        </is>
      </c>
      <c r="H64" s="173" t="inlineStr">
        <is>
          <t>가공식품</t>
        </is>
      </c>
      <c r="I64" s="170" t="n">
        <v>240000</v>
      </c>
      <c r="J64" s="170" t="n">
        <v>0</v>
      </c>
      <c r="K64" s="174" t="n">
        <v>-240000</v>
      </c>
    </row>
    <row r="65">
      <c r="B65" s="168" t="n">
        <v>31</v>
      </c>
      <c r="C65" s="168" t="inlineStr">
        <is>
          <t>지마켓</t>
        </is>
      </c>
      <c r="D65" s="169" t="inlineStr">
        <is>
          <t>초림단지묵</t>
        </is>
      </c>
      <c r="E65" s="168" t="inlineStr">
        <is>
          <t>615-14-93195</t>
        </is>
      </c>
      <c r="F65" s="169" t="inlineStr">
        <is>
          <t>초림단지묵 국산 콩물 콩가루 90g 1인분 x 5팩 물만타면 콩국수</t>
        </is>
      </c>
      <c r="G65" s="159" t="inlineStr">
        <is>
          <t>농산물</t>
        </is>
      </c>
      <c r="H65" s="173" t="inlineStr">
        <is>
          <t>가공식품</t>
        </is>
      </c>
      <c r="I65" s="170" t="n">
        <v>240000</v>
      </c>
      <c r="J65" s="170" t="n">
        <v>240000</v>
      </c>
      <c r="K65" s="174" t="n">
        <v>0</v>
      </c>
    </row>
    <row r="66">
      <c r="B66" s="168" t="n">
        <v>32</v>
      </c>
      <c r="C66" s="168" t="inlineStr">
        <is>
          <t>지마켓</t>
        </is>
      </c>
      <c r="D66" s="169" t="inlineStr">
        <is>
          <t>초림단지묵</t>
        </is>
      </c>
      <c r="E66" s="168" t="inlineStr">
        <is>
          <t>615-14-93195</t>
        </is>
      </c>
      <c r="F66" s="169" t="inlineStr">
        <is>
          <t>초림단지묵 국산 콩물 콩가루 400g 4인분 물만타면 콩국수</t>
        </is>
      </c>
      <c r="G66" s="159" t="inlineStr">
        <is>
          <t>농산물</t>
        </is>
      </c>
      <c r="H66" s="173" t="inlineStr">
        <is>
          <t>가공식품</t>
        </is>
      </c>
      <c r="I66" s="170" t="n">
        <v>54000</v>
      </c>
      <c r="J66" s="170" t="n">
        <v>0</v>
      </c>
      <c r="K66" s="174" t="n">
        <v>-54000</v>
      </c>
    </row>
    <row r="67">
      <c r="B67" s="168" t="n">
        <v>33</v>
      </c>
      <c r="C67" s="168" t="inlineStr">
        <is>
          <t>지마켓</t>
        </is>
      </c>
      <c r="D67" s="169" t="inlineStr">
        <is>
          <t>초림단지묵</t>
        </is>
      </c>
      <c r="E67" s="168" t="inlineStr">
        <is>
          <t>615-14-93195</t>
        </is>
      </c>
      <c r="F67" s="169" t="inlineStr">
        <is>
          <t>초림단지묵 국산 콩물 콩가루 400g 4인분 물만타면 콩국수</t>
        </is>
      </c>
      <c r="G67" s="159" t="inlineStr">
        <is>
          <t>농산물</t>
        </is>
      </c>
      <c r="H67" s="173" t="inlineStr">
        <is>
          <t>가공식품</t>
        </is>
      </c>
      <c r="I67" s="170" t="n">
        <v>54000</v>
      </c>
      <c r="J67" s="170" t="n">
        <v>54000</v>
      </c>
      <c r="K67" s="174" t="n">
        <v>0</v>
      </c>
    </row>
    <row r="68">
      <c r="B68" s="168" t="n">
        <v>34</v>
      </c>
      <c r="C68" s="168" t="inlineStr">
        <is>
          <t>오아시스</t>
        </is>
      </c>
      <c r="D68" s="169" t="inlineStr">
        <is>
          <t>케이에프지</t>
        </is>
      </c>
      <c r="E68" s="168" t="inlineStr">
        <is>
          <t>120-86-08936</t>
        </is>
      </c>
      <c r="F68" s="169" t="inlineStr">
        <is>
          <t>한돈 제육볶음 (650g X 1개)</t>
        </is>
      </c>
      <c r="G68" s="159" t="inlineStr">
        <is>
          <t>가공식품</t>
        </is>
      </c>
      <c r="H68" s="173" t="inlineStr">
        <is>
          <t>축산물</t>
        </is>
      </c>
      <c r="I68" s="170" t="n">
        <v>20305100</v>
      </c>
      <c r="J68" s="170" t="n">
        <v>46426900</v>
      </c>
      <c r="K68" s="174" t="n">
        <v>26121800</v>
      </c>
    </row>
    <row r="69">
      <c r="B69" s="168" t="n">
        <v>35</v>
      </c>
      <c r="C69" s="168" t="inlineStr">
        <is>
          <t>오아시스</t>
        </is>
      </c>
      <c r="D69" s="169" t="inlineStr">
        <is>
          <t>케이에프지</t>
        </is>
      </c>
      <c r="E69" s="168" t="inlineStr">
        <is>
          <t>120-86-08936</t>
        </is>
      </c>
      <c r="F69" s="169" t="inlineStr">
        <is>
          <t>한돈 칼집 양념구이 (650g X 1개)</t>
        </is>
      </c>
      <c r="G69" s="159" t="inlineStr">
        <is>
          <t>가공식품</t>
        </is>
      </c>
      <c r="H69" s="173" t="inlineStr">
        <is>
          <t>축산물</t>
        </is>
      </c>
      <c r="I69" s="170" t="n">
        <v>16019900</v>
      </c>
      <c r="J69" s="170" t="n">
        <v>30197000</v>
      </c>
      <c r="K69" s="174" t="n">
        <v>14177100</v>
      </c>
    </row>
    <row r="70">
      <c r="B70" s="168" t="n">
        <v>36</v>
      </c>
      <c r="C70" s="168" t="inlineStr">
        <is>
          <t>오아시스</t>
        </is>
      </c>
      <c r="D70" s="169" t="inlineStr">
        <is>
          <t>케이에프지</t>
        </is>
      </c>
      <c r="E70" s="168" t="inlineStr">
        <is>
          <t>120-86-08936</t>
        </is>
      </c>
      <c r="F70" s="169" t="inlineStr">
        <is>
          <t>한돈 성북동식 돼지불백 (650g X 1개)</t>
        </is>
      </c>
      <c r="G70" s="159" t="inlineStr">
        <is>
          <t>가공식품</t>
        </is>
      </c>
      <c r="H70" s="173" t="inlineStr">
        <is>
          <t>축산물</t>
        </is>
      </c>
      <c r="I70" s="170" t="n">
        <v>10928700</v>
      </c>
      <c r="J70" s="170" t="n">
        <v>21744400</v>
      </c>
      <c r="K70" s="174" t="n">
        <v>10815700</v>
      </c>
    </row>
    <row r="71">
      <c r="B71" s="168" t="n">
        <v>37</v>
      </c>
      <c r="C71" s="168" t="inlineStr">
        <is>
          <t>오아시스</t>
        </is>
      </c>
      <c r="D71" s="169" t="inlineStr">
        <is>
          <t>케이에프지</t>
        </is>
      </c>
      <c r="E71" s="168" t="inlineStr">
        <is>
          <t>120-86-08936</t>
        </is>
      </c>
      <c r="F71" s="169" t="inlineStr">
        <is>
          <t>서울식 한우 불고기 밀키트 (800g X 1개)</t>
        </is>
      </c>
      <c r="G71" s="159" t="inlineStr">
        <is>
          <t>가공식품</t>
        </is>
      </c>
      <c r="H71" s="173" t="inlineStr">
        <is>
          <t>축산물</t>
        </is>
      </c>
      <c r="I71" s="170" t="n">
        <v>6922200</v>
      </c>
      <c r="J71" s="170" t="n">
        <v>15422600</v>
      </c>
      <c r="K71" s="174" t="n">
        <v>8500400</v>
      </c>
    </row>
    <row r="72">
      <c r="B72" s="168" t="n">
        <v>38</v>
      </c>
      <c r="C72" s="168" t="inlineStr">
        <is>
          <t>오아시스</t>
        </is>
      </c>
      <c r="D72" s="169" t="inlineStr">
        <is>
          <t>해담는집</t>
        </is>
      </c>
      <c r="E72" s="168" t="inlineStr">
        <is>
          <t>745-96-00315</t>
        </is>
      </c>
      <c r="F72" s="169" t="inlineStr">
        <is>
          <t>해담는집 유기농 고춧가루 500g/200g(순한맛/보통맛/매운맛)</t>
        </is>
      </c>
      <c r="G72" s="159" t="inlineStr">
        <is>
          <t>농산물</t>
        </is>
      </c>
      <c r="H72" s="173" t="inlineStr">
        <is>
          <t>가공식품</t>
        </is>
      </c>
      <c r="I72" s="170" t="n">
        <v>208400</v>
      </c>
      <c r="J72" s="170" t="n">
        <v>434900</v>
      </c>
      <c r="K72" s="174" t="n">
        <v>226500</v>
      </c>
    </row>
    <row r="75">
      <c r="A75" s="157" t="inlineStr">
        <is>
          <t>5. 8월 실적 데이터 내 품목분류 오기재 이상치 전수 목록 (총 66건 - 신규 51건 + 지속 15건)</t>
        </is>
      </c>
    </row>
    <row r="76">
      <c r="A76" s="237" t="inlineStr">
        <is>
          <t>※ 8월 참여 데이터(1,651행)를 전수 정밀 감사하여 단순 자연어 오판단을 완전 제거하고, 영흥농산 깐마늘·양파 원물 누락(1.43억원) 및 조미가공육 오등록 등 총 66건을 선별함.</t>
        </is>
      </c>
    </row>
    <row r="78" ht="25" customHeight="1" s="21">
      <c r="A78" s="238" t="inlineStr">
        <is>
          <t>No</t>
        </is>
      </c>
      <c r="B78" s="238" t="inlineStr">
        <is>
          <t>인입 구분</t>
        </is>
      </c>
      <c r="C78" s="238" t="inlineStr">
        <is>
          <t>이상치 유형</t>
        </is>
      </c>
      <c r="D78" s="238" t="inlineStr">
        <is>
          <t>기획전</t>
        </is>
      </c>
      <c r="E78" s="238" t="inlineStr">
        <is>
          <t>유통사</t>
        </is>
      </c>
      <c r="F78" s="238" t="inlineStr">
        <is>
          <t>판매자명(업체명)</t>
        </is>
      </c>
      <c r="G78" s="238" t="inlineStr">
        <is>
          <t>사업자번호</t>
        </is>
      </c>
      <c r="H78" s="238" t="inlineStr">
        <is>
          <t>상품명</t>
        </is>
      </c>
      <c r="I78" s="238" t="inlineStr">
        <is>
          <t>8월 현재분류</t>
        </is>
      </c>
      <c r="J78" s="238" t="inlineStr">
        <is>
          <t>권고 정정분류</t>
        </is>
      </c>
      <c r="K78" s="238" t="inlineStr">
        <is>
          <t>8월 순수매출액(원)</t>
        </is>
      </c>
      <c r="L78" s="238" t="inlineStr">
        <is>
          <t>8월 주문수(건)</t>
        </is>
      </c>
      <c r="M78" s="238" t="inlineStr">
        <is>
          <t>8월 쿠폰지원액(원)</t>
        </is>
      </c>
      <c r="N78" s="238" t="inlineStr">
        <is>
          <t>이상치 판정 사유 및 조치 제언</t>
        </is>
      </c>
    </row>
    <row r="79" ht="20" customHeight="1" s="21">
      <c r="A79" s="239" t="n">
        <v>1</v>
      </c>
      <c r="B79" s="239" t="inlineStr">
        <is>
          <t>기존 참여 지속</t>
        </is>
      </c>
      <c r="C79" s="239" t="inlineStr">
        <is>
          <t>조미가공육 ➡️ 축산물 오등록</t>
        </is>
      </c>
      <c r="D79" s="239" t="inlineStr">
        <is>
          <t>농산물</t>
        </is>
      </c>
      <c r="E79" s="239" t="inlineStr">
        <is>
          <t>지마켓</t>
        </is>
      </c>
      <c r="F79" s="240" t="inlineStr">
        <is>
          <t>두원식품(주)</t>
        </is>
      </c>
      <c r="G79" s="239" t="inlineStr">
        <is>
          <t>606-81-52718</t>
        </is>
      </c>
      <c r="H79" s="240" t="inlineStr">
        <is>
          <t>haccp인증 국내산 한돈 고추장 주물럭 300g x6팩(총 1.8kg)</t>
        </is>
      </c>
      <c r="I79" s="173" t="inlineStr">
        <is>
          <t>축산물</t>
        </is>
      </c>
      <c r="J79" s="241" t="inlineStr">
        <is>
          <t>가공식품(식육가공품)</t>
        </is>
      </c>
      <c r="K79" s="182" t="n">
        <v>65000</v>
      </c>
      <c r="L79" s="182" t="n">
        <v>2</v>
      </c>
      <c r="M79" s="182" t="n">
        <v>6500</v>
      </c>
      <c r="N79" s="240" t="inlineStr">
        <is>
          <t>식육가공품(양념조미육(주물럭))이나 1차 생육 축산물로 오등록됨</t>
        </is>
      </c>
    </row>
    <row r="80" ht="20" customHeight="1" s="21">
      <c r="A80" s="239" t="n">
        <v>2</v>
      </c>
      <c r="B80" s="239" t="inlineStr">
        <is>
          <t>기존 참여 지속</t>
        </is>
      </c>
      <c r="C80" s="239" t="inlineStr">
        <is>
          <t>조미가공육 ➡️ 축산물 오등록</t>
        </is>
      </c>
      <c r="D80" s="239" t="inlineStr">
        <is>
          <t>농산물</t>
        </is>
      </c>
      <c r="E80" s="239" t="inlineStr">
        <is>
          <t>지마켓</t>
        </is>
      </c>
      <c r="F80" s="240" t="inlineStr">
        <is>
          <t>두원식품(주)</t>
        </is>
      </c>
      <c r="G80" s="239" t="inlineStr">
        <is>
          <t>606-81-52718</t>
        </is>
      </c>
      <c r="H80" s="240" t="inlineStr">
        <is>
          <t>국내산 한돈 고추장 주물럭 300g + 300g 제육볶음</t>
        </is>
      </c>
      <c r="I80" s="173" t="inlineStr">
        <is>
          <t>축산물</t>
        </is>
      </c>
      <c r="J80" s="241" t="inlineStr">
        <is>
          <t>가공식품(식육가공품)</t>
        </is>
      </c>
      <c r="K80" s="182" t="n">
        <v>157900</v>
      </c>
      <c r="L80" s="182" t="n">
        <v>11</v>
      </c>
      <c r="M80" s="182" t="n">
        <v>11920</v>
      </c>
      <c r="N80" s="240" t="inlineStr">
        <is>
          <t>식육가공품(양념조미육(주물럭))이나 1차 생육 축산물로 오등록됨</t>
        </is>
      </c>
    </row>
    <row r="81" ht="20" customHeight="1" s="21">
      <c r="A81" s="239" t="n">
        <v>3</v>
      </c>
      <c r="B81" s="239" t="inlineStr">
        <is>
          <t>8월 신규 인입</t>
        </is>
      </c>
      <c r="C81" s="239" t="inlineStr">
        <is>
          <t>가공완제품 ➡️ 농산물 원물 오등록</t>
        </is>
      </c>
      <c r="D81" s="239" t="inlineStr">
        <is>
          <t>농산물</t>
        </is>
      </c>
      <c r="E81" s="239" t="inlineStr">
        <is>
          <t>지마켓</t>
        </is>
      </c>
      <c r="F81" s="240" t="inlineStr">
        <is>
          <t>아침햇살영농조합법인</t>
        </is>
      </c>
      <c r="G81" s="239" t="inlineStr">
        <is>
          <t>508-81-33305</t>
        </is>
      </c>
      <c r="H81" s="240" t="inlineStr">
        <is>
          <t>사과를 가득담아 사과100% 사과꽃향기 사과즙 100mlX50팩 NFC착즙/(스타배송)</t>
        </is>
      </c>
      <c r="I81" s="173" t="inlineStr">
        <is>
          <t>농산물</t>
        </is>
      </c>
      <c r="J81" s="241" t="inlineStr">
        <is>
          <t>가공식품(제조가공품)</t>
        </is>
      </c>
      <c r="K81" s="182" t="n">
        <v>241400</v>
      </c>
      <c r="L81" s="182" t="n">
        <v>16</v>
      </c>
      <c r="M81" s="182" t="n">
        <v>0</v>
      </c>
      <c r="N81" s="240" t="inlineStr">
        <is>
          <t>제조가공식품(과채가공품(사과즙/NFC착즙))이나 1차 신선 농산물 원물로 오등록됨</t>
        </is>
      </c>
    </row>
    <row r="82" ht="20" customHeight="1" s="21">
      <c r="A82" s="239" t="n">
        <v>4</v>
      </c>
      <c r="B82" s="239" t="inlineStr">
        <is>
          <t>기존 참여 지속</t>
        </is>
      </c>
      <c r="C82" s="239" t="inlineStr">
        <is>
          <t>조미가공육 ➡️ 축산물 오등록</t>
        </is>
      </c>
      <c r="D82" s="239" t="inlineStr">
        <is>
          <t>농산물</t>
        </is>
      </c>
      <c r="E82" s="239" t="inlineStr">
        <is>
          <t>롯데ON</t>
        </is>
      </c>
      <c r="F82" s="240" t="inlineStr">
        <is>
          <t>주식회사 더락</t>
        </is>
      </c>
      <c r="G82" s="239" t="inlineStr">
        <is>
          <t>593-86-01295</t>
        </is>
      </c>
      <c r="H82" s="240" t="inlineStr">
        <is>
          <t>국내산 한돈 수제 양념 돼지갈비 450G (2종 중 택1)</t>
        </is>
      </c>
      <c r="I82" s="173" t="inlineStr">
        <is>
          <t>축산물</t>
        </is>
      </c>
      <c r="J82" s="241" t="inlineStr">
        <is>
          <t>가공식품(식육가공품)</t>
        </is>
      </c>
      <c r="K82" s="182" t="n">
        <v>37312000</v>
      </c>
      <c r="L82" s="182" t="n">
        <v>729</v>
      </c>
      <c r="M82" s="182" t="n">
        <v>4967600</v>
      </c>
      <c r="N82" s="240" t="inlineStr">
        <is>
          <t>식육가공품(양념조미육)이나 1차 생육 축산물로 오등록됨</t>
        </is>
      </c>
    </row>
    <row r="83" ht="20" customHeight="1" s="21">
      <c r="A83" s="239" t="n">
        <v>5</v>
      </c>
      <c r="B83" s="239" t="inlineStr">
        <is>
          <t>기존 참여 지속</t>
        </is>
      </c>
      <c r="C83" s="239" t="inlineStr">
        <is>
          <t>조미가공육 ➡️ 축산물 오등록</t>
        </is>
      </c>
      <c r="D83" s="239" t="inlineStr">
        <is>
          <t>농산물</t>
        </is>
      </c>
      <c r="E83" s="239" t="inlineStr">
        <is>
          <t>롯데ON</t>
        </is>
      </c>
      <c r="F83" s="240" t="inlineStr">
        <is>
          <t>농업회사법인 라이플로우 주식회사</t>
        </is>
      </c>
      <c r="G83" s="239" t="inlineStr">
        <is>
          <t>715-87-02493</t>
        </is>
      </c>
      <c r="H83" s="240" t="inlineStr">
        <is>
          <t>[온누리7%혜택][주왕산가든] 한우불고기 전골 밀키트 750g 3인분 불고기 육수 야채 소불고기</t>
        </is>
      </c>
      <c r="I83" s="173" t="inlineStr">
        <is>
          <t>축산물</t>
        </is>
      </c>
      <c r="J83" s="241" t="inlineStr">
        <is>
          <t>가공식품(식육가공품)</t>
        </is>
      </c>
      <c r="K83" s="182" t="n">
        <v>1967900</v>
      </c>
      <c r="L83" s="182" t="n">
        <v>65</v>
      </c>
      <c r="M83" s="182" t="n">
        <v>371630</v>
      </c>
      <c r="N83" s="240" t="inlineStr">
        <is>
          <t>식육가공품(양념조미육(불고기))이나 1차 생육 축산물로 오등록됨</t>
        </is>
      </c>
    </row>
    <row r="84" ht="20" customHeight="1" s="21">
      <c r="A84" s="239" t="n">
        <v>6</v>
      </c>
      <c r="B84" s="239" t="inlineStr">
        <is>
          <t>기존 참여 지속</t>
        </is>
      </c>
      <c r="C84" s="239" t="inlineStr">
        <is>
          <t>조미가공육 ➡️ 축산물 오등록</t>
        </is>
      </c>
      <c r="D84" s="239" t="inlineStr">
        <is>
          <t>농산물</t>
        </is>
      </c>
      <c r="E84" s="239" t="inlineStr">
        <is>
          <t>롯데ON</t>
        </is>
      </c>
      <c r="F84" s="240" t="inlineStr">
        <is>
          <t>농업회사법인 라이플로우 주식회사</t>
        </is>
      </c>
      <c r="G84" s="239" t="inlineStr">
        <is>
          <t>715-87-02493</t>
        </is>
      </c>
      <c r="H84" s="240" t="inlineStr">
        <is>
          <t>[온누리7%혜택][주왕산가든] 명품 한돈 수제 돼지갈비 실속형 500g 양념돼지갈비 밀키트</t>
        </is>
      </c>
      <c r="I84" s="173" t="inlineStr">
        <is>
          <t>축산물</t>
        </is>
      </c>
      <c r="J84" s="241" t="inlineStr">
        <is>
          <t>가공식품(식육가공품)</t>
        </is>
      </c>
      <c r="K84" s="182" t="n">
        <v>345000</v>
      </c>
      <c r="L84" s="182" t="n">
        <v>11</v>
      </c>
      <c r="M84" s="182" t="n">
        <v>63050</v>
      </c>
      <c r="N84" s="240" t="inlineStr">
        <is>
          <t>식육가공품(양념조미육)이나 1차 생육 축산물로 오등록됨</t>
        </is>
      </c>
    </row>
    <row r="85" ht="20" customHeight="1" s="21">
      <c r="A85" s="239" t="n">
        <v>7</v>
      </c>
      <c r="B85" s="239" t="inlineStr">
        <is>
          <t>기존 참여 지속</t>
        </is>
      </c>
      <c r="C85" s="239" t="inlineStr">
        <is>
          <t>조미가공육 ➡️ 축산물 오등록</t>
        </is>
      </c>
      <c r="D85" s="239" t="inlineStr">
        <is>
          <t>농산물</t>
        </is>
      </c>
      <c r="E85" s="239" t="inlineStr">
        <is>
          <t>롯데ON</t>
        </is>
      </c>
      <c r="F85" s="240" t="inlineStr">
        <is>
          <t>주식회사 태범프레시</t>
        </is>
      </c>
      <c r="G85" s="239" t="inlineStr">
        <is>
          <t>832-86-02035</t>
        </is>
      </c>
      <c r="H85" s="240" t="inlineStr">
        <is>
          <t>[홍익상회] 춘천닭갈비 500g x 3팩 국내산닭고기 양념 순살</t>
        </is>
      </c>
      <c r="I85" s="173" t="inlineStr">
        <is>
          <t>축산물</t>
        </is>
      </c>
      <c r="J85" s="241" t="inlineStr">
        <is>
          <t>가공식품(식육가공품)</t>
        </is>
      </c>
      <c r="K85" s="182" t="n">
        <v>0</v>
      </c>
      <c r="L85" s="182" t="n">
        <v>0</v>
      </c>
      <c r="M85" s="182" t="n">
        <v>0</v>
      </c>
      <c r="N85" s="240" t="inlineStr">
        <is>
          <t>식육가공품(조미가공육(춘천닭갈비))이나 1차 생육 축산물로 오등록됨</t>
        </is>
      </c>
    </row>
    <row r="86" ht="20" customHeight="1" s="21">
      <c r="A86" s="239" t="n">
        <v>8</v>
      </c>
      <c r="B86" s="239" t="inlineStr">
        <is>
          <t>기존 참여 지속</t>
        </is>
      </c>
      <c r="C86" s="239" t="inlineStr">
        <is>
          <t>조미가공육 ➡️ 축산물 오등록</t>
        </is>
      </c>
      <c r="D86" s="239" t="inlineStr">
        <is>
          <t>농산물</t>
        </is>
      </c>
      <c r="E86" s="239" t="inlineStr">
        <is>
          <t>롯데ON</t>
        </is>
      </c>
      <c r="F86" s="240" t="inlineStr">
        <is>
          <t>주식회사 영인에프앤에스</t>
        </is>
      </c>
      <c r="G86" s="239" t="inlineStr">
        <is>
          <t>847-88-01537</t>
        </is>
      </c>
      <c r="H86" s="240" t="inlineStr">
        <is>
          <t>삶은 돼지 대창 1kg</t>
        </is>
      </c>
      <c r="I86" s="173" t="inlineStr">
        <is>
          <t>축산물</t>
        </is>
      </c>
      <c r="J86" s="241" t="inlineStr">
        <is>
          <t>가공식품(식육가공품)</t>
        </is>
      </c>
      <c r="K86" s="182" t="n">
        <v>54500</v>
      </c>
      <c r="L86" s="182" t="n">
        <v>7</v>
      </c>
      <c r="M86" s="182" t="n">
        <v>9440</v>
      </c>
      <c r="N86" s="240" t="inlineStr">
        <is>
          <t>식육가공품(양념/가공육(대창))이나 1차 생육 축산물로 오등록됨</t>
        </is>
      </c>
    </row>
    <row r="87" ht="20" customHeight="1" s="21">
      <c r="A87" s="239" t="n">
        <v>9</v>
      </c>
      <c r="B87" s="239" t="inlineStr">
        <is>
          <t>기존 참여 지속</t>
        </is>
      </c>
      <c r="C87" s="239" t="inlineStr">
        <is>
          <t>조미가공육 ➡️ 축산물 오등록</t>
        </is>
      </c>
      <c r="D87" s="239" t="inlineStr">
        <is>
          <t>농산물</t>
        </is>
      </c>
      <c r="E87" s="239" t="inlineStr">
        <is>
          <t>롯데ON</t>
        </is>
      </c>
      <c r="F87" s="240" t="inlineStr">
        <is>
          <t>주식회사 삼형제월드</t>
        </is>
      </c>
      <c r="G87" s="239" t="inlineStr">
        <is>
          <t>185-87-01669</t>
        </is>
      </c>
      <c r="H87" s="240" t="inlineStr">
        <is>
          <t>삼형제고기 한돈 간장 고추장 불고기 1kg (200g x 5팩)</t>
        </is>
      </c>
      <c r="I87" s="173" t="inlineStr">
        <is>
          <t>축산물</t>
        </is>
      </c>
      <c r="J87" s="241" t="inlineStr">
        <is>
          <t>가공식품(식육가공품)</t>
        </is>
      </c>
      <c r="K87" s="182" t="n">
        <v>0</v>
      </c>
      <c r="L87" s="182" t="n">
        <v>0</v>
      </c>
      <c r="M87" s="182" t="n">
        <v>0</v>
      </c>
      <c r="N87" s="240" t="inlineStr">
        <is>
          <t>식육가공품(양념조미육(불고기))이나 1차 생육 축산물로 오등록됨</t>
        </is>
      </c>
    </row>
    <row r="88" ht="20" customHeight="1" s="21">
      <c r="A88" s="239" t="n">
        <v>10</v>
      </c>
      <c r="B88" s="239" t="inlineStr">
        <is>
          <t>기존 참여 지속</t>
        </is>
      </c>
      <c r="C88" s="239" t="inlineStr">
        <is>
          <t>조미가공육 ➡️ 축산물 오등록</t>
        </is>
      </c>
      <c r="D88" s="239" t="inlineStr">
        <is>
          <t>농산물</t>
        </is>
      </c>
      <c r="E88" s="239" t="inlineStr">
        <is>
          <t>롯데ON</t>
        </is>
      </c>
      <c r="F88" s="240" t="inlineStr">
        <is>
          <t>주식회사 태범프레시</t>
        </is>
      </c>
      <c r="G88" s="239" t="inlineStr">
        <is>
          <t>832-86-02035</t>
        </is>
      </c>
      <c r="H88" s="240" t="inlineStr">
        <is>
          <t>[홍익상회] 춘천 홍익닭갈비 500g x 3팩 국내산 닭고기 양념 순살</t>
        </is>
      </c>
      <c r="I88" s="173" t="inlineStr">
        <is>
          <t>축산물</t>
        </is>
      </c>
      <c r="J88" s="241" t="inlineStr">
        <is>
          <t>가공식품(식육가공품)</t>
        </is>
      </c>
      <c r="K88" s="182" t="n">
        <v>2552440</v>
      </c>
      <c r="L88" s="182" t="n">
        <v>73</v>
      </c>
      <c r="M88" s="182" t="n">
        <v>410540</v>
      </c>
      <c r="N88" s="240" t="inlineStr">
        <is>
          <t>식육가공품(조미가공육(춘천닭갈비))이나 1차 생육 축산물로 오등록됨</t>
        </is>
      </c>
    </row>
    <row r="89" ht="20" customHeight="1" s="21">
      <c r="A89" s="239" t="n">
        <v>11</v>
      </c>
      <c r="B89" s="239" t="inlineStr">
        <is>
          <t>8월 신규 인입</t>
        </is>
      </c>
      <c r="C89" s="239" t="inlineStr">
        <is>
          <t>조미가공육 ➡️ 축산물 오등록</t>
        </is>
      </c>
      <c r="D89" s="239" t="inlineStr">
        <is>
          <t>농산물</t>
        </is>
      </c>
      <c r="E89" s="239" t="inlineStr">
        <is>
          <t>롯데ON</t>
        </is>
      </c>
      <c r="F89" s="240" t="inlineStr">
        <is>
          <t>주식회사 태범프레시</t>
        </is>
      </c>
      <c r="G89" s="239" t="inlineStr">
        <is>
          <t>832-86-02035</t>
        </is>
      </c>
      <c r="H89" s="240" t="inlineStr">
        <is>
          <t>한돈스테이크 4장x1팩 오븐 직화 떡갈비 맛 함박 스테이크 너비아니</t>
        </is>
      </c>
      <c r="I89" s="173" t="inlineStr">
        <is>
          <t>축산물</t>
        </is>
      </c>
      <c r="J89" s="241" t="inlineStr">
        <is>
          <t>가공식품(식육가공품)</t>
        </is>
      </c>
      <c r="K89" s="182" t="n">
        <v>29900</v>
      </c>
      <c r="L89" s="182" t="n">
        <v>1</v>
      </c>
      <c r="M89" s="182" t="n">
        <v>5740</v>
      </c>
      <c r="N89" s="240" t="inlineStr">
        <is>
          <t>식육가공품(가공육(떡갈비·수제패티))이나 1차 생육 축산물로 오등록됨</t>
        </is>
      </c>
    </row>
    <row r="90" ht="20" customHeight="1" s="21">
      <c r="A90" s="239" t="n">
        <v>12</v>
      </c>
      <c r="B90" s="239" t="inlineStr">
        <is>
          <t>8월 신규 인입</t>
        </is>
      </c>
      <c r="C90" s="239" t="inlineStr">
        <is>
          <t>조미가공육 ➡️ 축산물 오등록</t>
        </is>
      </c>
      <c r="D90" s="239" t="inlineStr">
        <is>
          <t>농산물</t>
        </is>
      </c>
      <c r="E90" s="239" t="inlineStr">
        <is>
          <t>롯데ON</t>
        </is>
      </c>
      <c r="F90" s="240" t="inlineStr">
        <is>
          <t>주식회사 태범프레시</t>
        </is>
      </c>
      <c r="G90" s="239" t="inlineStr">
        <is>
          <t>832-86-02035</t>
        </is>
      </c>
      <c r="H90" s="240" t="inlineStr">
        <is>
          <t>홍익상회 양념 오리 불고기 고추장 주물럭 400g (2인분) x 3팩</t>
        </is>
      </c>
      <c r="I90" s="173" t="inlineStr">
        <is>
          <t>축산물</t>
        </is>
      </c>
      <c r="J90" s="241" t="inlineStr">
        <is>
          <t>가공식품(식육가공품)</t>
        </is>
      </c>
      <c r="K90" s="182" t="n">
        <v>71800</v>
      </c>
      <c r="L90" s="182" t="n">
        <v>2</v>
      </c>
      <c r="M90" s="182" t="n">
        <v>13340</v>
      </c>
      <c r="N90" s="240" t="inlineStr">
        <is>
          <t>식육가공품(양념조미육(주물럭))이나 1차 생육 축산물로 오등록됨</t>
        </is>
      </c>
    </row>
    <row r="91" ht="20" customHeight="1" s="21">
      <c r="A91" s="239" t="n">
        <v>13</v>
      </c>
      <c r="B91" s="239" t="inlineStr">
        <is>
          <t>8월 신규 인입</t>
        </is>
      </c>
      <c r="C91" s="239" t="inlineStr">
        <is>
          <t>조미가공육 ➡️ 축산물 오등록</t>
        </is>
      </c>
      <c r="D91" s="239" t="inlineStr">
        <is>
          <t>농산물</t>
        </is>
      </c>
      <c r="E91" s="239" t="inlineStr">
        <is>
          <t>롯데ON</t>
        </is>
      </c>
      <c r="F91" s="240" t="inlineStr">
        <is>
          <t>주식회사 태범프레시</t>
        </is>
      </c>
      <c r="G91" s="239" t="inlineStr">
        <is>
          <t>832-86-02035</t>
        </is>
      </c>
      <c r="H91" s="240" t="inlineStr">
        <is>
          <t>[APP전용][홍익상회] 춘천 국내산 홍익 순살 닭갈비 500g x 5팩/3팩</t>
        </is>
      </c>
      <c r="I91" s="173" t="inlineStr">
        <is>
          <t>축산물</t>
        </is>
      </c>
      <c r="J91" s="241" t="inlineStr">
        <is>
          <t>가공식품(식육가공품)</t>
        </is>
      </c>
      <c r="K91" s="182" t="n">
        <v>308550</v>
      </c>
      <c r="L91" s="182" t="n">
        <v>4</v>
      </c>
      <c r="M91" s="182" t="n">
        <v>36820</v>
      </c>
      <c r="N91" s="240" t="inlineStr">
        <is>
          <t>식육가공품(조미가공육(춘천닭갈비))이나 1차 생육 축산물로 오등록됨</t>
        </is>
      </c>
    </row>
    <row r="92" ht="20" customHeight="1" s="21">
      <c r="A92" s="239" t="n">
        <v>14</v>
      </c>
      <c r="B92" s="239" t="inlineStr">
        <is>
          <t>8월 신규 인입</t>
        </is>
      </c>
      <c r="C92" s="239" t="inlineStr">
        <is>
          <t>조미가공육 ➡️ 축산물 오등록</t>
        </is>
      </c>
      <c r="D92" s="239" t="inlineStr">
        <is>
          <t>농산물</t>
        </is>
      </c>
      <c r="E92" s="239" t="inlineStr">
        <is>
          <t>롯데ON</t>
        </is>
      </c>
      <c r="F92" s="240" t="inlineStr">
        <is>
          <t>주식회사 태범프레시</t>
        </is>
      </c>
      <c r="G92" s="239" t="inlineStr">
        <is>
          <t>832-86-02035</t>
        </is>
      </c>
      <c r="H92" s="240" t="inlineStr">
        <is>
          <t>[홍익상회] 춘천 국내산 홍익 순살 닭갈비 500g x 5팩/3팩</t>
        </is>
      </c>
      <c r="I92" s="173" t="inlineStr">
        <is>
          <t>축산물</t>
        </is>
      </c>
      <c r="J92" s="241" t="inlineStr">
        <is>
          <t>가공식품(식육가공품)</t>
        </is>
      </c>
      <c r="K92" s="182" t="n">
        <v>0</v>
      </c>
      <c r="L92" s="182" t="n">
        <v>0</v>
      </c>
      <c r="M92" s="182" t="n">
        <v>0</v>
      </c>
      <c r="N92" s="240" t="inlineStr">
        <is>
          <t>식육가공품(조미가공육(춘천닭갈비))이나 1차 생육 축산물로 오등록됨</t>
        </is>
      </c>
    </row>
    <row r="93" ht="20" customHeight="1" s="21">
      <c r="A93" s="239" t="n">
        <v>15</v>
      </c>
      <c r="B93" s="239" t="inlineStr">
        <is>
          <t>기존 참여 지속</t>
        </is>
      </c>
      <c r="C93" s="239" t="inlineStr">
        <is>
          <t>조미가공육 ➡️ 축산물 오등록</t>
        </is>
      </c>
      <c r="D93" s="239" t="inlineStr">
        <is>
          <t>농산물</t>
        </is>
      </c>
      <c r="E93" s="239" t="inlineStr">
        <is>
          <t>오아시스</t>
        </is>
      </c>
      <c r="F93" s="240" t="inlineStr">
        <is>
          <t>케이에프지</t>
        </is>
      </c>
      <c r="G93" s="239" t="inlineStr">
        <is>
          <t>120-86-08936</t>
        </is>
      </c>
      <c r="H93" s="240" t="inlineStr">
        <is>
          <t>한돈 칼집 양념구이 (650g X 1개)</t>
        </is>
      </c>
      <c r="I93" s="173" t="inlineStr">
        <is>
          <t>축산물</t>
        </is>
      </c>
      <c r="J93" s="241" t="inlineStr">
        <is>
          <t>가공식품(식육가공품)</t>
        </is>
      </c>
      <c r="K93" s="182" t="n">
        <v>30197000</v>
      </c>
      <c r="L93" s="182" t="n">
        <v>2552</v>
      </c>
      <c r="M93" s="182" t="n">
        <v>490780</v>
      </c>
      <c r="N93" s="240" t="inlineStr">
        <is>
          <t>식육가공품(양념조미육)이나 1차 생육 축산물로 오등록됨</t>
        </is>
      </c>
    </row>
    <row r="94" ht="20" customHeight="1" s="21">
      <c r="A94" s="239" t="n">
        <v>16</v>
      </c>
      <c r="B94" s="239" t="inlineStr">
        <is>
          <t>기존 참여 지속</t>
        </is>
      </c>
      <c r="C94" s="239" t="inlineStr">
        <is>
          <t>조미가공육 ➡️ 축산물 오등록</t>
        </is>
      </c>
      <c r="D94" s="239" t="inlineStr">
        <is>
          <t>농산물</t>
        </is>
      </c>
      <c r="E94" s="239" t="inlineStr">
        <is>
          <t>오아시스</t>
        </is>
      </c>
      <c r="F94" s="240" t="inlineStr">
        <is>
          <t>케이에프지</t>
        </is>
      </c>
      <c r="G94" s="239" t="inlineStr">
        <is>
          <t>120-86-08936</t>
        </is>
      </c>
      <c r="H94" s="240" t="inlineStr">
        <is>
          <t>서울식 한우 불고기 밀키트 (800g X 1개)</t>
        </is>
      </c>
      <c r="I94" s="173" t="inlineStr">
        <is>
          <t>축산물</t>
        </is>
      </c>
      <c r="J94" s="241" t="inlineStr">
        <is>
          <t>가공식품(식육가공품)</t>
        </is>
      </c>
      <c r="K94" s="182" t="n">
        <v>15422600</v>
      </c>
      <c r="L94" s="182" t="n">
        <v>883</v>
      </c>
      <c r="M94" s="182" t="n">
        <v>271750</v>
      </c>
      <c r="N94" s="240" t="inlineStr">
        <is>
          <t>식육가공품(양념조미육(불고기))이나 1차 생육 축산물로 오등록됨</t>
        </is>
      </c>
    </row>
    <row r="95" ht="20" customHeight="1" s="21">
      <c r="A95" s="239" t="n">
        <v>17</v>
      </c>
      <c r="B95" s="239" t="inlineStr">
        <is>
          <t>기존 참여 지속</t>
        </is>
      </c>
      <c r="C95" s="239" t="inlineStr">
        <is>
          <t>조미가공육 ➡️ 축산물 오등록</t>
        </is>
      </c>
      <c r="D95" s="239" t="inlineStr">
        <is>
          <t>농산물</t>
        </is>
      </c>
      <c r="E95" s="239" t="inlineStr">
        <is>
          <t>오아시스</t>
        </is>
      </c>
      <c r="F95" s="240" t="inlineStr">
        <is>
          <t>농업회사법인 주식회사 팔농</t>
        </is>
      </c>
      <c r="G95" s="239" t="inlineStr">
        <is>
          <t>797-88-03152</t>
        </is>
      </c>
      <c r="H95" s="240" t="inlineStr">
        <is>
          <t>안동한우양반곱창 한우곱창 200gX2팩 (400g)</t>
        </is>
      </c>
      <c r="I95" s="173" t="inlineStr">
        <is>
          <t>축산물</t>
        </is>
      </c>
      <c r="J95" s="241" t="inlineStr">
        <is>
          <t>가공식품(식육가공품)</t>
        </is>
      </c>
      <c r="K95" s="182" t="n">
        <v>508800</v>
      </c>
      <c r="L95" s="182" t="n">
        <v>16</v>
      </c>
      <c r="M95" s="182" t="n">
        <v>92680</v>
      </c>
      <c r="N95" s="240" t="inlineStr">
        <is>
          <t>식육가공품(양념/가공육(곱창/대창))이나 1차 생육 축산물로 오등록됨</t>
        </is>
      </c>
    </row>
    <row r="96" ht="20" customHeight="1" s="21">
      <c r="A96" s="239" t="n">
        <v>18</v>
      </c>
      <c r="B96" s="239" t="inlineStr">
        <is>
          <t>기존 참여 지속</t>
        </is>
      </c>
      <c r="C96" s="239" t="inlineStr">
        <is>
          <t>조미가공육 ➡️ 축산물 오등록</t>
        </is>
      </c>
      <c r="D96" s="239" t="inlineStr">
        <is>
          <t>농산물</t>
        </is>
      </c>
      <c r="E96" s="239" t="inlineStr">
        <is>
          <t>오아시스</t>
        </is>
      </c>
      <c r="F96" s="240" t="inlineStr">
        <is>
          <t>농업회사법인 주식회사 팔농</t>
        </is>
      </c>
      <c r="G96" s="239" t="inlineStr">
        <is>
          <t>797-88-03152</t>
        </is>
      </c>
      <c r="H96" s="240" t="inlineStr">
        <is>
          <t>안동한우양반곱창 한우곱창200g+한우대창200g 2종세트</t>
        </is>
      </c>
      <c r="I96" s="173" t="inlineStr">
        <is>
          <t>축산물</t>
        </is>
      </c>
      <c r="J96" s="241" t="inlineStr">
        <is>
          <t>가공식품(식육가공품)</t>
        </is>
      </c>
      <c r="K96" s="182" t="n">
        <v>59600</v>
      </c>
      <c r="L96" s="182" t="n">
        <v>2</v>
      </c>
      <c r="M96" s="182" t="n">
        <v>11920</v>
      </c>
      <c r="N96" s="240" t="inlineStr">
        <is>
          <t>식육가공품(양념/가공육(곱창/대창))이나 1차 생육 축산물로 오등록됨</t>
        </is>
      </c>
    </row>
    <row r="97" ht="20" customHeight="1" s="21">
      <c r="A97" s="239" t="n">
        <v>19</v>
      </c>
      <c r="B97" s="239" t="inlineStr">
        <is>
          <t>기존 참여 지속</t>
        </is>
      </c>
      <c r="C97" s="239" t="inlineStr">
        <is>
          <t>조미가공육 ➡️ 축산물 오등록</t>
        </is>
      </c>
      <c r="D97" s="239" t="inlineStr">
        <is>
          <t>농산물</t>
        </is>
      </c>
      <c r="E97" s="239" t="inlineStr">
        <is>
          <t>오아시스</t>
        </is>
      </c>
      <c r="F97" s="240" t="inlineStr">
        <is>
          <t>농업회사법인 주식회사 팔농</t>
        </is>
      </c>
      <c r="G97" s="239" t="inlineStr">
        <is>
          <t>797-88-03152</t>
        </is>
      </c>
      <c r="H97" s="240" t="inlineStr">
        <is>
          <t>안동한우양반곱창 한우곱창200g+한우막창200g 2종세트</t>
        </is>
      </c>
      <c r="I97" s="173" t="inlineStr">
        <is>
          <t>축산물</t>
        </is>
      </c>
      <c r="J97" s="241" t="inlineStr">
        <is>
          <t>가공식품(식육가공품)</t>
        </is>
      </c>
      <c r="K97" s="182" t="n">
        <v>115200</v>
      </c>
      <c r="L97" s="182" t="n">
        <v>4</v>
      </c>
      <c r="M97" s="182" t="n">
        <v>22653</v>
      </c>
      <c r="N97" s="240" t="inlineStr">
        <is>
          <t>식육가공품(양념/가공육(곱창/대창))이나 1차 생육 축산물로 오등록됨</t>
        </is>
      </c>
    </row>
    <row r="98" ht="20" customHeight="1" s="21">
      <c r="A98" s="239" t="n">
        <v>20</v>
      </c>
      <c r="B98" s="239" t="inlineStr">
        <is>
          <t>기존 참여 지속</t>
        </is>
      </c>
      <c r="C98" s="239" t="inlineStr">
        <is>
          <t>조미가공육 ➡️ 축산물 오등록</t>
        </is>
      </c>
      <c r="D98" s="239" t="inlineStr">
        <is>
          <t>농산물</t>
        </is>
      </c>
      <c r="E98" s="239" t="inlineStr">
        <is>
          <t>오아시스</t>
        </is>
      </c>
      <c r="F98" s="240" t="inlineStr">
        <is>
          <t>농업회사법인 주식회사 팔농</t>
        </is>
      </c>
      <c r="G98" s="239" t="inlineStr">
        <is>
          <t>797-88-03152</t>
        </is>
      </c>
      <c r="H98" s="240" t="inlineStr">
        <is>
          <t>안동한우양반곱창 한우곱창200g+한우염통200g 2종세트</t>
        </is>
      </c>
      <c r="I98" s="173" t="inlineStr">
        <is>
          <t>축산물</t>
        </is>
      </c>
      <c r="J98" s="241" t="inlineStr">
        <is>
          <t>가공식품(식육가공품)</t>
        </is>
      </c>
      <c r="K98" s="182" t="n">
        <v>24800</v>
      </c>
      <c r="L98" s="182" t="n">
        <v>1</v>
      </c>
      <c r="M98" s="182" t="n">
        <v>4627</v>
      </c>
      <c r="N98" s="240" t="inlineStr">
        <is>
          <t>식육가공품(양념/가공육(곱창/대창))이나 1차 생육 축산물로 오등록됨</t>
        </is>
      </c>
    </row>
    <row r="99" ht="20" customHeight="1" s="21">
      <c r="A99" s="239" t="n">
        <v>21</v>
      </c>
      <c r="B99" s="239" t="inlineStr">
        <is>
          <t>8월 신규 인입</t>
        </is>
      </c>
      <c r="C99" s="239" t="inlineStr">
        <is>
          <t>조미가공육 ➡️ 축산물 오등록</t>
        </is>
      </c>
      <c r="D99" s="239" t="inlineStr">
        <is>
          <t>농산물</t>
        </is>
      </c>
      <c r="E99" s="239" t="inlineStr">
        <is>
          <t>네이버</t>
        </is>
      </c>
      <c r="F99" s="240" t="inlineStr">
        <is>
          <t>농업회사법인 주식회사 코리아식품</t>
        </is>
      </c>
      <c r="G99" s="239" t="inlineStr">
        <is>
          <t>608-88-00253</t>
        </is>
      </c>
      <c r="H99" s="240" t="inlineStr">
        <is>
          <t>청춘불판 직화껍데기 350g 국내산 직화 불향 자체양념소스</t>
        </is>
      </c>
      <c r="I99" s="173" t="inlineStr">
        <is>
          <t>축산물</t>
        </is>
      </c>
      <c r="J99" s="241" t="inlineStr">
        <is>
          <t>가공식품(식육가공품)</t>
        </is>
      </c>
      <c r="K99" s="182" t="n">
        <v>282900</v>
      </c>
      <c r="L99" s="182" t="n">
        <v>6</v>
      </c>
      <c r="M99" s="182" t="n">
        <v>15520</v>
      </c>
      <c r="N99" s="240" t="inlineStr">
        <is>
          <t>식육가공품(양념조미육)이나 1차 생육 축산물로 오등록됨</t>
        </is>
      </c>
    </row>
    <row r="100" ht="20" customHeight="1" s="21">
      <c r="A100" s="239" t="n">
        <v>22</v>
      </c>
      <c r="B100" s="239" t="inlineStr">
        <is>
          <t>8월 신규 인입</t>
        </is>
      </c>
      <c r="C100" s="239" t="inlineStr">
        <is>
          <t>조미가공육 ➡️ 축산물 오등록</t>
        </is>
      </c>
      <c r="D100" s="239" t="inlineStr">
        <is>
          <t>농산물</t>
        </is>
      </c>
      <c r="E100" s="239" t="inlineStr">
        <is>
          <t>네이버</t>
        </is>
      </c>
      <c r="F100" s="240" t="inlineStr">
        <is>
          <t>농업회사법인 주식회사 코리아식품</t>
        </is>
      </c>
      <c r="G100" s="239" t="inlineStr">
        <is>
          <t>608-88-00253</t>
        </is>
      </c>
      <c r="H100" s="240" t="inlineStr">
        <is>
          <t>고기얌 불오돌뼈 250g 국내산 매운 양념 캠핑 혼술 안주</t>
        </is>
      </c>
      <c r="I100" s="173" t="inlineStr">
        <is>
          <t>축산물</t>
        </is>
      </c>
      <c r="J100" s="241" t="inlineStr">
        <is>
          <t>가공식품(식육가공품)</t>
        </is>
      </c>
      <c r="K100" s="182" t="n">
        <v>6900</v>
      </c>
      <c r="L100" s="182" t="n">
        <v>1</v>
      </c>
      <c r="M100" s="182" t="n">
        <v>0</v>
      </c>
      <c r="N100" s="240" t="inlineStr">
        <is>
          <t>식육가공품(양념조미육)이나 1차 생육 축산물로 오등록됨</t>
        </is>
      </c>
    </row>
    <row r="101" ht="20" customHeight="1" s="21">
      <c r="A101" s="239" t="n">
        <v>23</v>
      </c>
      <c r="B101" s="239" t="inlineStr">
        <is>
          <t>8월 신규 인입</t>
        </is>
      </c>
      <c r="C101" s="239" t="inlineStr">
        <is>
          <t>조미가공육 ➡️ 축산물 오등록</t>
        </is>
      </c>
      <c r="D101" s="239" t="inlineStr">
        <is>
          <t>농산물</t>
        </is>
      </c>
      <c r="E101" s="239" t="inlineStr">
        <is>
          <t>네이버</t>
        </is>
      </c>
      <c r="F101" s="240" t="inlineStr">
        <is>
          <t>농업회사법인 주식회사 코리아식품</t>
        </is>
      </c>
      <c r="G101" s="239" t="inlineStr">
        <is>
          <t>608-88-00253</t>
        </is>
      </c>
      <c r="H101" s="240" t="inlineStr">
        <is>
          <t>청춘불판 불오돌뼈 400g 국내산 매운 양념 캠핑 혼술 안주</t>
        </is>
      </c>
      <c r="I101" s="173" t="inlineStr">
        <is>
          <t>축산물</t>
        </is>
      </c>
      <c r="J101" s="241" t="inlineStr">
        <is>
          <t>가공식품(식육가공품)</t>
        </is>
      </c>
      <c r="K101" s="182" t="n">
        <v>23700</v>
      </c>
      <c r="L101" s="182" t="n">
        <v>2</v>
      </c>
      <c r="M101" s="182" t="n">
        <v>3160</v>
      </c>
      <c r="N101" s="240" t="inlineStr">
        <is>
          <t>식육가공품(양념조미육)이나 1차 생육 축산물로 오등록됨</t>
        </is>
      </c>
    </row>
    <row r="102" ht="20" customHeight="1" s="21">
      <c r="A102" s="239" t="n">
        <v>24</v>
      </c>
      <c r="B102" s="239" t="inlineStr">
        <is>
          <t>8월 신규 인입</t>
        </is>
      </c>
      <c r="C102" s="239" t="inlineStr">
        <is>
          <t>조미가공육 ➡️ 축산물 오등록</t>
        </is>
      </c>
      <c r="D102" s="239" t="inlineStr">
        <is>
          <t>농산물</t>
        </is>
      </c>
      <c r="E102" s="239" t="inlineStr">
        <is>
          <t>네이버</t>
        </is>
      </c>
      <c r="F102" s="240" t="inlineStr">
        <is>
          <t>농업회사법인 주식회사 코리아식품</t>
        </is>
      </c>
      <c r="G102" s="239" t="inlineStr">
        <is>
          <t>608-88-00253</t>
        </is>
      </c>
      <c r="H102" s="240" t="inlineStr">
        <is>
          <t>청춘불판 직화불곱창 400g 혼술 캠핑 안주 돼지곱창</t>
        </is>
      </c>
      <c r="I102" s="173" t="inlineStr">
        <is>
          <t>축산물</t>
        </is>
      </c>
      <c r="J102" s="241" t="inlineStr">
        <is>
          <t>가공식품(식육가공품)</t>
        </is>
      </c>
      <c r="K102" s="182" t="n">
        <v>76300</v>
      </c>
      <c r="L102" s="182" t="n">
        <v>3</v>
      </c>
      <c r="M102" s="182" t="n">
        <v>8720</v>
      </c>
      <c r="N102" s="240" t="inlineStr">
        <is>
          <t>식육가공품(양념/가공육(곱창/대창))이나 1차 생육 축산물로 오등록됨</t>
        </is>
      </c>
    </row>
    <row r="103" ht="20" customHeight="1" s="21">
      <c r="A103" s="239" t="n">
        <v>25</v>
      </c>
      <c r="B103" s="239" t="inlineStr">
        <is>
          <t>8월 신규 인입</t>
        </is>
      </c>
      <c r="C103" s="239" t="inlineStr">
        <is>
          <t>조미가공육 ➡️ 축산물 오등록</t>
        </is>
      </c>
      <c r="D103" s="239" t="inlineStr">
        <is>
          <t>농산물</t>
        </is>
      </c>
      <c r="E103" s="239" t="inlineStr">
        <is>
          <t>네이버</t>
        </is>
      </c>
      <c r="F103" s="240" t="inlineStr">
        <is>
          <t>현풍떡갈비</t>
        </is>
      </c>
      <c r="G103" s="239" t="inlineStr">
        <is>
          <t>671-67-00557</t>
        </is>
      </c>
      <c r="H103" s="240" t="inlineStr">
        <is>
          <t>아기떡갈비 현풍 수제 한우 한돈 아이 반찬 건강한 육즙 세가지맛 3팩  90g  15개</t>
        </is>
      </c>
      <c r="I103" s="173" t="inlineStr">
        <is>
          <t>축산물</t>
        </is>
      </c>
      <c r="J103" s="241" t="inlineStr">
        <is>
          <t>가공식품(식육가공품)</t>
        </is>
      </c>
      <c r="K103" s="182" t="n">
        <v>2562900</v>
      </c>
      <c r="L103" s="182" t="n">
        <v>74</v>
      </c>
      <c r="M103" s="182" t="n">
        <v>237520</v>
      </c>
      <c r="N103" s="240" t="inlineStr">
        <is>
          <t>식육가공품(가공육(떡갈비·수제패티))이나 1차 생육 축산물로 오등록됨</t>
        </is>
      </c>
    </row>
    <row r="104" ht="20" customHeight="1" s="21">
      <c r="A104" s="239" t="n">
        <v>26</v>
      </c>
      <c r="B104" s="239" t="inlineStr">
        <is>
          <t>8월 신규 인입</t>
        </is>
      </c>
      <c r="C104" s="239" t="inlineStr">
        <is>
          <t>조미가공육 ➡️ 축산물 오등록</t>
        </is>
      </c>
      <c r="D104" s="239" t="inlineStr">
        <is>
          <t>농산물</t>
        </is>
      </c>
      <c r="E104" s="239" t="inlineStr">
        <is>
          <t>네이버</t>
        </is>
      </c>
      <c r="F104" s="240" t="inlineStr">
        <is>
          <t>농업회사법인 주식회사 코리아식품</t>
        </is>
      </c>
      <c r="G104" s="239" t="inlineStr">
        <is>
          <t>608-88-00253</t>
        </is>
      </c>
      <c r="H104" s="240" t="inlineStr">
        <is>
          <t>고기얌 돼지껍데기 누들 매콤맛 180g 국내산 매콤양념 누들껍데기 캠핑 야식 간편조리</t>
        </is>
      </c>
      <c r="I104" s="173" t="inlineStr">
        <is>
          <t>축산물</t>
        </is>
      </c>
      <c r="J104" s="241" t="inlineStr">
        <is>
          <t>가공식품(식육가공품)</t>
        </is>
      </c>
      <c r="K104" s="182" t="n">
        <v>7900</v>
      </c>
      <c r="L104" s="182" t="n">
        <v>1</v>
      </c>
      <c r="M104" s="182" t="n">
        <v>0</v>
      </c>
      <c r="N104" s="240" t="inlineStr">
        <is>
          <t>식육가공품(양념조미육)이나 1차 생육 축산물로 오등록됨</t>
        </is>
      </c>
    </row>
    <row r="105" ht="20" customHeight="1" s="21">
      <c r="A105" s="239" t="n">
        <v>27</v>
      </c>
      <c r="B105" s="239" t="inlineStr">
        <is>
          <t>8월 신규 인입</t>
        </is>
      </c>
      <c r="C105" s="239" t="inlineStr">
        <is>
          <t>조미가공육 ➡️ 축산물 오등록</t>
        </is>
      </c>
      <c r="D105" s="239" t="inlineStr">
        <is>
          <t>농산물</t>
        </is>
      </c>
      <c r="E105" s="239" t="inlineStr">
        <is>
          <t>네이버</t>
        </is>
      </c>
      <c r="F105" s="240" t="inlineStr">
        <is>
          <t>농업회사법인(주)새나라</t>
        </is>
      </c>
      <c r="G105" s="239" t="inlineStr">
        <is>
          <t>792-88-00316</t>
        </is>
      </c>
      <c r="H105" s="240" t="inlineStr">
        <is>
          <t>사조 오리 주물럭 양념 오리불고기 600g 넉넉한 양</t>
        </is>
      </c>
      <c r="I105" s="173" t="inlineStr">
        <is>
          <t>축산물</t>
        </is>
      </c>
      <c r="J105" s="241" t="inlineStr">
        <is>
          <t>가공식품(식육가공품)</t>
        </is>
      </c>
      <c r="K105" s="182" t="n">
        <v>202000</v>
      </c>
      <c r="L105" s="182" t="n">
        <v>7</v>
      </c>
      <c r="M105" s="182" t="n">
        <v>35820</v>
      </c>
      <c r="N105" s="240" t="inlineStr">
        <is>
          <t>식육가공품(양념조미육(주물럭))이나 1차 생육 축산물로 오등록됨</t>
        </is>
      </c>
    </row>
    <row r="106" ht="20" customHeight="1" s="21">
      <c r="A106" s="239" t="n">
        <v>28</v>
      </c>
      <c r="B106" s="239" t="inlineStr">
        <is>
          <t>8월 신규 인입</t>
        </is>
      </c>
      <c r="C106" s="239" t="inlineStr">
        <is>
          <t>조미가공육 ➡️ 축산물 오등록</t>
        </is>
      </c>
      <c r="D106" s="239" t="inlineStr">
        <is>
          <t>농산물</t>
        </is>
      </c>
      <c r="E106" s="239" t="inlineStr">
        <is>
          <t>네이버</t>
        </is>
      </c>
      <c r="F106" s="240" t="inlineStr">
        <is>
          <t>농업회사법인(주)새나라</t>
        </is>
      </c>
      <c r="G106" s="239" t="inlineStr">
        <is>
          <t>792-88-00316</t>
        </is>
      </c>
      <c r="H106" s="240" t="inlineStr">
        <is>
          <t>[모두 한입닭갈비] 춘천 3팩 국산 닭정육 캠핑 500gx3팩 (3~4인분)</t>
        </is>
      </c>
      <c r="I106" s="173" t="inlineStr">
        <is>
          <t>축산물</t>
        </is>
      </c>
      <c r="J106" s="241" t="inlineStr">
        <is>
          <t>가공식품(식육가공품)</t>
        </is>
      </c>
      <c r="K106" s="182" t="n">
        <v>126900</v>
      </c>
      <c r="L106" s="182" t="n">
        <v>6</v>
      </c>
      <c r="M106" s="182" t="n">
        <v>25380</v>
      </c>
      <c r="N106" s="240" t="inlineStr">
        <is>
          <t>식육가공품(조미가공육(춘천닭갈비))이나 1차 생육 축산물로 오등록됨</t>
        </is>
      </c>
    </row>
    <row r="107" ht="20" customHeight="1" s="21">
      <c r="A107" s="239" t="n">
        <v>29</v>
      </c>
      <c r="B107" s="239" t="inlineStr">
        <is>
          <t>8월 신규 인입</t>
        </is>
      </c>
      <c r="C107" s="239" t="inlineStr">
        <is>
          <t>조미가공육 ➡️ 축산물 오등록</t>
        </is>
      </c>
      <c r="D107" s="239" t="inlineStr">
        <is>
          <t>농산물</t>
        </is>
      </c>
      <c r="E107" s="239" t="inlineStr">
        <is>
          <t>네이버</t>
        </is>
      </c>
      <c r="F107" s="240" t="inlineStr">
        <is>
          <t>농업회사법인(주)새나라</t>
        </is>
      </c>
      <c r="G107" s="239" t="inlineStr">
        <is>
          <t>792-88-00316</t>
        </is>
      </c>
      <c r="H107" s="240" t="inlineStr">
        <is>
          <t>[모두양념닭발] 오직 국내산 무뼈닭발  200g포장</t>
        </is>
      </c>
      <c r="I107" s="173" t="inlineStr">
        <is>
          <t>축산물</t>
        </is>
      </c>
      <c r="J107" s="241" t="inlineStr">
        <is>
          <t>가공식품(식육가공품)</t>
        </is>
      </c>
      <c r="K107" s="182" t="n">
        <v>0</v>
      </c>
      <c r="L107" s="182" t="n">
        <v>0</v>
      </c>
      <c r="M107" s="182" t="n">
        <v>0</v>
      </c>
      <c r="N107" s="240" t="inlineStr">
        <is>
          <t>식육가공품(양념조미육)이나 1차 생육 축산물로 오등록됨</t>
        </is>
      </c>
    </row>
    <row r="108" ht="20" customHeight="1" s="21">
      <c r="A108" s="239" t="n">
        <v>30</v>
      </c>
      <c r="B108" s="239" t="inlineStr">
        <is>
          <t>8월 신규 인입</t>
        </is>
      </c>
      <c r="C108" s="239" t="inlineStr">
        <is>
          <t>조미가공육 ➡️ 축산물 오등록</t>
        </is>
      </c>
      <c r="D108" s="239" t="inlineStr">
        <is>
          <t>농산물</t>
        </is>
      </c>
      <c r="E108" s="239" t="inlineStr">
        <is>
          <t>네이버</t>
        </is>
      </c>
      <c r="F108" s="240" t="inlineStr">
        <is>
          <t>농업회사법인(주)새나라</t>
        </is>
      </c>
      <c r="G108" s="239" t="inlineStr">
        <is>
          <t>792-88-00316</t>
        </is>
      </c>
      <c r="H108" s="240" t="inlineStr">
        <is>
          <t>모두닭갈비 춘천 2+2팩 국산 닭정육 캠핑 500gx4팩 (6~8인분)</t>
        </is>
      </c>
      <c r="I108" s="173" t="inlineStr">
        <is>
          <t>축산물</t>
        </is>
      </c>
      <c r="J108" s="241" t="inlineStr">
        <is>
          <t>가공식품(식육가공품)</t>
        </is>
      </c>
      <c r="K108" s="182" t="n">
        <v>35600</v>
      </c>
      <c r="L108" s="182" t="n">
        <v>1</v>
      </c>
      <c r="M108" s="182" t="n">
        <v>0</v>
      </c>
      <c r="N108" s="240" t="inlineStr">
        <is>
          <t>식육가공품(조미가공육(춘천닭갈비))이나 1차 생육 축산물로 오등록됨</t>
        </is>
      </c>
    </row>
    <row r="109" ht="20" customHeight="1" s="21">
      <c r="A109" s="239" t="n">
        <v>31</v>
      </c>
      <c r="B109" s="239" t="inlineStr">
        <is>
          <t>8월 신규 인입</t>
        </is>
      </c>
      <c r="C109" s="239" t="inlineStr">
        <is>
          <t>조미가공육 ➡️ 축산물 오등록</t>
        </is>
      </c>
      <c r="D109" s="239" t="inlineStr">
        <is>
          <t>농산물</t>
        </is>
      </c>
      <c r="E109" s="239" t="inlineStr">
        <is>
          <t>네이버</t>
        </is>
      </c>
      <c r="F109" s="240" t="inlineStr">
        <is>
          <t>농업회사법인(주)새나라</t>
        </is>
      </c>
      <c r="G109" s="239" t="inlineStr">
        <is>
          <t>792-88-00316</t>
        </is>
      </c>
      <c r="H109" s="240" t="inlineStr">
        <is>
          <t>국내산 냉동 닭내장 [ 1kg / 20EA ]곱창 알탕  닭부산물</t>
        </is>
      </c>
      <c r="I109" s="173" t="inlineStr">
        <is>
          <t>축산물</t>
        </is>
      </c>
      <c r="J109" s="241" t="inlineStr">
        <is>
          <t>가공식품(식육가공품)</t>
        </is>
      </c>
      <c r="K109" s="182" t="n">
        <v>0</v>
      </c>
      <c r="L109" s="182" t="n">
        <v>0</v>
      </c>
      <c r="M109" s="182" t="n">
        <v>0</v>
      </c>
      <c r="N109" s="240" t="inlineStr">
        <is>
          <t>식육가공품(양념/가공육(곱창/대창))이나 1차 생육 축산물로 오등록됨</t>
        </is>
      </c>
    </row>
    <row r="110" ht="20" customHeight="1" s="21">
      <c r="A110" s="239" t="n">
        <v>32</v>
      </c>
      <c r="B110" s="239" t="inlineStr">
        <is>
          <t>8월 신규 인입</t>
        </is>
      </c>
      <c r="C110" s="239" t="inlineStr">
        <is>
          <t>조미가공육 ➡️ 축산물 오등록</t>
        </is>
      </c>
      <c r="D110" s="239" t="inlineStr">
        <is>
          <t>농산물</t>
        </is>
      </c>
      <c r="E110" s="239" t="inlineStr">
        <is>
          <t>네이버</t>
        </is>
      </c>
      <c r="F110" s="240" t="inlineStr">
        <is>
          <t>농업회사법인(주)새나라</t>
        </is>
      </c>
      <c r="G110" s="239" t="inlineStr">
        <is>
          <t>792-88-00316</t>
        </is>
      </c>
      <c r="H110" s="240" t="inlineStr">
        <is>
          <t>[모두한상찜닭] 세다리 진짜 안동찜닭의 풍미 국내산 닭고기로 냉장 1kg 안동구시장</t>
        </is>
      </c>
      <c r="I110" s="173" t="inlineStr">
        <is>
          <t>축산물</t>
        </is>
      </c>
      <c r="J110" s="241" t="inlineStr">
        <is>
          <t>가공식품(식육가공품)</t>
        </is>
      </c>
      <c r="K110" s="182" t="n">
        <v>23580</v>
      </c>
      <c r="L110" s="182" t="n">
        <v>1</v>
      </c>
      <c r="M110" s="182" t="n">
        <v>0</v>
      </c>
      <c r="N110" s="240" t="inlineStr">
        <is>
          <t>식육가공품(조미가공육(안동찜닭))이나 1차 생육 축산물로 오등록됨</t>
        </is>
      </c>
    </row>
    <row r="111" ht="20" customHeight="1" s="21">
      <c r="A111" s="239" t="n">
        <v>33</v>
      </c>
      <c r="B111" s="239" t="inlineStr">
        <is>
          <t>8월 신규 인입</t>
        </is>
      </c>
      <c r="C111" s="239" t="inlineStr">
        <is>
          <t>조미가공육 ➡️ 축산물 오등록</t>
        </is>
      </c>
      <c r="D111" s="239" t="inlineStr">
        <is>
          <t>농산물</t>
        </is>
      </c>
      <c r="E111" s="239" t="inlineStr">
        <is>
          <t>네이버</t>
        </is>
      </c>
      <c r="F111" s="240" t="inlineStr">
        <is>
          <t>농업회사법인(주)새나라</t>
        </is>
      </c>
      <c r="G111" s="239" t="inlineStr">
        <is>
          <t>792-88-00316</t>
        </is>
      </c>
      <c r="H111" s="240" t="inlineStr">
        <is>
          <t>사조 오리 주물럭 양념 오리불고기 1kg 넉넉한 양</t>
        </is>
      </c>
      <c r="I111" s="173" t="inlineStr">
        <is>
          <t>축산물</t>
        </is>
      </c>
      <c r="J111" s="241" t="inlineStr">
        <is>
          <t>가공식품(식육가공품)</t>
        </is>
      </c>
      <c r="K111" s="182" t="n">
        <v>650200</v>
      </c>
      <c r="L111" s="182" t="n">
        <v>24</v>
      </c>
      <c r="M111" s="182" t="n">
        <v>70440</v>
      </c>
      <c r="N111" s="240" t="inlineStr">
        <is>
          <t>식육가공품(양념조미육(주물럭))이나 1차 생육 축산물로 오등록됨</t>
        </is>
      </c>
    </row>
    <row r="112" ht="20" customHeight="1" s="21">
      <c r="A112" s="239" t="n">
        <v>34</v>
      </c>
      <c r="B112" s="239" t="inlineStr">
        <is>
          <t>8월 신규 인입</t>
        </is>
      </c>
      <c r="C112" s="239" t="inlineStr">
        <is>
          <t>조미가공육 ➡️ 축산물 오등록</t>
        </is>
      </c>
      <c r="D112" s="239" t="inlineStr">
        <is>
          <t>농산물</t>
        </is>
      </c>
      <c r="E112" s="239" t="inlineStr">
        <is>
          <t>네이버</t>
        </is>
      </c>
      <c r="F112" s="240" t="inlineStr">
        <is>
          <t>농업회사법인(주)새나라</t>
        </is>
      </c>
      <c r="G112" s="239" t="inlineStr">
        <is>
          <t>792-88-00316</t>
        </is>
      </c>
      <c r="H112" s="240" t="inlineStr">
        <is>
          <t>국내산 냉동 닭내장 1kg 곱창 알탕  닭부산물</t>
        </is>
      </c>
      <c r="I112" s="173" t="inlineStr">
        <is>
          <t>축산물</t>
        </is>
      </c>
      <c r="J112" s="241" t="inlineStr">
        <is>
          <t>가공식품(식육가공품)</t>
        </is>
      </c>
      <c r="K112" s="182" t="n">
        <v>812090</v>
      </c>
      <c r="L112" s="182" t="n">
        <v>13</v>
      </c>
      <c r="M112" s="182" t="n">
        <v>31590</v>
      </c>
      <c r="N112" s="240" t="inlineStr">
        <is>
          <t>식육가공품(양념/가공육(곱창/대창))이나 1차 생육 축산물로 오등록됨</t>
        </is>
      </c>
    </row>
    <row r="113" ht="20" customHeight="1" s="21">
      <c r="A113" s="239" t="n">
        <v>35</v>
      </c>
      <c r="B113" s="239" t="inlineStr">
        <is>
          <t>8월 신규 인입</t>
        </is>
      </c>
      <c r="C113" s="239" t="inlineStr">
        <is>
          <t>조미가공육 ➡️ 축산물 오등록</t>
        </is>
      </c>
      <c r="D113" s="239" t="inlineStr">
        <is>
          <t>농산물</t>
        </is>
      </c>
      <c r="E113" s="239" t="inlineStr">
        <is>
          <t>네이버</t>
        </is>
      </c>
      <c r="F113" s="240" t="inlineStr">
        <is>
          <t>농업회사법인(주)새나라</t>
        </is>
      </c>
      <c r="G113" s="239" t="inlineStr">
        <is>
          <t>792-88-00316</t>
        </is>
      </c>
      <c r="H113" s="240" t="inlineStr">
        <is>
          <t>[모두양념닭발] 1+1팩 오직 국내산 무뼈닭발  200g포장</t>
        </is>
      </c>
      <c r="I113" s="173" t="inlineStr">
        <is>
          <t>축산물</t>
        </is>
      </c>
      <c r="J113" s="241" t="inlineStr">
        <is>
          <t>가공식품(식육가공품)</t>
        </is>
      </c>
      <c r="K113" s="182" t="n">
        <v>27230</v>
      </c>
      <c r="L113" s="182" t="n">
        <v>1</v>
      </c>
      <c r="M113" s="182" t="n">
        <v>0</v>
      </c>
      <c r="N113" s="240" t="inlineStr">
        <is>
          <t>식육가공품(양념조미육)이나 1차 생육 축산물로 오등록됨</t>
        </is>
      </c>
    </row>
    <row r="114" ht="20" customHeight="1" s="21">
      <c r="A114" s="239" t="n">
        <v>36</v>
      </c>
      <c r="B114" s="239" t="inlineStr">
        <is>
          <t>8월 신규 인입</t>
        </is>
      </c>
      <c r="C114" s="239" t="inlineStr">
        <is>
          <t>조미가공육 ➡️ 축산물 오등록</t>
        </is>
      </c>
      <c r="D114" s="239" t="inlineStr">
        <is>
          <t>농산물</t>
        </is>
      </c>
      <c r="E114" s="239" t="inlineStr">
        <is>
          <t>네이버</t>
        </is>
      </c>
      <c r="F114" s="240" t="inlineStr">
        <is>
          <t>농업회사법인(주)새나라</t>
        </is>
      </c>
      <c r="G114" s="239" t="inlineStr">
        <is>
          <t>792-88-00316</t>
        </is>
      </c>
      <c r="H114" s="240" t="inlineStr">
        <is>
          <t>[모두닭갈비] 춘천 1+1팩 국산 닭다리살 캠핑 500gx2팩 (3~4인분)</t>
        </is>
      </c>
      <c r="I114" s="173" t="inlineStr">
        <is>
          <t>축산물</t>
        </is>
      </c>
      <c r="J114" s="241" t="inlineStr">
        <is>
          <t>가공식품(식육가공품)</t>
        </is>
      </c>
      <c r="K114" s="182" t="n">
        <v>3318710</v>
      </c>
      <c r="L114" s="182" t="n">
        <v>162</v>
      </c>
      <c r="M114" s="182" t="n">
        <v>561450</v>
      </c>
      <c r="N114" s="240" t="inlineStr">
        <is>
          <t>식육가공품(조미가공육(춘천닭갈비))이나 1차 생육 축산물로 오등록됨</t>
        </is>
      </c>
    </row>
    <row r="115" ht="20" customHeight="1" s="21">
      <c r="A115" s="239" t="n">
        <v>37</v>
      </c>
      <c r="B115" s="239" t="inlineStr">
        <is>
          <t>8월 신규 인입</t>
        </is>
      </c>
      <c r="C115" s="239" t="inlineStr">
        <is>
          <t>조미가공육 ➡️ 축산물 오등록</t>
        </is>
      </c>
      <c r="D115" s="239" t="inlineStr">
        <is>
          <t>농산물</t>
        </is>
      </c>
      <c r="E115" s="239" t="inlineStr">
        <is>
          <t>네이버</t>
        </is>
      </c>
      <c r="F115" s="240" t="inlineStr">
        <is>
          <t>두루푸드</t>
        </is>
      </c>
      <c r="G115" s="239" t="inlineStr">
        <is>
          <t>221-13-36518</t>
        </is>
      </c>
      <c r="H115" s="240" t="inlineStr">
        <is>
          <t>국민닭갈비 두루푸드 춘천닭갈비 택배 홈파티 캠핑요리</t>
        </is>
      </c>
      <c r="I115" s="173" t="inlineStr">
        <is>
          <t>축산물</t>
        </is>
      </c>
      <c r="J115" s="241" t="inlineStr">
        <is>
          <t>가공식품(식육가공품)</t>
        </is>
      </c>
      <c r="K115" s="182" t="n">
        <v>102582760</v>
      </c>
      <c r="L115" s="182" t="n">
        <v>4815</v>
      </c>
      <c r="M115" s="182" t="n">
        <v>4101510</v>
      </c>
      <c r="N115" s="240" t="inlineStr">
        <is>
          <t>식육가공품(조미가공육(춘천닭갈비))이나 1차 생육 축산물로 오등록됨</t>
        </is>
      </c>
    </row>
    <row r="116" ht="20" customHeight="1" s="21">
      <c r="A116" s="239" t="n">
        <v>38</v>
      </c>
      <c r="B116" s="239" t="inlineStr">
        <is>
          <t>8월 신규 인입</t>
        </is>
      </c>
      <c r="C116" s="239" t="inlineStr">
        <is>
          <t>조미가공육 ➡️ 축산물 오등록</t>
        </is>
      </c>
      <c r="D116" s="239" t="inlineStr">
        <is>
          <t>농산물</t>
        </is>
      </c>
      <c r="E116" s="239" t="inlineStr">
        <is>
          <t>네이버</t>
        </is>
      </c>
      <c r="F116" s="240" t="inlineStr">
        <is>
          <t>두루푸드</t>
        </is>
      </c>
      <c r="G116" s="239" t="inlineStr">
        <is>
          <t>221-13-36518</t>
        </is>
      </c>
      <c r="H116" s="240" t="inlineStr">
        <is>
          <t>두루푸드 국민닭갈비 춘천닭갈비 택배 홈파티 캠핑요리 전통맛</t>
        </is>
      </c>
      <c r="I116" s="173" t="inlineStr">
        <is>
          <t>축산물</t>
        </is>
      </c>
      <c r="J116" s="241" t="inlineStr">
        <is>
          <t>가공식품(식육가공품)</t>
        </is>
      </c>
      <c r="K116" s="182" t="n">
        <v>2996900</v>
      </c>
      <c r="L116" s="182" t="n">
        <v>141</v>
      </c>
      <c r="M116" s="182" t="n">
        <v>99860</v>
      </c>
      <c r="N116" s="240" t="inlineStr">
        <is>
          <t>식육가공품(조미가공육(춘천닭갈비))이나 1차 생육 축산물로 오등록됨</t>
        </is>
      </c>
    </row>
    <row r="117" ht="20" customHeight="1" s="21">
      <c r="A117" s="239" t="n">
        <v>39</v>
      </c>
      <c r="B117" s="239" t="inlineStr">
        <is>
          <t>8월 신규 인입</t>
        </is>
      </c>
      <c r="C117" s="239" t="inlineStr">
        <is>
          <t>조미가공육 ➡️ 축산물 오등록</t>
        </is>
      </c>
      <c r="D117" s="239" t="inlineStr">
        <is>
          <t>농산물</t>
        </is>
      </c>
      <c r="E117" s="239" t="inlineStr">
        <is>
          <t>네이버</t>
        </is>
      </c>
      <c r="F117" s="240" t="inlineStr">
        <is>
          <t>두루푸드</t>
        </is>
      </c>
      <c r="G117" s="239" t="inlineStr">
        <is>
          <t>221-13-36518</t>
        </is>
      </c>
      <c r="H117" s="240" t="inlineStr">
        <is>
          <t>두루푸드 국민닭갈비 춘천닭갈비 택배 홈파티 캠핑요리 간장닭갈비</t>
        </is>
      </c>
      <c r="I117" s="173" t="inlineStr">
        <is>
          <t>축산물</t>
        </is>
      </c>
      <c r="J117" s="241" t="inlineStr">
        <is>
          <t>가공식품(식육가공품)</t>
        </is>
      </c>
      <c r="K117" s="182" t="n">
        <v>1481250</v>
      </c>
      <c r="L117" s="182" t="n">
        <v>100</v>
      </c>
      <c r="M117" s="182" t="n">
        <v>20900</v>
      </c>
      <c r="N117" s="240" t="inlineStr">
        <is>
          <t>식육가공품(조미가공육(춘천닭갈비))이나 1차 생육 축산물로 오등록됨</t>
        </is>
      </c>
    </row>
    <row r="118" ht="20" customHeight="1" s="21">
      <c r="A118" s="239" t="n">
        <v>40</v>
      </c>
      <c r="B118" s="239" t="inlineStr">
        <is>
          <t>8월 신규 인입</t>
        </is>
      </c>
      <c r="C118" s="239" t="inlineStr">
        <is>
          <t>조미가공육 ➡️ 축산물 오등록</t>
        </is>
      </c>
      <c r="D118" s="239" t="inlineStr">
        <is>
          <t>농산물</t>
        </is>
      </c>
      <c r="E118" s="239" t="inlineStr">
        <is>
          <t>네이버</t>
        </is>
      </c>
      <c r="F118" s="240" t="inlineStr">
        <is>
          <t>두루푸드</t>
        </is>
      </c>
      <c r="G118" s="239" t="inlineStr">
        <is>
          <t>221-13-36518</t>
        </is>
      </c>
      <c r="H118" s="240" t="inlineStr">
        <is>
          <t>두루푸드 국민닭갈비 춘천닭갈비 택배 홈파티 캠핑요리 허브소금닭갈비</t>
        </is>
      </c>
      <c r="I118" s="173" t="inlineStr">
        <is>
          <t>축산물</t>
        </is>
      </c>
      <c r="J118" s="241" t="inlineStr">
        <is>
          <t>가공식품(식육가공품)</t>
        </is>
      </c>
      <c r="K118" s="182" t="n">
        <v>918650</v>
      </c>
      <c r="L118" s="182" t="n">
        <v>47</v>
      </c>
      <c r="M118" s="182" t="n">
        <v>4180</v>
      </c>
      <c r="N118" s="240" t="inlineStr">
        <is>
          <t>식육가공품(조미가공육(춘천닭갈비))이나 1차 생육 축산물로 오등록됨</t>
        </is>
      </c>
    </row>
    <row r="119" ht="20" customHeight="1" s="21">
      <c r="A119" s="239" t="n">
        <v>41</v>
      </c>
      <c r="B119" s="239" t="inlineStr">
        <is>
          <t>8월 신규 인입</t>
        </is>
      </c>
      <c r="C119" s="239" t="inlineStr">
        <is>
          <t>조미가공육 ➡️ 축산물 오등록</t>
        </is>
      </c>
      <c r="D119" s="239" t="inlineStr">
        <is>
          <t>농산물</t>
        </is>
      </c>
      <c r="E119" s="239" t="inlineStr">
        <is>
          <t>네이버</t>
        </is>
      </c>
      <c r="F119" s="240" t="inlineStr">
        <is>
          <t>두루푸드</t>
        </is>
      </c>
      <c r="G119" s="239" t="inlineStr">
        <is>
          <t>221-13-36518</t>
        </is>
      </c>
      <c r="H119" s="240" t="inlineStr">
        <is>
          <t>두루푸드 국민닭갈비 춘천닭갈비 택배 홈파티 캠핑요리 올인원세트 3인용 / 1.5인용</t>
        </is>
      </c>
      <c r="I119" s="173" t="inlineStr">
        <is>
          <t>축산물</t>
        </is>
      </c>
      <c r="J119" s="241" t="inlineStr">
        <is>
          <t>가공식품(식육가공품)</t>
        </is>
      </c>
      <c r="K119" s="182" t="n">
        <v>1423800</v>
      </c>
      <c r="L119" s="182" t="n">
        <v>56</v>
      </c>
      <c r="M119" s="182" t="n">
        <v>124870</v>
      </c>
      <c r="N119" s="240" t="inlineStr">
        <is>
          <t>식육가공품(조미가공육(춘천닭갈비))이나 1차 생육 축산물로 오등록됨</t>
        </is>
      </c>
    </row>
    <row r="120" ht="20" customHeight="1" s="21">
      <c r="A120" s="239" t="n">
        <v>42</v>
      </c>
      <c r="B120" s="239" t="inlineStr">
        <is>
          <t>8월 신규 인입</t>
        </is>
      </c>
      <c r="C120" s="239" t="inlineStr">
        <is>
          <t>조미가공육 ➡️ 축산물 오등록</t>
        </is>
      </c>
      <c r="D120" s="253" t="n"/>
      <c r="E120" s="253" t="n"/>
      <c r="F120" s="253" t="n"/>
      <c r="G120" s="253" t="n"/>
      <c r="H120" s="253" t="n"/>
      <c r="I120" s="253" t="n"/>
      <c r="J120" s="253" t="n"/>
      <c r="K120" s="254" t="n"/>
      <c r="L120" s="182" t="n">
        <v>29</v>
      </c>
      <c r="M120" s="182" t="n">
        <v>8760</v>
      </c>
      <c r="N120" s="240" t="inlineStr">
        <is>
          <t>식육가공품(조미가공육(춘천닭갈비))이나 1차 생육 축산물로 오등록됨</t>
        </is>
      </c>
    </row>
    <row r="121" ht="20" customHeight="1" s="21">
      <c r="A121" s="239" t="n">
        <v>43</v>
      </c>
      <c r="B121" s="239" t="inlineStr">
        <is>
          <t>8월 신규 인입</t>
        </is>
      </c>
      <c r="C121" s="239" t="inlineStr">
        <is>
          <t>농산물 원물 ➡️ 가공식품 오등록</t>
        </is>
      </c>
      <c r="D121" s="239" t="inlineStr">
        <is>
          <t>농산물</t>
        </is>
      </c>
      <c r="E121" s="239" t="inlineStr">
        <is>
          <t>네이버</t>
        </is>
      </c>
      <c r="F121" s="240" t="inlineStr">
        <is>
          <t>소유농장</t>
        </is>
      </c>
      <c r="G121" s="239" t="inlineStr">
        <is>
          <t>208-22-52837</t>
        </is>
      </c>
      <c r="H121" s="240" t="inlineStr">
        <is>
          <t>국내산 무농약 GAP 건조상황버섯 선물세트 150g 300g 부모님 추석선물</t>
        </is>
      </c>
      <c r="I121" s="173" t="inlineStr">
        <is>
          <t>가공식품</t>
        </is>
      </c>
      <c r="J121" s="241" t="inlineStr">
        <is>
          <t>농산물(원물)</t>
        </is>
      </c>
      <c r="K121" s="182" t="n">
        <v>528000</v>
      </c>
      <c r="L121" s="182" t="n">
        <v>8</v>
      </c>
      <c r="M121" s="182" t="n">
        <v>27530</v>
      </c>
      <c r="N121" s="240" t="inlineStr">
        <is>
          <t>1차 신선 농산물(신선/건조 임산물(상황버섯 원물))이나 유통사에 가공식품으로 오등록되어 원물 실적에서 누락됨</t>
        </is>
      </c>
    </row>
    <row r="122" ht="20" customHeight="1" s="21">
      <c r="A122" s="239" t="n">
        <v>44</v>
      </c>
      <c r="B122" s="239" t="inlineStr">
        <is>
          <t>8월 신규 인입</t>
        </is>
      </c>
      <c r="C122" s="239" t="inlineStr">
        <is>
          <t>농산물 원물 ➡️ 가공식품 오등록</t>
        </is>
      </c>
      <c r="D122" s="239" t="inlineStr">
        <is>
          <t>농산물</t>
        </is>
      </c>
      <c r="E122" s="239" t="inlineStr">
        <is>
          <t>네이버</t>
        </is>
      </c>
      <c r="F122" s="240" t="inlineStr">
        <is>
          <t>소유농장</t>
        </is>
      </c>
      <c r="G122" s="239" t="inlineStr">
        <is>
          <t>208-22-52837</t>
        </is>
      </c>
      <c r="H122" s="240" t="inlineStr">
        <is>
          <t>국내산 무농약 GAP인증 건조 상황버섯 70g 부모님 추석 선물세트</t>
        </is>
      </c>
      <c r="I122" s="173" t="inlineStr">
        <is>
          <t>가공식품</t>
        </is>
      </c>
      <c r="J122" s="241" t="inlineStr">
        <is>
          <t>농산물(원물)</t>
        </is>
      </c>
      <c r="K122" s="182" t="n">
        <v>0</v>
      </c>
      <c r="L122" s="182" t="n">
        <v>0</v>
      </c>
      <c r="M122" s="182" t="n">
        <v>0</v>
      </c>
      <c r="N122" s="240" t="inlineStr">
        <is>
          <t>1차 신선 농산물(신선/건조 임산물(상황버섯 원물))이나 유통사에 가공식품으로 오등록되어 원물 실적에서 누락됨</t>
        </is>
      </c>
    </row>
    <row r="123" ht="20" customHeight="1" s="21">
      <c r="A123" s="239" t="n">
        <v>45</v>
      </c>
      <c r="B123" s="239" t="inlineStr">
        <is>
          <t>8월 신규 인입</t>
        </is>
      </c>
      <c r="C123" s="239" t="inlineStr">
        <is>
          <t>농산물 원물 ➡️ 가공식품 오등록</t>
        </is>
      </c>
      <c r="D123" s="239" t="inlineStr">
        <is>
          <t>농산물</t>
        </is>
      </c>
      <c r="E123" s="239" t="inlineStr">
        <is>
          <t>네이버</t>
        </is>
      </c>
      <c r="F123" s="240" t="inlineStr">
        <is>
          <t>소유농장</t>
        </is>
      </c>
      <c r="G123" s="239" t="inlineStr">
        <is>
          <t>208-22-52837</t>
        </is>
      </c>
      <c r="H123" s="240" t="inlineStr">
        <is>
          <t>국내산 무농약 GAP인증 건조 상황버섯 140g 부모님 추석 선물세트</t>
        </is>
      </c>
      <c r="I123" s="173" t="inlineStr">
        <is>
          <t>가공식품</t>
        </is>
      </c>
      <c r="J123" s="241" t="inlineStr">
        <is>
          <t>농산물(원물)</t>
        </is>
      </c>
      <c r="K123" s="182" t="n">
        <v>66000</v>
      </c>
      <c r="L123" s="182" t="n">
        <v>2</v>
      </c>
      <c r="M123" s="182" t="n">
        <v>6600</v>
      </c>
      <c r="N123" s="240" t="inlineStr">
        <is>
          <t>1차 신선 농산물(신선/건조 임산물(상황버섯 원물))이나 유통사에 가공식품으로 오등록되어 원물 실적에서 누락됨</t>
        </is>
      </c>
    </row>
    <row r="124" ht="20" customHeight="1" s="21">
      <c r="A124" s="239" t="n">
        <v>46</v>
      </c>
      <c r="B124" s="239" t="inlineStr">
        <is>
          <t>8월 신규 인입</t>
        </is>
      </c>
      <c r="C124" s="239" t="inlineStr">
        <is>
          <t>농산물 원물 ➡️ 가공식품 오등록</t>
        </is>
      </c>
      <c r="D124" s="239" t="inlineStr">
        <is>
          <t>농산물</t>
        </is>
      </c>
      <c r="E124" s="239" t="inlineStr">
        <is>
          <t>네이버</t>
        </is>
      </c>
      <c r="F124" s="240" t="inlineStr">
        <is>
          <t>알찬연근팜</t>
        </is>
      </c>
      <c r="G124" s="239" t="inlineStr">
        <is>
          <t>604-02-68674</t>
        </is>
      </c>
      <c r="H124" s="240" t="inlineStr">
        <is>
          <t>햇연근 무농약 흙연근 슬라이스 말린연근</t>
        </is>
      </c>
      <c r="I124" s="173" t="inlineStr">
        <is>
          <t>가공식품</t>
        </is>
      </c>
      <c r="J124" s="241" t="inlineStr">
        <is>
          <t>농산물(원물)</t>
        </is>
      </c>
      <c r="K124" s="182" t="n">
        <v>2421630</v>
      </c>
      <c r="L124" s="182" t="n">
        <v>101</v>
      </c>
      <c r="M124" s="182" t="n">
        <v>217410</v>
      </c>
      <c r="N124" s="240" t="inlineStr">
        <is>
          <t>1차 신선 농산물(신선 채소(흙연근 원물))이나 유통사에 가공식품으로 오등록되어 원물 실적에서 누락됨</t>
        </is>
      </c>
    </row>
    <row r="125" ht="20" customHeight="1" s="21">
      <c r="A125" s="239" t="n">
        <v>47</v>
      </c>
      <c r="B125" s="239" t="inlineStr">
        <is>
          <t>8월 신규 인입</t>
        </is>
      </c>
      <c r="C125" s="239" t="inlineStr">
        <is>
          <t>농산물 원물 ➡️ 가공식품 오등록</t>
        </is>
      </c>
      <c r="D125" s="239" t="inlineStr">
        <is>
          <t>농산물</t>
        </is>
      </c>
      <c r="E125" s="239" t="inlineStr">
        <is>
          <t>네이버</t>
        </is>
      </c>
      <c r="F125" s="240" t="inlineStr">
        <is>
          <t>채씨네표고</t>
        </is>
      </c>
      <c r="G125" s="239" t="inlineStr">
        <is>
          <t>449-92-01723</t>
        </is>
      </c>
      <c r="H125" s="240" t="inlineStr">
        <is>
          <t>표고버섯 선물세트 흑화고 백화고 추석 설날 명절</t>
        </is>
      </c>
      <c r="I125" s="173" t="inlineStr">
        <is>
          <t>가공식품</t>
        </is>
      </c>
      <c r="J125" s="241" t="inlineStr">
        <is>
          <t>농산물(원물)</t>
        </is>
      </c>
      <c r="K125" s="182" t="n">
        <v>282000</v>
      </c>
      <c r="L125" s="182" t="n">
        <v>8</v>
      </c>
      <c r="M125" s="182" t="n">
        <v>43400</v>
      </c>
      <c r="N125" s="240" t="inlineStr">
        <is>
          <t>1차 신선 농산물(신선/건조 임산물(표고버섯 선물세트 원물))이나 유통사에 가공식품으로 오등록되어 원물 실적에서 누락됨</t>
        </is>
      </c>
    </row>
    <row r="126" ht="20" customHeight="1" s="21">
      <c r="A126" s="239" t="n">
        <v>48</v>
      </c>
      <c r="B126" s="239" t="inlineStr">
        <is>
          <t>8월 신규 인입</t>
        </is>
      </c>
      <c r="C126" s="239" t="inlineStr">
        <is>
          <t>농산물 원물 ➡️ 가공식품 오등록</t>
        </is>
      </c>
      <c r="D126" s="239" t="inlineStr">
        <is>
          <t>농산물</t>
        </is>
      </c>
      <c r="E126" s="239" t="inlineStr">
        <is>
          <t>네이버</t>
        </is>
      </c>
      <c r="F126" s="240" t="inlineStr">
        <is>
          <t>채씨네표고</t>
        </is>
      </c>
      <c r="G126" s="239" t="inlineStr">
        <is>
          <t>449-92-01723</t>
        </is>
      </c>
      <c r="H126" s="240" t="inlineStr">
        <is>
          <t>채씨네 표고 버섯 선물세트 추석 설날 명절 참나무</t>
        </is>
      </c>
      <c r="I126" s="173" t="inlineStr">
        <is>
          <t>가공식품</t>
        </is>
      </c>
      <c r="J126" s="241" t="inlineStr">
        <is>
          <t>농산물(원물)</t>
        </is>
      </c>
      <c r="K126" s="182" t="n">
        <v>223500</v>
      </c>
      <c r="L126" s="182" t="n">
        <v>4</v>
      </c>
      <c r="M126" s="182" t="n">
        <v>15600</v>
      </c>
      <c r="N126" s="240" t="inlineStr">
        <is>
          <t>1차 신선 농산물(신선/건조 임산물(표고버섯 선물세트 원물))이나 유통사에 가공식품으로 오등록되어 원물 실적에서 누락됨</t>
        </is>
      </c>
    </row>
    <row r="127" ht="20" customHeight="1" s="21">
      <c r="A127" s="239" t="n">
        <v>49</v>
      </c>
      <c r="B127" s="239" t="inlineStr">
        <is>
          <t>8월 신규 인입</t>
        </is>
      </c>
      <c r="C127" s="239" t="inlineStr">
        <is>
          <t>농산물 원물 ➡️ 가공식품 오등록</t>
        </is>
      </c>
      <c r="D127" s="239" t="inlineStr">
        <is>
          <t>농산물</t>
        </is>
      </c>
      <c r="E127" s="239" t="inlineStr">
        <is>
          <t>네이버</t>
        </is>
      </c>
      <c r="F127" s="240" t="inlineStr">
        <is>
          <t>채씨네표고</t>
        </is>
      </c>
      <c r="G127" s="239" t="inlineStr">
        <is>
          <t>449-92-01723</t>
        </is>
      </c>
      <c r="H127" s="240" t="inlineStr">
        <is>
          <t>채씨네 국내산 건 표고버섯 선물세트 백화고 흑화고 추석 명절 설날</t>
        </is>
      </c>
      <c r="I127" s="173" t="inlineStr">
        <is>
          <t>가공식품</t>
        </is>
      </c>
      <c r="J127" s="241" t="inlineStr">
        <is>
          <t>농산물(원물)</t>
        </is>
      </c>
      <c r="K127" s="182" t="n">
        <v>516000</v>
      </c>
      <c r="L127" s="182" t="n">
        <v>5</v>
      </c>
      <c r="M127" s="182" t="n">
        <v>26800</v>
      </c>
      <c r="N127" s="240" t="inlineStr">
        <is>
          <t>1차 신선 농산물(신선/건조 임산물(표고버섯 원물))이나 유통사에 가공식품으로 오등록되어 원물 실적에서 누락됨</t>
        </is>
      </c>
    </row>
    <row r="128" ht="20" customHeight="1" s="21">
      <c r="A128" s="239" t="n">
        <v>50</v>
      </c>
      <c r="B128" s="239" t="inlineStr">
        <is>
          <t>8월 신규 인입</t>
        </is>
      </c>
      <c r="C128" s="239" t="inlineStr">
        <is>
          <t>농산물 원물 ➡️ 가공식품 오등록</t>
        </is>
      </c>
      <c r="D128" s="239" t="inlineStr">
        <is>
          <t>농산물</t>
        </is>
      </c>
      <c r="E128" s="239" t="inlineStr">
        <is>
          <t>네이버</t>
        </is>
      </c>
      <c r="F128" s="240" t="inlineStr">
        <is>
          <t>채씨네표고</t>
        </is>
      </c>
      <c r="G128" s="239" t="inlineStr">
        <is>
          <t>449-92-01723</t>
        </is>
      </c>
      <c r="H128" s="240" t="inlineStr">
        <is>
          <t>표고버섯 선물세트 흑화고 500g</t>
        </is>
      </c>
      <c r="I128" s="173" t="inlineStr">
        <is>
          <t>가공식품</t>
        </is>
      </c>
      <c r="J128" s="241" t="inlineStr">
        <is>
          <t>농산물(원물)</t>
        </is>
      </c>
      <c r="K128" s="182" t="n">
        <v>0</v>
      </c>
      <c r="L128" s="182" t="n">
        <v>0</v>
      </c>
      <c r="M128" s="182" t="n">
        <v>0</v>
      </c>
      <c r="N128" s="240" t="inlineStr">
        <is>
          <t>1차 신선 농산물(신선/건조 임산물(표고버섯 선물세트 원물))이나 유통사에 가공식품으로 오등록되어 원물 실적에서 누락됨</t>
        </is>
      </c>
    </row>
    <row r="129" ht="20" customHeight="1" s="21">
      <c r="A129" s="239" t="n">
        <v>51</v>
      </c>
      <c r="B129" s="239" t="inlineStr">
        <is>
          <t>8월 신규 인입</t>
        </is>
      </c>
      <c r="C129" s="239" t="inlineStr">
        <is>
          <t>농산물 원물 ➡️ 가공식품 오등록</t>
        </is>
      </c>
      <c r="D129" s="239" t="inlineStr">
        <is>
          <t>농산물</t>
        </is>
      </c>
      <c r="E129" s="239" t="inlineStr">
        <is>
          <t>네이버</t>
        </is>
      </c>
      <c r="F129" s="240" t="inlineStr">
        <is>
          <t>영흥농산영농조합법인</t>
        </is>
      </c>
      <c r="G129" s="239" t="inlineStr">
        <is>
          <t>412-81-24086</t>
        </is>
      </c>
      <c r="H129" s="240" t="inlineStr">
        <is>
          <t>[품질책임보상] 국내산 깐마늘 1kg 다진마늘 꼭지제거 햇 통마늘</t>
        </is>
      </c>
      <c r="I129" s="173" t="inlineStr">
        <is>
          <t>가공식품</t>
        </is>
      </c>
      <c r="J129" s="241" t="inlineStr">
        <is>
          <t>농산물(원물)</t>
        </is>
      </c>
      <c r="K129" s="182" t="n">
        <v>127791700</v>
      </c>
      <c r="L129" s="182" t="n">
        <v>7916</v>
      </c>
      <c r="M129" s="182" t="n">
        <v>4657460</v>
      </c>
      <c r="N129" s="240" t="inlineStr">
        <is>
          <t>1차 신선 농산물(신선 채소(깐마늘 원물))이나 유통사에 가공식품으로 오등록되어 원물 실적에서 누락됨</t>
        </is>
      </c>
    </row>
    <row r="130" ht="20" customHeight="1" s="21">
      <c r="A130" s="239" t="n">
        <v>52</v>
      </c>
      <c r="B130" s="239" t="inlineStr">
        <is>
          <t>8월 신규 인입</t>
        </is>
      </c>
      <c r="C130" s="239" t="inlineStr">
        <is>
          <t>농산물 원물 ➡️ 가공식품 오등록</t>
        </is>
      </c>
      <c r="D130" s="239" t="inlineStr">
        <is>
          <t>농산물</t>
        </is>
      </c>
      <c r="E130" s="239" t="inlineStr">
        <is>
          <t>네이버</t>
        </is>
      </c>
      <c r="F130" s="240" t="inlineStr">
        <is>
          <t>영흥농산영농조합법인</t>
        </is>
      </c>
      <c r="G130" s="239" t="inlineStr">
        <is>
          <t>412-81-24086</t>
        </is>
      </c>
      <c r="H130" s="240" t="inlineStr">
        <is>
          <t>[농할쿠폰20%] 국내산 양파 26년 햇양파 무안양파 3kg 5kg</t>
        </is>
      </c>
      <c r="I130" s="173" t="inlineStr">
        <is>
          <t>가공식품</t>
        </is>
      </c>
      <c r="J130" s="241" t="inlineStr">
        <is>
          <t>농산물(원물)</t>
        </is>
      </c>
      <c r="K130" s="182" t="n">
        <v>15351300</v>
      </c>
      <c r="L130" s="182" t="n">
        <v>1512</v>
      </c>
      <c r="M130" s="182" t="n">
        <v>374720</v>
      </c>
      <c r="N130" s="240" t="inlineStr">
        <is>
          <t>1차 신선 농산물(신선 채소(햇양파 원물))이나 유통사에 가공식품으로 오등록되어 원물 실적에서 누락됨</t>
        </is>
      </c>
    </row>
    <row r="131" ht="20" customHeight="1" s="21">
      <c r="A131" s="239" t="n">
        <v>53</v>
      </c>
      <c r="B131" s="239" t="inlineStr">
        <is>
          <t>8월 신규 인입</t>
        </is>
      </c>
      <c r="C131" s="239" t="inlineStr">
        <is>
          <t>농산물 원물 ➡️ 가공식품 오등록</t>
        </is>
      </c>
      <c r="D131" s="239" t="inlineStr">
        <is>
          <t>농산물</t>
        </is>
      </c>
      <c r="E131" s="239" t="inlineStr">
        <is>
          <t>네이버</t>
        </is>
      </c>
      <c r="F131" s="240" t="inlineStr">
        <is>
          <t>청실농원</t>
        </is>
      </c>
      <c r="G131" s="239" t="inlineStr">
        <is>
          <t>654-91-01691</t>
        </is>
      </c>
      <c r="H131" s="240" t="inlineStr">
        <is>
          <t>먹골배 원황배 배 고당도 제철 햇배 국산 신품종 과일 5kg</t>
        </is>
      </c>
      <c r="I131" s="173" t="inlineStr">
        <is>
          <t>가공식품</t>
        </is>
      </c>
      <c r="J131" s="241" t="inlineStr">
        <is>
          <t>농산물(원물)</t>
        </is>
      </c>
      <c r="K131" s="182" t="n">
        <v>1769000</v>
      </c>
      <c r="L131" s="182" t="n">
        <v>42</v>
      </c>
      <c r="M131" s="182" t="n">
        <v>285800</v>
      </c>
      <c r="N131" s="240" t="inlineStr">
        <is>
          <t>1차 신선 농산물(신선 과실(먹골배 생과 원물))이나 유통사에 가공식품으로 오등록되어 원물 실적에서 누락됨</t>
        </is>
      </c>
    </row>
    <row r="132" ht="20" customHeight="1" s="21">
      <c r="A132" s="239" t="n">
        <v>54</v>
      </c>
      <c r="B132" s="239" t="inlineStr">
        <is>
          <t>8월 신규 인입</t>
        </is>
      </c>
      <c r="C132" s="239" t="inlineStr">
        <is>
          <t>농산물 원물 ➡️ 가공식품 오등록</t>
        </is>
      </c>
      <c r="D132" s="239" t="inlineStr">
        <is>
          <t>농산물</t>
        </is>
      </c>
      <c r="E132" s="239" t="inlineStr">
        <is>
          <t>네이버</t>
        </is>
      </c>
      <c r="F132" s="240" t="inlineStr">
        <is>
          <t>청실농원</t>
        </is>
      </c>
      <c r="G132" s="239" t="inlineStr">
        <is>
          <t>654-91-01691</t>
        </is>
      </c>
      <c r="H132" s="240" t="inlineStr">
        <is>
          <t>5kg 먹골배 선물용</t>
        </is>
      </c>
      <c r="I132" s="173" t="inlineStr">
        <is>
          <t>가공식품</t>
        </is>
      </c>
      <c r="J132" s="241" t="inlineStr">
        <is>
          <t>농산물(원물)</t>
        </is>
      </c>
      <c r="K132" s="182" t="n">
        <v>0</v>
      </c>
      <c r="L132" s="182" t="n">
        <v>0</v>
      </c>
      <c r="M132" s="182" t="n">
        <v>0</v>
      </c>
      <c r="N132" s="240" t="inlineStr">
        <is>
          <t>1차 신선 농산물(신선 과실(먹골배 생과 원물))이나 유통사에 가공식품으로 오등록되어 원물 실적에서 누락됨</t>
        </is>
      </c>
    </row>
    <row r="133" ht="20" customHeight="1" s="21">
      <c r="A133" s="239" t="n">
        <v>55</v>
      </c>
      <c r="B133" s="239" t="inlineStr">
        <is>
          <t>8월 신규 인입</t>
        </is>
      </c>
      <c r="C133" s="239" t="inlineStr">
        <is>
          <t>농산물 원물 ➡️ 가공식품 오등록</t>
        </is>
      </c>
      <c r="D133" s="239" t="inlineStr">
        <is>
          <t>농산물</t>
        </is>
      </c>
      <c r="E133" s="239" t="inlineStr">
        <is>
          <t>네이버</t>
        </is>
      </c>
      <c r="F133" s="240" t="inlineStr">
        <is>
          <t>청실농원</t>
        </is>
      </c>
      <c r="G133" s="239" t="inlineStr">
        <is>
          <t>654-91-01691</t>
        </is>
      </c>
      <c r="H133" s="240" t="inlineStr">
        <is>
          <t>먹골배 선물용 배 고당도 제철 햇배 국산 신품종 과일 7.5kg</t>
        </is>
      </c>
      <c r="I133" s="173" t="inlineStr">
        <is>
          <t>가공식품</t>
        </is>
      </c>
      <c r="J133" s="241" t="inlineStr">
        <is>
          <t>농산물(원물)</t>
        </is>
      </c>
      <c r="K133" s="182" t="n">
        <v>0</v>
      </c>
      <c r="L133" s="182" t="n">
        <v>0</v>
      </c>
      <c r="M133" s="182" t="n">
        <v>0</v>
      </c>
      <c r="N133" s="240" t="inlineStr">
        <is>
          <t>1차 신선 농산물(신선 과실(먹골배 생과 원물))이나 유통사에 가공식품으로 오등록되어 원물 실적에서 누락됨</t>
        </is>
      </c>
    </row>
    <row r="134" ht="20" customHeight="1" s="21">
      <c r="A134" s="239" t="n">
        <v>56</v>
      </c>
      <c r="B134" s="239" t="inlineStr">
        <is>
          <t>8월 신규 인입</t>
        </is>
      </c>
      <c r="C134" s="239" t="inlineStr">
        <is>
          <t>농산물 원물 ➡️ 가공식품 오등록</t>
        </is>
      </c>
      <c r="D134" s="239" t="inlineStr">
        <is>
          <t>농산물</t>
        </is>
      </c>
      <c r="E134" s="239" t="inlineStr">
        <is>
          <t>네이버</t>
        </is>
      </c>
      <c r="F134" s="240" t="inlineStr">
        <is>
          <t>청실농원</t>
        </is>
      </c>
      <c r="G134" s="239" t="inlineStr">
        <is>
          <t>654-91-01691</t>
        </is>
      </c>
      <c r="H134" s="240" t="inlineStr">
        <is>
          <t>먹골배 원황배 배 고당도 제철 햇배 국산 신품종 과일 7.5kg</t>
        </is>
      </c>
      <c r="I134" s="173" t="inlineStr">
        <is>
          <t>가공식품</t>
        </is>
      </c>
      <c r="J134" s="241" t="inlineStr">
        <is>
          <t>농산물(원물)</t>
        </is>
      </c>
      <c r="K134" s="182" t="n">
        <v>147000</v>
      </c>
      <c r="L134" s="182" t="n">
        <v>3</v>
      </c>
      <c r="M134" s="182" t="n">
        <v>9800</v>
      </c>
      <c r="N134" s="240" t="inlineStr">
        <is>
          <t>1차 신선 농산물(신선 과실(먹골배 생과 원물))이나 유통사에 가공식품으로 오등록되어 원물 실적에서 누락됨</t>
        </is>
      </c>
    </row>
    <row r="135" ht="20" customHeight="1" s="21">
      <c r="A135" s="239" t="n">
        <v>57</v>
      </c>
      <c r="B135" s="239" t="inlineStr">
        <is>
          <t>8월 신규 인입</t>
        </is>
      </c>
      <c r="C135" s="239" t="inlineStr">
        <is>
          <t>농산물 원물 ➡️ 가공식품 오등록</t>
        </is>
      </c>
      <c r="D135" s="239" t="inlineStr">
        <is>
          <t>농산물</t>
        </is>
      </c>
      <c r="E135" s="239" t="inlineStr">
        <is>
          <t>네이버</t>
        </is>
      </c>
      <c r="F135" s="240" t="inlineStr">
        <is>
          <t>맑은농장</t>
        </is>
      </c>
      <c r="G135" s="239" t="inlineStr">
        <is>
          <t>577-94-01721</t>
        </is>
      </c>
      <c r="H135" s="240" t="inlineStr">
        <is>
          <t>품질대박 맑은농장 김천포도 4kg(특품) 미화희낭만홍안 미인포도</t>
        </is>
      </c>
      <c r="I135" s="173" t="inlineStr">
        <is>
          <t>가공식품</t>
        </is>
      </c>
      <c r="J135" s="241" t="inlineStr">
        <is>
          <t>농산물(원물)</t>
        </is>
      </c>
      <c r="K135" s="182" t="n">
        <v>0</v>
      </c>
      <c r="L135" s="182" t="n">
        <v>0</v>
      </c>
      <c r="M135" s="182" t="n">
        <v>0</v>
      </c>
      <c r="N135" s="240" t="inlineStr">
        <is>
          <t>1차 신선 농산물(신선 과실(김천포도 생과 원물))이나 유통사에 가공식품으로 오등록되어 원물 실적에서 누락됨</t>
        </is>
      </c>
    </row>
    <row r="136" ht="20" customHeight="1" s="21">
      <c r="A136" s="239" t="n">
        <v>58</v>
      </c>
      <c r="B136" s="239" t="inlineStr">
        <is>
          <t>8월 신규 인입</t>
        </is>
      </c>
      <c r="C136" s="239" t="inlineStr">
        <is>
          <t>농산물 원물 ➡️ 가공식품 오등록</t>
        </is>
      </c>
      <c r="D136" s="239" t="inlineStr">
        <is>
          <t>농산물</t>
        </is>
      </c>
      <c r="E136" s="239" t="inlineStr">
        <is>
          <t>네이버</t>
        </is>
      </c>
      <c r="F136" s="240" t="inlineStr">
        <is>
          <t>맑은농장</t>
        </is>
      </c>
      <c r="G136" s="239" t="inlineStr">
        <is>
          <t>577-94-01721</t>
        </is>
      </c>
      <c r="H136" s="240" t="inlineStr">
        <is>
          <t>품질보장 맑은농장 김천포도 2kg(특품) 미화희낭만홍안 미인포도</t>
        </is>
      </c>
      <c r="I136" s="173" t="inlineStr">
        <is>
          <t>가공식품</t>
        </is>
      </c>
      <c r="J136" s="241" t="inlineStr">
        <is>
          <t>농산물(원물)</t>
        </is>
      </c>
      <c r="K136" s="182" t="n">
        <v>43700</v>
      </c>
      <c r="L136" s="182" t="n">
        <v>1</v>
      </c>
      <c r="M136" s="182" t="n">
        <v>0</v>
      </c>
      <c r="N136" s="240" t="inlineStr">
        <is>
          <t>1차 신선 농산물(신선 과실(김천포도 생과 원물))이나 유통사에 가공식품으로 오등록되어 원물 실적에서 누락됨</t>
        </is>
      </c>
    </row>
    <row r="137" ht="20" customHeight="1" s="21">
      <c r="A137" s="239" t="n">
        <v>59</v>
      </c>
      <c r="B137" s="239" t="inlineStr">
        <is>
          <t>8월 신규 인입</t>
        </is>
      </c>
      <c r="C137" s="239" t="inlineStr">
        <is>
          <t>농산물 원물 ➡️ 가공식품 오등록</t>
        </is>
      </c>
      <c r="D137" s="239" t="inlineStr">
        <is>
          <t>농산물</t>
        </is>
      </c>
      <c r="E137" s="239" t="inlineStr">
        <is>
          <t>네이버</t>
        </is>
      </c>
      <c r="F137" s="240" t="inlineStr">
        <is>
          <t>맑은농장</t>
        </is>
      </c>
      <c r="G137" s="239" t="inlineStr">
        <is>
          <t>577-94-01721</t>
        </is>
      </c>
      <c r="H137" s="240" t="inlineStr">
        <is>
          <t>맑은농장 김천포도 4kg(못난이) 미화희낭만홍안 미인포도</t>
        </is>
      </c>
      <c r="I137" s="173" t="inlineStr">
        <is>
          <t>가공식품</t>
        </is>
      </c>
      <c r="J137" s="241" t="inlineStr">
        <is>
          <t>농산물(원물)</t>
        </is>
      </c>
      <c r="K137" s="182" t="n">
        <v>138000</v>
      </c>
      <c r="L137" s="182" t="n">
        <v>2</v>
      </c>
      <c r="M137" s="182" t="n">
        <v>19200</v>
      </c>
      <c r="N137" s="240" t="inlineStr">
        <is>
          <t>1차 신선 농산물(신선 과실(김천포도 생과 원물))이나 유통사에 가공식품으로 오등록되어 원물 실적에서 누락됨</t>
        </is>
      </c>
    </row>
    <row r="138" ht="20" customHeight="1" s="21">
      <c r="A138" s="239" t="n">
        <v>60</v>
      </c>
      <c r="B138" s="239" t="inlineStr">
        <is>
          <t>8월 신규 인입</t>
        </is>
      </c>
      <c r="C138" s="239" t="inlineStr">
        <is>
          <t>농산물 원물 ➡️ 가공식품 오등록</t>
        </is>
      </c>
      <c r="D138" s="239" t="inlineStr">
        <is>
          <t>농산물</t>
        </is>
      </c>
      <c r="E138" s="239" t="inlineStr">
        <is>
          <t>네이버</t>
        </is>
      </c>
      <c r="F138" s="240" t="inlineStr">
        <is>
          <t>맑은농장</t>
        </is>
      </c>
      <c r="G138" s="239" t="inlineStr">
        <is>
          <t>577-94-01721</t>
        </is>
      </c>
      <c r="H138" s="240" t="inlineStr">
        <is>
          <t>맑은농장 김천포도 4kg(상품) 미화희낭만홍안 미인포도 - 4수이하  8수이상</t>
        </is>
      </c>
      <c r="I138" s="173" t="inlineStr">
        <is>
          <t>가공식품</t>
        </is>
      </c>
      <c r="J138" s="241" t="inlineStr">
        <is>
          <t>농산물(원물)</t>
        </is>
      </c>
      <c r="K138" s="182" t="n">
        <v>0</v>
      </c>
      <c r="L138" s="182" t="n">
        <v>0</v>
      </c>
      <c r="M138" s="182" t="n">
        <v>0</v>
      </c>
      <c r="N138" s="240" t="inlineStr">
        <is>
          <t>1차 신선 농산물(신선 과실(김천포도 생과 원물))이나 유통사에 가공식품으로 오등록되어 원물 실적에서 누락됨</t>
        </is>
      </c>
    </row>
    <row r="139" ht="20" customHeight="1" s="21">
      <c r="A139" s="239" t="n">
        <v>61</v>
      </c>
      <c r="B139" s="239" t="inlineStr">
        <is>
          <t>8월 신규 인입</t>
        </is>
      </c>
      <c r="C139" s="239" t="inlineStr">
        <is>
          <t>농산물 원물 ➡️ 가공식품 오등록</t>
        </is>
      </c>
      <c r="D139" s="239" t="inlineStr">
        <is>
          <t>농산물</t>
        </is>
      </c>
      <c r="E139" s="239" t="inlineStr">
        <is>
          <t>네이버</t>
        </is>
      </c>
      <c r="F139" s="240" t="inlineStr">
        <is>
          <t>맑은농장</t>
        </is>
      </c>
      <c r="G139" s="239" t="inlineStr">
        <is>
          <t>577-94-01721</t>
        </is>
      </c>
      <c r="H139" s="240" t="inlineStr">
        <is>
          <t>맑은농장 김천포도 2kg(못난이) 미화희낭만홍안 미인포도</t>
        </is>
      </c>
      <c r="I139" s="173" t="inlineStr">
        <is>
          <t>가공식품</t>
        </is>
      </c>
      <c r="J139" s="241" t="inlineStr">
        <is>
          <t>농산물(원물)</t>
        </is>
      </c>
      <c r="K139" s="182" t="n">
        <v>86000</v>
      </c>
      <c r="L139" s="182" t="n">
        <v>3</v>
      </c>
      <c r="M139" s="182" t="n">
        <v>11600</v>
      </c>
      <c r="N139" s="240" t="inlineStr">
        <is>
          <t>1차 신선 농산물(신선 과실(김천포도 생과 원물))이나 유통사에 가공식품으로 오등록되어 원물 실적에서 누락됨</t>
        </is>
      </c>
    </row>
    <row r="140" ht="20" customHeight="1" s="21">
      <c r="A140" s="239" t="n">
        <v>62</v>
      </c>
      <c r="B140" s="239" t="inlineStr">
        <is>
          <t>8월 신규 인입</t>
        </is>
      </c>
      <c r="C140" s="239" t="inlineStr">
        <is>
          <t>농산물 원물 ➡️ 가공식품 오등록</t>
        </is>
      </c>
      <c r="D140" s="239" t="inlineStr">
        <is>
          <t>농산물</t>
        </is>
      </c>
      <c r="E140" s="239" t="inlineStr">
        <is>
          <t>네이버</t>
        </is>
      </c>
      <c r="F140" s="240" t="inlineStr">
        <is>
          <t>맑은농장</t>
        </is>
      </c>
      <c r="G140" s="239" t="inlineStr">
        <is>
          <t>577-94-01721</t>
        </is>
      </c>
      <c r="H140" s="240" t="inlineStr">
        <is>
          <t>맑은농장 김천포도 2kg(상품) 미화희낭만홍안 미인포도 - 2수또는5수이상</t>
        </is>
      </c>
      <c r="I140" s="173" t="inlineStr">
        <is>
          <t>가공식품</t>
        </is>
      </c>
      <c r="J140" s="241" t="inlineStr">
        <is>
          <t>농산물(원물)</t>
        </is>
      </c>
      <c r="K140" s="182" t="n">
        <v>79800</v>
      </c>
      <c r="L140" s="182" t="n">
        <v>2</v>
      </c>
      <c r="M140" s="182" t="n">
        <v>15960</v>
      </c>
      <c r="N140" s="240" t="inlineStr">
        <is>
          <t>1차 신선 농산물(신선 과실(김천포도 생과 원물))이나 유통사에 가공식품으로 오등록되어 원물 실적에서 누락됨</t>
        </is>
      </c>
    </row>
    <row r="141" ht="20" customHeight="1" s="21">
      <c r="A141" s="239" t="n">
        <v>63</v>
      </c>
      <c r="B141" s="239" t="inlineStr">
        <is>
          <t>8월 신규 인입</t>
        </is>
      </c>
      <c r="C141" s="239" t="inlineStr">
        <is>
          <t>농산물 원물 ➡️ 가공식품 오등록</t>
        </is>
      </c>
      <c r="D141" s="239" t="inlineStr">
        <is>
          <t>농산물</t>
        </is>
      </c>
      <c r="E141" s="239" t="inlineStr">
        <is>
          <t>네이버</t>
        </is>
      </c>
      <c r="F141" s="240" t="inlineStr">
        <is>
          <t>맑은농장</t>
        </is>
      </c>
      <c r="G141" s="239" t="inlineStr">
        <is>
          <t>577-94-01721</t>
        </is>
      </c>
      <c r="H141" s="240" t="inlineStr">
        <is>
          <t>맑은농장 김천포도 2kg(특품) 미화희낭만홍안 미인포도</t>
        </is>
      </c>
      <c r="I141" s="173" t="inlineStr">
        <is>
          <t>가공식품</t>
        </is>
      </c>
      <c r="J141" s="241" t="inlineStr">
        <is>
          <t>농산물(원물)</t>
        </is>
      </c>
      <c r="K141" s="182" t="n">
        <v>87400</v>
      </c>
      <c r="L141" s="182" t="n">
        <v>2</v>
      </c>
      <c r="M141" s="182" t="n">
        <v>17480</v>
      </c>
      <c r="N141" s="240" t="inlineStr">
        <is>
          <t>1차 신선 농산물(신선 과실(김천포도 생과 원물))이나 유통사에 가공식품으로 오등록되어 원물 실적에서 누락됨</t>
        </is>
      </c>
    </row>
    <row r="142" ht="20" customHeight="1" s="21">
      <c r="A142" s="239" t="n">
        <v>64</v>
      </c>
      <c r="B142" s="239" t="inlineStr">
        <is>
          <t>8월 신규 인입</t>
        </is>
      </c>
      <c r="C142" s="239" t="inlineStr">
        <is>
          <t>농산물 원물 ➡️ 가공식품 오등록</t>
        </is>
      </c>
      <c r="D142" s="239" t="inlineStr">
        <is>
          <t>유기농</t>
        </is>
      </c>
      <c r="E142" s="239" t="inlineStr">
        <is>
          <t>네이버</t>
        </is>
      </c>
      <c r="F142" s="240" t="inlineStr">
        <is>
          <t>아침농부</t>
        </is>
      </c>
      <c r="G142" s="239" t="inlineStr">
        <is>
          <t>706-01-03422</t>
        </is>
      </c>
      <c r="H142" s="240" t="inlineStr">
        <is>
          <t>유기농 미니파프리카1.5kg (토양재배)</t>
        </is>
      </c>
      <c r="I142" s="173" t="inlineStr">
        <is>
          <t>가공식품</t>
        </is>
      </c>
      <c r="J142" s="241" t="inlineStr">
        <is>
          <t>농산물(원물)</t>
        </is>
      </c>
      <c r="K142" s="182" t="n">
        <v>13123000</v>
      </c>
      <c r="L142" s="182" t="n">
        <v>520</v>
      </c>
      <c r="M142" s="182" t="n">
        <v>1043580</v>
      </c>
      <c r="N142" s="240" t="inlineStr">
        <is>
          <t>1차 신선 농산물(신선 채소(파프리카 원물))이나 유통사에 가공식품으로 오등록되어 원물 실적에서 누락됨</t>
        </is>
      </c>
    </row>
    <row r="143" ht="20" customHeight="1" s="21">
      <c r="A143" s="239" t="n">
        <v>65</v>
      </c>
      <c r="B143" s="239" t="inlineStr">
        <is>
          <t>8월 신규 인입</t>
        </is>
      </c>
      <c r="C143" s="239" t="inlineStr">
        <is>
          <t>농산물 원물 ➡️ 가공식품 오등록</t>
        </is>
      </c>
      <c r="D143" s="239" t="inlineStr">
        <is>
          <t>유기농</t>
        </is>
      </c>
      <c r="E143" s="239" t="inlineStr">
        <is>
          <t>네이버</t>
        </is>
      </c>
      <c r="F143" s="240" t="inlineStr">
        <is>
          <t>따순농장</t>
        </is>
      </c>
      <c r="G143" s="239" t="inlineStr">
        <is>
          <t>231-97-01414</t>
        </is>
      </c>
      <c r="H143" s="240" t="inlineStr">
        <is>
          <t>유기농 미니파프리카 1kg</t>
        </is>
      </c>
      <c r="I143" s="173" t="inlineStr">
        <is>
          <t>가공식품</t>
        </is>
      </c>
      <c r="J143" s="241" t="inlineStr">
        <is>
          <t>농산물(원물)</t>
        </is>
      </c>
      <c r="K143" s="182" t="n">
        <v>4424250</v>
      </c>
      <c r="L143" s="182" t="n">
        <v>206</v>
      </c>
      <c r="M143" s="182" t="n">
        <v>703630</v>
      </c>
      <c r="N143" s="240" t="inlineStr">
        <is>
          <t>1차 신선 농산물(신선 채소(파프리카 원물))이나 유통사에 가공식품으로 오등록되어 원물 실적에서 누락됨</t>
        </is>
      </c>
    </row>
    <row r="144" ht="20" customHeight="1" s="21">
      <c r="A144" s="239" t="n">
        <v>66</v>
      </c>
      <c r="B144" s="239" t="inlineStr">
        <is>
          <t>8월 신규 인입</t>
        </is>
      </c>
      <c r="C144" s="239" t="inlineStr">
        <is>
          <t>농산물 원물 ➡️ 가공식품 오등록</t>
        </is>
      </c>
      <c r="D144" s="239" t="inlineStr">
        <is>
          <t>유기농</t>
        </is>
      </c>
      <c r="E144" s="239" t="inlineStr">
        <is>
          <t>네이버</t>
        </is>
      </c>
      <c r="F144" s="240" t="inlineStr">
        <is>
          <t>버섯놀이터사천숲속표고</t>
        </is>
      </c>
      <c r="G144" s="239" t="inlineStr">
        <is>
          <t>122-93-29177</t>
        </is>
      </c>
      <c r="H144" s="240" t="inlineStr">
        <is>
          <t>무 농약 생 표고버섯을 햇볕에 잘 말려 자연 건조한 국내산 사천 건 표고버섯 100g</t>
        </is>
      </c>
      <c r="I144" s="173" t="inlineStr">
        <is>
          <t>가공식품</t>
        </is>
      </c>
      <c r="J144" s="241" t="inlineStr">
        <is>
          <t>농산물(원물)</t>
        </is>
      </c>
      <c r="K144" s="182" t="n">
        <v>198000</v>
      </c>
      <c r="L144" s="182" t="n">
        <v>7</v>
      </c>
      <c r="M144" s="182" t="n">
        <v>0</v>
      </c>
      <c r="N144" s="240" t="inlineStr">
        <is>
          <t>1차 신선 농산물(신선/건조 임산물(표고버섯 원물))이나 유통사에 가공식품으로 오등록되어 원물 실적에서 누락됨</t>
        </is>
      </c>
    </row>
    <row r="145" ht="22" customHeight="1" s="21">
      <c r="A145" s="242" t="inlineStr">
        <is>
          <t>합 계</t>
        </is>
      </c>
      <c r="B145" s="243" t="inlineStr">
        <is>
          <t>8월 이상치 66건 총계</t>
        </is>
      </c>
      <c r="C145" s="244" t="inlineStr"/>
      <c r="D145" s="244" t="inlineStr"/>
      <c r="E145" s="244" t="inlineStr"/>
      <c r="F145" s="244" t="inlineStr"/>
      <c r="G145" s="244" t="inlineStr"/>
      <c r="H145" s="244" t="inlineStr"/>
      <c r="I145" s="244" t="inlineStr"/>
      <c r="J145" s="244" t="inlineStr"/>
      <c r="K145" s="245" t="n">
        <v>374952340</v>
      </c>
      <c r="L145" s="245" t="n">
        <v>20213</v>
      </c>
      <c r="M145" s="245" t="n">
        <v>19617240</v>
      </c>
      <c r="N145" s="246" t="inlineStr">
        <is>
          <t>유통사 카테고리 매핑 수정 권고</t>
        </is>
      </c>
    </row>
    <row r="146" ht="20" customHeight="1" s="21"/>
    <row r="147" ht="20" customHeight="1" s="21"/>
    <row r="148" ht="20" customHeight="1" s="21">
      <c r="A148" s="157" t="inlineStr">
        <is>
          <t>6. 7월 실적 데이터 내 품목분류 오기재 이상치 전수 목록 (총 45건)</t>
        </is>
      </c>
    </row>
    <row r="149" ht="20" customHeight="1" s="21">
      <c r="A149" s="237" t="inlineStr">
        <is>
          <t>※ 7월 참여 데이터(1,305행) 내에서 단순 문자열 오판단(친환경·청·유과 등)을 100% 제거하고 확정된 45건 전수 목록임.</t>
        </is>
      </c>
    </row>
    <row r="150" ht="20" customHeight="1" s="21"/>
    <row r="151" ht="25" customHeight="1" s="21">
      <c r="A151" s="247" t="inlineStr">
        <is>
          <t>No</t>
        </is>
      </c>
      <c r="B151" s="247" t="inlineStr">
        <is>
          <t>이상치 유형</t>
        </is>
      </c>
      <c r="C151" s="247" t="inlineStr">
        <is>
          <t>구분</t>
        </is>
      </c>
      <c r="D151" s="247" t="inlineStr">
        <is>
          <t>기획전</t>
        </is>
      </c>
      <c r="E151" s="247" t="inlineStr">
        <is>
          <t>유통사</t>
        </is>
      </c>
      <c r="F151" s="247" t="inlineStr">
        <is>
          <t>판매자명(업체명)</t>
        </is>
      </c>
      <c r="G151" s="247" t="inlineStr">
        <is>
          <t>사업자번호</t>
        </is>
      </c>
      <c r="H151" s="247" t="inlineStr">
        <is>
          <t>상품명</t>
        </is>
      </c>
      <c r="I151" s="247" t="inlineStr">
        <is>
          <t>7월 현재분류</t>
        </is>
      </c>
      <c r="J151" s="247" t="inlineStr">
        <is>
          <t>권고 정정분류</t>
        </is>
      </c>
      <c r="K151" s="247" t="inlineStr">
        <is>
          <t>7월 매출액(원)</t>
        </is>
      </c>
      <c r="L151" s="247" t="inlineStr">
        <is>
          <t>7월 주문수(건)</t>
        </is>
      </c>
      <c r="M151" s="247" t="inlineStr">
        <is>
          <t>7월 쿠폰지원액(원)</t>
        </is>
      </c>
      <c r="N151" s="247" t="inlineStr">
        <is>
          <t>이상치 판정 사유 및 조치 제언</t>
        </is>
      </c>
    </row>
    <row r="152" ht="20" customHeight="1" s="21">
      <c r="A152" s="239" t="n">
        <v>1</v>
      </c>
      <c r="B152" s="239" t="inlineStr">
        <is>
          <t>조미가공육 ➡️ 축산물 오등록</t>
        </is>
      </c>
      <c r="C152" s="239" t="inlineStr">
        <is>
          <t>기존 참여 지속</t>
        </is>
      </c>
      <c r="D152" s="239" t="inlineStr">
        <is>
          <t>농산물</t>
        </is>
      </c>
      <c r="E152" s="239" t="inlineStr">
        <is>
          <t>네이버</t>
        </is>
      </c>
      <c r="F152" s="240" t="inlineStr">
        <is>
          <t>두루푸드</t>
        </is>
      </c>
      <c r="G152" s="239" t="inlineStr">
        <is>
          <t>221-13-36518</t>
        </is>
      </c>
      <c r="H152" s="240" t="inlineStr">
        <is>
          <t>국민닭갈비 두루푸드 춘천닭갈비 택배 홈파티 캠핑요리 [원산지:닭고기 넓적다리(국산), 고추가루(국산), 기타(상세설명참조)]</t>
        </is>
      </c>
      <c r="I152" s="173" t="inlineStr">
        <is>
          <t>축산물</t>
        </is>
      </c>
      <c r="J152" s="241" t="inlineStr">
        <is>
          <t>가공식품(식육가공품)</t>
        </is>
      </c>
      <c r="K152" s="182" t="n">
        <v>53342360</v>
      </c>
      <c r="L152" s="182" t="n">
        <v>2416</v>
      </c>
      <c r="M152" s="182" t="n">
        <v>3359880</v>
      </c>
      <c r="N152" s="240" t="inlineStr">
        <is>
          <t>식육가공품(조미가공육(춘천닭갈비))이나 1차 생육 축산물로 오등록됨</t>
        </is>
      </c>
    </row>
    <row r="153" ht="20" customHeight="1" s="21">
      <c r="A153" s="239" t="n">
        <v>2</v>
      </c>
      <c r="B153" s="239" t="inlineStr">
        <is>
          <t>조미가공육 ➡️ 축산물 오등록</t>
        </is>
      </c>
      <c r="C153" s="239" t="inlineStr">
        <is>
          <t>기존 참여 지속</t>
        </is>
      </c>
      <c r="D153" s="239" t="inlineStr">
        <is>
          <t>농산물</t>
        </is>
      </c>
      <c r="E153" s="239" t="inlineStr">
        <is>
          <t>네이버</t>
        </is>
      </c>
      <c r="F153" s="240" t="inlineStr">
        <is>
          <t>농업회사법인(주)새나라</t>
        </is>
      </c>
      <c r="G153" s="239" t="inlineStr">
        <is>
          <t>792-88-00316</t>
        </is>
      </c>
      <c r="H153" s="240" t="inlineStr">
        <is>
          <t>[모두닭갈비] 춘천 1+1팩 국산 닭다리살 캠핑 500gx2팩 (3~4인분) [원산지:국산]</t>
        </is>
      </c>
      <c r="I153" s="173" t="inlineStr">
        <is>
          <t>축산물</t>
        </is>
      </c>
      <c r="J153" s="241" t="inlineStr">
        <is>
          <t>가공식품(식육가공품)</t>
        </is>
      </c>
      <c r="K153" s="182" t="n">
        <v>2269370</v>
      </c>
      <c r="L153" s="182" t="n">
        <v>104</v>
      </c>
      <c r="M153" s="182" t="n">
        <v>394640</v>
      </c>
      <c r="N153" s="240" t="inlineStr">
        <is>
          <t>식육가공품(조미가공육(춘천닭갈비))이나 1차 생육 축산물로 오등록됨</t>
        </is>
      </c>
    </row>
    <row r="154" ht="20" customHeight="1" s="21">
      <c r="A154" s="239" t="n">
        <v>3</v>
      </c>
      <c r="B154" s="239" t="inlineStr">
        <is>
          <t>조미가공육 ➡️ 축산물 오등록</t>
        </is>
      </c>
      <c r="C154" s="239" t="inlineStr">
        <is>
          <t>기존 참여 지속</t>
        </is>
      </c>
      <c r="D154" s="239" t="inlineStr">
        <is>
          <t>농산물</t>
        </is>
      </c>
      <c r="E154" s="239" t="inlineStr">
        <is>
          <t>네이버</t>
        </is>
      </c>
      <c r="F154" s="240" t="inlineStr">
        <is>
          <t>두루푸드</t>
        </is>
      </c>
      <c r="G154" s="239" t="inlineStr">
        <is>
          <t>221-13-36518</t>
        </is>
      </c>
      <c r="H154" s="240" t="inlineStr">
        <is>
          <t>두루푸드 국민닭갈비 춘천닭갈비 택배 홈파티 캠핑요리 전통맛 [원산지:닭고기 넓적다리(국산), 고추가루(국산), 기타(상세설명참조)]</t>
        </is>
      </c>
      <c r="I154" s="173" t="inlineStr">
        <is>
          <t>축산물</t>
        </is>
      </c>
      <c r="J154" s="241" t="inlineStr">
        <is>
          <t>가공식품(식육가공품)</t>
        </is>
      </c>
      <c r="K154" s="182" t="n">
        <v>1874050</v>
      </c>
      <c r="L154" s="182" t="n">
        <v>96</v>
      </c>
      <c r="M154" s="182" t="n">
        <v>96660</v>
      </c>
      <c r="N154" s="240" t="inlineStr">
        <is>
          <t>식육가공품(조미가공육(춘천닭갈비))이나 1차 생육 축산물로 오등록됨</t>
        </is>
      </c>
    </row>
    <row r="155" ht="20" customHeight="1" s="21">
      <c r="A155" s="239" t="n">
        <v>4</v>
      </c>
      <c r="B155" s="239" t="inlineStr">
        <is>
          <t>조미가공육 ➡️ 축산물 오등록</t>
        </is>
      </c>
      <c r="C155" s="239" t="inlineStr">
        <is>
          <t>기존 참여 지속</t>
        </is>
      </c>
      <c r="D155" s="239" t="inlineStr">
        <is>
          <t>농산물</t>
        </is>
      </c>
      <c r="E155" s="239" t="inlineStr">
        <is>
          <t>네이버</t>
        </is>
      </c>
      <c r="F155" s="240" t="inlineStr">
        <is>
          <t>현풍떡갈비</t>
        </is>
      </c>
      <c r="G155" s="239" t="inlineStr">
        <is>
          <t>671-67-00557</t>
        </is>
      </c>
      <c r="H155" s="240" t="inlineStr">
        <is>
          <t>아기떡갈비 한우 한돈 수제 패티 현풍 세가지맛 3팩, 90g, 15개 [원산지:상세설명에 표시]</t>
        </is>
      </c>
      <c r="I155" s="173" t="inlineStr">
        <is>
          <t>축산물</t>
        </is>
      </c>
      <c r="J155" s="241" t="inlineStr">
        <is>
          <t>가공식품(식육가공품)</t>
        </is>
      </c>
      <c r="K155" s="182" t="n">
        <v>1556900</v>
      </c>
      <c r="L155" s="182" t="n">
        <v>46</v>
      </c>
      <c r="M155" s="182" t="n">
        <v>81520</v>
      </c>
      <c r="N155" s="240" t="inlineStr">
        <is>
          <t>식육가공품(가공육(떡갈비·수제패티))이나 1차 생육 축산물로 오등록됨</t>
        </is>
      </c>
    </row>
    <row r="156" ht="20" customHeight="1" s="21">
      <c r="A156" s="239" t="n">
        <v>5</v>
      </c>
      <c r="B156" s="239" t="inlineStr">
        <is>
          <t>가공완제품 ➡️ 농산물 원물 오등록</t>
        </is>
      </c>
      <c r="C156" s="239" t="inlineStr">
        <is>
          <t>기존 참여 지속</t>
        </is>
      </c>
      <c r="D156" s="239" t="inlineStr">
        <is>
          <t>농산물</t>
        </is>
      </c>
      <c r="E156" s="239" t="inlineStr">
        <is>
          <t>네이버</t>
        </is>
      </c>
      <c r="F156" s="240" t="inlineStr">
        <is>
          <t>신기농원</t>
        </is>
      </c>
      <c r="G156" s="239" t="inlineStr">
        <is>
          <t>540-25-00229</t>
        </is>
      </c>
      <c r="H156" s="240" t="inlineStr">
        <is>
          <t>애플링 동결건조 사과 배칩20g 딸기칩15g 3팩 국산100% 무첨가 간식 [원산지:국산(경상북도 문경시)]</t>
        </is>
      </c>
      <c r="I156" s="173" t="inlineStr">
        <is>
          <t>농산물</t>
        </is>
      </c>
      <c r="J156" s="241" t="inlineStr">
        <is>
          <t>가공식품(제조가공품)</t>
        </is>
      </c>
      <c r="K156" s="182" t="n">
        <v>1143000</v>
      </c>
      <c r="L156" s="182" t="n">
        <v>62</v>
      </c>
      <c r="M156" s="182" t="n">
        <v>40800</v>
      </c>
      <c r="N156" s="240" t="inlineStr">
        <is>
          <t>제조가공식품(과자류(동결건조 과일스낵))이나 1차 신선 농산물 원물로 오등록됨</t>
        </is>
      </c>
    </row>
    <row r="157" ht="20" customHeight="1" s="21">
      <c r="A157" s="239" t="n">
        <v>6</v>
      </c>
      <c r="B157" s="239" t="inlineStr">
        <is>
          <t>조미가공육 ➡️ 축산물 오등록</t>
        </is>
      </c>
      <c r="C157" s="239" t="inlineStr">
        <is>
          <t>기존 참여 지속</t>
        </is>
      </c>
      <c r="D157" s="239" t="inlineStr">
        <is>
          <t>농산물</t>
        </is>
      </c>
      <c r="E157" s="239" t="inlineStr">
        <is>
          <t>네이버</t>
        </is>
      </c>
      <c r="F157" s="240" t="inlineStr">
        <is>
          <t>두루푸드</t>
        </is>
      </c>
      <c r="G157" s="239" t="inlineStr">
        <is>
          <t>221-13-36518</t>
        </is>
      </c>
      <c r="H157" s="240" t="inlineStr">
        <is>
          <t>두루푸드 국민닭갈비 춘천닭갈비 택배 홈파티 캠핑요리 간장닭갈비 [원산지:닭고기 넓적다리(국산), 기타(상세설명참조)]</t>
        </is>
      </c>
      <c r="I157" s="173" t="inlineStr">
        <is>
          <t>축산물</t>
        </is>
      </c>
      <c r="J157" s="241" t="inlineStr">
        <is>
          <t>가공식품(식육가공품)</t>
        </is>
      </c>
      <c r="K157" s="182" t="n">
        <v>927300</v>
      </c>
      <c r="L157" s="182" t="n">
        <v>65</v>
      </c>
      <c r="M157" s="182" t="n">
        <v>16720</v>
      </c>
      <c r="N157" s="240" t="inlineStr">
        <is>
          <t>식육가공품(조미가공육(춘천닭갈비))이나 1차 생육 축산물로 오등록됨</t>
        </is>
      </c>
    </row>
    <row r="158" ht="20" customHeight="1" s="21">
      <c r="A158" s="239" t="n">
        <v>7</v>
      </c>
      <c r="B158" s="239" t="inlineStr">
        <is>
          <t>가공완제품 ➡️ 농산물 원물 오등록</t>
        </is>
      </c>
      <c r="C158" s="239" t="inlineStr">
        <is>
          <t>기존 참여 지속</t>
        </is>
      </c>
      <c r="D158" s="239" t="inlineStr">
        <is>
          <t>농산물</t>
        </is>
      </c>
      <c r="E158" s="239" t="inlineStr">
        <is>
          <t>네이버</t>
        </is>
      </c>
      <c r="F158" s="240" t="inlineStr">
        <is>
          <t>신기농원</t>
        </is>
      </c>
      <c r="G158" s="239" t="inlineStr">
        <is>
          <t>540-25-00229</t>
        </is>
      </c>
      <c r="H158" s="240" t="inlineStr">
        <is>
          <t>애플링 딸기칩 10봉 국산100% 동결건조 / 아기부터 온가족 건강간식 [원산지:국산(경상북도 문경시)]</t>
        </is>
      </c>
      <c r="I158" s="173" t="inlineStr">
        <is>
          <t>농산물</t>
        </is>
      </c>
      <c r="J158" s="241" t="inlineStr">
        <is>
          <t>가공식품(제조가공품)</t>
        </is>
      </c>
      <c r="K158" s="182" t="n">
        <v>900500</v>
      </c>
      <c r="L158" s="182" t="n">
        <v>22</v>
      </c>
      <c r="M158" s="182" t="n">
        <v>44800</v>
      </c>
      <c r="N158" s="240" t="inlineStr">
        <is>
          <t>제조가공식품(과자류(동결건조 과일스낵))이나 1차 신선 농산물 원물로 오등록됨</t>
        </is>
      </c>
    </row>
    <row r="159" ht="20" customHeight="1" s="21">
      <c r="A159" s="239" t="n">
        <v>8</v>
      </c>
      <c r="B159" s="239" t="inlineStr">
        <is>
          <t>가공완제품 ➡️ 농산물 원물 오등록</t>
        </is>
      </c>
      <c r="C159" s="239" t="inlineStr">
        <is>
          <t>기존 참여 지속</t>
        </is>
      </c>
      <c r="D159" s="239" t="inlineStr">
        <is>
          <t>농산물</t>
        </is>
      </c>
      <c r="E159" s="239" t="inlineStr">
        <is>
          <t>네이버</t>
        </is>
      </c>
      <c r="F159" s="240" t="inlineStr">
        <is>
          <t>신기농원</t>
        </is>
      </c>
      <c r="G159" s="239" t="inlineStr">
        <is>
          <t>540-25-00229</t>
        </is>
      </c>
      <c r="H159" s="240" t="inlineStr">
        <is>
          <t>애플링 국산 동결건조 사과칩·배칩 무첨가 건강간식 어린이 유아 [원산지:국산(경상북도 문경시)]</t>
        </is>
      </c>
      <c r="I159" s="173" t="inlineStr">
        <is>
          <t>농산물</t>
        </is>
      </c>
      <c r="J159" s="241" t="inlineStr">
        <is>
          <t>가공식품(제조가공품)</t>
        </is>
      </c>
      <c r="K159" s="182" t="n">
        <v>770500</v>
      </c>
      <c r="L159" s="182" t="n">
        <v>12</v>
      </c>
      <c r="M159" s="182" t="n">
        <v>7400</v>
      </c>
      <c r="N159" s="240" t="inlineStr">
        <is>
          <t>제조가공식품(과자류(동결건조 과일스낵))이나 1차 신선 농산물 원물로 오등록됨</t>
        </is>
      </c>
    </row>
    <row r="160" ht="20" customHeight="1" s="21">
      <c r="A160" s="239" t="n">
        <v>9</v>
      </c>
      <c r="B160" s="239" t="inlineStr">
        <is>
          <t>가공완제품 ➡️ 농산물 원물 오등록</t>
        </is>
      </c>
      <c r="C160" s="239" t="inlineStr">
        <is>
          <t>기존 참여 지속</t>
        </is>
      </c>
      <c r="D160" s="239" t="inlineStr">
        <is>
          <t>농산물</t>
        </is>
      </c>
      <c r="E160" s="239" t="inlineStr">
        <is>
          <t>네이버</t>
        </is>
      </c>
      <c r="F160" s="240" t="inlineStr">
        <is>
          <t>신기농원</t>
        </is>
      </c>
      <c r="G160" s="239" t="inlineStr">
        <is>
          <t>540-25-00229</t>
        </is>
      </c>
      <c r="H160" s="240" t="inlineStr">
        <is>
          <t>애플링 국산 동결건조 사과칩·배칩 자유구성 / 유아 휴대용 건강간식 [원산지:국산(경상북도)]</t>
        </is>
      </c>
      <c r="I160" s="173" t="inlineStr">
        <is>
          <t>농산물</t>
        </is>
      </c>
      <c r="J160" s="241" t="inlineStr">
        <is>
          <t>가공식품(제조가공품)</t>
        </is>
      </c>
      <c r="K160" s="182" t="n">
        <v>547910</v>
      </c>
      <c r="L160" s="182" t="n">
        <v>15</v>
      </c>
      <c r="M160" s="182" t="n">
        <v>14800</v>
      </c>
      <c r="N160" s="240" t="inlineStr">
        <is>
          <t>제조가공식품(과자류(동결건조 과일스낵))이나 1차 신선 농산물 원물로 오등록됨</t>
        </is>
      </c>
    </row>
    <row r="161" ht="20" customHeight="1" s="21">
      <c r="A161" s="239" t="n">
        <v>10</v>
      </c>
      <c r="B161" s="239" t="inlineStr">
        <is>
          <t>조미가공육 ➡️ 축산물 오등록</t>
        </is>
      </c>
      <c r="C161" s="239" t="inlineStr">
        <is>
          <t>기존 참여 지속</t>
        </is>
      </c>
      <c r="D161" s="239" t="inlineStr">
        <is>
          <t>농산물</t>
        </is>
      </c>
      <c r="E161" s="239" t="inlineStr">
        <is>
          <t>네이버</t>
        </is>
      </c>
      <c r="F161" s="240" t="inlineStr">
        <is>
          <t>두루푸드</t>
        </is>
      </c>
      <c r="G161" s="239" t="inlineStr">
        <is>
          <t>221-13-36518</t>
        </is>
      </c>
      <c r="H161" s="240" t="inlineStr">
        <is>
          <t>두루푸드 국민닭갈비 춘천닭갈비 택배 홈파티 캠핑요리 숯불닭갈비 [원산지:닭넓적다리(국산), 고추가루(국산), 기타(상세설명참조)]</t>
        </is>
      </c>
      <c r="I161" s="173" t="inlineStr">
        <is>
          <t>축산물</t>
        </is>
      </c>
      <c r="J161" s="241" t="inlineStr">
        <is>
          <t>가공식품(식육가공품)</t>
        </is>
      </c>
      <c r="K161" s="182" t="n">
        <v>511650</v>
      </c>
      <c r="L161" s="182" t="n">
        <v>17</v>
      </c>
      <c r="M161" s="182" t="n">
        <v>8760</v>
      </c>
      <c r="N161" s="240" t="inlineStr">
        <is>
          <t>식육가공품(조미가공육(춘천닭갈비))이나 1차 생육 축산물로 오등록됨</t>
        </is>
      </c>
    </row>
    <row r="162" ht="20" customHeight="1" s="21">
      <c r="A162" s="239" t="n">
        <v>11</v>
      </c>
      <c r="B162" s="239" t="inlineStr">
        <is>
          <t>조미가공육 ➡️ 축산물 오등록</t>
        </is>
      </c>
      <c r="C162" s="239" t="inlineStr">
        <is>
          <t>기존 참여 지속</t>
        </is>
      </c>
      <c r="D162" s="239" t="inlineStr">
        <is>
          <t>농산물</t>
        </is>
      </c>
      <c r="E162" s="239" t="inlineStr">
        <is>
          <t>네이버</t>
        </is>
      </c>
      <c r="F162" s="240" t="inlineStr">
        <is>
          <t>두루푸드</t>
        </is>
      </c>
      <c r="G162" s="239" t="inlineStr">
        <is>
          <t>221-13-36518</t>
        </is>
      </c>
      <c r="H162" s="240" t="inlineStr">
        <is>
          <t>두루푸드 국민닭갈비 춘천닭갈비 택배 홈파티 캠핑요리 허브소금닭갈비 [원산지:닭고기 넓적다리(국산), 기타(상세설명참조)]</t>
        </is>
      </c>
      <c r="I162" s="173" t="inlineStr">
        <is>
          <t>축산물</t>
        </is>
      </c>
      <c r="J162" s="241" t="inlineStr">
        <is>
          <t>가공식품(식육가공품)</t>
        </is>
      </c>
      <c r="K162" s="182" t="n">
        <v>500100</v>
      </c>
      <c r="L162" s="182" t="n">
        <v>24</v>
      </c>
      <c r="M162" s="182" t="n">
        <v>4180</v>
      </c>
      <c r="N162" s="240" t="inlineStr">
        <is>
          <t>식육가공품(조미가공육(춘천닭갈비))이나 1차 생육 축산물로 오등록됨</t>
        </is>
      </c>
    </row>
    <row r="163" ht="20" customHeight="1" s="21">
      <c r="A163" s="239" t="n">
        <v>12</v>
      </c>
      <c r="B163" s="239" t="inlineStr">
        <is>
          <t>조미가공육 ➡️ 축산물 오등록</t>
        </is>
      </c>
      <c r="C163" s="239" t="inlineStr">
        <is>
          <t>기존 참여 지속</t>
        </is>
      </c>
      <c r="D163" s="239" t="inlineStr">
        <is>
          <t>농산물</t>
        </is>
      </c>
      <c r="E163" s="239" t="inlineStr">
        <is>
          <t>네이버</t>
        </is>
      </c>
      <c r="F163" s="240" t="inlineStr">
        <is>
          <t>농업회사법인(주)새나라</t>
        </is>
      </c>
      <c r="G163" s="239" t="inlineStr">
        <is>
          <t>792-88-00316</t>
        </is>
      </c>
      <c r="H163" s="240" t="inlineStr">
        <is>
          <t>국내산 냉동 닭내장 1kg 곱창,알탕, 닭부산물 [원산지:국산(전라북도 익산시)]</t>
        </is>
      </c>
      <c r="I163" s="173" t="inlineStr">
        <is>
          <t>축산물</t>
        </is>
      </c>
      <c r="J163" s="241" t="inlineStr">
        <is>
          <t>가공식품(식육가공품)</t>
        </is>
      </c>
      <c r="K163" s="182" t="n">
        <v>365590</v>
      </c>
      <c r="L163" s="182" t="n">
        <v>6</v>
      </c>
      <c r="M163" s="182" t="n">
        <v>12590</v>
      </c>
      <c r="N163" s="240" t="inlineStr">
        <is>
          <t>식육가공품(양념/가공육(곱창/대창))이나 1차 생육 축산물로 오등록됨</t>
        </is>
      </c>
    </row>
    <row r="164" ht="20" customHeight="1" s="21">
      <c r="A164" s="239" t="n">
        <v>13</v>
      </c>
      <c r="B164" s="239" t="inlineStr">
        <is>
          <t>농산물 원물 ➡️ 가공식품 오등록</t>
        </is>
      </c>
      <c r="C164" s="239" t="inlineStr">
        <is>
          <t>기존 참여 지속</t>
        </is>
      </c>
      <c r="D164" s="239" t="inlineStr">
        <is>
          <t>농산물</t>
        </is>
      </c>
      <c r="E164" s="239" t="inlineStr">
        <is>
          <t>네이버</t>
        </is>
      </c>
      <c r="F164" s="240" t="inlineStr">
        <is>
          <t>알찬연근팜</t>
        </is>
      </c>
      <c r="G164" s="239" t="inlineStr">
        <is>
          <t>604-02-68674</t>
        </is>
      </c>
      <c r="H164" s="240" t="inlineStr">
        <is>
          <t>달달 향긋한 경산 신품종 망고복숭아 옐로복숭아 900g 1.8kg [원산지:국산(경상북도 경산시)]</t>
        </is>
      </c>
      <c r="I164" s="173" t="inlineStr">
        <is>
          <t>가공식품</t>
        </is>
      </c>
      <c r="J164" s="241" t="inlineStr">
        <is>
          <t>농산물(원물)</t>
        </is>
      </c>
      <c r="K164" s="182" t="n">
        <v>179500</v>
      </c>
      <c r="L164" s="182" t="n">
        <v>5</v>
      </c>
      <c r="M164" s="182" t="n">
        <v>0</v>
      </c>
      <c r="N164" s="240" t="inlineStr">
        <is>
          <t>1차 신선 농산물(신선 과실(신품종 복숭아 생과 원물))이나 유통사에 가공식품으로 오등록되어 원물 실적에서 누락됨</t>
        </is>
      </c>
    </row>
    <row r="165" ht="20" customHeight="1" s="21">
      <c r="A165" s="239" t="n">
        <v>14</v>
      </c>
      <c r="B165" s="239" t="inlineStr">
        <is>
          <t>조미가공육 ➡️ 축산물 오등록</t>
        </is>
      </c>
      <c r="C165" s="239" t="inlineStr">
        <is>
          <t>기존 참여 지속</t>
        </is>
      </c>
      <c r="D165" s="239" t="inlineStr">
        <is>
          <t>농산물</t>
        </is>
      </c>
      <c r="E165" s="239" t="inlineStr">
        <is>
          <t>네이버</t>
        </is>
      </c>
      <c r="F165" s="240" t="inlineStr">
        <is>
          <t>농업회사법인(주)새나라</t>
        </is>
      </c>
      <c r="G165" s="239" t="inlineStr">
        <is>
          <t>792-88-00316</t>
        </is>
      </c>
      <c r="H165" s="240" t="inlineStr">
        <is>
          <t>사조 오리 주물럭 양념 오리불고기 1kg 넉넉한 양 [원산지:국산(전라남도 나주시)]</t>
        </is>
      </c>
      <c r="I165" s="173" t="inlineStr">
        <is>
          <t>축산물</t>
        </is>
      </c>
      <c r="J165" s="241" t="inlineStr">
        <is>
          <t>가공식품(식육가공품)</t>
        </is>
      </c>
      <c r="K165" s="182" t="n">
        <v>149400</v>
      </c>
      <c r="L165" s="182" t="n">
        <v>6</v>
      </c>
      <c r="M165" s="182" t="n">
        <v>4740</v>
      </c>
      <c r="N165" s="240" t="inlineStr">
        <is>
          <t>식육가공품(양념조미육(주물럭))이나 1차 생육 축산물로 오등록됨</t>
        </is>
      </c>
    </row>
    <row r="166" ht="20" customHeight="1" s="21">
      <c r="A166" s="239" t="n">
        <v>15</v>
      </c>
      <c r="B166" s="239" t="inlineStr">
        <is>
          <t>조미가공육 ➡️ 축산물 오등록</t>
        </is>
      </c>
      <c r="C166" s="239" t="inlineStr">
        <is>
          <t>기존 참여 지속</t>
        </is>
      </c>
      <c r="D166" s="239" t="inlineStr">
        <is>
          <t>농산물</t>
        </is>
      </c>
      <c r="E166" s="239" t="inlineStr">
        <is>
          <t>네이버</t>
        </is>
      </c>
      <c r="F166" s="240" t="inlineStr">
        <is>
          <t>농업회사법인(주)새나라</t>
        </is>
      </c>
      <c r="G166" s="239" t="inlineStr">
        <is>
          <t>792-88-00316</t>
        </is>
      </c>
      <c r="H166" s="240" t="inlineStr">
        <is>
          <t>사조 오리 주물럭 양념 오리불고기 600g 넉넉한 양 [원산지:국산(전라남도 나주시)]</t>
        </is>
      </c>
      <c r="I166" s="173" t="inlineStr">
        <is>
          <t>축산물</t>
        </is>
      </c>
      <c r="J166" s="241" t="inlineStr">
        <is>
          <t>가공식품(식육가공품)</t>
        </is>
      </c>
      <c r="K166" s="182" t="n">
        <v>72900</v>
      </c>
      <c r="L166" s="182" t="n">
        <v>3</v>
      </c>
      <c r="M166" s="182" t="n">
        <v>11120</v>
      </c>
      <c r="N166" s="240" t="inlineStr">
        <is>
          <t>식육가공품(양념조미육(주물럭))이나 1차 생육 축산물로 오등록됨</t>
        </is>
      </c>
    </row>
    <row r="167" ht="20" customHeight="1" s="21">
      <c r="A167" s="239" t="n">
        <v>16</v>
      </c>
      <c r="B167" s="239" t="inlineStr">
        <is>
          <t>가공완제품 ➡️ 농산물 원물 오등록</t>
        </is>
      </c>
      <c r="C167" s="239" t="inlineStr">
        <is>
          <t>기존 참여 지속</t>
        </is>
      </c>
      <c r="D167" s="239" t="inlineStr">
        <is>
          <t>농산물</t>
        </is>
      </c>
      <c r="E167" s="239" t="inlineStr">
        <is>
          <t>네이버</t>
        </is>
      </c>
      <c r="F167" s="240" t="inlineStr">
        <is>
          <t>신기농원</t>
        </is>
      </c>
      <c r="G167" s="239" t="inlineStr">
        <is>
          <t>540-25-00229</t>
        </is>
      </c>
      <c r="H167" s="240" t="inlineStr">
        <is>
          <t>애플링 국내산 동결건조 사과칩 20g x3봉/ 아기간식 건강과일간식 [원산지:국산(경상북도 문경시)]</t>
        </is>
      </c>
      <c r="I167" s="173" t="inlineStr">
        <is>
          <t>농산물</t>
        </is>
      </c>
      <c r="J167" s="241" t="inlineStr">
        <is>
          <t>가공식품(제조가공품)</t>
        </is>
      </c>
      <c r="K167" s="182" t="n">
        <v>65500</v>
      </c>
      <c r="L167" s="182" t="n">
        <v>4</v>
      </c>
      <c r="M167" s="182" t="n">
        <v>0</v>
      </c>
      <c r="N167" s="240" t="inlineStr">
        <is>
          <t>제조가공식품(과자류(동결건조 과일스낵))이나 1차 신선 농산물 원물로 오등록됨</t>
        </is>
      </c>
    </row>
    <row r="168" ht="20" customHeight="1" s="21">
      <c r="A168" s="239" t="n">
        <v>17</v>
      </c>
      <c r="B168" s="239" t="inlineStr">
        <is>
          <t>조미가공육 ➡️ 축산물 오등록</t>
        </is>
      </c>
      <c r="C168" s="239" t="inlineStr">
        <is>
          <t>기존 참여 지속</t>
        </is>
      </c>
      <c r="D168" s="239" t="inlineStr">
        <is>
          <t>농산물</t>
        </is>
      </c>
      <c r="E168" s="239" t="inlineStr">
        <is>
          <t>네이버</t>
        </is>
      </c>
      <c r="F168" s="240" t="inlineStr">
        <is>
          <t>농업회사법인 주식회사 코리아식품</t>
        </is>
      </c>
      <c r="G168" s="239" t="inlineStr">
        <is>
          <t>608-88-00253</t>
        </is>
      </c>
      <c r="H168" s="240" t="inlineStr">
        <is>
          <t>청춘불판 직화불곱창 400g 혼술 캠핑 안주 돼지곱창 [원산지:상세설명에 표시]</t>
        </is>
      </c>
      <c r="I168" s="173" t="inlineStr">
        <is>
          <t>축산물</t>
        </is>
      </c>
      <c r="J168" s="241" t="inlineStr">
        <is>
          <t>가공식품(식육가공품)</t>
        </is>
      </c>
      <c r="K168" s="182" t="n">
        <v>65400</v>
      </c>
      <c r="L168" s="182" t="n">
        <v>2</v>
      </c>
      <c r="M168" s="182" t="n">
        <v>8720</v>
      </c>
      <c r="N168" s="240" t="inlineStr">
        <is>
          <t>식육가공품(양념/가공육(곱창/대창))이나 1차 생육 축산물로 오등록됨</t>
        </is>
      </c>
    </row>
    <row r="169" ht="20" customHeight="1" s="21">
      <c r="A169" s="239" t="n">
        <v>18</v>
      </c>
      <c r="B169" s="239" t="inlineStr">
        <is>
          <t>가공완제품 ➡️ 농산물 원물 오등록</t>
        </is>
      </c>
      <c r="C169" s="239" t="inlineStr">
        <is>
          <t>기존 참여 지속</t>
        </is>
      </c>
      <c r="D169" s="239" t="inlineStr">
        <is>
          <t>농산물</t>
        </is>
      </c>
      <c r="E169" s="239" t="inlineStr">
        <is>
          <t>네이버</t>
        </is>
      </c>
      <c r="F169" s="240" t="inlineStr">
        <is>
          <t>신기농원</t>
        </is>
      </c>
      <c r="G169" s="239" t="inlineStr">
        <is>
          <t>540-25-00229</t>
        </is>
      </c>
      <c r="H169" s="240" t="inlineStr">
        <is>
          <t>애플링 하루 한 팩 모듬과일칩 4g 사과·배·딸기혼합/국산 동결건조 /어린이,건강간식 [원산지:국산(경상북도 문경시)]</t>
        </is>
      </c>
      <c r="I169" s="173" t="inlineStr">
        <is>
          <t>농산물</t>
        </is>
      </c>
      <c r="J169" s="241" t="inlineStr">
        <is>
          <t>가공식품(제조가공품)</t>
        </is>
      </c>
      <c r="K169" s="182" t="n">
        <v>39000</v>
      </c>
      <c r="L169" s="182" t="n">
        <v>2</v>
      </c>
      <c r="M169" s="182" t="n">
        <v>0</v>
      </c>
      <c r="N169" s="240" t="inlineStr">
        <is>
          <t>제조가공식품(과자류(동결건조 과일스낵))이나 1차 신선 농산물 원물로 오등록됨</t>
        </is>
      </c>
    </row>
    <row r="170" ht="20" customHeight="1" s="21">
      <c r="A170" s="239" t="n">
        <v>19</v>
      </c>
      <c r="B170" s="239" t="inlineStr">
        <is>
          <t>가공완제품 ➡️ 농산물 원물 오등록</t>
        </is>
      </c>
      <c r="C170" s="239" t="inlineStr">
        <is>
          <t>기존 참여 지속</t>
        </is>
      </c>
      <c r="D170" s="239" t="inlineStr">
        <is>
          <t>농산물</t>
        </is>
      </c>
      <c r="E170" s="239" t="inlineStr">
        <is>
          <t>네이버</t>
        </is>
      </c>
      <c r="F170" s="240" t="inlineStr">
        <is>
          <t>신기농원</t>
        </is>
      </c>
      <c r="G170" s="239" t="inlineStr">
        <is>
          <t>540-25-00229</t>
        </is>
      </c>
      <c r="H170" s="240" t="inlineStr">
        <is>
          <t>애플링 국산 동결건조 사과·배칩 3팩 자유선택 유아 어린이 건강간식 .다이어트 [원산지:국산(경상북도)]</t>
        </is>
      </c>
      <c r="I170" s="173" t="inlineStr">
        <is>
          <t>농산물</t>
        </is>
      </c>
      <c r="J170" s="241" t="inlineStr">
        <is>
          <t>가공식품(제조가공품)</t>
        </is>
      </c>
      <c r="K170" s="182" t="n">
        <v>33000</v>
      </c>
      <c r="L170" s="182" t="n">
        <v>3</v>
      </c>
      <c r="M170" s="182" t="n">
        <v>2200</v>
      </c>
      <c r="N170" s="240" t="inlineStr">
        <is>
          <t>제조가공식품(과자류(동결건조 과일스낵))이나 1차 신선 농산물 원물로 오등록됨</t>
        </is>
      </c>
    </row>
    <row r="171" ht="20" customHeight="1" s="21">
      <c r="A171" s="239" t="n">
        <v>20</v>
      </c>
      <c r="B171" s="239" t="inlineStr">
        <is>
          <t>가공완제품 ➡️ 농산물 원물 오등록</t>
        </is>
      </c>
      <c r="C171" s="239" t="inlineStr">
        <is>
          <t>기존 참여 지속</t>
        </is>
      </c>
      <c r="D171" s="239" t="inlineStr">
        <is>
          <t>농산물</t>
        </is>
      </c>
      <c r="E171" s="239" t="inlineStr">
        <is>
          <t>네이버</t>
        </is>
      </c>
      <c r="F171" s="240" t="inlineStr">
        <is>
          <t>신기농원</t>
        </is>
      </c>
      <c r="G171" s="239" t="inlineStr">
        <is>
          <t>540-25-00229</t>
        </is>
      </c>
      <c r="H171" s="240" t="inlineStr">
        <is>
          <t>애플링 국산 딸기칩3봉 무첨가 동결건조 과일칩 어린이 유아 건강간식 [원산지:국산(경상북도 문경시)]</t>
        </is>
      </c>
      <c r="I171" s="173" t="inlineStr">
        <is>
          <t>농산물</t>
        </is>
      </c>
      <c r="J171" s="241" t="inlineStr">
        <is>
          <t>가공식품(제조가공품)</t>
        </is>
      </c>
      <c r="K171" s="182" t="n">
        <v>33000</v>
      </c>
      <c r="L171" s="182" t="n">
        <v>3</v>
      </c>
      <c r="M171" s="182" t="n">
        <v>0</v>
      </c>
      <c r="N171" s="240" t="inlineStr">
        <is>
          <t>제조가공식품(과자류(동결건조 과일스낵))이나 1차 신선 농산물 원물로 오등록됨</t>
        </is>
      </c>
    </row>
    <row r="172" ht="20" customHeight="1" s="21">
      <c r="A172" s="239" t="n">
        <v>21</v>
      </c>
      <c r="B172" s="239" t="inlineStr">
        <is>
          <t>조미가공육 ➡️ 축산물 오등록</t>
        </is>
      </c>
      <c r="C172" s="239" t="inlineStr">
        <is>
          <t>기존 참여 지속</t>
        </is>
      </c>
      <c r="D172" s="239" t="inlineStr">
        <is>
          <t>농산물</t>
        </is>
      </c>
      <c r="E172" s="239" t="inlineStr">
        <is>
          <t>네이버</t>
        </is>
      </c>
      <c r="F172" s="240" t="inlineStr">
        <is>
          <t>농업회사법인(주)새나라</t>
        </is>
      </c>
      <c r="G172" s="239" t="inlineStr">
        <is>
          <t>792-88-00316</t>
        </is>
      </c>
      <c r="H172" s="240" t="inlineStr">
        <is>
          <t>[모두양념닭발] 1+1팩 오직 국내산 무뼈닭발 200g포장 [원산지:국산(전라북도 익산시)]</t>
        </is>
      </c>
      <c r="I172" s="173" t="inlineStr">
        <is>
          <t>축산물</t>
        </is>
      </c>
      <c r="J172" s="241" t="inlineStr">
        <is>
          <t>가공식품(식육가공품)</t>
        </is>
      </c>
      <c r="K172" s="182" t="n">
        <v>27230</v>
      </c>
      <c r="L172" s="182" t="n">
        <v>1</v>
      </c>
      <c r="M172" s="182" t="n">
        <v>0</v>
      </c>
      <c r="N172" s="240" t="inlineStr">
        <is>
          <t>식육가공품(양념조미육)이나 1차 생육 축산물로 오등록됨</t>
        </is>
      </c>
    </row>
    <row r="173" ht="20" customHeight="1" s="21">
      <c r="A173" s="239" t="n">
        <v>22</v>
      </c>
      <c r="B173" s="239" t="inlineStr">
        <is>
          <t>조미가공육 ➡️ 축산물 오등록</t>
        </is>
      </c>
      <c r="C173" s="239" t="inlineStr">
        <is>
          <t>기존 참여 지속</t>
        </is>
      </c>
      <c r="D173" s="239" t="inlineStr">
        <is>
          <t>농산물</t>
        </is>
      </c>
      <c r="E173" s="239" t="inlineStr">
        <is>
          <t>네이버</t>
        </is>
      </c>
      <c r="F173" s="240" t="inlineStr">
        <is>
          <t>농업회사법인(주)새나라</t>
        </is>
      </c>
      <c r="G173" s="239" t="inlineStr">
        <is>
          <t>792-88-00316</t>
        </is>
      </c>
      <c r="H173" s="240" t="inlineStr">
        <is>
          <t>[모두 한입닭갈비] 춘천 3팩 국산 닭정육 캠핑 500gx3팩 (3~4인분) [원산지:국산]</t>
        </is>
      </c>
      <c r="I173" s="173" t="inlineStr">
        <is>
          <t>축산물</t>
        </is>
      </c>
      <c r="J173" s="241" t="inlineStr">
        <is>
          <t>가공식품(식육가공품)</t>
        </is>
      </c>
      <c r="K173" s="182" t="n">
        <v>23500</v>
      </c>
      <c r="L173" s="182" t="n">
        <v>1</v>
      </c>
      <c r="M173" s="182" t="n">
        <v>4700</v>
      </c>
      <c r="N173" s="240" t="inlineStr">
        <is>
          <t>식육가공품(조미가공육(춘천닭갈비))이나 1차 생육 축산물로 오등록됨</t>
        </is>
      </c>
    </row>
    <row r="174" ht="20" customHeight="1" s="21">
      <c r="A174" s="239" t="n">
        <v>23</v>
      </c>
      <c r="B174" s="239" t="inlineStr">
        <is>
          <t>조미가공육 ➡️ 축산물 오등록</t>
        </is>
      </c>
      <c r="C174" s="239" t="inlineStr">
        <is>
          <t>기존 참여 지속</t>
        </is>
      </c>
      <c r="D174" s="239" t="inlineStr">
        <is>
          <t>농산물</t>
        </is>
      </c>
      <c r="E174" s="239" t="inlineStr">
        <is>
          <t>네이버</t>
        </is>
      </c>
      <c r="F174" s="240" t="inlineStr">
        <is>
          <t>농업회사법인 주식회사 코리아식품</t>
        </is>
      </c>
      <c r="G174" s="239" t="inlineStr">
        <is>
          <t>608-88-00253</t>
        </is>
      </c>
      <c r="H174" s="240" t="inlineStr">
        <is>
          <t>청춘불판 직화껍데기 350g 국내산 직화 불향 자체양념소스 [원산지:상세설명에 표시]</t>
        </is>
      </c>
      <c r="I174" s="173" t="inlineStr">
        <is>
          <t>축산물</t>
        </is>
      </c>
      <c r="J174" s="241" t="inlineStr">
        <is>
          <t>가공식품(식육가공품)</t>
        </is>
      </c>
      <c r="K174" s="182" t="n">
        <v>13800</v>
      </c>
      <c r="L174" s="182" t="n">
        <v>1</v>
      </c>
      <c r="M174" s="182" t="n">
        <v>0</v>
      </c>
      <c r="N174" s="240" t="inlineStr">
        <is>
          <t>식육가공품(양념조미육)이나 1차 생육 축산물로 오등록됨</t>
        </is>
      </c>
    </row>
    <row r="175" ht="20" customHeight="1" s="21">
      <c r="A175" s="239" t="n">
        <v>24</v>
      </c>
      <c r="B175" s="239" t="inlineStr">
        <is>
          <t>조미가공육 ➡️ 축산물 오등록</t>
        </is>
      </c>
      <c r="C175" s="239" t="inlineStr">
        <is>
          <t>기존 참여 지속</t>
        </is>
      </c>
      <c r="D175" s="239" t="inlineStr">
        <is>
          <t>농산물</t>
        </is>
      </c>
      <c r="E175" s="239" t="inlineStr">
        <is>
          <t>네이버</t>
        </is>
      </c>
      <c r="F175" s="240" t="inlineStr">
        <is>
          <t>농업회사법인 주식회사 코리아식품</t>
        </is>
      </c>
      <c r="G175" s="239" t="inlineStr">
        <is>
          <t>608-88-00253</t>
        </is>
      </c>
      <c r="H175" s="240" t="inlineStr">
        <is>
          <t>고기얌 불오돌뼈 250g 국내산 매운 양념 캠핑 혼술 안주 [원산지:상세설명에 표시]</t>
        </is>
      </c>
      <c r="I175" s="173" t="inlineStr">
        <is>
          <t>축산물</t>
        </is>
      </c>
      <c r="J175" s="241" t="inlineStr">
        <is>
          <t>가공식품(식육가공품)</t>
        </is>
      </c>
      <c r="K175" s="182" t="n">
        <v>6900</v>
      </c>
      <c r="L175" s="182" t="n">
        <v>1</v>
      </c>
      <c r="M175" s="182" t="n">
        <v>0</v>
      </c>
      <c r="N175" s="240" t="inlineStr">
        <is>
          <t>식육가공품(양념조미육)이나 1차 생육 축산물로 오등록됨</t>
        </is>
      </c>
    </row>
    <row r="176" ht="20" customHeight="1" s="21">
      <c r="A176" s="239" t="n">
        <v>25</v>
      </c>
      <c r="B176" s="239" t="inlineStr">
        <is>
          <t>조미가공육 ➡️ 축산물 오등록</t>
        </is>
      </c>
      <c r="C176" s="239" t="inlineStr">
        <is>
          <t>기존 참여 지속</t>
        </is>
      </c>
      <c r="D176" s="239" t="inlineStr">
        <is>
          <t>농산물</t>
        </is>
      </c>
      <c r="E176" s="239" t="inlineStr">
        <is>
          <t>롯데ON</t>
        </is>
      </c>
      <c r="F176" s="240" t="inlineStr">
        <is>
          <t>주식회사 더락</t>
        </is>
      </c>
      <c r="G176" s="239" t="inlineStr">
        <is>
          <t>593-86-01295</t>
        </is>
      </c>
      <c r="H176" s="240" t="inlineStr">
        <is>
          <t>국내산 한돈 수제 양념 돼지갈비 450G (2종 중 택1)</t>
        </is>
      </c>
      <c r="I176" s="173" t="inlineStr">
        <is>
          <t>축산물</t>
        </is>
      </c>
      <c r="J176" s="241" t="inlineStr">
        <is>
          <t>가공식품(식육가공품)</t>
        </is>
      </c>
      <c r="K176" s="182" t="n">
        <v>37312000</v>
      </c>
      <c r="L176" s="182" t="n">
        <v>729</v>
      </c>
      <c r="M176" s="182" t="n">
        <v>4967600</v>
      </c>
      <c r="N176" s="240" t="inlineStr">
        <is>
          <t>식육가공품(양념조미육)이나 1차 생육 축산물로 오등록됨</t>
        </is>
      </c>
    </row>
    <row r="177" ht="20" customHeight="1" s="21">
      <c r="A177" s="239" t="n">
        <v>26</v>
      </c>
      <c r="B177" s="239" t="inlineStr">
        <is>
          <t>조미가공육 ➡️ 축산물 오등록</t>
        </is>
      </c>
      <c r="C177" s="239" t="inlineStr">
        <is>
          <t>기존 참여 지속</t>
        </is>
      </c>
      <c r="D177" s="239" t="inlineStr">
        <is>
          <t>농산물</t>
        </is>
      </c>
      <c r="E177" s="239" t="inlineStr">
        <is>
          <t>롯데ON</t>
        </is>
      </c>
      <c r="F177" s="240" t="inlineStr">
        <is>
          <t>농업회사법인 라이플로우 주식회사</t>
        </is>
      </c>
      <c r="G177" s="239" t="inlineStr">
        <is>
          <t>715-87-02493</t>
        </is>
      </c>
      <c r="H177" s="240" t="inlineStr">
        <is>
          <t>[온누리7%혜택][주왕산가든] 한우불고기 전골 밀키트 750g 3인분 불고기 육수 야채 소불고기</t>
        </is>
      </c>
      <c r="I177" s="173" t="inlineStr">
        <is>
          <t>축산물</t>
        </is>
      </c>
      <c r="J177" s="241" t="inlineStr">
        <is>
          <t>가공식품(식육가공품)</t>
        </is>
      </c>
      <c r="K177" s="182" t="n">
        <v>724600</v>
      </c>
      <c r="L177" s="182" t="n">
        <v>23</v>
      </c>
      <c r="M177" s="182" t="n">
        <v>142600</v>
      </c>
      <c r="N177" s="240" t="inlineStr">
        <is>
          <t>식육가공품(양념조미육(불고기))이나 1차 생육 축산물로 오등록됨</t>
        </is>
      </c>
    </row>
    <row r="178" ht="20" customHeight="1" s="21">
      <c r="A178" s="239" t="n">
        <v>27</v>
      </c>
      <c r="B178" s="239" t="inlineStr">
        <is>
          <t>조미가공육 ➡️ 축산물 오등록</t>
        </is>
      </c>
      <c r="C178" s="239" t="inlineStr">
        <is>
          <t>기존 참여 지속</t>
        </is>
      </c>
      <c r="D178" s="239" t="inlineStr">
        <is>
          <t>농산물</t>
        </is>
      </c>
      <c r="E178" s="239" t="inlineStr">
        <is>
          <t>롯데ON</t>
        </is>
      </c>
      <c r="F178" s="240" t="inlineStr">
        <is>
          <t>농업회사법인 라이플로우 주식회사</t>
        </is>
      </c>
      <c r="G178" s="239" t="inlineStr">
        <is>
          <t>715-87-02493</t>
        </is>
      </c>
      <c r="H178" s="240" t="inlineStr">
        <is>
          <t>[온누리7%혜택][주왕산가든] 명품 한돈 수제 돼지갈비 실속형 500g 양념돼지갈비 밀키트</t>
        </is>
      </c>
      <c r="I178" s="173" t="inlineStr">
        <is>
          <t>축산물</t>
        </is>
      </c>
      <c r="J178" s="241" t="inlineStr">
        <is>
          <t>가공식품(식육가공품)</t>
        </is>
      </c>
      <c r="K178" s="182" t="n">
        <v>315000</v>
      </c>
      <c r="L178" s="182" t="n">
        <v>10</v>
      </c>
      <c r="M178" s="182" t="n">
        <v>57230</v>
      </c>
      <c r="N178" s="240" t="inlineStr">
        <is>
          <t>식육가공품(양념조미육)이나 1차 생육 축산물로 오등록됨</t>
        </is>
      </c>
    </row>
    <row r="179" ht="20" customHeight="1" s="21">
      <c r="A179" s="239" t="n">
        <v>28</v>
      </c>
      <c r="B179" s="239" t="inlineStr">
        <is>
          <t>조미가공육 ➡️ 축산물 오등록</t>
        </is>
      </c>
      <c r="C179" s="239" t="inlineStr">
        <is>
          <t>기존 참여 지속</t>
        </is>
      </c>
      <c r="D179" s="239" t="inlineStr">
        <is>
          <t>농산물</t>
        </is>
      </c>
      <c r="E179" s="239" t="inlineStr">
        <is>
          <t>롯데ON</t>
        </is>
      </c>
      <c r="F179" s="240" t="inlineStr">
        <is>
          <t>주식회사 영인에프앤에스</t>
        </is>
      </c>
      <c r="G179" s="239" t="inlineStr">
        <is>
          <t>847-88-01537</t>
        </is>
      </c>
      <c r="H179" s="240" t="inlineStr">
        <is>
          <t>삶은 돼지 대창 1kg</t>
        </is>
      </c>
      <c r="I179" s="173" t="inlineStr">
        <is>
          <t>축산물</t>
        </is>
      </c>
      <c r="J179" s="241" t="inlineStr">
        <is>
          <t>가공식품(식육가공품)</t>
        </is>
      </c>
      <c r="K179" s="182" t="n">
        <v>0</v>
      </c>
      <c r="L179" s="182" t="n">
        <v>2</v>
      </c>
      <c r="M179" s="182" t="n">
        <v>0</v>
      </c>
      <c r="N179" s="240" t="inlineStr">
        <is>
          <t>식육가공품(양념/가공육(대창))이나 1차 생육 축산물로 오등록됨</t>
        </is>
      </c>
    </row>
    <row r="180" ht="20" customHeight="1" s="21">
      <c r="A180" s="239" t="n">
        <v>29</v>
      </c>
      <c r="B180" s="239" t="inlineStr">
        <is>
          <t>조미가공육 ➡️ 축산물 오등록</t>
        </is>
      </c>
      <c r="C180" s="239" t="inlineStr">
        <is>
          <t>기존 참여 지속</t>
        </is>
      </c>
      <c r="D180" s="239" t="inlineStr">
        <is>
          <t>농산물</t>
        </is>
      </c>
      <c r="E180" s="239" t="inlineStr">
        <is>
          <t>롯데ON</t>
        </is>
      </c>
      <c r="F180" s="240" t="inlineStr">
        <is>
          <t>주식회사 삼형제월드</t>
        </is>
      </c>
      <c r="G180" s="239" t="inlineStr">
        <is>
          <t>185-87-01669</t>
        </is>
      </c>
      <c r="H180" s="240" t="inlineStr">
        <is>
          <t>삼형제고기 한돈 간장 고추장 불고기 1kg (200g x 5팩)</t>
        </is>
      </c>
      <c r="I180" s="173" t="inlineStr">
        <is>
          <t>축산물</t>
        </is>
      </c>
      <c r="J180" s="241" t="inlineStr">
        <is>
          <t>가공식품(식육가공품)</t>
        </is>
      </c>
      <c r="K180" s="182" t="n">
        <v>0</v>
      </c>
      <c r="L180" s="182" t="n">
        <v>0</v>
      </c>
      <c r="M180" s="182" t="n">
        <v>0</v>
      </c>
      <c r="N180" s="240" t="inlineStr">
        <is>
          <t>식육가공품(양념조미육(불고기))이나 1차 생육 축산물로 오등록됨</t>
        </is>
      </c>
    </row>
    <row r="181" ht="20" customHeight="1" s="21">
      <c r="A181" s="239" t="n">
        <v>30</v>
      </c>
      <c r="B181" s="239" t="inlineStr">
        <is>
          <t>조미가공육 ➡️ 축산물 오등록</t>
        </is>
      </c>
      <c r="C181" s="239" t="inlineStr">
        <is>
          <t>기존 참여 지속</t>
        </is>
      </c>
      <c r="D181" s="239" t="inlineStr">
        <is>
          <t>농산물</t>
        </is>
      </c>
      <c r="E181" s="239" t="inlineStr">
        <is>
          <t>지마켓</t>
        </is>
      </c>
      <c r="F181" s="240" t="inlineStr">
        <is>
          <t>두원식품(주)</t>
        </is>
      </c>
      <c r="G181" s="239" t="inlineStr">
        <is>
          <t>606-81-52718</t>
        </is>
      </c>
      <c r="H181" s="240" t="inlineStr">
        <is>
          <t>haccp인증 국내산 한돈 고추장 주물럭 300g x6팩(총 1.8kg)</t>
        </is>
      </c>
      <c r="I181" s="173" t="inlineStr">
        <is>
          <t>축산물</t>
        </is>
      </c>
      <c r="J181" s="241" t="inlineStr">
        <is>
          <t>가공식품(식육가공품)</t>
        </is>
      </c>
      <c r="K181" s="182" t="n">
        <v>65000</v>
      </c>
      <c r="L181" s="182" t="n">
        <v>2</v>
      </c>
      <c r="M181" s="182" t="n">
        <v>6500</v>
      </c>
      <c r="N181" s="240" t="inlineStr">
        <is>
          <t>식육가공품(양념조미육(주물럭))이나 1차 생육 축산물로 오등록됨</t>
        </is>
      </c>
    </row>
    <row r="182" ht="20" customHeight="1" s="21">
      <c r="A182" s="239" t="n">
        <v>31</v>
      </c>
      <c r="B182" s="239" t="inlineStr">
        <is>
          <t>조미가공육 ➡️ 축산물 오등록</t>
        </is>
      </c>
      <c r="C182" s="239" t="inlineStr">
        <is>
          <t>기존 참여 지속</t>
        </is>
      </c>
      <c r="D182" s="239" t="inlineStr">
        <is>
          <t>농산물</t>
        </is>
      </c>
      <c r="E182" s="239" t="inlineStr">
        <is>
          <t>지마켓</t>
        </is>
      </c>
      <c r="F182" s="240" t="inlineStr">
        <is>
          <t>두원식품(주)</t>
        </is>
      </c>
      <c r="G182" s="239" t="inlineStr">
        <is>
          <t>606-81-52718</t>
        </is>
      </c>
      <c r="H182" s="240" t="inlineStr">
        <is>
          <t>국내산 한돈 고추장 주물럭 300g + 300g 제육볶음</t>
        </is>
      </c>
      <c r="I182" s="173" t="inlineStr">
        <is>
          <t>축산물</t>
        </is>
      </c>
      <c r="J182" s="241" t="inlineStr">
        <is>
          <t>가공식품(식육가공품)</t>
        </is>
      </c>
      <c r="K182" s="182" t="n">
        <v>134100</v>
      </c>
      <c r="L182" s="182" t="n">
        <v>9</v>
      </c>
      <c r="M182" s="182" t="n">
        <v>11920</v>
      </c>
      <c r="N182" s="240" t="inlineStr">
        <is>
          <t>식육가공품(양념조미육(주물럭))이나 1차 생육 축산물로 오등록됨</t>
        </is>
      </c>
    </row>
    <row r="183" ht="20" customHeight="1" s="21">
      <c r="A183" s="239" t="n">
        <v>32</v>
      </c>
      <c r="B183" s="239" t="inlineStr">
        <is>
          <t>가공완제품 ➡️ 농산물 원물 오등록</t>
        </is>
      </c>
      <c r="C183" s="239" t="inlineStr">
        <is>
          <t>기존 참여 지속</t>
        </is>
      </c>
      <c r="D183" s="239" t="inlineStr">
        <is>
          <t>농산물</t>
        </is>
      </c>
      <c r="E183" s="239" t="inlineStr">
        <is>
          <t>지마켓</t>
        </is>
      </c>
      <c r="F183" s="240" t="inlineStr">
        <is>
          <t>청정태안식품</t>
        </is>
      </c>
      <c r="G183" s="239" t="inlineStr">
        <is>
          <t>316-01-24597</t>
        </is>
      </c>
      <c r="H183" s="240" t="inlineStr">
        <is>
          <t>김명월 검정콩 청국장가루 1kg(500g2통)</t>
        </is>
      </c>
      <c r="I183" s="173" t="inlineStr">
        <is>
          <t>농산물</t>
        </is>
      </c>
      <c r="J183" s="241" t="inlineStr">
        <is>
          <t>가공식품(제조가공품)</t>
        </is>
      </c>
      <c r="K183" s="182" t="n">
        <v>74000</v>
      </c>
      <c r="L183" s="182" t="n">
        <v>2</v>
      </c>
      <c r="M183" s="182" t="n">
        <v>7400</v>
      </c>
      <c r="N183" s="240" t="inlineStr">
        <is>
          <t>제조가공식품(두류가공품(청국장가루))이나 1차 신선 농산물 원물로 오등록됨</t>
        </is>
      </c>
    </row>
    <row r="184" ht="20" customHeight="1" s="21">
      <c r="A184" s="239" t="n">
        <v>33</v>
      </c>
      <c r="B184" s="239" t="inlineStr">
        <is>
          <t>농산물 원물 ➡️ 가공식품 오등록</t>
        </is>
      </c>
      <c r="C184" s="239" t="inlineStr">
        <is>
          <t>기존 참여 지속</t>
        </is>
      </c>
      <c r="D184" s="239" t="inlineStr">
        <is>
          <t>농산물</t>
        </is>
      </c>
      <c r="E184" s="239" t="inlineStr">
        <is>
          <t>지마켓</t>
        </is>
      </c>
      <c r="F184" s="240" t="inlineStr">
        <is>
          <t>형지표고버섯</t>
        </is>
      </c>
      <c r="G184" s="239" t="inlineStr">
        <is>
          <t>290-94-00335</t>
        </is>
      </c>
      <c r="H184" s="240" t="inlineStr">
        <is>
          <t>형지표고버섯 흑화고 상황버섯 혼합2호 표고 버섯 선물세트</t>
        </is>
      </c>
      <c r="I184" s="173" t="inlineStr">
        <is>
          <t>가공식품</t>
        </is>
      </c>
      <c r="J184" s="241" t="inlineStr">
        <is>
          <t>농산물(원물)</t>
        </is>
      </c>
      <c r="K184" s="182" t="n">
        <v>0</v>
      </c>
      <c r="L184" s="182" t="n">
        <v>0</v>
      </c>
      <c r="M184" s="182" t="n">
        <v>0</v>
      </c>
      <c r="N184" s="240" t="inlineStr">
        <is>
          <t>1차 신선 농산물(신선/건조 임산물(표고버섯 선물세트 원물))이나 유통사에 가공식품으로 오등록되어 원물 실적에서 누락됨</t>
        </is>
      </c>
    </row>
    <row r="185" ht="20" customHeight="1" s="21">
      <c r="A185" s="239" t="n">
        <v>34</v>
      </c>
      <c r="B185" s="239" t="inlineStr">
        <is>
          <t>가공완제품 ➡️ 농산물 원물 오등록</t>
        </is>
      </c>
      <c r="C185" s="239" t="inlineStr">
        <is>
          <t>기존 참여 지속</t>
        </is>
      </c>
      <c r="D185" s="239" t="inlineStr">
        <is>
          <t>농산물</t>
        </is>
      </c>
      <c r="E185" s="239" t="inlineStr">
        <is>
          <t>지마켓</t>
        </is>
      </c>
      <c r="F185" s="240" t="inlineStr">
        <is>
          <t>듬뿍곡간</t>
        </is>
      </c>
      <c r="G185" s="239" t="inlineStr">
        <is>
          <t>181-02-01980</t>
        </is>
      </c>
      <c r="H185" s="240" t="inlineStr">
        <is>
          <t>듬뿍곡간 국내산 쑥미숫가루 / 선식 식사대용 간식 500g</t>
        </is>
      </c>
      <c r="I185" s="173" t="inlineStr">
        <is>
          <t>농산물</t>
        </is>
      </c>
      <c r="J185" s="241" t="inlineStr">
        <is>
          <t>가공식품(제조가공품)</t>
        </is>
      </c>
      <c r="K185" s="182" t="n">
        <v>0</v>
      </c>
      <c r="L185" s="182" t="n">
        <v>0</v>
      </c>
      <c r="M185" s="182" t="n">
        <v>0</v>
      </c>
      <c r="N185" s="240" t="inlineStr">
        <is>
          <t>제조가공식품(곡류가공품(미숫가루/선식))이나 1차 신선 농산물 원물로 오등록됨</t>
        </is>
      </c>
    </row>
    <row r="186" ht="20" customHeight="1" s="21">
      <c r="A186" s="239" t="n">
        <v>35</v>
      </c>
      <c r="B186" s="239" t="inlineStr">
        <is>
          <t>가공완제품 ➡️ 농산물 원물 오등록</t>
        </is>
      </c>
      <c r="C186" s="239" t="inlineStr">
        <is>
          <t>기존 참여 지속</t>
        </is>
      </c>
      <c r="D186" s="239" t="inlineStr">
        <is>
          <t>농산물</t>
        </is>
      </c>
      <c r="E186" s="239" t="inlineStr">
        <is>
          <t>지마켓</t>
        </is>
      </c>
      <c r="F186" s="240" t="inlineStr">
        <is>
          <t>초림단지묵</t>
        </is>
      </c>
      <c r="G186" s="239" t="inlineStr">
        <is>
          <t>615-14-93195</t>
        </is>
      </c>
      <c r="H186" s="240" t="inlineStr">
        <is>
          <t>초림단지묵 국산 콩물 콩가루 90g 1인분 x 5팩 물만타면 콩국수</t>
        </is>
      </c>
      <c r="I186" s="173" t="inlineStr">
        <is>
          <t>농산물</t>
        </is>
      </c>
      <c r="J186" s="241" t="inlineStr">
        <is>
          <t>가공식품(제조가공품)</t>
        </is>
      </c>
      <c r="K186" s="182" t="n">
        <v>0</v>
      </c>
      <c r="L186" s="182" t="n">
        <v>0</v>
      </c>
      <c r="M186" s="182" t="n">
        <v>0</v>
      </c>
      <c r="N186" s="240" t="inlineStr">
        <is>
          <t>제조가공식품(곡류가공품(콩가루))이나 1차 신선 농산물 원물로 오등록됨</t>
        </is>
      </c>
    </row>
    <row r="187" ht="20" customHeight="1" s="21">
      <c r="A187" s="239" t="n">
        <v>36</v>
      </c>
      <c r="B187" s="239" t="inlineStr">
        <is>
          <t>가공완제품 ➡️ 농산물 원물 오등록</t>
        </is>
      </c>
      <c r="C187" s="239" t="inlineStr">
        <is>
          <t>기존 참여 지속</t>
        </is>
      </c>
      <c r="D187" s="239" t="inlineStr">
        <is>
          <t>농산물</t>
        </is>
      </c>
      <c r="E187" s="239" t="inlineStr">
        <is>
          <t>지마켓</t>
        </is>
      </c>
      <c r="F187" s="240" t="inlineStr">
        <is>
          <t>어이딸부각</t>
        </is>
      </c>
      <c r="G187" s="239" t="inlineStr">
        <is>
          <t>142-33-00898</t>
        </is>
      </c>
      <c r="H187" s="240" t="inlineStr">
        <is>
          <t>고추크런치 70g 고추부각 튀각 찹쌀 수제 비건</t>
        </is>
      </c>
      <c r="I187" s="173" t="inlineStr">
        <is>
          <t>농산물</t>
        </is>
      </c>
      <c r="J187" s="241" t="inlineStr">
        <is>
          <t>가공식품(제조가공품)</t>
        </is>
      </c>
      <c r="K187" s="182" t="n">
        <v>0</v>
      </c>
      <c r="L187" s="182" t="n">
        <v>0</v>
      </c>
      <c r="M187" s="182" t="n">
        <v>0</v>
      </c>
      <c r="N187" s="240" t="inlineStr">
        <is>
          <t>제조가공식품(과자류(김부각/고추부각))이나 1차 신선 농산물 원물로 오등록됨</t>
        </is>
      </c>
    </row>
    <row r="188" ht="20" customHeight="1" s="21">
      <c r="A188" s="239" t="n">
        <v>37</v>
      </c>
      <c r="B188" s="239" t="inlineStr">
        <is>
          <t>가공완제품 ➡️ 농산물 원물 오등록</t>
        </is>
      </c>
      <c r="C188" s="239" t="inlineStr">
        <is>
          <t>기존 참여 지속</t>
        </is>
      </c>
      <c r="D188" s="239" t="inlineStr">
        <is>
          <t>농산물</t>
        </is>
      </c>
      <c r="E188" s="239" t="inlineStr">
        <is>
          <t>지마켓</t>
        </is>
      </c>
      <c r="F188" s="240" t="inlineStr">
        <is>
          <t>어이딸부각</t>
        </is>
      </c>
      <c r="G188" s="239" t="inlineStr">
        <is>
          <t>142-33-00898</t>
        </is>
      </c>
      <c r="H188" s="240" t="inlineStr">
        <is>
          <t>어이딸 김부각 선물세트 소 5개입 찹쌀 수제 비건 글루텐프리 저당</t>
        </is>
      </c>
      <c r="I188" s="173" t="inlineStr">
        <is>
          <t>농산물</t>
        </is>
      </c>
      <c r="J188" s="241" t="inlineStr">
        <is>
          <t>가공식품(제조가공품)</t>
        </is>
      </c>
      <c r="K188" s="182" t="n">
        <v>0</v>
      </c>
      <c r="L188" s="182" t="n">
        <v>0</v>
      </c>
      <c r="M188" s="182" t="n">
        <v>0</v>
      </c>
      <c r="N188" s="240" t="inlineStr">
        <is>
          <t>제조가공식품(과자류(김부각/고추부각))이나 1차 신선 농산물 원물로 오등록됨</t>
        </is>
      </c>
    </row>
    <row r="189" ht="20" customHeight="1" s="21">
      <c r="A189" s="239" t="n">
        <v>38</v>
      </c>
      <c r="B189" s="239" t="inlineStr">
        <is>
          <t>가공완제품 ➡️ 농산물 원물 오등록</t>
        </is>
      </c>
      <c r="C189" s="239" t="inlineStr">
        <is>
          <t>기존 참여 지속</t>
        </is>
      </c>
      <c r="D189" s="239" t="inlineStr">
        <is>
          <t>농산물</t>
        </is>
      </c>
      <c r="E189" s="239" t="inlineStr">
        <is>
          <t>지마켓</t>
        </is>
      </c>
      <c r="F189" s="240" t="inlineStr">
        <is>
          <t>어이딸부각</t>
        </is>
      </c>
      <c r="G189" s="239" t="inlineStr">
        <is>
          <t>142-33-00898</t>
        </is>
      </c>
      <c r="H189" s="240" t="inlineStr">
        <is>
          <t>어이딸 김부각 선물세트 중 8개입 찹쌀 수제 비건 글루텐프리 저당</t>
        </is>
      </c>
      <c r="I189" s="173" t="inlineStr">
        <is>
          <t>농산물</t>
        </is>
      </c>
      <c r="J189" s="241" t="inlineStr">
        <is>
          <t>가공식품(제조가공품)</t>
        </is>
      </c>
      <c r="K189" s="182" t="n">
        <v>0</v>
      </c>
      <c r="L189" s="182" t="n">
        <v>0</v>
      </c>
      <c r="M189" s="182" t="n">
        <v>0</v>
      </c>
      <c r="N189" s="240" t="inlineStr">
        <is>
          <t>제조가공식품(과자류(김부각/고추부각))이나 1차 신선 농산물 원물로 오등록됨</t>
        </is>
      </c>
    </row>
    <row r="190" ht="20" customHeight="1" s="21">
      <c r="A190" s="239" t="n">
        <v>39</v>
      </c>
      <c r="B190" s="239" t="inlineStr">
        <is>
          <t>가공완제품 ➡️ 농산물 원물 오등록</t>
        </is>
      </c>
      <c r="C190" s="239" t="inlineStr">
        <is>
          <t>기존 참여 지속</t>
        </is>
      </c>
      <c r="D190" s="239" t="inlineStr">
        <is>
          <t>농산물</t>
        </is>
      </c>
      <c r="E190" s="239" t="inlineStr">
        <is>
          <t>지마켓</t>
        </is>
      </c>
      <c r="F190" s="240" t="inlineStr">
        <is>
          <t>초림단지묵</t>
        </is>
      </c>
      <c r="G190" s="239" t="inlineStr">
        <is>
          <t>615-14-93195</t>
        </is>
      </c>
      <c r="H190" s="240" t="inlineStr">
        <is>
          <t>초림단지묵 국산 콩물 콩가루 90g 1인분 x 5팩 물만타면 콩국수</t>
        </is>
      </c>
      <c r="I190" s="173" t="inlineStr">
        <is>
          <t>농산물</t>
        </is>
      </c>
      <c r="J190" s="241" t="inlineStr">
        <is>
          <t>가공식품(제조가공품)</t>
        </is>
      </c>
      <c r="K190" s="182" t="n">
        <v>240000</v>
      </c>
      <c r="L190" s="182" t="n">
        <v>12</v>
      </c>
      <c r="M190" s="182" t="n">
        <v>0</v>
      </c>
      <c r="N190" s="240" t="inlineStr">
        <is>
          <t>제조가공식품(곡류가공품(콩가루))이나 1차 신선 농산물 원물로 오등록됨</t>
        </is>
      </c>
    </row>
    <row r="191" ht="20" customHeight="1" s="21">
      <c r="A191" s="239" t="n">
        <v>40</v>
      </c>
      <c r="B191" s="239" t="inlineStr">
        <is>
          <t>가공완제품 ➡️ 농산물 원물 오등록</t>
        </is>
      </c>
      <c r="C191" s="239" t="inlineStr">
        <is>
          <t>기존 참여 지속</t>
        </is>
      </c>
      <c r="D191" s="239" t="inlineStr">
        <is>
          <t>농산물</t>
        </is>
      </c>
      <c r="E191" s="239" t="inlineStr">
        <is>
          <t>지마켓</t>
        </is>
      </c>
      <c r="F191" s="240" t="inlineStr">
        <is>
          <t>초림단지묵</t>
        </is>
      </c>
      <c r="G191" s="239" t="inlineStr">
        <is>
          <t>615-14-93195</t>
        </is>
      </c>
      <c r="H191" s="240" t="inlineStr">
        <is>
          <t>초림단지묵 국산 콩물 콩가루 400g 4인분 물만타면 콩국수</t>
        </is>
      </c>
      <c r="I191" s="173" t="inlineStr">
        <is>
          <t>농산물</t>
        </is>
      </c>
      <c r="J191" s="241" t="inlineStr">
        <is>
          <t>가공식품(제조가공품)</t>
        </is>
      </c>
      <c r="K191" s="182" t="n">
        <v>54000</v>
      </c>
      <c r="L191" s="182" t="n">
        <v>3</v>
      </c>
      <c r="M191" s="182" t="n">
        <v>0</v>
      </c>
      <c r="N191" s="240" t="inlineStr">
        <is>
          <t>제조가공식품(곡류가공품(콩가루))이나 1차 신선 농산물 원물로 오등록됨</t>
        </is>
      </c>
    </row>
    <row r="192" ht="20" customHeight="1" s="21">
      <c r="A192" s="239" t="n">
        <v>41</v>
      </c>
      <c r="B192" s="239" t="inlineStr">
        <is>
          <t>조미가공육 ➡️ 축산물 오등록</t>
        </is>
      </c>
      <c r="C192" s="239" t="inlineStr">
        <is>
          <t>기존 참여 지속</t>
        </is>
      </c>
      <c r="D192" s="239" t="inlineStr">
        <is>
          <t>농산물</t>
        </is>
      </c>
      <c r="E192" s="239" t="inlineStr">
        <is>
          <t>오아시스</t>
        </is>
      </c>
      <c r="F192" s="240" t="inlineStr">
        <is>
          <t>농업회사법인 주식회사 팔농</t>
        </is>
      </c>
      <c r="G192" s="239" t="inlineStr">
        <is>
          <t>797-88-03152</t>
        </is>
      </c>
      <c r="H192" s="240" t="inlineStr">
        <is>
          <t>안동한우양반곱창 한우곱창 200gX2팩 (400g)</t>
        </is>
      </c>
      <c r="I192" s="173" t="inlineStr">
        <is>
          <t>축산물</t>
        </is>
      </c>
      <c r="J192" s="241" t="inlineStr">
        <is>
          <t>가공식품(식육가공품)</t>
        </is>
      </c>
      <c r="K192" s="182" t="n">
        <v>127200</v>
      </c>
      <c r="L192" s="182" t="n">
        <v>4</v>
      </c>
      <c r="M192" s="182" t="n">
        <v>19080</v>
      </c>
      <c r="N192" s="240" t="inlineStr">
        <is>
          <t>식육가공품(양념/가공육(곱창/대창))이나 1차 생육 축산물로 오등록됨</t>
        </is>
      </c>
    </row>
    <row r="193" ht="20" customHeight="1" s="21">
      <c r="A193" s="239" t="n">
        <v>42</v>
      </c>
      <c r="B193" s="239" t="inlineStr">
        <is>
          <t>조미가공육 ➡️ 축산물 오등록</t>
        </is>
      </c>
      <c r="C193" s="239" t="inlineStr">
        <is>
          <t>기존 참여 지속</t>
        </is>
      </c>
      <c r="D193" s="239" t="inlineStr">
        <is>
          <t>농산물</t>
        </is>
      </c>
      <c r="E193" s="239" t="inlineStr">
        <is>
          <t>오아시스</t>
        </is>
      </c>
      <c r="F193" s="240" t="inlineStr">
        <is>
          <t>농업회사법인 주식회사 팔농</t>
        </is>
      </c>
      <c r="G193" s="239" t="inlineStr">
        <is>
          <t>797-88-03152</t>
        </is>
      </c>
      <c r="H193" s="240" t="inlineStr">
        <is>
          <t>안동한우양반곱창 한우곱창200g+한우대창200g 2종세트</t>
        </is>
      </c>
      <c r="I193" s="173" t="inlineStr">
        <is>
          <t>축산물</t>
        </is>
      </c>
      <c r="J193" s="241" t="inlineStr">
        <is>
          <t>가공식품(식육가공품)</t>
        </is>
      </c>
      <c r="K193" s="182" t="n">
        <v>29800</v>
      </c>
      <c r="L193" s="182" t="n">
        <v>1</v>
      </c>
      <c r="M193" s="182" t="n">
        <v>5960</v>
      </c>
      <c r="N193" s="240" t="inlineStr">
        <is>
          <t>식육가공품(양념/가공육(곱창/대창))이나 1차 생육 축산물로 오등록됨</t>
        </is>
      </c>
    </row>
    <row r="194" ht="20" customHeight="1" s="21">
      <c r="A194" s="239" t="n">
        <v>43</v>
      </c>
      <c r="B194" s="239" t="inlineStr">
        <is>
          <t>조미가공육 ➡️ 축산물 오등록</t>
        </is>
      </c>
      <c r="C194" s="239" t="inlineStr">
        <is>
          <t>기존 참여 지속</t>
        </is>
      </c>
      <c r="D194" s="239" t="inlineStr">
        <is>
          <t>농산물</t>
        </is>
      </c>
      <c r="E194" s="239" t="inlineStr">
        <is>
          <t>오아시스</t>
        </is>
      </c>
      <c r="F194" s="240" t="inlineStr">
        <is>
          <t>농업회사법인 주식회사 팔농</t>
        </is>
      </c>
      <c r="G194" s="239" t="inlineStr">
        <is>
          <t>797-88-03152</t>
        </is>
      </c>
      <c r="H194" s="240" t="inlineStr">
        <is>
          <t>안동한우양반곱창 한우곱창200g+한우막창200g 2종세트</t>
        </is>
      </c>
      <c r="I194" s="173" t="inlineStr">
        <is>
          <t>축산물</t>
        </is>
      </c>
      <c r="J194" s="241" t="inlineStr">
        <is>
          <t>가공식품(식육가공품)</t>
        </is>
      </c>
      <c r="K194" s="182" t="n">
        <v>28800</v>
      </c>
      <c r="L194" s="182" t="n">
        <v>1</v>
      </c>
      <c r="M194" s="182" t="n">
        <v>5760</v>
      </c>
      <c r="N194" s="240" t="inlineStr">
        <is>
          <t>식육가공품(양념/가공육(곱창/대창))이나 1차 생육 축산물로 오등록됨</t>
        </is>
      </c>
    </row>
    <row r="195" ht="20" customHeight="1" s="21">
      <c r="A195" s="239" t="n">
        <v>44</v>
      </c>
      <c r="B195" s="239" t="inlineStr">
        <is>
          <t>조미가공육 ➡️ 축산물 오등록</t>
        </is>
      </c>
      <c r="C195" s="239" t="inlineStr">
        <is>
          <t>기존 참여 지속</t>
        </is>
      </c>
      <c r="D195" s="239" t="inlineStr">
        <is>
          <t>농산물</t>
        </is>
      </c>
      <c r="E195" s="239" t="inlineStr">
        <is>
          <t>오아시스</t>
        </is>
      </c>
      <c r="F195" s="240" t="inlineStr">
        <is>
          <t>농업회사법인 주식회사 팔농</t>
        </is>
      </c>
      <c r="G195" s="239" t="inlineStr">
        <is>
          <t>797-88-03152</t>
        </is>
      </c>
      <c r="H195" s="240" t="inlineStr">
        <is>
          <t>안동한우양반곱창 한우곱창200g+한우염통200g 2종세트</t>
        </is>
      </c>
      <c r="I195" s="173" t="inlineStr">
        <is>
          <t>축산물</t>
        </is>
      </c>
      <c r="J195" s="241" t="inlineStr">
        <is>
          <t>가공식품(식육가공품)</t>
        </is>
      </c>
      <c r="K195" s="182" t="n">
        <v>0</v>
      </c>
      <c r="L195" s="182" t="n">
        <v>0</v>
      </c>
      <c r="M195" s="182" t="n">
        <v>0</v>
      </c>
      <c r="N195" s="240" t="inlineStr">
        <is>
          <t>식육가공품(양념/가공육(곱창/대창))이나 1차 생육 축산물로 오등록됨</t>
        </is>
      </c>
    </row>
    <row r="196" ht="20" customHeight="1" s="21">
      <c r="A196" s="239" t="n">
        <v>45</v>
      </c>
      <c r="B196" s="239" t="inlineStr">
        <is>
          <t>가공완제품 ➡️ 농산물 원물 오등록</t>
        </is>
      </c>
      <c r="C196" s="239" t="inlineStr">
        <is>
          <t>기존 참여 지속</t>
        </is>
      </c>
      <c r="D196" s="239" t="inlineStr">
        <is>
          <t>유기농</t>
        </is>
      </c>
      <c r="E196" s="239" t="inlineStr">
        <is>
          <t>오아시스</t>
        </is>
      </c>
      <c r="F196" s="240" t="inlineStr">
        <is>
          <t>해담는집</t>
        </is>
      </c>
      <c r="G196" s="239" t="inlineStr">
        <is>
          <t>745-96-00315</t>
        </is>
      </c>
      <c r="H196" s="240" t="inlineStr">
        <is>
          <t>해담는집 유기농 고춧가루 500g/200g(순한맛/보통맛/매운맛)</t>
        </is>
      </c>
      <c r="I196" s="173" t="inlineStr">
        <is>
          <t>농산물</t>
        </is>
      </c>
      <c r="J196" s="241" t="inlineStr">
        <is>
          <t>가공식품(제조가공품)</t>
        </is>
      </c>
      <c r="K196" s="182" t="n">
        <v>208400</v>
      </c>
      <c r="L196" s="182" t="n">
        <v>6</v>
      </c>
      <c r="M196" s="182" t="n">
        <v>35006</v>
      </c>
      <c r="N196" s="240" t="inlineStr">
        <is>
          <t>제조가공식품(조미식품(고춧가루))이나 1차 신선 농산물 원물로 오등록됨</t>
        </is>
      </c>
    </row>
    <row r="197" ht="22" customHeight="1" s="21">
      <c r="A197" s="242" t="inlineStr">
        <is>
          <t>합 계</t>
        </is>
      </c>
      <c r="B197" s="243" t="inlineStr">
        <is>
          <t>7월 이상치 45건 총계</t>
        </is>
      </c>
      <c r="C197" s="244" t="inlineStr"/>
      <c r="D197" s="244" t="inlineStr"/>
      <c r="E197" s="244" t="inlineStr"/>
      <c r="F197" s="244" t="inlineStr"/>
      <c r="G197" s="244" t="inlineStr"/>
      <c r="H197" s="244" t="inlineStr"/>
      <c r="I197" s="244" t="inlineStr"/>
      <c r="J197" s="244" t="inlineStr"/>
      <c r="K197" s="245" t="n">
        <v>104731260</v>
      </c>
      <c r="L197" s="245" t="n">
        <v>3721</v>
      </c>
      <c r="M197" s="245" t="n">
        <v>9373286</v>
      </c>
      <c r="N197" s="248" t="inlineStr">
        <is>
          <t>유통사 카테고리 매핑 수정 권고</t>
        </is>
      </c>
    </row>
    <row r="198" ht="20" customHeight="1" s="21"/>
    <row r="199" ht="20" customHeight="1" s="21"/>
    <row r="200" ht="20" customHeight="1" s="21"/>
    <row r="201" ht="20" customHeight="1" s="21"/>
    <row r="202" ht="20" customHeight="1" s="21"/>
    <row r="203" ht="20" customHeight="1" s="21"/>
    <row r="204" ht="20" customHeight="1" s="21"/>
    <row r="205" ht="20" customHeight="1" s="21"/>
    <row r="206" ht="20" customHeight="1" s="21"/>
    <row r="207" ht="20" customHeight="1" s="21"/>
    <row r="208" ht="20" customHeight="1" s="21"/>
    <row r="209" ht="20" customHeight="1" s="21"/>
    <row r="210" ht="20" customHeight="1" s="21"/>
    <row r="211" ht="20" customHeight="1" s="21"/>
    <row r="212" ht="20" customHeight="1" s="21"/>
    <row r="213" ht="20" customHeight="1" s="21"/>
    <row r="214" ht="20" customHeight="1" s="21"/>
    <row r="215" ht="20" customHeight="1" s="21"/>
    <row r="216" ht="20" customHeight="1" s="21"/>
    <row r="217" ht="20" customHeight="1" s="21"/>
    <row r="218" ht="20" customHeight="1" s="21"/>
    <row r="219" ht="20" customHeight="1" s="21"/>
    <row r="220" ht="20" customHeight="1" s="21"/>
    <row r="221" ht="20" customHeight="1" s="21"/>
    <row r="222" ht="20" customHeight="1" s="21"/>
    <row r="223" ht="22" customHeight="1" s="21"/>
  </sheetData>
  <mergeCells count="2">
    <mergeCell ref="C223:K223"/>
    <mergeCell ref="C120:K1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1" workbookViewId="0">
      <selection activeCell="A1" sqref="A1"/>
    </sheetView>
  </sheetViews>
  <sheetFormatPr baseColWidth="8" defaultRowHeight="15"/>
  <cols>
    <col width="1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</cols>
  <sheetData>
    <row r="2">
      <c r="B2" s="175" t="inlineStr">
        <is>
          <t>로우데이터 기반 수동 피벗(Pivot Table) 집계 vs 분석 시트 전수 대조 검증표</t>
        </is>
      </c>
    </row>
    <row r="3">
      <c r="B3" s="176" t="inlineStr">
        <is>
          <t>※ 로우데이터 1,651개 행을 피벗 집계하여 7월을 차감한 수치와 '분석' 시트의 SUMIFS 공식 수치 간 1원/1건 단위 전수 대조</t>
        </is>
      </c>
    </row>
    <row r="5">
      <c r="B5" s="157" t="inlineStr">
        <is>
          <t>1. [농산물 온라인 마케터] 유통사별 피벗 집계 vs 분석 시트 대조 (8월 순수 실적)</t>
        </is>
      </c>
    </row>
    <row r="6">
      <c r="B6" s="158" t="inlineStr">
        <is>
          <t>유통사명</t>
        </is>
      </c>
      <c r="C6" s="158" t="inlineStr">
        <is>
          <t>피벗 매출액(원)</t>
        </is>
      </c>
      <c r="D6" s="158" t="inlineStr">
        <is>
          <t>분석시트 매출액</t>
        </is>
      </c>
      <c r="E6" s="158" t="inlineStr">
        <is>
          <t>매출 오차</t>
        </is>
      </c>
      <c r="F6" s="158" t="inlineStr">
        <is>
          <t>피벗 판촉액(원)</t>
        </is>
      </c>
      <c r="G6" s="158" t="inlineStr">
        <is>
          <t>분석시트 판촉액</t>
        </is>
      </c>
      <c r="H6" s="158" t="inlineStr">
        <is>
          <t>판촉액 오차</t>
        </is>
      </c>
      <c r="I6" s="158" t="inlineStr">
        <is>
          <t>피벗 판매건수</t>
        </is>
      </c>
      <c r="J6" s="158" t="inlineStr">
        <is>
          <t>분석시트 건수</t>
        </is>
      </c>
      <c r="K6" s="158" t="inlineStr">
        <is>
          <t>건수 오차</t>
        </is>
      </c>
      <c r="L6" s="158" t="inlineStr">
        <is>
          <t>검증 판정</t>
        </is>
      </c>
    </row>
    <row r="7">
      <c r="B7" s="168" t="inlineStr">
        <is>
          <t>네이버</t>
        </is>
      </c>
      <c r="C7" s="170" t="n">
        <v>1753708870</v>
      </c>
      <c r="D7" s="170" t="n">
        <v>1753708870</v>
      </c>
      <c r="E7" s="170" t="n">
        <v>0</v>
      </c>
      <c r="F7" s="170" t="n">
        <v>40427410</v>
      </c>
      <c r="G7" s="170" t="n">
        <v>40427410</v>
      </c>
      <c r="H7" s="170" t="n">
        <v>0</v>
      </c>
      <c r="I7" s="170" t="n">
        <v>68547</v>
      </c>
      <c r="J7" s="170" t="n">
        <v>68547</v>
      </c>
      <c r="K7" s="170" t="n">
        <v>0</v>
      </c>
      <c r="L7" s="162" t="inlineStr">
        <is>
          <t>100% 일치</t>
        </is>
      </c>
    </row>
    <row r="8">
      <c r="B8" s="168" t="inlineStr">
        <is>
          <t>지마켓</t>
        </is>
      </c>
      <c r="C8" s="170" t="n">
        <v>578020340</v>
      </c>
      <c r="D8" s="170" t="n">
        <v>578020340</v>
      </c>
      <c r="E8" s="170" t="n">
        <v>0</v>
      </c>
      <c r="F8" s="170" t="n">
        <v>30255530</v>
      </c>
      <c r="G8" s="170" t="n">
        <v>30255530</v>
      </c>
      <c r="H8" s="170" t="n">
        <v>0</v>
      </c>
      <c r="I8" s="170" t="n">
        <v>29453</v>
      </c>
      <c r="J8" s="170" t="n">
        <v>29453</v>
      </c>
      <c r="K8" s="170" t="n">
        <v>0</v>
      </c>
      <c r="L8" s="162" t="inlineStr">
        <is>
          <t>100% 일치</t>
        </is>
      </c>
    </row>
    <row r="9">
      <c r="B9" s="168" t="inlineStr">
        <is>
          <t>롯데ON</t>
        </is>
      </c>
      <c r="C9" s="170" t="n">
        <v>82976410</v>
      </c>
      <c r="D9" s="170" t="n">
        <v>82976410</v>
      </c>
      <c r="E9" s="170" t="n">
        <v>0</v>
      </c>
      <c r="F9" s="170" t="n">
        <v>12110560</v>
      </c>
      <c r="G9" s="170" t="n">
        <v>12110560</v>
      </c>
      <c r="H9" s="170" t="n">
        <v>0</v>
      </c>
      <c r="I9" s="170" t="n">
        <v>2577</v>
      </c>
      <c r="J9" s="170" t="n">
        <v>2577</v>
      </c>
      <c r="K9" s="170" t="n">
        <v>0</v>
      </c>
      <c r="L9" s="162" t="inlineStr">
        <is>
          <t>100% 일치</t>
        </is>
      </c>
    </row>
    <row r="10">
      <c r="B10" s="168" t="inlineStr">
        <is>
          <t>온누리마켓</t>
        </is>
      </c>
      <c r="C10" s="170" t="n">
        <v>53636800</v>
      </c>
      <c r="D10" s="170" t="n">
        <v>53636800</v>
      </c>
      <c r="E10" s="170" t="n">
        <v>0</v>
      </c>
      <c r="F10" s="170" t="n">
        <v>8399420</v>
      </c>
      <c r="G10" s="170" t="n">
        <v>8399420</v>
      </c>
      <c r="H10" s="170" t="n">
        <v>0</v>
      </c>
      <c r="I10" s="170" t="n">
        <v>1804</v>
      </c>
      <c r="J10" s="170" t="n">
        <v>1804</v>
      </c>
      <c r="K10" s="170" t="n">
        <v>0</v>
      </c>
      <c r="L10" s="162" t="inlineStr">
        <is>
          <t>100% 일치</t>
        </is>
      </c>
    </row>
    <row r="11">
      <c r="B11" s="168" t="inlineStr">
        <is>
          <t>농가살리기</t>
        </is>
      </c>
      <c r="C11" s="170" t="n">
        <v>247036467</v>
      </c>
      <c r="D11" s="170" t="n">
        <v>247036467</v>
      </c>
      <c r="E11" s="170" t="n">
        <v>0</v>
      </c>
      <c r="F11" s="170" t="n">
        <v>4112540</v>
      </c>
      <c r="G11" s="170" t="n">
        <v>4112540</v>
      </c>
      <c r="H11" s="170" t="n">
        <v>0</v>
      </c>
      <c r="I11" s="170" t="n">
        <v>16004</v>
      </c>
      <c r="J11" s="170" t="n">
        <v>16004</v>
      </c>
      <c r="K11" s="170" t="n">
        <v>0</v>
      </c>
      <c r="L11" s="162" t="inlineStr">
        <is>
          <t>100% 일치</t>
        </is>
      </c>
    </row>
    <row r="12">
      <c r="B12" s="168" t="inlineStr">
        <is>
          <t>오아시스</t>
        </is>
      </c>
      <c r="C12" s="170" t="n">
        <v>575740180</v>
      </c>
      <c r="D12" s="170" t="n">
        <v>575740180</v>
      </c>
      <c r="E12" s="170" t="n">
        <v>0</v>
      </c>
      <c r="F12" s="170" t="n">
        <v>7485204</v>
      </c>
      <c r="G12" s="170" t="n">
        <v>7485204</v>
      </c>
      <c r="H12" s="170" t="n">
        <v>0</v>
      </c>
      <c r="I12" s="170" t="n">
        <v>130274</v>
      </c>
      <c r="J12" s="170" t="n">
        <v>130274</v>
      </c>
      <c r="K12" s="170" t="n">
        <v>0</v>
      </c>
      <c r="L12" s="162" t="inlineStr">
        <is>
          <t>100% 일치</t>
        </is>
      </c>
    </row>
    <row r="13">
      <c r="B13" s="159" t="inlineStr">
        <is>
          <t>총 계</t>
        </is>
      </c>
      <c r="C13" s="177" t="n">
        <v>3291119067</v>
      </c>
      <c r="D13" s="177" t="n">
        <v>3291119067</v>
      </c>
      <c r="E13" s="177" t="n">
        <v>0</v>
      </c>
      <c r="F13" s="177" t="n">
        <v>102790664</v>
      </c>
      <c r="G13" s="177" t="n">
        <v>102790664</v>
      </c>
      <c r="H13" s="177" t="n">
        <v>0</v>
      </c>
      <c r="I13" s="177" t="n">
        <v>248659</v>
      </c>
      <c r="J13" s="177" t="n">
        <v>248659</v>
      </c>
      <c r="K13" s="177" t="n">
        <v>0</v>
      </c>
      <c r="L13" s="178" t="inlineStr">
        <is>
          <t>오차 0원 / 일치</t>
        </is>
      </c>
    </row>
    <row r="16">
      <c r="B16" s="157" t="inlineStr">
        <is>
          <t>2. [유기농 기획전] 유통사별 피벗 집계 vs 분석 시트 대조 (8월 순수 실적)</t>
        </is>
      </c>
    </row>
    <row r="17">
      <c r="B17" s="158" t="inlineStr">
        <is>
          <t>유통사명</t>
        </is>
      </c>
      <c r="C17" s="158" t="inlineStr">
        <is>
          <t>피벗 매출액(원)</t>
        </is>
      </c>
      <c r="D17" s="158" t="inlineStr">
        <is>
          <t>분석시트 매출액</t>
        </is>
      </c>
      <c r="E17" s="158" t="inlineStr">
        <is>
          <t>매출 오차</t>
        </is>
      </c>
      <c r="F17" s="158" t="inlineStr">
        <is>
          <t>피벗 판촉액(원)</t>
        </is>
      </c>
      <c r="G17" s="158" t="inlineStr">
        <is>
          <t>분석시트 판촉액</t>
        </is>
      </c>
      <c r="H17" s="158" t="inlineStr">
        <is>
          <t>판촉액 오차</t>
        </is>
      </c>
      <c r="I17" s="158" t="inlineStr">
        <is>
          <t>피벗 판매건수</t>
        </is>
      </c>
      <c r="J17" s="158" t="inlineStr">
        <is>
          <t>분석시트 건수</t>
        </is>
      </c>
      <c r="K17" s="158" t="inlineStr">
        <is>
          <t>건수 오차</t>
        </is>
      </c>
      <c r="L17" s="158" t="inlineStr">
        <is>
          <t>검증 판정</t>
        </is>
      </c>
    </row>
    <row r="18">
      <c r="B18" s="168" t="inlineStr">
        <is>
          <t>네이버</t>
        </is>
      </c>
      <c r="C18" s="170" t="n">
        <v>163153890</v>
      </c>
      <c r="D18" s="170" t="n">
        <v>163153890</v>
      </c>
      <c r="E18" s="170" t="n">
        <v>0</v>
      </c>
      <c r="F18" s="170" t="n">
        <v>13894790</v>
      </c>
      <c r="G18" s="170" t="n">
        <v>13894790</v>
      </c>
      <c r="H18" s="170" t="n">
        <v>0</v>
      </c>
      <c r="I18" s="170" t="n">
        <v>6420</v>
      </c>
      <c r="J18" s="170" t="n">
        <v>6420</v>
      </c>
      <c r="K18" s="170" t="n">
        <v>0</v>
      </c>
      <c r="L18" s="162" t="inlineStr">
        <is>
          <t>100% 일치</t>
        </is>
      </c>
    </row>
    <row r="19">
      <c r="B19" s="168" t="inlineStr">
        <is>
          <t>오아시스</t>
        </is>
      </c>
      <c r="C19" s="170" t="n">
        <v>643403790</v>
      </c>
      <c r="D19" s="170" t="n">
        <v>643403790</v>
      </c>
      <c r="E19" s="170" t="n">
        <v>0</v>
      </c>
      <c r="F19" s="170" t="n">
        <v>10412848</v>
      </c>
      <c r="G19" s="170" t="n">
        <v>10412848</v>
      </c>
      <c r="H19" s="170" t="n">
        <v>0</v>
      </c>
      <c r="I19" s="170" t="n">
        <v>146836</v>
      </c>
      <c r="J19" s="170" t="n">
        <v>146836</v>
      </c>
      <c r="K19" s="170" t="n">
        <v>0</v>
      </c>
      <c r="L19" s="162" t="inlineStr">
        <is>
          <t>100% 일치</t>
        </is>
      </c>
    </row>
    <row r="20">
      <c r="B20" s="159" t="inlineStr">
        <is>
          <t>총 계</t>
        </is>
      </c>
      <c r="C20" s="177" t="n">
        <v>806557680</v>
      </c>
      <c r="D20" s="177" t="n">
        <v>806557680</v>
      </c>
      <c r="E20" s="177" t="n">
        <v>0</v>
      </c>
      <c r="F20" s="177" t="n">
        <v>24307638</v>
      </c>
      <c r="G20" s="177" t="n">
        <v>24307638</v>
      </c>
      <c r="H20" s="177" t="n">
        <v>0</v>
      </c>
      <c r="I20" s="177" t="n">
        <v>153256</v>
      </c>
      <c r="J20" s="177" t="n">
        <v>153256</v>
      </c>
      <c r="K20" s="177" t="n">
        <v>0</v>
      </c>
      <c r="L20" s="178" t="inlineStr">
        <is>
          <t>오차 0원 / 일치</t>
        </is>
      </c>
    </row>
    <row r="23">
      <c r="B23" s="157" t="inlineStr">
        <is>
          <t>3. 품목분류별 피벗 집계 vs 분석 시트 대조 (8월 순수 실적)</t>
        </is>
      </c>
    </row>
    <row r="24">
      <c r="B24" s="158" t="inlineStr">
        <is>
          <t>품목구분</t>
        </is>
      </c>
      <c r="C24" s="158" t="inlineStr">
        <is>
          <t>농산물마케터 피벗매출</t>
        </is>
      </c>
      <c r="D24" s="158" t="inlineStr">
        <is>
          <t>분석시트 매출</t>
        </is>
      </c>
      <c r="E24" s="158" t="inlineStr">
        <is>
          <t>오차</t>
        </is>
      </c>
      <c r="F24" s="158" t="inlineStr">
        <is>
          <t>유기농 피벗매출</t>
        </is>
      </c>
      <c r="G24" s="158" t="inlineStr">
        <is>
          <t>분석시트 매출</t>
        </is>
      </c>
      <c r="H24" s="158" t="inlineStr">
        <is>
          <t>오차</t>
        </is>
      </c>
      <c r="I24" s="158" t="inlineStr">
        <is>
          <t>합계 매출</t>
        </is>
      </c>
      <c r="J24" s="158" t="inlineStr">
        <is>
          <t>검증 판정</t>
        </is>
      </c>
    </row>
    <row r="25">
      <c r="B25" s="168" t="inlineStr">
        <is>
          <t>농산물</t>
        </is>
      </c>
      <c r="C25" s="170" t="n">
        <v>1430067731</v>
      </c>
      <c r="D25" s="170" t="n">
        <v>1430067731</v>
      </c>
      <c r="E25" s="170" t="n">
        <v>0</v>
      </c>
      <c r="F25" s="170" t="n">
        <v>576101240</v>
      </c>
      <c r="G25" s="170" t="n">
        <v>576101240</v>
      </c>
      <c r="H25" s="170" t="n">
        <v>0</v>
      </c>
      <c r="I25" s="170" t="n">
        <v>2006168971</v>
      </c>
      <c r="J25" s="162" t="inlineStr">
        <is>
          <t>100% 일치</t>
        </is>
      </c>
    </row>
    <row r="26">
      <c r="B26" s="168" t="inlineStr">
        <is>
          <t>축산물</t>
        </is>
      </c>
      <c r="C26" s="170" t="n">
        <v>421329860</v>
      </c>
      <c r="D26" s="170" t="n">
        <v>421329860</v>
      </c>
      <c r="E26" s="170" t="n">
        <v>0</v>
      </c>
      <c r="F26" s="170" t="n">
        <v>4303100</v>
      </c>
      <c r="G26" s="170" t="n">
        <v>4303100</v>
      </c>
      <c r="H26" s="170" t="n">
        <v>0</v>
      </c>
      <c r="I26" s="170" t="n">
        <v>425632960</v>
      </c>
      <c r="J26" s="162" t="inlineStr">
        <is>
          <t>100% 일치</t>
        </is>
      </c>
    </row>
    <row r="27">
      <c r="B27" s="168" t="inlineStr">
        <is>
          <t>가공식품</t>
        </is>
      </c>
      <c r="C27" s="170" t="n">
        <v>1439721476</v>
      </c>
      <c r="D27" s="170" t="n">
        <v>1439721476</v>
      </c>
      <c r="E27" s="170" t="n">
        <v>0</v>
      </c>
      <c r="F27" s="170" t="n">
        <v>226153340</v>
      </c>
      <c r="G27" s="170" t="n">
        <v>226153340</v>
      </c>
      <c r="H27" s="170" t="n">
        <v>0</v>
      </c>
      <c r="I27" s="170" t="n">
        <v>1665874816</v>
      </c>
      <c r="J27" s="162" t="inlineStr">
        <is>
          <t>100% 일치</t>
        </is>
      </c>
    </row>
    <row r="28">
      <c r="B28" s="159" t="inlineStr">
        <is>
          <t>소계 합계</t>
        </is>
      </c>
      <c r="C28" s="177" t="n">
        <v>3291119067</v>
      </c>
      <c r="D28" s="177" t="n">
        <v>3291119067</v>
      </c>
      <c r="E28" s="177" t="n">
        <v>0</v>
      </c>
      <c r="F28" s="177" t="n">
        <v>806557680</v>
      </c>
      <c r="G28" s="177" t="n">
        <v>806557680</v>
      </c>
      <c r="H28" s="177" t="n">
        <v>0</v>
      </c>
      <c r="I28" s="177" t="n">
        <v>4097676747</v>
      </c>
      <c r="J28" s="178" t="inlineStr">
        <is>
          <t>오차 0원 / 일치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I2" sqref="I2"/>
    </sheetView>
  </sheetViews>
  <sheetFormatPr baseColWidth="8" defaultRowHeight="17.4"/>
  <cols>
    <col width="10.3984375" customWidth="1" style="21" min="1" max="1"/>
    <col width="8.19921875" customWidth="1" style="26" min="2" max="2"/>
    <col width="16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7.8984375" bestFit="1" customWidth="1" style="26" min="9" max="9"/>
  </cols>
  <sheetData>
    <row r="1">
      <c r="A1" s="0" t="n"/>
      <c r="D1" s="0" t="n"/>
      <c r="F1" s="179" t="n">
        <v>475218</v>
      </c>
      <c r="G1" s="179" t="n">
        <v>6227333500</v>
      </c>
      <c r="H1" s="179" t="n">
        <v>266369319</v>
      </c>
      <c r="I1" s="180" t="n">
        <v>192</v>
      </c>
    </row>
    <row r="2">
      <c r="A2" s="18" t="inlineStr">
        <is>
          <t>NO</t>
        </is>
      </c>
      <c r="B2" s="18" t="inlineStr">
        <is>
          <t>구분</t>
        </is>
      </c>
      <c r="C2" s="18" t="inlineStr">
        <is>
          <t>사업자등록번호</t>
        </is>
      </c>
      <c r="D2" s="18" t="inlineStr">
        <is>
          <t>업체명</t>
        </is>
      </c>
      <c r="E2" s="18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511-87-00286</t>
        </is>
      </c>
      <c r="D3" s="76" t="inlineStr">
        <is>
          <t>농업회사법인 영주마실(주)</t>
        </is>
      </c>
      <c r="E3" s="24" t="inlineStr">
        <is>
          <t>롯데온</t>
        </is>
      </c>
      <c r="F3" s="170" t="n">
        <v>0</v>
      </c>
      <c r="G3" s="170" t="n">
        <v>0</v>
      </c>
      <c r="H3" s="182" t="n">
        <v>0</v>
      </c>
      <c r="I3" s="183" t="inlineStr"/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302-81-25814</t>
        </is>
      </c>
      <c r="D4" s="76" t="inlineStr">
        <is>
          <t>영동감협동조합</t>
        </is>
      </c>
      <c r="E4" s="24" t="inlineStr">
        <is>
          <t>롯데온</t>
        </is>
      </c>
      <c r="F4" s="170" t="n">
        <v>8</v>
      </c>
      <c r="G4" s="170" t="n">
        <v>316300</v>
      </c>
      <c r="H4" s="182" t="n">
        <v>46330</v>
      </c>
      <c r="I4" s="183" t="inlineStr">
        <is>
          <t>O</t>
        </is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도약</t>
        </is>
      </c>
      <c r="C5" s="24" t="inlineStr">
        <is>
          <t>449-92-01723</t>
        </is>
      </c>
      <c r="D5" s="76" t="inlineStr">
        <is>
          <t>채씨네표고농원</t>
        </is>
      </c>
      <c r="E5" s="24" t="inlineStr">
        <is>
          <t>네이버</t>
        </is>
      </c>
      <c r="F5" s="170" t="n">
        <v>130</v>
      </c>
      <c r="G5" s="170" t="n">
        <v>4155000</v>
      </c>
      <c r="H5" s="182" t="n">
        <v>346200</v>
      </c>
      <c r="I5" s="183" t="inlineStr">
        <is>
          <t>O</t>
        </is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406-82-02051</t>
        </is>
      </c>
      <c r="D6" s="76" t="inlineStr">
        <is>
          <t>구천동농업협동조합</t>
        </is>
      </c>
      <c r="E6" s="24" t="inlineStr">
        <is>
          <t>네이버</t>
        </is>
      </c>
      <c r="F6" s="170" t="n">
        <v>0</v>
      </c>
      <c r="G6" s="170" t="n">
        <v>0</v>
      </c>
      <c r="H6" s="182" t="n">
        <v>0</v>
      </c>
      <c r="I6" s="183" t="inlineStr"/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529-44-01222</t>
        </is>
      </c>
      <c r="D7" s="76" t="inlineStr">
        <is>
          <t>나뚜라리농원</t>
        </is>
      </c>
      <c r="E7" s="24" t="inlineStr">
        <is>
          <t>네이버</t>
        </is>
      </c>
      <c r="F7" s="170" t="n">
        <v>124</v>
      </c>
      <c r="G7" s="170" t="n">
        <v>5319400</v>
      </c>
      <c r="H7" s="182" t="n">
        <v>477360</v>
      </c>
      <c r="I7" s="183" t="inlineStr">
        <is>
          <t>O</t>
        </is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73" t="inlineStr">
        <is>
          <t>416-81-92591</t>
        </is>
      </c>
      <c r="D8" s="76" t="inlineStr">
        <is>
          <t>좋은세상협동조합</t>
        </is>
      </c>
      <c r="E8" s="24" t="inlineStr">
        <is>
          <t>롯데온</t>
        </is>
      </c>
      <c r="F8" s="170" t="n">
        <v>0</v>
      </c>
      <c r="G8" s="170" t="n">
        <v>0</v>
      </c>
      <c r="H8" s="182" t="n">
        <v>0</v>
      </c>
      <c r="I8" s="183" t="inlineStr"/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516-88-01860</t>
        </is>
      </c>
      <c r="D9" s="76" t="inlineStr">
        <is>
          <t>주식회사 농업회사법인 에상스팜</t>
        </is>
      </c>
      <c r="E9" s="24" t="inlineStr">
        <is>
          <t>롯데온</t>
        </is>
      </c>
      <c r="F9" s="170" t="n">
        <v>1999</v>
      </c>
      <c r="G9" s="170" t="n">
        <v>23281100</v>
      </c>
      <c r="H9" s="182" t="n">
        <v>4157060</v>
      </c>
      <c r="I9" s="183" t="inlineStr">
        <is>
          <t>O</t>
        </is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709-22-01767</t>
        </is>
      </c>
      <c r="D10" s="76" t="inlineStr">
        <is>
          <t>푸드상상</t>
        </is>
      </c>
      <c r="E10" s="24" t="inlineStr">
        <is>
          <t>롯데온</t>
        </is>
      </c>
      <c r="F10" s="170" t="n">
        <v>0</v>
      </c>
      <c r="G10" s="170" t="n">
        <v>0</v>
      </c>
      <c r="H10" s="182" t="n">
        <v>0</v>
      </c>
      <c r="I10" s="183" t="inlineStr"/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시작</t>
        </is>
      </c>
      <c r="C11" s="24" t="inlineStr">
        <is>
          <t>104-12-14323</t>
        </is>
      </c>
      <c r="D11" s="76" t="inlineStr">
        <is>
          <t>교동앵무새힐링농장</t>
        </is>
      </c>
      <c r="E11" s="24" t="inlineStr">
        <is>
          <t>네이버</t>
        </is>
      </c>
      <c r="F11" s="170" t="n">
        <v>0</v>
      </c>
      <c r="G11" s="170" t="n">
        <v>0</v>
      </c>
      <c r="H11" s="182" t="n">
        <v>0</v>
      </c>
      <c r="I11" s="183" t="inlineStr"/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514-03-53195</t>
        </is>
      </c>
      <c r="D12" s="76" t="inlineStr">
        <is>
          <t>삼진식품</t>
        </is>
      </c>
      <c r="E12" s="24" t="inlineStr">
        <is>
          <t>롯데온</t>
        </is>
      </c>
      <c r="F12" s="170" t="n">
        <v>0</v>
      </c>
      <c r="G12" s="170" t="n">
        <v>0</v>
      </c>
      <c r="H12" s="182" t="n">
        <v>0</v>
      </c>
      <c r="I12" s="183" t="inlineStr"/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892-87-01864</t>
        </is>
      </c>
      <c r="D13" s="76" t="inlineStr">
        <is>
          <t>주식회사 마들</t>
        </is>
      </c>
      <c r="E13" s="24" t="inlineStr">
        <is>
          <t>지마켓</t>
        </is>
      </c>
      <c r="F13" s="170" t="n">
        <v>253</v>
      </c>
      <c r="G13" s="170" t="n">
        <v>5220720</v>
      </c>
      <c r="H13" s="182" t="n">
        <v>278100</v>
      </c>
      <c r="I13" s="183" t="inlineStr">
        <is>
          <t>O</t>
        </is>
      </c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803-88-01105</t>
        </is>
      </c>
      <c r="D14" s="76" t="inlineStr">
        <is>
          <t>오고농원(주)</t>
        </is>
      </c>
      <c r="E14" s="24" t="inlineStr">
        <is>
          <t>네이버</t>
        </is>
      </c>
      <c r="F14" s="170" t="n">
        <v>702</v>
      </c>
      <c r="G14" s="170" t="n">
        <v>31950500</v>
      </c>
      <c r="H14" s="182" t="n">
        <v>2604620</v>
      </c>
      <c r="I14" s="183" t="inlineStr">
        <is>
          <t>O</t>
        </is>
      </c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488-88-03205</t>
        </is>
      </c>
      <c r="D15" s="76" t="inlineStr">
        <is>
          <t>농업회사법인 랑이네세상 주식회사</t>
        </is>
      </c>
      <c r="E15" s="24" t="inlineStr">
        <is>
          <t>네이버</t>
        </is>
      </c>
      <c r="F15" s="170" t="n">
        <v>2007</v>
      </c>
      <c r="G15" s="170" t="n">
        <v>74676000</v>
      </c>
      <c r="H15" s="182" t="n">
        <v>4947920</v>
      </c>
      <c r="I15" s="183" t="inlineStr">
        <is>
          <t>O</t>
        </is>
      </c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성장</t>
        </is>
      </c>
      <c r="C16" s="24" t="inlineStr">
        <is>
          <t>784-24-00666</t>
        </is>
      </c>
      <c r="D16" s="76" t="inlineStr">
        <is>
          <t>거창오미자</t>
        </is>
      </c>
      <c r="E16" s="24" t="inlineStr">
        <is>
          <t>네이버</t>
        </is>
      </c>
      <c r="F16" s="170" t="n">
        <v>480</v>
      </c>
      <c r="G16" s="170" t="n">
        <v>18557000</v>
      </c>
      <c r="H16" s="182" t="n">
        <v>1065800</v>
      </c>
      <c r="I16" s="183" t="inlineStr">
        <is>
          <t>O</t>
        </is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시작</t>
        </is>
      </c>
      <c r="C17" s="24" t="inlineStr">
        <is>
          <t>888-94-01728</t>
        </is>
      </c>
      <c r="D17" s="76" t="inlineStr">
        <is>
          <t>파밍데이즈</t>
        </is>
      </c>
      <c r="E17" s="24" t="inlineStr">
        <is>
          <t>네이버</t>
        </is>
      </c>
      <c r="F17" s="170" t="n">
        <v>30</v>
      </c>
      <c r="G17" s="170" t="n">
        <v>599700</v>
      </c>
      <c r="H17" s="182" t="n">
        <v>33980</v>
      </c>
      <c r="I17" s="183" t="inlineStr">
        <is>
          <t>O</t>
        </is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도약</t>
        </is>
      </c>
      <c r="C18" s="24" t="inlineStr">
        <is>
          <t>128-90-57082</t>
        </is>
      </c>
      <c r="D18" s="76" t="inlineStr">
        <is>
          <t>산골과수원</t>
        </is>
      </c>
      <c r="E18" s="24" t="inlineStr">
        <is>
          <t>롯데온</t>
        </is>
      </c>
      <c r="F18" s="170" t="n">
        <v>0</v>
      </c>
      <c r="G18" s="170" t="n">
        <v>0</v>
      </c>
      <c r="H18" s="182" t="n">
        <v>0</v>
      </c>
      <c r="I18" s="183" t="inlineStr"/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도약</t>
        </is>
      </c>
      <c r="C19" s="24" t="inlineStr">
        <is>
          <t>626-86-01993</t>
        </is>
      </c>
      <c r="D19" s="76" t="inlineStr">
        <is>
          <t>농업회사법인 (주)자연의시간</t>
        </is>
      </c>
      <c r="E19" s="24" t="inlineStr">
        <is>
          <t>농가살리기</t>
        </is>
      </c>
      <c r="F19" s="170" t="n">
        <v>856</v>
      </c>
      <c r="G19" s="170" t="n">
        <v>10693525</v>
      </c>
      <c r="H19" s="182" t="n">
        <v>974340</v>
      </c>
      <c r="I19" s="183" t="inlineStr">
        <is>
          <t>O</t>
        </is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성장</t>
        </is>
      </c>
      <c r="C20" s="24" t="inlineStr">
        <is>
          <t>711-30-00994</t>
        </is>
      </c>
      <c r="D20" s="76" t="inlineStr">
        <is>
          <t>팜샐러드</t>
        </is>
      </c>
      <c r="E20" s="24" t="inlineStr">
        <is>
          <t>네이버</t>
        </is>
      </c>
      <c r="F20" s="170" t="n">
        <v>0</v>
      </c>
      <c r="G20" s="170" t="n">
        <v>0</v>
      </c>
      <c r="H20" s="182" t="n">
        <v>0</v>
      </c>
      <c r="I20" s="183" t="inlineStr"/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도약</t>
        </is>
      </c>
      <c r="C21" s="24" t="inlineStr">
        <is>
          <t>186-96-01664</t>
        </is>
      </c>
      <c r="D21" s="76" t="inlineStr">
        <is>
          <t>쌍둥이농장</t>
        </is>
      </c>
      <c r="E21" s="24" t="inlineStr">
        <is>
          <t>지마켓</t>
        </is>
      </c>
      <c r="F21" s="170" t="n">
        <v>4</v>
      </c>
      <c r="G21" s="170" t="n">
        <v>187600</v>
      </c>
      <c r="H21" s="182" t="n">
        <v>0</v>
      </c>
      <c r="I21" s="183" t="inlineStr">
        <is>
          <t>O</t>
        </is>
      </c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성장</t>
        </is>
      </c>
      <c r="C22" s="24" t="inlineStr">
        <is>
          <t>463-93-01691</t>
        </is>
      </c>
      <c r="D22" s="76" t="inlineStr">
        <is>
          <t>피스팜</t>
        </is>
      </c>
      <c r="E22" s="24" t="inlineStr">
        <is>
          <t>네이버</t>
        </is>
      </c>
      <c r="F22" s="170" t="n">
        <v>5</v>
      </c>
      <c r="G22" s="170" t="n">
        <v>240000</v>
      </c>
      <c r="H22" s="182" t="n">
        <v>0</v>
      </c>
      <c r="I22" s="183" t="inlineStr">
        <is>
          <t>O</t>
        </is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시작</t>
        </is>
      </c>
      <c r="C23" s="24" t="inlineStr">
        <is>
          <t>621-96-06105</t>
        </is>
      </c>
      <c r="D23" s="76" t="inlineStr">
        <is>
          <t>HK팜</t>
        </is>
      </c>
      <c r="E23" s="24" t="inlineStr">
        <is>
          <t>네이버</t>
        </is>
      </c>
      <c r="F23" s="170" t="n">
        <v>0</v>
      </c>
      <c r="G23" s="170" t="n">
        <v>0</v>
      </c>
      <c r="H23" s="182" t="n">
        <v>0</v>
      </c>
      <c r="I23" s="183" t="inlineStr"/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347-93-02082</t>
        </is>
      </c>
      <c r="D24" s="76" t="inlineStr">
        <is>
          <t>초록이들</t>
        </is>
      </c>
      <c r="E24" s="24" t="inlineStr">
        <is>
          <t>네이버</t>
        </is>
      </c>
      <c r="F24" s="170" t="n">
        <v>18065</v>
      </c>
      <c r="G24" s="170" t="n">
        <v>271250400</v>
      </c>
      <c r="H24" s="182" t="n">
        <v>4473530</v>
      </c>
      <c r="I24" s="183" t="inlineStr">
        <is>
          <t>O</t>
        </is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성장</t>
        </is>
      </c>
      <c r="C25" s="24" t="inlineStr">
        <is>
          <t>408-24-61681</t>
        </is>
      </c>
      <c r="D25" s="76" t="inlineStr">
        <is>
          <t>한국제다</t>
        </is>
      </c>
      <c r="E25" s="24" t="inlineStr">
        <is>
          <t>네이버</t>
        </is>
      </c>
      <c r="F25" s="170" t="n">
        <v>16</v>
      </c>
      <c r="G25" s="170" t="n">
        <v>591000</v>
      </c>
      <c r="H25" s="182" t="n">
        <v>63860</v>
      </c>
      <c r="I25" s="183" t="inlineStr">
        <is>
          <t>O</t>
        </is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226-81-48890</t>
        </is>
      </c>
      <c r="D26" s="76" t="inlineStr">
        <is>
          <t>정선아라리한과농원 영농조합법인</t>
        </is>
      </c>
      <c r="E26" s="24" t="inlineStr">
        <is>
          <t>롯데온</t>
        </is>
      </c>
      <c r="F26" s="170" t="n">
        <v>11</v>
      </c>
      <c r="G26" s="170" t="n">
        <v>295400</v>
      </c>
      <c r="H26" s="182" t="n">
        <v>52610</v>
      </c>
      <c r="I26" s="183" t="inlineStr">
        <is>
          <t>O</t>
        </is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412-81-24086</t>
        </is>
      </c>
      <c r="D27" s="76" t="inlineStr">
        <is>
          <t>영흥농산영농조합법인</t>
        </is>
      </c>
      <c r="E27" s="24" t="inlineStr">
        <is>
          <t>네이버</t>
        </is>
      </c>
      <c r="F27" s="170" t="n">
        <v>9428</v>
      </c>
      <c r="G27" s="170" t="n">
        <v>143143000</v>
      </c>
      <c r="H27" s="182" t="n">
        <v>5032180</v>
      </c>
      <c r="I27" s="183" t="inlineStr">
        <is>
          <t>O</t>
        </is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도약</t>
        </is>
      </c>
      <c r="C28" s="24" t="inlineStr">
        <is>
          <t>142-33-00898</t>
        </is>
      </c>
      <c r="D28" s="76" t="inlineStr">
        <is>
          <t>어이딸부각</t>
        </is>
      </c>
      <c r="E28" s="24" t="inlineStr">
        <is>
          <t>지마켓</t>
        </is>
      </c>
      <c r="F28" s="170" t="n">
        <v>30</v>
      </c>
      <c r="G28" s="170" t="n">
        <v>690000</v>
      </c>
      <c r="H28" s="182" t="n">
        <v>10000</v>
      </c>
      <c r="I28" s="183" t="inlineStr">
        <is>
          <t>O</t>
        </is>
      </c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도약</t>
        </is>
      </c>
      <c r="C29" s="24" t="inlineStr">
        <is>
          <t>144-92-00528</t>
        </is>
      </c>
      <c r="D29" s="76" t="inlineStr">
        <is>
          <t>햇터농장</t>
        </is>
      </c>
      <c r="E29" s="24" t="inlineStr">
        <is>
          <t>네이버</t>
        </is>
      </c>
      <c r="F29" s="170" t="n">
        <v>0</v>
      </c>
      <c r="G29" s="170" t="n">
        <v>0</v>
      </c>
      <c r="H29" s="182" t="n">
        <v>0</v>
      </c>
      <c r="I29" s="183" t="inlineStr"/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시작</t>
        </is>
      </c>
      <c r="C30" s="24" t="inlineStr">
        <is>
          <t>753-27-02040</t>
        </is>
      </c>
      <c r="D30" s="76" t="inlineStr">
        <is>
          <t>해피팜</t>
        </is>
      </c>
      <c r="E30" s="24" t="inlineStr">
        <is>
          <t>네이버</t>
        </is>
      </c>
      <c r="F30" s="170" t="n">
        <v>14</v>
      </c>
      <c r="G30" s="170" t="n">
        <v>414000</v>
      </c>
      <c r="H30" s="182" t="n">
        <v>46000</v>
      </c>
      <c r="I30" s="183" t="inlineStr">
        <is>
          <t>O</t>
        </is>
      </c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도약</t>
        </is>
      </c>
      <c r="C31" s="24" t="inlineStr">
        <is>
          <t>608-88-00253</t>
        </is>
      </c>
      <c r="D31" s="76" t="inlineStr">
        <is>
          <t>농업회사법인 주식회사 코리아식품</t>
        </is>
      </c>
      <c r="E31" s="24" t="inlineStr">
        <is>
          <t>네이버</t>
        </is>
      </c>
      <c r="F31" s="170" t="n">
        <v>16</v>
      </c>
      <c r="G31" s="170" t="n">
        <v>451100</v>
      </c>
      <c r="H31" s="182" t="n">
        <v>34520</v>
      </c>
      <c r="I31" s="183" t="inlineStr">
        <is>
          <t>O</t>
        </is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201-98-68634</t>
        </is>
      </c>
      <c r="D32" s="76" t="inlineStr">
        <is>
          <t>아침에계란</t>
        </is>
      </c>
      <c r="E32" s="24" t="inlineStr">
        <is>
          <t>네이버</t>
        </is>
      </c>
      <c r="F32" s="170" t="n">
        <v>1319</v>
      </c>
      <c r="G32" s="170" t="n">
        <v>92623400</v>
      </c>
      <c r="H32" s="182" t="n">
        <v>4710400</v>
      </c>
      <c r="I32" s="183" t="inlineStr">
        <is>
          <t>O</t>
        </is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540-93-02100</t>
        </is>
      </c>
      <c r="D33" s="76" t="inlineStr">
        <is>
          <t>청운유통</t>
        </is>
      </c>
      <c r="E33" s="24" t="inlineStr">
        <is>
          <t>네이버</t>
        </is>
      </c>
      <c r="F33" s="170" t="n">
        <v>4527</v>
      </c>
      <c r="G33" s="170" t="n">
        <v>129056500</v>
      </c>
      <c r="H33" s="182" t="n">
        <v>4577170</v>
      </c>
      <c r="I33" s="183" t="inlineStr">
        <is>
          <t>O</t>
        </is>
      </c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성장</t>
        </is>
      </c>
      <c r="C34" s="24" t="inlineStr">
        <is>
          <t>116-81-80195</t>
        </is>
      </c>
      <c r="D34" s="76" t="inlineStr">
        <is>
          <t>유한회사 못골농업회사</t>
        </is>
      </c>
      <c r="E34" s="24" t="inlineStr">
        <is>
          <t>네이버</t>
        </is>
      </c>
      <c r="F34" s="170" t="n">
        <v>167</v>
      </c>
      <c r="G34" s="170" t="n">
        <v>5636300</v>
      </c>
      <c r="H34" s="182" t="n">
        <v>531110</v>
      </c>
      <c r="I34" s="183" t="inlineStr">
        <is>
          <t>O</t>
        </is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시작</t>
        </is>
      </c>
      <c r="C35" s="24" t="inlineStr">
        <is>
          <t>208-22-52837</t>
        </is>
      </c>
      <c r="D35" s="76" t="inlineStr">
        <is>
          <t>소유농장</t>
        </is>
      </c>
      <c r="E35" s="24" t="inlineStr">
        <is>
          <t>네이버</t>
        </is>
      </c>
      <c r="F35" s="170" t="n">
        <v>31</v>
      </c>
      <c r="G35" s="170" t="n">
        <v>1695000</v>
      </c>
      <c r="H35" s="182" t="n">
        <v>121330</v>
      </c>
      <c r="I35" s="183" t="inlineStr">
        <is>
          <t>O</t>
        </is>
      </c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412-90-50529</t>
        </is>
      </c>
      <c r="D36" s="76" t="inlineStr">
        <is>
          <t>행운가족농원</t>
        </is>
      </c>
      <c r="E36" s="24" t="inlineStr">
        <is>
          <t>네이버</t>
        </is>
      </c>
      <c r="F36" s="170" t="n">
        <v>0</v>
      </c>
      <c r="G36" s="170" t="n">
        <v>0</v>
      </c>
      <c r="H36" s="182" t="n">
        <v>0</v>
      </c>
      <c r="I36" s="183" t="inlineStr"/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도약</t>
        </is>
      </c>
      <c r="C37" s="24" t="inlineStr">
        <is>
          <t>571-81-00383</t>
        </is>
      </c>
      <c r="D37" s="76" t="inlineStr">
        <is>
          <t>농부플러스 농업회사법인 주식회사</t>
        </is>
      </c>
      <c r="E37" s="24" t="inlineStr">
        <is>
          <t>지마켓</t>
        </is>
      </c>
      <c r="F37" s="170" t="n">
        <v>1222</v>
      </c>
      <c r="G37" s="170" t="n">
        <v>36507100</v>
      </c>
      <c r="H37" s="182" t="n">
        <v>694580</v>
      </c>
      <c r="I37" s="183" t="inlineStr">
        <is>
          <t>O</t>
        </is>
      </c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도약</t>
        </is>
      </c>
      <c r="C38" s="24" t="inlineStr">
        <is>
          <t>715-87-02493</t>
        </is>
      </c>
      <c r="D38" s="76" t="inlineStr">
        <is>
          <t>농업회삽법인 라이플로우 주식회사</t>
        </is>
      </c>
      <c r="E38" s="24" t="inlineStr">
        <is>
          <t>롯데온</t>
        </is>
      </c>
      <c r="F38" s="170" t="n">
        <v>76</v>
      </c>
      <c r="G38" s="170" t="n">
        <v>2312900</v>
      </c>
      <c r="H38" s="182" t="n">
        <v>434680</v>
      </c>
      <c r="I38" s="183" t="inlineStr">
        <is>
          <t>O</t>
        </is>
      </c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191-97-01154</t>
        </is>
      </c>
      <c r="D39" s="76" t="inlineStr">
        <is>
          <t>파머레시피</t>
        </is>
      </c>
      <c r="E39" s="24" t="inlineStr">
        <is>
          <t>롯데온</t>
        </is>
      </c>
      <c r="F39" s="170" t="n">
        <v>265</v>
      </c>
      <c r="G39" s="170" t="n">
        <v>12912030</v>
      </c>
      <c r="H39" s="182" t="n">
        <v>1332970</v>
      </c>
      <c r="I39" s="183" t="inlineStr">
        <is>
          <t>O</t>
        </is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성장</t>
        </is>
      </c>
      <c r="C40" s="24" t="inlineStr">
        <is>
          <t>792-88-00316</t>
        </is>
      </c>
      <c r="D40" s="76" t="inlineStr">
        <is>
          <t>농업회사법인(주)새나라</t>
        </is>
      </c>
      <c r="E40" s="24" t="inlineStr">
        <is>
          <t>네이버</t>
        </is>
      </c>
      <c r="F40" s="170" t="n">
        <v>594</v>
      </c>
      <c r="G40" s="170" t="n">
        <v>19348530</v>
      </c>
      <c r="H40" s="182" t="n">
        <v>2220230</v>
      </c>
      <c r="I40" s="183" t="inlineStr">
        <is>
          <t>O</t>
        </is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도약</t>
        </is>
      </c>
      <c r="C41" s="24" t="inlineStr">
        <is>
          <t>221-13-36518</t>
        </is>
      </c>
      <c r="D41" s="76" t="inlineStr">
        <is>
          <t>두루푸드</t>
        </is>
      </c>
      <c r="E41" s="24" t="inlineStr">
        <is>
          <t>네이버</t>
        </is>
      </c>
      <c r="F41" s="170" t="n">
        <v>5188</v>
      </c>
      <c r="G41" s="170" t="n">
        <v>110084760</v>
      </c>
      <c r="H41" s="182" t="n">
        <v>4360080</v>
      </c>
      <c r="I41" s="183" t="inlineStr">
        <is>
          <t>O</t>
        </is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시작</t>
        </is>
      </c>
      <c r="C42" s="24" t="inlineStr">
        <is>
          <t>280-87-01644</t>
        </is>
      </c>
      <c r="D42" s="76" t="inlineStr">
        <is>
          <t>디에스영농조합법인</t>
        </is>
      </c>
      <c r="E42" s="24" t="inlineStr">
        <is>
          <t>네이버</t>
        </is>
      </c>
      <c r="F42" s="170" t="n">
        <v>0</v>
      </c>
      <c r="G42" s="170" t="n">
        <v>0</v>
      </c>
      <c r="H42" s="182" t="n">
        <v>0</v>
      </c>
      <c r="I42" s="183" t="inlineStr"/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시작</t>
        </is>
      </c>
      <c r="C43" s="24" t="inlineStr">
        <is>
          <t>464-96-01832</t>
        </is>
      </c>
      <c r="D43" s="76" t="inlineStr">
        <is>
          <t>고센153</t>
        </is>
      </c>
      <c r="E43" s="24" t="inlineStr">
        <is>
          <t>네이버</t>
        </is>
      </c>
      <c r="F43" s="170" t="n">
        <v>0</v>
      </c>
      <c r="G43" s="170" t="n">
        <v>0</v>
      </c>
      <c r="H43" s="182" t="n">
        <v>0</v>
      </c>
      <c r="I43" s="183" t="inlineStr"/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511-81-14298</t>
        </is>
      </c>
      <c r="D44" s="76" t="inlineStr">
        <is>
          <t>영농조합법인상주곶감유통사업단</t>
        </is>
      </c>
      <c r="E44" s="24" t="inlineStr">
        <is>
          <t>롯데온</t>
        </is>
      </c>
      <c r="F44" s="170" t="n">
        <v>6</v>
      </c>
      <c r="G44" s="170" t="n">
        <v>325600</v>
      </c>
      <c r="H44" s="182" t="n">
        <v>43860</v>
      </c>
      <c r="I44" s="183" t="inlineStr">
        <is>
          <t>O</t>
        </is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도약</t>
        </is>
      </c>
      <c r="C45" s="24" t="inlineStr">
        <is>
          <t>519-33-01006</t>
        </is>
      </c>
      <c r="D45" s="76" t="inlineStr">
        <is>
          <t>온드리 목장</t>
        </is>
      </c>
      <c r="E45" s="24" t="inlineStr">
        <is>
          <t>네이버</t>
        </is>
      </c>
      <c r="F45" s="170" t="n">
        <v>11140</v>
      </c>
      <c r="G45" s="170" t="n">
        <v>202817120</v>
      </c>
      <c r="H45" s="182" t="n">
        <v>4574960</v>
      </c>
      <c r="I45" s="183" t="inlineStr">
        <is>
          <t>O</t>
        </is>
      </c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도약</t>
        </is>
      </c>
      <c r="C46" s="24" t="inlineStr">
        <is>
          <t>832-86-02035</t>
        </is>
      </c>
      <c r="D46" s="76" t="inlineStr">
        <is>
          <t>주식회사 태범프레시</t>
        </is>
      </c>
      <c r="E46" s="24" t="inlineStr">
        <is>
          <t>롯데온</t>
        </is>
      </c>
      <c r="F46" s="170" t="n">
        <v>80</v>
      </c>
      <c r="G46" s="170" t="n">
        <v>2962690</v>
      </c>
      <c r="H46" s="182" t="n">
        <v>466440</v>
      </c>
      <c r="I46" s="183" t="inlineStr">
        <is>
          <t>O</t>
        </is>
      </c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127-42-46728</t>
        </is>
      </c>
      <c r="D47" s="76" t="inlineStr">
        <is>
          <t>철원봉학미곡처리장</t>
        </is>
      </c>
      <c r="E47" s="24" t="inlineStr">
        <is>
          <t>지마켓</t>
        </is>
      </c>
      <c r="F47" s="170" t="n">
        <v>316</v>
      </c>
      <c r="G47" s="170" t="n">
        <v>22260300</v>
      </c>
      <c r="H47" s="182" t="n">
        <v>1490640</v>
      </c>
      <c r="I47" s="183" t="inlineStr">
        <is>
          <t>O</t>
        </is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159-96-00590</t>
        </is>
      </c>
      <c r="D48" s="76" t="inlineStr">
        <is>
          <t>바른농산물</t>
        </is>
      </c>
      <c r="E48" s="24" t="inlineStr">
        <is>
          <t>네이버</t>
        </is>
      </c>
      <c r="F48" s="170" t="n">
        <v>0</v>
      </c>
      <c r="G48" s="170" t="n">
        <v>0</v>
      </c>
      <c r="H48" s="182" t="n">
        <v>0</v>
      </c>
      <c r="I48" s="183" t="inlineStr"/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도약</t>
        </is>
      </c>
      <c r="C49" s="73" t="inlineStr">
        <is>
          <t>293-54-00624</t>
        </is>
      </c>
      <c r="D49" s="76" t="inlineStr">
        <is>
          <t>이화수본</t>
        </is>
      </c>
      <c r="E49" s="24" t="inlineStr">
        <is>
          <t>지마켓</t>
        </is>
      </c>
      <c r="F49" s="170" t="n">
        <v>0</v>
      </c>
      <c r="G49" s="170" t="n">
        <v>0</v>
      </c>
      <c r="H49" s="182" t="n">
        <v>0</v>
      </c>
      <c r="I49" s="183" t="inlineStr"/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416-81-59229</t>
        </is>
      </c>
      <c r="D50" s="76" t="inlineStr">
        <is>
          <t>농업회사법인(주)가남농원</t>
        </is>
      </c>
      <c r="E50" s="24" t="inlineStr">
        <is>
          <t>지마켓</t>
        </is>
      </c>
      <c r="F50" s="170" t="n">
        <v>128</v>
      </c>
      <c r="G50" s="170" t="n">
        <v>4151700</v>
      </c>
      <c r="H50" s="182" t="n">
        <v>321380</v>
      </c>
      <c r="I50" s="183" t="inlineStr">
        <is>
          <t>O</t>
        </is>
      </c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도약</t>
        </is>
      </c>
      <c r="C51" s="24" t="inlineStr">
        <is>
          <t>874-81-00021</t>
        </is>
      </c>
      <c r="D51" s="76" t="inlineStr">
        <is>
          <t>농업회사법인주식회사논길</t>
        </is>
      </c>
      <c r="E51" s="24" t="inlineStr">
        <is>
          <t>지마켓</t>
        </is>
      </c>
      <c r="F51" s="170" t="n">
        <v>0</v>
      </c>
      <c r="G51" s="170" t="n">
        <v>0</v>
      </c>
      <c r="H51" s="182" t="n">
        <v>0</v>
      </c>
      <c r="I51" s="183" t="inlineStr"/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도약</t>
        </is>
      </c>
      <c r="C52" s="24" t="inlineStr">
        <is>
          <t>508-81-33305</t>
        </is>
      </c>
      <c r="D52" s="76" t="inlineStr">
        <is>
          <t>아침햇살영농조합법인</t>
        </is>
      </c>
      <c r="E52" s="24" t="inlineStr">
        <is>
          <t>지마켓</t>
        </is>
      </c>
      <c r="F52" s="170" t="n">
        <v>463</v>
      </c>
      <c r="G52" s="170" t="n">
        <v>6918500</v>
      </c>
      <c r="H52" s="182" t="n">
        <v>199400</v>
      </c>
      <c r="I52" s="183" t="inlineStr">
        <is>
          <t>O</t>
        </is>
      </c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시작</t>
        </is>
      </c>
      <c r="C53" s="24" t="inlineStr">
        <is>
          <t>127-81-93991</t>
        </is>
      </c>
      <c r="D53" s="76" t="inlineStr">
        <is>
          <t>농업회사법인 철원미곡 주식회사</t>
        </is>
      </c>
      <c r="E53" s="24" t="inlineStr">
        <is>
          <t>온누리마켓</t>
        </is>
      </c>
      <c r="F53" s="170" t="n">
        <v>641</v>
      </c>
      <c r="G53" s="170" t="n">
        <v>32150700</v>
      </c>
      <c r="H53" s="182" t="n">
        <v>5097728</v>
      </c>
      <c r="I53" s="183" t="inlineStr">
        <is>
          <t>O</t>
        </is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시작</t>
        </is>
      </c>
      <c r="C54" s="24" t="inlineStr">
        <is>
          <t>511-81-25311</t>
        </is>
      </c>
      <c r="D54" s="76" t="inlineStr">
        <is>
          <t>농업회사법인 주식회사 담아</t>
        </is>
      </c>
      <c r="E54" s="24" t="inlineStr">
        <is>
          <t>온누리마켓</t>
        </is>
      </c>
      <c r="F54" s="170" t="n">
        <v>434</v>
      </c>
      <c r="G54" s="170" t="n">
        <v>9625100</v>
      </c>
      <c r="H54" s="182" t="n">
        <v>1129304</v>
      </c>
      <c r="I54" s="183" t="inlineStr">
        <is>
          <t>O</t>
        </is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도약</t>
        </is>
      </c>
      <c r="C55" s="24" t="inlineStr">
        <is>
          <t>717-86-01590</t>
        </is>
      </c>
      <c r="D55" s="76" t="inlineStr">
        <is>
          <t>농업회사법인 미스터돌 주식회사</t>
        </is>
      </c>
      <c r="E55" s="24" t="inlineStr">
        <is>
          <t>네이버</t>
        </is>
      </c>
      <c r="F55" s="170" t="n">
        <v>0</v>
      </c>
      <c r="G55" s="170" t="n">
        <v>0</v>
      </c>
      <c r="H55" s="182" t="n">
        <v>0</v>
      </c>
      <c r="I55" s="183" t="inlineStr"/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도약</t>
        </is>
      </c>
      <c r="C56" s="24" t="inlineStr">
        <is>
          <t>382-91-01817</t>
        </is>
      </c>
      <c r="D56" s="76" t="inlineStr">
        <is>
          <t>임마누엘농장</t>
        </is>
      </c>
      <c r="E56" s="24" t="inlineStr">
        <is>
          <t>지마켓</t>
        </is>
      </c>
      <c r="F56" s="170" t="n">
        <v>24</v>
      </c>
      <c r="G56" s="170" t="n">
        <v>735600</v>
      </c>
      <c r="H56" s="182" t="n">
        <v>42210</v>
      </c>
      <c r="I56" s="183" t="inlineStr">
        <is>
          <t>O</t>
        </is>
      </c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도약</t>
        </is>
      </c>
      <c r="C57" s="24" t="inlineStr">
        <is>
          <t>132-82-07849</t>
        </is>
      </c>
      <c r="D57" s="76" t="inlineStr">
        <is>
          <t>아이비영농조합</t>
        </is>
      </c>
      <c r="E57" s="24" t="inlineStr">
        <is>
          <t>롯데온</t>
        </is>
      </c>
      <c r="F57" s="170" t="n">
        <v>0</v>
      </c>
      <c r="G57" s="170" t="n">
        <v>0</v>
      </c>
      <c r="H57" s="182" t="n">
        <v>0</v>
      </c>
      <c r="I57" s="183" t="inlineStr"/>
      <c r="J57" s="184">
        <f>H57/8000000</f>
        <v/>
      </c>
      <c r="K57" s="170">
        <f>8000000-H57</f>
        <v/>
      </c>
    </row>
    <row r="58">
      <c r="A58" s="24" t="n">
        <v>56</v>
      </c>
      <c r="B58" s="24" t="inlineStr">
        <is>
          <t>도약</t>
        </is>
      </c>
      <c r="C58" s="24" t="inlineStr">
        <is>
          <t>765-95-00739</t>
        </is>
      </c>
      <c r="D58" s="76" t="inlineStr">
        <is>
          <t>알동네</t>
        </is>
      </c>
      <c r="E58" s="24" t="inlineStr">
        <is>
          <t>롯데온</t>
        </is>
      </c>
      <c r="F58" s="170" t="n">
        <v>10</v>
      </c>
      <c r="G58" s="170" t="n">
        <v>477000</v>
      </c>
      <c r="H58" s="182" t="n">
        <v>90820</v>
      </c>
      <c r="I58" s="183" t="inlineStr">
        <is>
          <t>O</t>
        </is>
      </c>
      <c r="J58" s="184">
        <f>H58/8000000</f>
        <v/>
      </c>
      <c r="K58" s="170">
        <f>8000000-H58</f>
        <v/>
      </c>
    </row>
    <row r="59">
      <c r="A59" s="24" t="n">
        <v>57</v>
      </c>
      <c r="B59" s="24" t="inlineStr">
        <is>
          <t>시작</t>
        </is>
      </c>
      <c r="C59" s="24" t="inlineStr">
        <is>
          <t>875-96-01444</t>
        </is>
      </c>
      <c r="D59" s="76" t="inlineStr">
        <is>
          <t>양림해오름농장</t>
        </is>
      </c>
      <c r="E59" s="24" t="inlineStr">
        <is>
          <t>농가살리기</t>
        </is>
      </c>
      <c r="F59" s="170" t="n">
        <v>177</v>
      </c>
      <c r="G59" s="170" t="n">
        <v>1748834</v>
      </c>
      <c r="H59" s="182" t="n">
        <v>75100</v>
      </c>
      <c r="I59" s="183" t="inlineStr">
        <is>
          <t>O</t>
        </is>
      </c>
      <c r="J59" s="184">
        <f>H59/8000000</f>
        <v/>
      </c>
      <c r="K59" s="170">
        <f>8000000-H59</f>
        <v/>
      </c>
    </row>
    <row r="60">
      <c r="A60" s="24" t="n">
        <v>58</v>
      </c>
      <c r="B60" s="24" t="inlineStr">
        <is>
          <t>시작</t>
        </is>
      </c>
      <c r="C60" s="24" t="inlineStr">
        <is>
          <t>664-81-03697</t>
        </is>
      </c>
      <c r="D60" s="76" t="inlineStr">
        <is>
          <t>농업회사법인주식회사파밍</t>
        </is>
      </c>
      <c r="E60" s="24" t="inlineStr">
        <is>
          <t>네이버</t>
        </is>
      </c>
      <c r="F60" s="170" t="n">
        <v>10</v>
      </c>
      <c r="G60" s="170" t="n">
        <v>201000</v>
      </c>
      <c r="H60" s="182" t="n">
        <v>4200</v>
      </c>
      <c r="I60" s="183" t="inlineStr">
        <is>
          <t>O</t>
        </is>
      </c>
      <c r="J60" s="184">
        <f>H60/8000000</f>
        <v/>
      </c>
      <c r="K60" s="170">
        <f>8000000-H60</f>
        <v/>
      </c>
    </row>
    <row r="61">
      <c r="A61" s="24" t="n">
        <v>59</v>
      </c>
      <c r="B61" s="24" t="inlineStr">
        <is>
          <t>도약</t>
        </is>
      </c>
      <c r="C61" s="24" t="inlineStr">
        <is>
          <t>623-96-01519</t>
        </is>
      </c>
      <c r="D61" s="76" t="inlineStr">
        <is>
          <t>초원꿀벌농장</t>
        </is>
      </c>
      <c r="E61" s="24" t="inlineStr">
        <is>
          <t>네이버</t>
        </is>
      </c>
      <c r="F61" s="170" t="n">
        <v>0</v>
      </c>
      <c r="G61" s="170" t="n">
        <v>0</v>
      </c>
      <c r="H61" s="182" t="n">
        <v>0</v>
      </c>
      <c r="I61" s="183" t="inlineStr"/>
      <c r="J61" s="184">
        <f>H61/8000000</f>
        <v/>
      </c>
      <c r="K61" s="170">
        <f>8000000-H61</f>
        <v/>
      </c>
    </row>
    <row r="62">
      <c r="A62" s="24" t="n">
        <v>60</v>
      </c>
      <c r="B62" s="24" t="inlineStr">
        <is>
          <t>도약</t>
        </is>
      </c>
      <c r="C62" s="24" t="inlineStr">
        <is>
          <t>117-13-93791</t>
        </is>
      </c>
      <c r="D62" s="76" t="inlineStr">
        <is>
          <t>유혜광생돈까스</t>
        </is>
      </c>
      <c r="E62" s="24" t="inlineStr">
        <is>
          <t>롯데온</t>
        </is>
      </c>
      <c r="F62" s="170" t="n">
        <v>936</v>
      </c>
      <c r="G62" s="170" t="n">
        <v>47358000</v>
      </c>
      <c r="H62" s="182" t="n">
        <v>5003480</v>
      </c>
      <c r="I62" s="183" t="inlineStr">
        <is>
          <t>O</t>
        </is>
      </c>
      <c r="J62" s="184">
        <f>H62/8000000</f>
        <v/>
      </c>
      <c r="K62" s="170">
        <f>8000000-H62</f>
        <v/>
      </c>
    </row>
    <row r="63">
      <c r="A63" s="24" t="n">
        <v>61</v>
      </c>
      <c r="B63" s="24" t="inlineStr">
        <is>
          <t>도약</t>
        </is>
      </c>
      <c r="C63" s="24" t="inlineStr">
        <is>
          <t>454-04-02917</t>
        </is>
      </c>
      <c r="D63" s="76" t="inlineStr">
        <is>
          <t>안녕 삼촌농부</t>
        </is>
      </c>
      <c r="E63" s="24" t="inlineStr">
        <is>
          <t>네이버</t>
        </is>
      </c>
      <c r="F63" s="170" t="n">
        <v>0</v>
      </c>
      <c r="G63" s="170" t="n">
        <v>0</v>
      </c>
      <c r="H63" s="182" t="n">
        <v>0</v>
      </c>
      <c r="I63" s="183" t="inlineStr"/>
      <c r="J63" s="184">
        <f>H63/8000000</f>
        <v/>
      </c>
      <c r="K63" s="170">
        <f>8000000-H63</f>
        <v/>
      </c>
    </row>
    <row r="64">
      <c r="A64" s="24" t="n">
        <v>62</v>
      </c>
      <c r="B64" s="24" t="inlineStr">
        <is>
          <t>시작</t>
        </is>
      </c>
      <c r="C64" s="24" t="inlineStr">
        <is>
          <t>256-98-01778</t>
        </is>
      </c>
      <c r="D64" s="76" t="inlineStr">
        <is>
          <t>기반</t>
        </is>
      </c>
      <c r="E64" s="24" t="inlineStr">
        <is>
          <t>지마켓</t>
        </is>
      </c>
      <c r="F64" s="170" t="n">
        <v>0</v>
      </c>
      <c r="G64" s="170" t="n">
        <v>0</v>
      </c>
      <c r="H64" s="182" t="n">
        <v>0</v>
      </c>
      <c r="I64" s="183" t="inlineStr"/>
      <c r="J64" s="184">
        <f>H64/8000000</f>
        <v/>
      </c>
      <c r="K64" s="170">
        <f>8000000-H64</f>
        <v/>
      </c>
    </row>
    <row r="65">
      <c r="A65" s="24" t="n">
        <v>63</v>
      </c>
      <c r="B65" s="24" t="inlineStr">
        <is>
          <t>도약</t>
        </is>
      </c>
      <c r="C65" s="24" t="inlineStr">
        <is>
          <t>249-56-00257</t>
        </is>
      </c>
      <c r="D65" s="76" t="inlineStr">
        <is>
          <t>문경새재뻥마을</t>
        </is>
      </c>
      <c r="E65" s="24" t="inlineStr">
        <is>
          <t>네이버</t>
        </is>
      </c>
      <c r="F65" s="170" t="n">
        <v>862</v>
      </c>
      <c r="G65" s="170" t="n">
        <v>20156300</v>
      </c>
      <c r="H65" s="182" t="n">
        <v>1826220</v>
      </c>
      <c r="I65" s="183" t="inlineStr">
        <is>
          <t>O</t>
        </is>
      </c>
      <c r="J65" s="184">
        <f>H65/8000000</f>
        <v/>
      </c>
      <c r="K65" s="170">
        <f>8000000-H65</f>
        <v/>
      </c>
    </row>
    <row r="66">
      <c r="A66" s="24" t="n">
        <v>64</v>
      </c>
      <c r="B66" s="24" t="inlineStr">
        <is>
          <t>도약</t>
        </is>
      </c>
      <c r="C66" s="24" t="inlineStr">
        <is>
          <t>459-15-02771</t>
        </is>
      </c>
      <c r="D66" s="76" t="inlineStr">
        <is>
          <t>찬찬한상</t>
        </is>
      </c>
      <c r="E66" s="24" t="inlineStr">
        <is>
          <t>지마켓</t>
        </is>
      </c>
      <c r="F66" s="170" t="n">
        <v>629</v>
      </c>
      <c r="G66" s="170" t="n">
        <v>8654300</v>
      </c>
      <c r="H66" s="182" t="n">
        <v>838840</v>
      </c>
      <c r="I66" s="183" t="inlineStr">
        <is>
          <t>O</t>
        </is>
      </c>
      <c r="J66" s="184">
        <f>H66/8000000</f>
        <v/>
      </c>
      <c r="K66" s="170">
        <f>8000000-H66</f>
        <v/>
      </c>
    </row>
    <row r="67">
      <c r="A67" s="24" t="n">
        <v>65</v>
      </c>
      <c r="B67" s="24" t="inlineStr">
        <is>
          <t>도약</t>
        </is>
      </c>
      <c r="C67" s="24" t="inlineStr">
        <is>
          <t>139-05-68827</t>
        </is>
      </c>
      <c r="D67" s="76" t="inlineStr">
        <is>
          <t>어반그린</t>
        </is>
      </c>
      <c r="E67" s="24" t="inlineStr">
        <is>
          <t>롯데온</t>
        </is>
      </c>
      <c r="F67" s="170" t="n">
        <v>19</v>
      </c>
      <c r="G67" s="170" t="n">
        <v>254600</v>
      </c>
      <c r="H67" s="182" t="n">
        <v>47820</v>
      </c>
      <c r="I67" s="183" t="inlineStr">
        <is>
          <t>O</t>
        </is>
      </c>
      <c r="J67" s="184">
        <f>H67/8000000</f>
        <v/>
      </c>
      <c r="K67" s="170">
        <f>8000000-H67</f>
        <v/>
      </c>
    </row>
    <row r="68">
      <c r="A68" s="24" t="n">
        <v>66</v>
      </c>
      <c r="B68" s="24" t="inlineStr">
        <is>
          <t>성장</t>
        </is>
      </c>
      <c r="C68" s="24" t="inlineStr">
        <is>
          <t>557-86-02740</t>
        </is>
      </c>
      <c r="D68" s="76" t="inlineStr">
        <is>
          <t>농업회사법인 농촌연구소(주)</t>
        </is>
      </c>
      <c r="E68" s="24" t="inlineStr">
        <is>
          <t>네이버</t>
        </is>
      </c>
      <c r="F68" s="170" t="n">
        <v>0</v>
      </c>
      <c r="G68" s="170" t="n">
        <v>0</v>
      </c>
      <c r="H68" s="182" t="n">
        <v>0</v>
      </c>
      <c r="I68" s="183" t="inlineStr"/>
      <c r="J68" s="184">
        <f>H68/8000000</f>
        <v/>
      </c>
      <c r="K68" s="170">
        <f>8000000-H68</f>
        <v/>
      </c>
    </row>
    <row r="69">
      <c r="A69" s="24" t="n">
        <v>67</v>
      </c>
      <c r="B69" s="24" t="inlineStr">
        <is>
          <t>도약</t>
        </is>
      </c>
      <c r="C69" s="24" t="inlineStr">
        <is>
          <t>113-87-00743</t>
        </is>
      </c>
      <c r="D69" s="76" t="inlineStr">
        <is>
          <t>농업회사법인 머쉬그로(주)</t>
        </is>
      </c>
      <c r="E69" s="24" t="inlineStr">
        <is>
          <t>지마켓</t>
        </is>
      </c>
      <c r="F69" s="170" t="n">
        <v>58</v>
      </c>
      <c r="G69" s="170" t="n">
        <v>1101900</v>
      </c>
      <c r="H69" s="182" t="n">
        <v>85100</v>
      </c>
      <c r="I69" s="183" t="inlineStr">
        <is>
          <t>O</t>
        </is>
      </c>
      <c r="J69" s="184">
        <f>H69/8000000</f>
        <v/>
      </c>
      <c r="K69" s="170">
        <f>8000000-H69</f>
        <v/>
      </c>
    </row>
    <row r="70">
      <c r="A70" s="24" t="n">
        <v>68</v>
      </c>
      <c r="B70" s="24" t="inlineStr">
        <is>
          <t>성장</t>
        </is>
      </c>
      <c r="C70" s="24" t="inlineStr">
        <is>
          <t>671-67-00557</t>
        </is>
      </c>
      <c r="D70" s="76" t="inlineStr">
        <is>
          <t>현풍떡갈비</t>
        </is>
      </c>
      <c r="E70" s="24" t="inlineStr">
        <is>
          <t>네이버</t>
        </is>
      </c>
      <c r="F70" s="170" t="n">
        <v>74</v>
      </c>
      <c r="G70" s="170" t="n">
        <v>2562900</v>
      </c>
      <c r="H70" s="182" t="n">
        <v>237520</v>
      </c>
      <c r="I70" s="183" t="inlineStr">
        <is>
          <t>O</t>
        </is>
      </c>
      <c r="J70" s="184">
        <f>H70/8000000</f>
        <v/>
      </c>
      <c r="K70" s="170">
        <f>8000000-H70</f>
        <v/>
      </c>
    </row>
    <row r="71">
      <c r="A71" s="24" t="n">
        <v>69</v>
      </c>
      <c r="B71" s="24" t="inlineStr">
        <is>
          <t>도약</t>
        </is>
      </c>
      <c r="C71" s="24" t="inlineStr">
        <is>
          <t>132-05-76796</t>
        </is>
      </c>
      <c r="D71" s="76" t="inlineStr">
        <is>
          <t>광이원</t>
        </is>
      </c>
      <c r="E71" s="24" t="inlineStr">
        <is>
          <t>롯데온</t>
        </is>
      </c>
      <c r="F71" s="170" t="n">
        <v>0</v>
      </c>
      <c r="G71" s="170" t="n">
        <v>0</v>
      </c>
      <c r="H71" s="182" t="n">
        <v>0</v>
      </c>
      <c r="I71" s="183" t="inlineStr"/>
      <c r="J71" s="184">
        <f>H71/8000000</f>
        <v/>
      </c>
      <c r="K71" s="170">
        <f>8000000-H71</f>
        <v/>
      </c>
    </row>
    <row r="72">
      <c r="A72" s="24" t="n">
        <v>70</v>
      </c>
      <c r="B72" s="24" t="inlineStr">
        <is>
          <t>도약</t>
        </is>
      </c>
      <c r="C72" s="24" t="inlineStr">
        <is>
          <t>499-13-02310</t>
        </is>
      </c>
      <c r="D72" s="76" t="inlineStr">
        <is>
          <t>농사짓는마을</t>
        </is>
      </c>
      <c r="E72" s="24" t="inlineStr">
        <is>
          <t>네이버</t>
        </is>
      </c>
      <c r="F72" s="170" t="n">
        <v>2254</v>
      </c>
      <c r="G72" s="170" t="n">
        <v>63211020</v>
      </c>
      <c r="H72" s="182" t="n">
        <v>4312140</v>
      </c>
      <c r="I72" s="183" t="inlineStr">
        <is>
          <t>O</t>
        </is>
      </c>
      <c r="J72" s="184">
        <f>H72/8000000</f>
        <v/>
      </c>
      <c r="K72" s="170">
        <f>8000000-H72</f>
        <v/>
      </c>
    </row>
    <row r="73">
      <c r="A73" s="24" t="n">
        <v>71</v>
      </c>
      <c r="B73" s="24" t="inlineStr">
        <is>
          <t>성장</t>
        </is>
      </c>
      <c r="C73" s="24" t="inlineStr">
        <is>
          <t>440-81-03112</t>
        </is>
      </c>
      <c r="D73" s="76" t="inlineStr">
        <is>
          <t>까망 주식회사</t>
        </is>
      </c>
      <c r="E73" s="24" t="inlineStr">
        <is>
          <t>온누리마켓</t>
        </is>
      </c>
      <c r="F73" s="170" t="n">
        <v>75</v>
      </c>
      <c r="G73" s="170" t="n">
        <v>1243000</v>
      </c>
      <c r="H73" s="182" t="n">
        <v>170600</v>
      </c>
      <c r="I73" s="183" t="inlineStr">
        <is>
          <t>O</t>
        </is>
      </c>
      <c r="J73" s="184">
        <f>H73/8000000</f>
        <v/>
      </c>
      <c r="K73" s="170">
        <f>8000000-H73</f>
        <v/>
      </c>
    </row>
    <row r="74">
      <c r="A74" s="24" t="n">
        <v>72</v>
      </c>
      <c r="B74" s="24" t="inlineStr">
        <is>
          <t>도약</t>
        </is>
      </c>
      <c r="C74" s="24" t="inlineStr">
        <is>
          <t>593-86-01295</t>
        </is>
      </c>
      <c r="D74" s="76" t="inlineStr">
        <is>
          <t>주식회사 더락</t>
        </is>
      </c>
      <c r="E74" s="24" t="inlineStr">
        <is>
          <t>롯데온</t>
        </is>
      </c>
      <c r="F74" s="170" t="n">
        <v>729</v>
      </c>
      <c r="G74" s="170" t="n">
        <v>37312000</v>
      </c>
      <c r="H74" s="182" t="n">
        <v>4967600</v>
      </c>
      <c r="I74" s="183" t="inlineStr">
        <is>
          <t>O</t>
        </is>
      </c>
      <c r="J74" s="184">
        <f>H74/8000000</f>
        <v/>
      </c>
      <c r="K74" s="170">
        <f>8000000-H74</f>
        <v/>
      </c>
    </row>
    <row r="75">
      <c r="A75" s="24" t="n">
        <v>73</v>
      </c>
      <c r="B75" s="24" t="inlineStr">
        <is>
          <t>도약</t>
        </is>
      </c>
      <c r="C75" s="24" t="inlineStr">
        <is>
          <t>409-23-97341</t>
        </is>
      </c>
      <c r="D75" s="76" t="inlineStr">
        <is>
          <t>선김치</t>
        </is>
      </c>
      <c r="E75" s="24" t="inlineStr">
        <is>
          <t>롯데온</t>
        </is>
      </c>
      <c r="F75" s="170" t="n">
        <v>796</v>
      </c>
      <c r="G75" s="170" t="n">
        <v>24063100</v>
      </c>
      <c r="H75" s="182" t="n">
        <v>4541120</v>
      </c>
      <c r="I75" s="183" t="inlineStr">
        <is>
          <t>O</t>
        </is>
      </c>
      <c r="J75" s="184">
        <f>H75/8000000</f>
        <v/>
      </c>
      <c r="K75" s="170">
        <f>8000000-H75</f>
        <v/>
      </c>
    </row>
    <row r="76">
      <c r="A76" s="24" t="n">
        <v>74</v>
      </c>
      <c r="B76" s="24" t="inlineStr">
        <is>
          <t>도약</t>
        </is>
      </c>
      <c r="C76" s="24" t="inlineStr">
        <is>
          <t>372-94-01830</t>
        </is>
      </c>
      <c r="D76" s="76" t="inlineStr">
        <is>
          <t>제주점순이네</t>
        </is>
      </c>
      <c r="E76" s="24" t="inlineStr">
        <is>
          <t>네이버</t>
        </is>
      </c>
      <c r="F76" s="170" t="n">
        <v>134</v>
      </c>
      <c r="G76" s="170" t="n">
        <v>4951000</v>
      </c>
      <c r="H76" s="182" t="n">
        <v>291780</v>
      </c>
      <c r="I76" s="183" t="inlineStr">
        <is>
          <t>O</t>
        </is>
      </c>
      <c r="J76" s="184">
        <f>H76/8000000</f>
        <v/>
      </c>
      <c r="K76" s="170">
        <f>8000000-H76</f>
        <v/>
      </c>
    </row>
    <row r="77">
      <c r="A77" s="24" t="n">
        <v>75</v>
      </c>
      <c r="B77" s="24" t="inlineStr">
        <is>
          <t>도약</t>
        </is>
      </c>
      <c r="C77" s="24" t="inlineStr">
        <is>
          <t>460-88-01363</t>
        </is>
      </c>
      <c r="D77" s="76" t="inlineStr">
        <is>
          <t>농업회사법인 주식회사 마이티팜</t>
        </is>
      </c>
      <c r="E77" s="24" t="inlineStr">
        <is>
          <t>지마켓</t>
        </is>
      </c>
      <c r="F77" s="170" t="n">
        <v>560</v>
      </c>
      <c r="G77" s="170" t="n">
        <v>8922400</v>
      </c>
      <c r="H77" s="182" t="n">
        <v>522940</v>
      </c>
      <c r="I77" s="183" t="inlineStr">
        <is>
          <t>O</t>
        </is>
      </c>
      <c r="J77" s="184">
        <f>H77/8000000</f>
        <v/>
      </c>
      <c r="K77" s="170">
        <f>8000000-H77</f>
        <v/>
      </c>
    </row>
    <row r="78">
      <c r="A78" s="24" t="n">
        <v>76</v>
      </c>
      <c r="B78" s="24" t="inlineStr">
        <is>
          <t>도약</t>
        </is>
      </c>
      <c r="C78" s="24" t="inlineStr">
        <is>
          <t>126-82-11620</t>
        </is>
      </c>
      <c r="D78" s="76" t="inlineStr">
        <is>
          <t>여주시농협조합공동사업법인</t>
        </is>
      </c>
      <c r="E78" s="24" t="inlineStr">
        <is>
          <t>네이버</t>
        </is>
      </c>
      <c r="F78" s="170" t="n">
        <v>10299</v>
      </c>
      <c r="G78" s="170" t="n">
        <v>485645800</v>
      </c>
      <c r="H78" s="182" t="n">
        <v>5085890</v>
      </c>
      <c r="I78" s="183" t="inlineStr">
        <is>
          <t>O</t>
        </is>
      </c>
      <c r="J78" s="184">
        <f>H78/8000000</f>
        <v/>
      </c>
      <c r="K78" s="170">
        <f>8000000-H78</f>
        <v/>
      </c>
    </row>
    <row r="79">
      <c r="A79" s="24" t="n">
        <v>77</v>
      </c>
      <c r="B79" s="24" t="inlineStr">
        <is>
          <t>도약</t>
        </is>
      </c>
      <c r="C79" s="24" t="inlineStr">
        <is>
          <t>412-81-31307</t>
        </is>
      </c>
      <c r="D79" s="76" t="inlineStr">
        <is>
          <t>농업회사법인(주)운림가</t>
        </is>
      </c>
      <c r="E79" s="24" t="inlineStr">
        <is>
          <t>네이버</t>
        </is>
      </c>
      <c r="F79" s="170" t="n">
        <v>23956</v>
      </c>
      <c r="G79" s="170" t="n">
        <v>633266800</v>
      </c>
      <c r="H79" s="182" t="n">
        <v>2698820</v>
      </c>
      <c r="I79" s="183" t="inlineStr">
        <is>
          <t>O</t>
        </is>
      </c>
      <c r="J79" s="184">
        <f>H79/8000000</f>
        <v/>
      </c>
      <c r="K79" s="170">
        <f>8000000-H79</f>
        <v/>
      </c>
    </row>
    <row r="80">
      <c r="A80" s="24" t="n">
        <v>78</v>
      </c>
      <c r="B80" s="24" t="inlineStr">
        <is>
          <t>도약</t>
        </is>
      </c>
      <c r="C80" s="24" t="inlineStr">
        <is>
          <t>485-88-00795</t>
        </is>
      </c>
      <c r="D80" s="76" t="inlineStr">
        <is>
          <t>농업회사법인 주식회사 드림라이스</t>
        </is>
      </c>
      <c r="E80" s="24" t="inlineStr">
        <is>
          <t>롯데온</t>
        </is>
      </c>
      <c r="F80" s="170" t="n">
        <v>723</v>
      </c>
      <c r="G80" s="170" t="n">
        <v>26083350</v>
      </c>
      <c r="H80" s="182" t="n">
        <v>5105280</v>
      </c>
      <c r="I80" s="183" t="inlineStr">
        <is>
          <t>O</t>
        </is>
      </c>
      <c r="J80" s="184">
        <f>H80/8000000</f>
        <v/>
      </c>
      <c r="K80" s="170">
        <f>8000000-H80</f>
        <v/>
      </c>
    </row>
    <row r="81">
      <c r="A81" s="24" t="n">
        <v>79</v>
      </c>
      <c r="B81" s="24" t="inlineStr">
        <is>
          <t>도약</t>
        </is>
      </c>
      <c r="C81" s="24" t="inlineStr">
        <is>
          <t>382-88-01160</t>
        </is>
      </c>
      <c r="D81" s="76" t="inlineStr">
        <is>
          <t>영농조합법인 팔공김치</t>
        </is>
      </c>
      <c r="E81" s="24" t="inlineStr">
        <is>
          <t>지마켓</t>
        </is>
      </c>
      <c r="F81" s="170" t="n">
        <v>929</v>
      </c>
      <c r="G81" s="170" t="n">
        <v>39533200</v>
      </c>
      <c r="H81" s="182" t="n">
        <v>1667520</v>
      </c>
      <c r="I81" s="183" t="inlineStr">
        <is>
          <t>O</t>
        </is>
      </c>
      <c r="J81" s="184">
        <f>H81/8000000</f>
        <v/>
      </c>
      <c r="K81" s="170">
        <f>8000000-H81</f>
        <v/>
      </c>
    </row>
    <row r="82">
      <c r="A82" s="24" t="n">
        <v>80</v>
      </c>
      <c r="B82" s="24" t="inlineStr">
        <is>
          <t>도약</t>
        </is>
      </c>
      <c r="C82" s="24" t="inlineStr">
        <is>
          <t>209-87-01228</t>
        </is>
      </c>
      <c r="D82" s="76" t="inlineStr">
        <is>
          <t>농업회사법인 유한회사 해오름팜농장</t>
        </is>
      </c>
      <c r="E82" s="24" t="inlineStr">
        <is>
          <t>네이버</t>
        </is>
      </c>
      <c r="F82" s="170" t="n">
        <v>414</v>
      </c>
      <c r="G82" s="170" t="n">
        <v>14786120</v>
      </c>
      <c r="H82" s="182" t="n">
        <v>1786630</v>
      </c>
      <c r="I82" s="183" t="inlineStr">
        <is>
          <t>O</t>
        </is>
      </c>
      <c r="J82" s="184">
        <f>H82/8000000</f>
        <v/>
      </c>
      <c r="K82" s="170">
        <f>8000000-H82</f>
        <v/>
      </c>
    </row>
    <row r="83">
      <c r="A83" s="24" t="n">
        <v>81</v>
      </c>
      <c r="B83" s="24" t="inlineStr">
        <is>
          <t>도약</t>
        </is>
      </c>
      <c r="C83" s="24" t="inlineStr">
        <is>
          <t>131-86-09478</t>
        </is>
      </c>
      <c r="D83" s="76" t="inlineStr">
        <is>
          <t>맑은샘농업회사법인주식회사</t>
        </is>
      </c>
      <c r="E83" s="24" t="inlineStr">
        <is>
          <t>오아시스</t>
        </is>
      </c>
      <c r="F83" s="170" t="n">
        <v>107861</v>
      </c>
      <c r="G83" s="170" t="n">
        <v>238995790</v>
      </c>
      <c r="H83" s="182" t="n">
        <v>861555</v>
      </c>
      <c r="I83" s="183" t="inlineStr">
        <is>
          <t>O</t>
        </is>
      </c>
      <c r="J83" s="184">
        <f>H83/8000000</f>
        <v/>
      </c>
      <c r="K83" s="170">
        <f>8000000-H83</f>
        <v/>
      </c>
    </row>
    <row r="84">
      <c r="A84" s="24" t="n">
        <v>82</v>
      </c>
      <c r="B84" s="24" t="inlineStr">
        <is>
          <t>시작</t>
        </is>
      </c>
      <c r="C84" s="24" t="inlineStr">
        <is>
          <t>152-11-02907</t>
        </is>
      </c>
      <c r="D84" s="76" t="inlineStr">
        <is>
          <t>파주리치농산</t>
        </is>
      </c>
      <c r="E84" s="24" t="inlineStr">
        <is>
          <t>네이버</t>
        </is>
      </c>
      <c r="F84" s="170" t="n">
        <v>0</v>
      </c>
      <c r="G84" s="170" t="n">
        <v>0</v>
      </c>
      <c r="H84" s="182" t="n">
        <v>0</v>
      </c>
      <c r="I84" s="183" t="inlineStr"/>
      <c r="J84" s="184">
        <f>H84/8000000</f>
        <v/>
      </c>
      <c r="K84" s="170">
        <f>8000000-H84</f>
        <v/>
      </c>
    </row>
    <row r="85">
      <c r="A85" s="24" t="n">
        <v>83</v>
      </c>
      <c r="B85" s="24" t="inlineStr">
        <is>
          <t>성장</t>
        </is>
      </c>
      <c r="C85" s="24" t="inlineStr">
        <is>
          <t>596-98-01526</t>
        </is>
      </c>
      <c r="D85" s="76" t="inlineStr">
        <is>
          <t>미에덴팜</t>
        </is>
      </c>
      <c r="E85" s="24" t="inlineStr">
        <is>
          <t>네이버</t>
        </is>
      </c>
      <c r="F85" s="170" t="n">
        <v>81</v>
      </c>
      <c r="G85" s="170" t="n">
        <v>2399700</v>
      </c>
      <c r="H85" s="182" t="n">
        <v>51980</v>
      </c>
      <c r="I85" s="183" t="inlineStr">
        <is>
          <t>O</t>
        </is>
      </c>
      <c r="J85" s="184">
        <f>H85/8000000</f>
        <v/>
      </c>
      <c r="K85" s="170">
        <f>8000000-H85</f>
        <v/>
      </c>
    </row>
    <row r="86">
      <c r="A86" s="24" t="n">
        <v>84</v>
      </c>
      <c r="B86" s="24" t="inlineStr">
        <is>
          <t>시작</t>
        </is>
      </c>
      <c r="C86" s="24" t="inlineStr">
        <is>
          <t>654-91-01691</t>
        </is>
      </c>
      <c r="D86" s="76" t="inlineStr">
        <is>
          <t>청실농원</t>
        </is>
      </c>
      <c r="E86" s="24" t="inlineStr">
        <is>
          <t>네이버</t>
        </is>
      </c>
      <c r="F86" s="170" t="n">
        <v>45</v>
      </c>
      <c r="G86" s="170" t="n">
        <v>1916000</v>
      </c>
      <c r="H86" s="182" t="n">
        <v>295600</v>
      </c>
      <c r="I86" s="183" t="inlineStr">
        <is>
          <t>O</t>
        </is>
      </c>
      <c r="J86" s="184">
        <f>H86/8000000</f>
        <v/>
      </c>
      <c r="K86" s="170">
        <f>8000000-H86</f>
        <v/>
      </c>
    </row>
    <row r="87">
      <c r="A87" s="24" t="n">
        <v>85</v>
      </c>
      <c r="B87" s="24" t="inlineStr">
        <is>
          <t>도약</t>
        </is>
      </c>
      <c r="C87" s="24" t="inlineStr">
        <is>
          <t>280-90-00306</t>
        </is>
      </c>
      <c r="D87" s="76" t="inlineStr">
        <is>
          <t>짱아찌네농장</t>
        </is>
      </c>
      <c r="E87" s="24" t="inlineStr">
        <is>
          <t>네이버</t>
        </is>
      </c>
      <c r="F87" s="170" t="n">
        <v>545</v>
      </c>
      <c r="G87" s="170" t="n">
        <v>15225000</v>
      </c>
      <c r="H87" s="182" t="n">
        <v>1887640</v>
      </c>
      <c r="I87" s="183" t="inlineStr">
        <is>
          <t>O</t>
        </is>
      </c>
      <c r="J87" s="184">
        <f>H87/8000000</f>
        <v/>
      </c>
      <c r="K87" s="170">
        <f>8000000-H87</f>
        <v/>
      </c>
    </row>
    <row r="88">
      <c r="A88" s="24" t="n">
        <v>86</v>
      </c>
      <c r="B88" s="24" t="inlineStr">
        <is>
          <t>시작</t>
        </is>
      </c>
      <c r="C88" s="24" t="inlineStr">
        <is>
          <t>531-92-00800</t>
        </is>
      </c>
      <c r="D88" s="76" t="inlineStr">
        <is>
          <t>상황조은농장</t>
        </is>
      </c>
      <c r="E88" s="24" t="inlineStr">
        <is>
          <t>네이버</t>
        </is>
      </c>
      <c r="F88" s="170" t="n">
        <v>3</v>
      </c>
      <c r="G88" s="170" t="n">
        <v>240000</v>
      </c>
      <c r="H88" s="182" t="n">
        <v>18000</v>
      </c>
      <c r="I88" s="183" t="inlineStr">
        <is>
          <t>O</t>
        </is>
      </c>
      <c r="J88" s="184">
        <f>H88/8000000</f>
        <v/>
      </c>
      <c r="K88" s="170">
        <f>8000000-H88</f>
        <v/>
      </c>
    </row>
    <row r="89">
      <c r="A89" s="24" t="n">
        <v>87</v>
      </c>
      <c r="B89" s="24" t="inlineStr">
        <is>
          <t>시작</t>
        </is>
      </c>
      <c r="C89" s="24" t="inlineStr">
        <is>
          <t>383-94-02028</t>
        </is>
      </c>
      <c r="D89" s="76" t="inlineStr">
        <is>
          <t>헬로우팜</t>
        </is>
      </c>
      <c r="E89" s="24" t="inlineStr">
        <is>
          <t>롯데온</t>
        </is>
      </c>
      <c r="F89" s="170" t="n">
        <v>0</v>
      </c>
      <c r="G89" s="170" t="n">
        <v>0</v>
      </c>
      <c r="H89" s="182" t="n">
        <v>0</v>
      </c>
      <c r="I89" s="183" t="inlineStr"/>
      <c r="J89" s="184">
        <f>H89/8000000</f>
        <v/>
      </c>
      <c r="K89" s="170">
        <f>8000000-H89</f>
        <v/>
      </c>
    </row>
    <row r="90">
      <c r="A90" s="24" t="n">
        <v>88</v>
      </c>
      <c r="B90" s="24" t="inlineStr">
        <is>
          <t>성장</t>
        </is>
      </c>
      <c r="C90" s="24" t="inlineStr">
        <is>
          <t>586-91-01888</t>
        </is>
      </c>
      <c r="D90" s="76" t="inlineStr">
        <is>
          <t>현대농장 수퍼방토</t>
        </is>
      </c>
      <c r="E90" s="24" t="inlineStr">
        <is>
          <t>네이버</t>
        </is>
      </c>
      <c r="F90" s="170" t="n">
        <v>308</v>
      </c>
      <c r="G90" s="170" t="n">
        <v>5523590</v>
      </c>
      <c r="H90" s="182" t="n">
        <v>602900</v>
      </c>
      <c r="I90" s="183" t="inlineStr">
        <is>
          <t>O</t>
        </is>
      </c>
      <c r="J90" s="184">
        <f>H90/8000000</f>
        <v/>
      </c>
      <c r="K90" s="170">
        <f>8000000-H90</f>
        <v/>
      </c>
    </row>
    <row r="91">
      <c r="A91" s="24" t="n">
        <v>89</v>
      </c>
      <c r="B91" s="24" t="inlineStr">
        <is>
          <t>도약</t>
        </is>
      </c>
      <c r="C91" s="73" t="inlineStr">
        <is>
          <t>418-90-22360</t>
        </is>
      </c>
      <c r="D91" s="76" t="inlineStr">
        <is>
          <t>무주참벌꿀</t>
        </is>
      </c>
      <c r="E91" s="24" t="inlineStr">
        <is>
          <t>지마켓</t>
        </is>
      </c>
      <c r="F91" s="170" t="n">
        <v>0</v>
      </c>
      <c r="G91" s="170" t="n">
        <v>0</v>
      </c>
      <c r="H91" s="182" t="n">
        <v>0</v>
      </c>
      <c r="I91" s="183" t="inlineStr"/>
      <c r="J91" s="184">
        <f>H91/8000000</f>
        <v/>
      </c>
      <c r="K91" s="170">
        <f>8000000-H91</f>
        <v/>
      </c>
    </row>
    <row r="92">
      <c r="A92" s="24" t="n">
        <v>90</v>
      </c>
      <c r="B92" s="24" t="inlineStr">
        <is>
          <t>도약</t>
        </is>
      </c>
      <c r="C92" s="24" t="inlineStr">
        <is>
          <t>613-81-60803</t>
        </is>
      </c>
      <c r="D92" s="76" t="inlineStr">
        <is>
          <t>다모아영농조합법인</t>
        </is>
      </c>
      <c r="E92" s="24" t="inlineStr">
        <is>
          <t>지마켓</t>
        </is>
      </c>
      <c r="F92" s="170" t="n">
        <v>2151</v>
      </c>
      <c r="G92" s="170" t="n">
        <v>57973900</v>
      </c>
      <c r="H92" s="182" t="n">
        <v>4867560</v>
      </c>
      <c r="I92" s="183" t="inlineStr">
        <is>
          <t>O</t>
        </is>
      </c>
      <c r="J92" s="184">
        <f>H92/8000000</f>
        <v/>
      </c>
      <c r="K92" s="170">
        <f>8000000-H92</f>
        <v/>
      </c>
    </row>
    <row r="93">
      <c r="A93" s="24" t="n">
        <v>91</v>
      </c>
      <c r="B93" s="24" t="inlineStr">
        <is>
          <t>도약</t>
        </is>
      </c>
      <c r="C93" s="24" t="inlineStr">
        <is>
          <t>511-09-26842</t>
        </is>
      </c>
      <c r="D93" s="76" t="inlineStr">
        <is>
          <t>해피메이킹</t>
        </is>
      </c>
      <c r="E93" s="24" t="inlineStr">
        <is>
          <t>네이버</t>
        </is>
      </c>
      <c r="F93" s="170" t="n">
        <v>417</v>
      </c>
      <c r="G93" s="170" t="n">
        <v>42703650</v>
      </c>
      <c r="H93" s="182" t="n">
        <v>1627460</v>
      </c>
      <c r="I93" s="183" t="inlineStr">
        <is>
          <t>O</t>
        </is>
      </c>
      <c r="J93" s="184">
        <f>H93/8000000</f>
        <v/>
      </c>
      <c r="K93" s="170">
        <f>8000000-H93</f>
        <v/>
      </c>
    </row>
    <row r="94">
      <c r="A94" s="24" t="n">
        <v>92</v>
      </c>
      <c r="B94" s="24" t="inlineStr">
        <is>
          <t>도약</t>
        </is>
      </c>
      <c r="C94" s="24" t="inlineStr">
        <is>
          <t>519-93-00689</t>
        </is>
      </c>
      <c r="D94" s="76" t="inlineStr">
        <is>
          <t>성주참외 보화농장</t>
        </is>
      </c>
      <c r="E94" s="24" t="inlineStr">
        <is>
          <t>네이버</t>
        </is>
      </c>
      <c r="F94" s="170" t="n">
        <v>87</v>
      </c>
      <c r="G94" s="170" t="n">
        <v>2505010</v>
      </c>
      <c r="H94" s="182" t="n">
        <v>210620</v>
      </c>
      <c r="I94" s="183" t="inlineStr">
        <is>
          <t>O</t>
        </is>
      </c>
      <c r="J94" s="184">
        <f>H94/8000000</f>
        <v/>
      </c>
      <c r="K94" s="170">
        <f>8000000-H94</f>
        <v/>
      </c>
    </row>
    <row r="95">
      <c r="A95" s="24" t="n">
        <v>93</v>
      </c>
      <c r="B95" s="24" t="inlineStr">
        <is>
          <t>시작</t>
        </is>
      </c>
      <c r="C95" s="24" t="inlineStr">
        <is>
          <t>701-93-02082</t>
        </is>
      </c>
      <c r="D95" s="76" t="inlineStr">
        <is>
          <t>로토정</t>
        </is>
      </c>
      <c r="E95" s="24" t="inlineStr">
        <is>
          <t>네이버</t>
        </is>
      </c>
      <c r="F95" s="170" t="n">
        <v>777</v>
      </c>
      <c r="G95" s="170" t="n">
        <v>14367300</v>
      </c>
      <c r="H95" s="182" t="n">
        <v>394590</v>
      </c>
      <c r="I95" s="183" t="inlineStr">
        <is>
          <t>O</t>
        </is>
      </c>
      <c r="J95" s="184">
        <f>H95/8000000</f>
        <v/>
      </c>
      <c r="K95" s="170">
        <f>8000000-H95</f>
        <v/>
      </c>
    </row>
    <row r="96">
      <c r="A96" s="24" t="n">
        <v>94</v>
      </c>
      <c r="B96" s="24" t="inlineStr">
        <is>
          <t>도약</t>
        </is>
      </c>
      <c r="C96" s="24" t="inlineStr">
        <is>
          <t>477-93-01384</t>
        </is>
      </c>
      <c r="D96" s="76" t="inlineStr">
        <is>
          <t>수촌농장</t>
        </is>
      </c>
      <c r="E96" s="24" t="inlineStr">
        <is>
          <t>지마켓</t>
        </is>
      </c>
      <c r="F96" s="170" t="n">
        <v>3441</v>
      </c>
      <c r="G96" s="170" t="n">
        <v>60348400</v>
      </c>
      <c r="H96" s="182" t="n">
        <v>5728100</v>
      </c>
      <c r="I96" s="183" t="inlineStr">
        <is>
          <t>O</t>
        </is>
      </c>
      <c r="J96" s="184">
        <f>H96/8000000</f>
        <v/>
      </c>
      <c r="K96" s="170">
        <f>8000000-H96</f>
        <v/>
      </c>
    </row>
    <row r="97">
      <c r="A97" s="24" t="n">
        <v>95</v>
      </c>
      <c r="B97" s="24" t="inlineStr">
        <is>
          <t>도약</t>
        </is>
      </c>
      <c r="C97" s="24" t="inlineStr">
        <is>
          <t>188-81-01220</t>
        </is>
      </c>
      <c r="D97" s="76" t="inlineStr">
        <is>
          <t>주식회사 지향</t>
        </is>
      </c>
      <c r="E97" s="24" t="inlineStr">
        <is>
          <t>롯데온</t>
        </is>
      </c>
      <c r="F97" s="170" t="n">
        <v>91</v>
      </c>
      <c r="G97" s="170" t="n">
        <v>2694400</v>
      </c>
      <c r="H97" s="182" t="n">
        <v>371050</v>
      </c>
      <c r="I97" s="183" t="inlineStr">
        <is>
          <t>O</t>
        </is>
      </c>
      <c r="J97" s="184">
        <f>H97/8000000</f>
        <v/>
      </c>
      <c r="K97" s="170">
        <f>8000000-H97</f>
        <v/>
      </c>
    </row>
    <row r="98">
      <c r="A98" s="24" t="n">
        <v>96</v>
      </c>
      <c r="B98" s="24" t="inlineStr">
        <is>
          <t>도약</t>
        </is>
      </c>
      <c r="C98" s="24" t="inlineStr">
        <is>
          <t>616-81-78184</t>
        </is>
      </c>
      <c r="D98" s="76" t="inlineStr">
        <is>
          <t>(주)올찬 농업회사법인</t>
        </is>
      </c>
      <c r="E98" s="24" t="inlineStr">
        <is>
          <t>네이버</t>
        </is>
      </c>
      <c r="F98" s="170" t="n">
        <v>0</v>
      </c>
      <c r="G98" s="170" t="n">
        <v>0</v>
      </c>
      <c r="H98" s="182" t="n">
        <v>0</v>
      </c>
      <c r="I98" s="183" t="inlineStr"/>
      <c r="J98" s="184">
        <f>H98/8000000</f>
        <v/>
      </c>
      <c r="K98" s="170">
        <f>8000000-H98</f>
        <v/>
      </c>
    </row>
    <row r="99">
      <c r="A99" s="24" t="n">
        <v>97</v>
      </c>
      <c r="B99" s="24" t="inlineStr">
        <is>
          <t>도약</t>
        </is>
      </c>
      <c r="C99" s="24" t="inlineStr">
        <is>
          <t>543-88-02648</t>
        </is>
      </c>
      <c r="D99" s="76" t="inlineStr">
        <is>
          <t>(주)복숭아집밤비네</t>
        </is>
      </c>
      <c r="E99" s="24" t="inlineStr">
        <is>
          <t>네이버</t>
        </is>
      </c>
      <c r="F99" s="170" t="n">
        <v>0</v>
      </c>
      <c r="G99" s="170" t="n">
        <v>0</v>
      </c>
      <c r="H99" s="182" t="n">
        <v>0</v>
      </c>
      <c r="I99" s="183" t="inlineStr"/>
      <c r="J99" s="184">
        <f>H99/8000000</f>
        <v/>
      </c>
      <c r="K99" s="170">
        <f>8000000-H99</f>
        <v/>
      </c>
    </row>
    <row r="100">
      <c r="A100" s="24" t="n">
        <v>98</v>
      </c>
      <c r="B100" s="24" t="inlineStr">
        <is>
          <t>시작</t>
        </is>
      </c>
      <c r="C100" s="24" t="inlineStr">
        <is>
          <t>447-92-02158</t>
        </is>
      </c>
      <c r="D100" s="76" t="inlineStr">
        <is>
          <t>애플온</t>
        </is>
      </c>
      <c r="E100" s="24" t="inlineStr">
        <is>
          <t>네이버</t>
        </is>
      </c>
      <c r="F100" s="170" t="n">
        <v>298</v>
      </c>
      <c r="G100" s="170" t="n">
        <v>5666070</v>
      </c>
      <c r="H100" s="182" t="n">
        <v>282800</v>
      </c>
      <c r="I100" s="183" t="inlineStr">
        <is>
          <t>O</t>
        </is>
      </c>
      <c r="J100" s="184">
        <f>H100/8000000</f>
        <v/>
      </c>
      <c r="K100" s="170">
        <f>8000000-H100</f>
        <v/>
      </c>
    </row>
    <row r="101">
      <c r="A101" s="24" t="n">
        <v>99</v>
      </c>
      <c r="B101" s="24" t="inlineStr">
        <is>
          <t>성장</t>
        </is>
      </c>
      <c r="C101" s="24" t="inlineStr">
        <is>
          <t>512-05-48837</t>
        </is>
      </c>
      <c r="D101" s="76" t="inlineStr">
        <is>
          <t>우가네농장</t>
        </is>
      </c>
      <c r="E101" s="24" t="inlineStr">
        <is>
          <t>온누리마켓</t>
        </is>
      </c>
      <c r="F101" s="170" t="n">
        <v>22</v>
      </c>
      <c r="G101" s="170" t="n">
        <v>1087000</v>
      </c>
      <c r="H101" s="182" t="n">
        <v>129320</v>
      </c>
      <c r="I101" s="183" t="inlineStr">
        <is>
          <t>O</t>
        </is>
      </c>
      <c r="J101" s="184">
        <f>H101/8000000</f>
        <v/>
      </c>
      <c r="K101" s="170">
        <f>8000000-H101</f>
        <v/>
      </c>
    </row>
    <row r="102">
      <c r="A102" s="24" t="n">
        <v>100</v>
      </c>
      <c r="B102" s="24" t="inlineStr">
        <is>
          <t>도약</t>
        </is>
      </c>
      <c r="C102" s="24" t="inlineStr">
        <is>
          <t>386-97-01806</t>
        </is>
      </c>
      <c r="D102" s="76" t="inlineStr">
        <is>
          <t>애플향농원</t>
        </is>
      </c>
      <c r="E102" s="24" t="inlineStr">
        <is>
          <t>네이버</t>
        </is>
      </c>
      <c r="F102" s="170" t="n">
        <v>269</v>
      </c>
      <c r="G102" s="170" t="n">
        <v>11888240</v>
      </c>
      <c r="H102" s="182" t="n">
        <v>631520</v>
      </c>
      <c r="I102" s="183" t="inlineStr">
        <is>
          <t>O</t>
        </is>
      </c>
      <c r="J102" s="184">
        <f>H102/8000000</f>
        <v/>
      </c>
      <c r="K102" s="170">
        <f>8000000-H102</f>
        <v/>
      </c>
    </row>
    <row r="103">
      <c r="A103" s="24" t="n">
        <v>101</v>
      </c>
      <c r="B103" s="24" t="inlineStr">
        <is>
          <t>시작</t>
        </is>
      </c>
      <c r="C103" s="24" t="inlineStr">
        <is>
          <t>653-96-01295</t>
        </is>
      </c>
      <c r="D103" s="76" t="inlineStr">
        <is>
          <t>봄과하늘이네밭</t>
        </is>
      </c>
      <c r="E103" s="24" t="inlineStr">
        <is>
          <t>네이버</t>
        </is>
      </c>
      <c r="F103" s="170" t="n">
        <v>0</v>
      </c>
      <c r="G103" s="170" t="n">
        <v>0</v>
      </c>
      <c r="H103" s="182" t="n">
        <v>0</v>
      </c>
      <c r="I103" s="183" t="inlineStr"/>
      <c r="J103" s="184">
        <f>H103/8000000</f>
        <v/>
      </c>
      <c r="K103" s="170">
        <f>8000000-H103</f>
        <v/>
      </c>
    </row>
    <row r="104">
      <c r="A104" s="24" t="n">
        <v>102</v>
      </c>
      <c r="B104" s="24" t="inlineStr">
        <is>
          <t>도약</t>
        </is>
      </c>
      <c r="C104" s="24" t="inlineStr">
        <is>
          <t>505-21-96189</t>
        </is>
      </c>
      <c r="D104" s="76" t="inlineStr">
        <is>
          <t>쌈바쌈바</t>
        </is>
      </c>
      <c r="E104" s="24" t="inlineStr">
        <is>
          <t>네이버</t>
        </is>
      </c>
      <c r="F104" s="170" t="n">
        <v>325</v>
      </c>
      <c r="G104" s="170" t="n">
        <v>8356000</v>
      </c>
      <c r="H104" s="182" t="n">
        <v>844760</v>
      </c>
      <c r="I104" s="183" t="inlineStr">
        <is>
          <t>O</t>
        </is>
      </c>
      <c r="J104" s="184">
        <f>H104/8000000</f>
        <v/>
      </c>
      <c r="K104" s="170">
        <f>8000000-H104</f>
        <v/>
      </c>
    </row>
    <row r="105">
      <c r="A105" s="24" t="n">
        <v>103</v>
      </c>
      <c r="B105" s="24" t="inlineStr">
        <is>
          <t>성장</t>
        </is>
      </c>
      <c r="C105" s="24" t="inlineStr">
        <is>
          <t>412-87-02406</t>
        </is>
      </c>
      <c r="D105" s="76" t="inlineStr">
        <is>
          <t>진솔건강주식회사</t>
        </is>
      </c>
      <c r="E105" s="24" t="inlineStr">
        <is>
          <t>네이버</t>
        </is>
      </c>
      <c r="F105" s="170" t="n">
        <v>0</v>
      </c>
      <c r="G105" s="170" t="n">
        <v>0</v>
      </c>
      <c r="H105" s="182" t="n">
        <v>0</v>
      </c>
      <c r="I105" s="183" t="inlineStr"/>
      <c r="J105" s="184">
        <f>H105/8000000</f>
        <v/>
      </c>
      <c r="K105" s="170">
        <f>8000000-H105</f>
        <v/>
      </c>
    </row>
    <row r="106">
      <c r="A106" s="24" t="n">
        <v>104</v>
      </c>
      <c r="B106" s="24" t="inlineStr">
        <is>
          <t>도약</t>
        </is>
      </c>
      <c r="C106" s="24" t="inlineStr">
        <is>
          <t>177-81-00798</t>
        </is>
      </c>
      <c r="D106" s="76" t="inlineStr">
        <is>
          <t>농업회사법인 팜팜(주)</t>
        </is>
      </c>
      <c r="E106" s="24" t="inlineStr">
        <is>
          <t>지마켓</t>
        </is>
      </c>
      <c r="F106" s="170" t="n">
        <v>324</v>
      </c>
      <c r="G106" s="170" t="n">
        <v>6087100</v>
      </c>
      <c r="H106" s="182" t="n">
        <v>476820</v>
      </c>
      <c r="I106" s="183" t="inlineStr">
        <is>
          <t>O</t>
        </is>
      </c>
      <c r="J106" s="184">
        <f>H106/8000000</f>
        <v/>
      </c>
      <c r="K106" s="170">
        <f>8000000-H106</f>
        <v/>
      </c>
    </row>
    <row r="107">
      <c r="A107" s="24" t="n">
        <v>105</v>
      </c>
      <c r="B107" s="24" t="inlineStr">
        <is>
          <t>성장</t>
        </is>
      </c>
      <c r="C107" s="24" t="inlineStr">
        <is>
          <t>608-28-92628</t>
        </is>
      </c>
      <c r="D107" s="76" t="inlineStr">
        <is>
          <t>마늘본가</t>
        </is>
      </c>
      <c r="E107" s="24" t="inlineStr">
        <is>
          <t>지마켓</t>
        </is>
      </c>
      <c r="F107" s="170" t="n">
        <v>0</v>
      </c>
      <c r="G107" s="170" t="n">
        <v>0</v>
      </c>
      <c r="H107" s="182" t="n">
        <v>0</v>
      </c>
      <c r="I107" s="183" t="inlineStr"/>
      <c r="J107" s="184">
        <f>H107/8000000</f>
        <v/>
      </c>
      <c r="K107" s="170">
        <f>8000000-H107</f>
        <v/>
      </c>
    </row>
    <row r="108">
      <c r="A108" s="24" t="n">
        <v>106</v>
      </c>
      <c r="B108" s="24" t="inlineStr">
        <is>
          <t>도약</t>
        </is>
      </c>
      <c r="C108" s="24" t="inlineStr">
        <is>
          <t>475-10-02064</t>
        </is>
      </c>
      <c r="D108" s="76" t="inlineStr">
        <is>
          <t>오직건강마늘</t>
        </is>
      </c>
      <c r="E108" s="24" t="inlineStr">
        <is>
          <t>지마켓</t>
        </is>
      </c>
      <c r="F108" s="170" t="n">
        <v>0</v>
      </c>
      <c r="G108" s="170" t="n">
        <v>0</v>
      </c>
      <c r="H108" s="182" t="n">
        <v>0</v>
      </c>
      <c r="I108" s="183" t="inlineStr"/>
      <c r="J108" s="184">
        <f>H108/8000000</f>
        <v/>
      </c>
      <c r="K108" s="170">
        <f>8000000-H108</f>
        <v/>
      </c>
    </row>
    <row r="109">
      <c r="A109" s="24" t="n">
        <v>107</v>
      </c>
      <c r="B109" s="24" t="inlineStr">
        <is>
          <t>시작</t>
        </is>
      </c>
      <c r="C109" s="24" t="inlineStr">
        <is>
          <t>532-17-01799</t>
        </is>
      </c>
      <c r="D109" s="76" t="inlineStr">
        <is>
          <t>G.I.F&amp;T</t>
        </is>
      </c>
      <c r="E109" s="24" t="inlineStr">
        <is>
          <t>네이버</t>
        </is>
      </c>
      <c r="F109" s="170" t="n">
        <v>0</v>
      </c>
      <c r="G109" s="170" t="n">
        <v>0</v>
      </c>
      <c r="H109" s="182" t="n">
        <v>0</v>
      </c>
      <c r="I109" s="183" t="inlineStr"/>
      <c r="J109" s="184">
        <f>H109/8000000</f>
        <v/>
      </c>
      <c r="K109" s="170">
        <f>8000000-H109</f>
        <v/>
      </c>
    </row>
    <row r="110">
      <c r="A110" s="24" t="n">
        <v>108</v>
      </c>
      <c r="B110" s="24" t="inlineStr">
        <is>
          <t>도약</t>
        </is>
      </c>
      <c r="C110" s="24" t="inlineStr">
        <is>
          <t>386-96-01395</t>
        </is>
      </c>
      <c r="D110" s="76" t="inlineStr">
        <is>
          <t>방울따옴</t>
        </is>
      </c>
      <c r="E110" s="24" t="inlineStr">
        <is>
          <t>네이버</t>
        </is>
      </c>
      <c r="F110" s="170" t="n">
        <v>0</v>
      </c>
      <c r="G110" s="170" t="n">
        <v>0</v>
      </c>
      <c r="H110" s="182" t="n">
        <v>0</v>
      </c>
      <c r="I110" s="183" t="inlineStr"/>
      <c r="J110" s="184">
        <f>H110/8000000</f>
        <v/>
      </c>
      <c r="K110" s="170">
        <f>8000000-H110</f>
        <v/>
      </c>
    </row>
    <row r="111">
      <c r="A111" s="24" t="n">
        <v>109</v>
      </c>
      <c r="B111" s="24" t="inlineStr">
        <is>
          <t>성장</t>
        </is>
      </c>
      <c r="C111" s="24" t="inlineStr">
        <is>
          <t>454-96-00874</t>
        </is>
      </c>
      <c r="D111" s="76" t="inlineStr">
        <is>
          <t>오나라네맛좋은딸기</t>
        </is>
      </c>
      <c r="E111" s="24" t="inlineStr">
        <is>
          <t>온누리마켓</t>
        </is>
      </c>
      <c r="F111" s="170" t="n">
        <v>0</v>
      </c>
      <c r="G111" s="170" t="n">
        <v>0</v>
      </c>
      <c r="H111" s="182" t="n">
        <v>0</v>
      </c>
      <c r="I111" s="183" t="inlineStr"/>
      <c r="J111" s="184">
        <f>H111/8000000</f>
        <v/>
      </c>
      <c r="K111" s="170">
        <f>8000000-H111</f>
        <v/>
      </c>
    </row>
    <row r="112">
      <c r="A112" s="24" t="n">
        <v>110</v>
      </c>
      <c r="B112" s="24" t="inlineStr">
        <is>
          <t>도약</t>
        </is>
      </c>
      <c r="C112" s="73" t="inlineStr">
        <is>
          <t>126-99-15769</t>
        </is>
      </c>
      <c r="D112" s="76" t="inlineStr">
        <is>
          <t>정진농장</t>
        </is>
      </c>
      <c r="E112" s="24" t="inlineStr">
        <is>
          <t>지마켓</t>
        </is>
      </c>
      <c r="F112" s="170" t="n">
        <v>2936</v>
      </c>
      <c r="G112" s="170" t="n">
        <v>34514260</v>
      </c>
      <c r="H112" s="182" t="n">
        <v>3201390</v>
      </c>
      <c r="I112" s="183" t="inlineStr">
        <is>
          <t>O</t>
        </is>
      </c>
      <c r="J112" s="184">
        <f>H112/8000000</f>
        <v/>
      </c>
      <c r="K112" s="170">
        <f>8000000-H112</f>
        <v/>
      </c>
    </row>
    <row r="113">
      <c r="A113" s="24" t="n">
        <v>111</v>
      </c>
      <c r="B113" s="24" t="inlineStr">
        <is>
          <t>도약</t>
        </is>
      </c>
      <c r="C113" s="24" t="inlineStr">
        <is>
          <t>878-91-00963</t>
        </is>
      </c>
      <c r="D113" s="76" t="inlineStr">
        <is>
          <t>감귤소나이</t>
        </is>
      </c>
      <c r="E113" s="24" t="inlineStr">
        <is>
          <t>온누리마켓</t>
        </is>
      </c>
      <c r="F113" s="170" t="n">
        <v>0</v>
      </c>
      <c r="G113" s="170" t="n">
        <v>0</v>
      </c>
      <c r="H113" s="182" t="n">
        <v>0</v>
      </c>
      <c r="I113" s="183" t="inlineStr"/>
      <c r="J113" s="184">
        <f>H113/8000000</f>
        <v/>
      </c>
      <c r="K113" s="170">
        <f>8000000-H113</f>
        <v/>
      </c>
    </row>
    <row r="114">
      <c r="A114" s="24" t="n">
        <v>112</v>
      </c>
      <c r="B114" s="24" t="inlineStr">
        <is>
          <t>성장</t>
        </is>
      </c>
      <c r="C114" s="24" t="inlineStr">
        <is>
          <t>342-03-03125</t>
        </is>
      </c>
      <c r="D114" s="76" t="inlineStr">
        <is>
          <t>예림농원</t>
        </is>
      </c>
      <c r="E114" s="24" t="inlineStr">
        <is>
          <t>네이버</t>
        </is>
      </c>
      <c r="F114" s="170" t="n">
        <v>64</v>
      </c>
      <c r="G114" s="170" t="n">
        <v>1376000</v>
      </c>
      <c r="H114" s="182" t="n">
        <v>72800</v>
      </c>
      <c r="I114" s="183" t="inlineStr">
        <is>
          <t>O</t>
        </is>
      </c>
      <c r="J114" s="184">
        <f>H114/8000000</f>
        <v/>
      </c>
      <c r="K114" s="170">
        <f>8000000-H114</f>
        <v/>
      </c>
    </row>
    <row r="115">
      <c r="A115" s="24" t="n">
        <v>113</v>
      </c>
      <c r="B115" s="24" t="inlineStr">
        <is>
          <t>도약</t>
        </is>
      </c>
      <c r="C115" s="24" t="inlineStr">
        <is>
          <t>185-87-01669</t>
        </is>
      </c>
      <c r="D115" s="76" t="inlineStr">
        <is>
          <t>주식회사 삼형제월드</t>
        </is>
      </c>
      <c r="E115" s="24" t="inlineStr">
        <is>
          <t>롯데온</t>
        </is>
      </c>
      <c r="F115" s="170" t="n">
        <v>1351</v>
      </c>
      <c r="G115" s="170" t="n">
        <v>36257920</v>
      </c>
      <c r="H115" s="182" t="n">
        <v>4804820</v>
      </c>
      <c r="I115" s="183" t="inlineStr">
        <is>
          <t>O</t>
        </is>
      </c>
      <c r="J115" s="184">
        <f>H115/8000000</f>
        <v/>
      </c>
      <c r="K115" s="170">
        <f>8000000-H115</f>
        <v/>
      </c>
    </row>
    <row r="116">
      <c r="A116" s="24" t="n">
        <v>114</v>
      </c>
      <c r="B116" s="24" t="inlineStr">
        <is>
          <t>성장</t>
        </is>
      </c>
      <c r="C116" s="24" t="inlineStr">
        <is>
          <t>218-37-00631</t>
        </is>
      </c>
      <c r="D116" s="76" t="inlineStr">
        <is>
          <t>부엉이네오솔길</t>
        </is>
      </c>
      <c r="E116" s="24" t="inlineStr">
        <is>
          <t>온누리마켓</t>
        </is>
      </c>
      <c r="F116" s="170" t="n">
        <v>22</v>
      </c>
      <c r="G116" s="170" t="n">
        <v>472200</v>
      </c>
      <c r="H116" s="182" t="n">
        <v>66017</v>
      </c>
      <c r="I116" s="183" t="inlineStr">
        <is>
          <t>O</t>
        </is>
      </c>
      <c r="J116" s="184">
        <f>H116/8000000</f>
        <v/>
      </c>
      <c r="K116" s="170">
        <f>8000000-H116</f>
        <v/>
      </c>
    </row>
    <row r="117">
      <c r="A117" s="24" t="n">
        <v>115</v>
      </c>
      <c r="B117" s="24" t="inlineStr">
        <is>
          <t>도약</t>
        </is>
      </c>
      <c r="C117" s="24" t="inlineStr">
        <is>
          <t>411-08-51893</t>
        </is>
      </c>
      <c r="D117" s="76" t="inlineStr">
        <is>
          <t>듬뿍농원</t>
        </is>
      </c>
      <c r="E117" s="24" t="inlineStr">
        <is>
          <t>지마켓</t>
        </is>
      </c>
      <c r="F117" s="170" t="n">
        <v>589</v>
      </c>
      <c r="G117" s="170" t="n">
        <v>18159600</v>
      </c>
      <c r="H117" s="182" t="n">
        <v>281240</v>
      </c>
      <c r="I117" s="183" t="inlineStr">
        <is>
          <t>O</t>
        </is>
      </c>
      <c r="J117" s="184">
        <f>H117/8000000</f>
        <v/>
      </c>
      <c r="K117" s="170">
        <f>8000000-H117</f>
        <v/>
      </c>
    </row>
    <row r="118">
      <c r="A118" s="24" t="n">
        <v>116</v>
      </c>
      <c r="B118" s="24" t="inlineStr">
        <is>
          <t>성장</t>
        </is>
      </c>
      <c r="C118" s="24" t="inlineStr">
        <is>
          <t>502-93-44001</t>
        </is>
      </c>
      <c r="D118" s="76" t="inlineStr">
        <is>
          <t>샤론포도농원</t>
        </is>
      </c>
      <c r="E118" s="24" t="inlineStr">
        <is>
          <t>네이버</t>
        </is>
      </c>
      <c r="F118" s="170" t="n">
        <v>0</v>
      </c>
      <c r="G118" s="170" t="n">
        <v>0</v>
      </c>
      <c r="H118" s="182" t="n">
        <v>0</v>
      </c>
      <c r="I118" s="183" t="inlineStr"/>
      <c r="J118" s="184">
        <f>H118/8000000</f>
        <v/>
      </c>
      <c r="K118" s="170">
        <f>8000000-H118</f>
        <v/>
      </c>
    </row>
    <row r="119">
      <c r="A119" s="24" t="n">
        <v>117</v>
      </c>
      <c r="B119" s="24" t="inlineStr">
        <is>
          <t>도약</t>
        </is>
      </c>
      <c r="C119" s="24" t="inlineStr">
        <is>
          <t>478-50-00760</t>
        </is>
      </c>
      <c r="D119" s="76" t="inlineStr">
        <is>
          <t>푸드스토리</t>
        </is>
      </c>
      <c r="E119" s="24" t="inlineStr">
        <is>
          <t>롯데온</t>
        </is>
      </c>
      <c r="F119" s="170" t="n">
        <v>0</v>
      </c>
      <c r="G119" s="170" t="n">
        <v>0</v>
      </c>
      <c r="H119" s="182" t="n">
        <v>0</v>
      </c>
      <c r="I119" s="183" t="inlineStr"/>
      <c r="J119" s="184">
        <f>H119/8000000</f>
        <v/>
      </c>
      <c r="K119" s="170">
        <f>8000000-H119</f>
        <v/>
      </c>
    </row>
    <row r="120">
      <c r="A120" s="24" t="n">
        <v>118</v>
      </c>
      <c r="B120" s="24" t="inlineStr">
        <is>
          <t>시작</t>
        </is>
      </c>
      <c r="C120" s="24" t="inlineStr">
        <is>
          <t>301-92-21674</t>
        </is>
      </c>
      <c r="D120" s="76" t="inlineStr">
        <is>
          <t>진천블루베리농장(팜)</t>
        </is>
      </c>
      <c r="E120" s="24" t="inlineStr">
        <is>
          <t>온누리마켓</t>
        </is>
      </c>
      <c r="F120" s="170" t="n">
        <v>4</v>
      </c>
      <c r="G120" s="170" t="n">
        <v>123400</v>
      </c>
      <c r="H120" s="182" t="n">
        <v>19700</v>
      </c>
      <c r="I120" s="183" t="inlineStr">
        <is>
          <t>O</t>
        </is>
      </c>
      <c r="J120" s="184">
        <f>H120/8000000</f>
        <v/>
      </c>
      <c r="K120" s="170">
        <f>8000000-H120</f>
        <v/>
      </c>
    </row>
    <row r="121">
      <c r="A121" s="24" t="n">
        <v>119</v>
      </c>
      <c r="B121" s="24" t="inlineStr">
        <is>
          <t>성장</t>
        </is>
      </c>
      <c r="C121" s="24" t="inlineStr">
        <is>
          <t>797-88-03152</t>
        </is>
      </c>
      <c r="D121" s="76" t="inlineStr">
        <is>
          <t>농업회사법인 주식회사 팔농</t>
        </is>
      </c>
      <c r="E121" s="24" t="inlineStr">
        <is>
          <t>오아시스</t>
        </is>
      </c>
      <c r="F121" s="170" t="n">
        <v>37</v>
      </c>
      <c r="G121" s="170" t="n">
        <v>937000</v>
      </c>
      <c r="H121" s="182" t="n">
        <v>161700</v>
      </c>
      <c r="I121" s="183" t="inlineStr">
        <is>
          <t>O</t>
        </is>
      </c>
      <c r="J121" s="184">
        <f>H121/8000000</f>
        <v/>
      </c>
      <c r="K121" s="170">
        <f>8000000-H121</f>
        <v/>
      </c>
    </row>
    <row r="122">
      <c r="A122" s="24" t="n">
        <v>120</v>
      </c>
      <c r="B122" s="24" t="inlineStr">
        <is>
          <t>성장</t>
        </is>
      </c>
      <c r="C122" s="24" t="inlineStr">
        <is>
          <t>725-97-02000</t>
        </is>
      </c>
      <c r="D122" s="76" t="inlineStr">
        <is>
          <t>농부아저씨</t>
        </is>
      </c>
      <c r="E122" s="24" t="inlineStr">
        <is>
          <t>롯데온</t>
        </is>
      </c>
      <c r="F122" s="170" t="n">
        <v>2255</v>
      </c>
      <c r="G122" s="170" t="n">
        <v>13975900</v>
      </c>
      <c r="H122" s="182" t="n">
        <v>2783730</v>
      </c>
      <c r="I122" s="183" t="inlineStr">
        <is>
          <t>O</t>
        </is>
      </c>
      <c r="J122" s="184">
        <f>H122/8000000</f>
        <v/>
      </c>
      <c r="K122" s="170">
        <f>8000000-H122</f>
        <v/>
      </c>
    </row>
    <row r="123">
      <c r="A123" s="24" t="n">
        <v>121</v>
      </c>
      <c r="B123" s="24" t="inlineStr">
        <is>
          <t>도약</t>
        </is>
      </c>
      <c r="C123" s="24" t="inlineStr">
        <is>
          <t>726-87-00175</t>
        </is>
      </c>
      <c r="D123" s="76" t="inlineStr">
        <is>
          <t>농업회사법인 주식회사 미담</t>
        </is>
      </c>
      <c r="E123" s="24" t="inlineStr">
        <is>
          <t>지마켓</t>
        </is>
      </c>
      <c r="F123" s="170" t="n">
        <v>0</v>
      </c>
      <c r="G123" s="170" t="n">
        <v>0</v>
      </c>
      <c r="H123" s="182" t="n">
        <v>0</v>
      </c>
      <c r="I123" s="183" t="inlineStr"/>
      <c r="J123" s="184">
        <f>H123/8000000</f>
        <v/>
      </c>
      <c r="K123" s="170">
        <f>8000000-H123</f>
        <v/>
      </c>
    </row>
    <row r="124">
      <c r="A124" s="24" t="n">
        <v>122</v>
      </c>
      <c r="B124" s="24" t="inlineStr">
        <is>
          <t>도약</t>
        </is>
      </c>
      <c r="C124" s="24" t="inlineStr">
        <is>
          <t>135-81-57787</t>
        </is>
      </c>
      <c r="D124" s="76" t="inlineStr">
        <is>
          <t>조은 영농조합법인</t>
        </is>
      </c>
      <c r="E124" s="24" t="inlineStr">
        <is>
          <t>오아시스</t>
        </is>
      </c>
      <c r="F124" s="170" t="n">
        <v>62603</v>
      </c>
      <c r="G124" s="170" t="n">
        <v>175764970</v>
      </c>
      <c r="H124" s="182" t="n">
        <v>2046334</v>
      </c>
      <c r="I124" s="183" t="inlineStr">
        <is>
          <t>O</t>
        </is>
      </c>
      <c r="J124" s="184">
        <f>H124/8000000</f>
        <v/>
      </c>
      <c r="K124" s="170">
        <f>8000000-H124</f>
        <v/>
      </c>
    </row>
    <row r="125">
      <c r="A125" s="24" t="n">
        <v>123</v>
      </c>
      <c r="B125" s="24" t="inlineStr">
        <is>
          <t>시작</t>
        </is>
      </c>
      <c r="C125" s="24" t="inlineStr">
        <is>
          <t>350-86-02760</t>
        </is>
      </c>
      <c r="D125" s="76" t="inlineStr">
        <is>
          <t>농업회사법인 주식회사 미프레쉬</t>
        </is>
      </c>
      <c r="E125" s="24" t="inlineStr">
        <is>
          <t>네이버</t>
        </is>
      </c>
      <c r="F125" s="170" t="n">
        <v>0</v>
      </c>
      <c r="G125" s="170" t="n">
        <v>0</v>
      </c>
      <c r="H125" s="182" t="n">
        <v>0</v>
      </c>
      <c r="I125" s="183" t="inlineStr"/>
      <c r="J125" s="184">
        <f>H125/8000000</f>
        <v/>
      </c>
      <c r="K125" s="170">
        <f>8000000-H125</f>
        <v/>
      </c>
    </row>
    <row r="126">
      <c r="A126" s="24" t="n">
        <v>124</v>
      </c>
      <c r="B126" s="24" t="inlineStr">
        <is>
          <t>도약</t>
        </is>
      </c>
      <c r="C126" s="24" t="inlineStr">
        <is>
          <t>172-60-00288</t>
        </is>
      </c>
      <c r="D126" s="76" t="inlineStr">
        <is>
          <t>장기선마농원</t>
        </is>
      </c>
      <c r="E126" s="24" t="inlineStr">
        <is>
          <t>네이버</t>
        </is>
      </c>
      <c r="F126" s="170" t="n">
        <v>110</v>
      </c>
      <c r="G126" s="170" t="n">
        <v>2855400</v>
      </c>
      <c r="H126" s="182" t="n">
        <v>244970</v>
      </c>
      <c r="I126" s="183" t="inlineStr">
        <is>
          <t>O</t>
        </is>
      </c>
      <c r="J126" s="184">
        <f>H126/8000000</f>
        <v/>
      </c>
      <c r="K126" s="170">
        <f>8000000-H126</f>
        <v/>
      </c>
    </row>
    <row r="127">
      <c r="A127" s="24" t="n">
        <v>125</v>
      </c>
      <c r="B127" s="24" t="inlineStr">
        <is>
          <t>시작</t>
        </is>
      </c>
      <c r="C127" s="24" t="inlineStr">
        <is>
          <t>577-94-01721</t>
        </is>
      </c>
      <c r="D127" s="76" t="inlineStr">
        <is>
          <t>맑은농장</t>
        </is>
      </c>
      <c r="E127" s="24" t="inlineStr">
        <is>
          <t>네이버</t>
        </is>
      </c>
      <c r="F127" s="170" t="n">
        <v>115</v>
      </c>
      <c r="G127" s="170" t="n">
        <v>6213800</v>
      </c>
      <c r="H127" s="182" t="n">
        <v>422640</v>
      </c>
      <c r="I127" s="183" t="inlineStr">
        <is>
          <t>O</t>
        </is>
      </c>
      <c r="J127" s="184">
        <f>H127/8000000</f>
        <v/>
      </c>
      <c r="K127" s="170">
        <f>8000000-H127</f>
        <v/>
      </c>
    </row>
    <row r="128">
      <c r="A128" s="24" t="n">
        <v>126</v>
      </c>
      <c r="B128" s="24" t="inlineStr">
        <is>
          <t>시작</t>
        </is>
      </c>
      <c r="C128" s="24" t="inlineStr">
        <is>
          <t>638-68-00222</t>
        </is>
      </c>
      <c r="D128" s="76" t="inlineStr">
        <is>
          <t>그린푸드</t>
        </is>
      </c>
      <c r="E128" s="24" t="inlineStr">
        <is>
          <t>온누리마켓</t>
        </is>
      </c>
      <c r="F128" s="170" t="n">
        <v>150</v>
      </c>
      <c r="G128" s="170" t="n">
        <v>2247000</v>
      </c>
      <c r="H128" s="182" t="n">
        <v>335843</v>
      </c>
      <c r="I128" s="183" t="inlineStr">
        <is>
          <t>O</t>
        </is>
      </c>
      <c r="J128" s="184">
        <f>H128/8000000</f>
        <v/>
      </c>
      <c r="K128" s="170">
        <f>8000000-H128</f>
        <v/>
      </c>
    </row>
    <row r="129">
      <c r="A129" s="24" t="n">
        <v>127</v>
      </c>
      <c r="B129" s="24" t="inlineStr">
        <is>
          <t>성장</t>
        </is>
      </c>
      <c r="C129" s="73" t="inlineStr">
        <is>
          <t>608-96-64761</t>
        </is>
      </c>
      <c r="D129" s="76" t="inlineStr">
        <is>
          <t>들판열매</t>
        </is>
      </c>
      <c r="E129" s="24" t="inlineStr">
        <is>
          <t>농가살리기</t>
        </is>
      </c>
      <c r="F129" s="170" t="n">
        <v>11</v>
      </c>
      <c r="G129" s="170" t="n">
        <v>268713</v>
      </c>
      <c r="H129" s="182" t="n">
        <v>28340</v>
      </c>
      <c r="I129" s="183" t="inlineStr">
        <is>
          <t>O</t>
        </is>
      </c>
      <c r="J129" s="184">
        <f>H129/8000000</f>
        <v/>
      </c>
      <c r="K129" s="170">
        <f>8000000-H129</f>
        <v/>
      </c>
    </row>
    <row r="130">
      <c r="A130" s="24" t="n">
        <v>128</v>
      </c>
      <c r="B130" s="24" t="inlineStr">
        <is>
          <t>도약</t>
        </is>
      </c>
      <c r="C130" s="24" t="inlineStr">
        <is>
          <t>511-90-18321</t>
        </is>
      </c>
      <c r="D130" s="76" t="inlineStr">
        <is>
          <t>상주토성곶감농원</t>
        </is>
      </c>
      <c r="E130" s="24" t="inlineStr">
        <is>
          <t>네이버</t>
        </is>
      </c>
      <c r="F130" s="170" t="n">
        <v>238</v>
      </c>
      <c r="G130" s="170" t="n">
        <v>11446900</v>
      </c>
      <c r="H130" s="182" t="n">
        <v>956180</v>
      </c>
      <c r="I130" s="183" t="inlineStr">
        <is>
          <t>O</t>
        </is>
      </c>
      <c r="J130" s="184">
        <f>H130/8000000</f>
        <v/>
      </c>
      <c r="K130" s="170">
        <f>8000000-H130</f>
        <v/>
      </c>
    </row>
    <row r="131">
      <c r="A131" s="24" t="n">
        <v>129</v>
      </c>
      <c r="B131" s="24" t="inlineStr">
        <is>
          <t>시작</t>
        </is>
      </c>
      <c r="C131" s="24" t="inlineStr">
        <is>
          <t>849-88-03360</t>
        </is>
      </c>
      <c r="D131" s="76" t="inlineStr">
        <is>
          <t>아일랜드마켓 농업회사법인 유한회사</t>
        </is>
      </c>
      <c r="E131" s="24" t="inlineStr">
        <is>
          <t>네이버</t>
        </is>
      </c>
      <c r="F131" s="170" t="n">
        <v>371</v>
      </c>
      <c r="G131" s="170" t="n">
        <v>16447000</v>
      </c>
      <c r="H131" s="182" t="n">
        <v>1203400</v>
      </c>
      <c r="I131" s="183" t="inlineStr">
        <is>
          <t>O</t>
        </is>
      </c>
      <c r="J131" s="184">
        <f>H131/8000000</f>
        <v/>
      </c>
      <c r="K131" s="170">
        <f>8000000-H131</f>
        <v/>
      </c>
    </row>
    <row r="132">
      <c r="A132" s="24" t="n">
        <v>130</v>
      </c>
      <c r="B132" s="24" t="inlineStr">
        <is>
          <t>도약</t>
        </is>
      </c>
      <c r="C132" s="24" t="inlineStr">
        <is>
          <t>125-86-20444</t>
        </is>
      </c>
      <c r="D132" s="76" t="inlineStr">
        <is>
          <t>풍년주식회사농업회사법인</t>
        </is>
      </c>
      <c r="E132" s="24" t="inlineStr">
        <is>
          <t>네이버</t>
        </is>
      </c>
      <c r="F132" s="170" t="n">
        <v>232</v>
      </c>
      <c r="G132" s="170" t="n">
        <v>12396500</v>
      </c>
      <c r="H132" s="182" t="n">
        <v>1310490</v>
      </c>
      <c r="I132" s="183" t="inlineStr">
        <is>
          <t>O</t>
        </is>
      </c>
      <c r="J132" s="184">
        <f>H132/8000000</f>
        <v/>
      </c>
      <c r="K132" s="170">
        <f>8000000-H132</f>
        <v/>
      </c>
    </row>
    <row r="133">
      <c r="A133" s="24" t="n">
        <v>131</v>
      </c>
      <c r="B133" s="24" t="inlineStr">
        <is>
          <t>도약</t>
        </is>
      </c>
      <c r="C133" s="24" t="inlineStr">
        <is>
          <t>308-81-31629</t>
        </is>
      </c>
      <c r="D133" s="76" t="inlineStr">
        <is>
          <t>영농조합법인아농이</t>
        </is>
      </c>
      <c r="E133" s="24" t="inlineStr">
        <is>
          <t>네이버</t>
        </is>
      </c>
      <c r="F133" s="170" t="n">
        <v>441</v>
      </c>
      <c r="G133" s="170" t="n">
        <v>11280600</v>
      </c>
      <c r="H133" s="182" t="n">
        <v>241400</v>
      </c>
      <c r="I133" s="183" t="inlineStr">
        <is>
          <t>O</t>
        </is>
      </c>
      <c r="J133" s="184">
        <f>H133/8000000</f>
        <v/>
      </c>
      <c r="K133" s="170">
        <f>8000000-H133</f>
        <v/>
      </c>
    </row>
    <row r="134">
      <c r="A134" s="24" t="n">
        <v>132</v>
      </c>
      <c r="B134" s="24" t="inlineStr">
        <is>
          <t>도약</t>
        </is>
      </c>
      <c r="C134" s="24" t="inlineStr">
        <is>
          <t>296-81-01216</t>
        </is>
      </c>
      <c r="D134" s="76" t="inlineStr">
        <is>
          <t>농업회사법인하늘농원주식회사</t>
        </is>
      </c>
      <c r="E134" s="24" t="inlineStr">
        <is>
          <t>오아시스</t>
        </is>
      </c>
      <c r="F134" s="170" t="n">
        <v>0</v>
      </c>
      <c r="G134" s="170" t="n">
        <v>0</v>
      </c>
      <c r="H134" s="182" t="n">
        <v>0</v>
      </c>
      <c r="I134" s="183" t="inlineStr"/>
      <c r="J134" s="184">
        <f>H134/8000000</f>
        <v/>
      </c>
      <c r="K134" s="170">
        <f>8000000-H134</f>
        <v/>
      </c>
    </row>
    <row r="135">
      <c r="A135" s="24" t="n">
        <v>133</v>
      </c>
      <c r="B135" s="24" t="inlineStr">
        <is>
          <t>시작</t>
        </is>
      </c>
      <c r="C135" s="24" t="inlineStr">
        <is>
          <t>271-88-03422</t>
        </is>
      </c>
      <c r="D135" s="76" t="inlineStr">
        <is>
          <t>농업회사법인 주식회사 해리농부</t>
        </is>
      </c>
      <c r="E135" s="24" t="inlineStr">
        <is>
          <t>네이버</t>
        </is>
      </c>
      <c r="F135" s="170" t="n">
        <v>0</v>
      </c>
      <c r="G135" s="170" t="n">
        <v>0</v>
      </c>
      <c r="H135" s="182" t="n">
        <v>0</v>
      </c>
      <c r="I135" s="183" t="inlineStr"/>
      <c r="J135" s="184">
        <f>H135/8000000</f>
        <v/>
      </c>
      <c r="K135" s="170">
        <f>8000000-H135</f>
        <v/>
      </c>
    </row>
    <row r="136">
      <c r="A136" s="24" t="n">
        <v>134</v>
      </c>
      <c r="B136" s="24" t="inlineStr">
        <is>
          <t>성장</t>
        </is>
      </c>
      <c r="C136" s="24" t="inlineStr">
        <is>
          <t>593-91-01533</t>
        </is>
      </c>
      <c r="D136" s="76" t="inlineStr">
        <is>
          <t>팜166</t>
        </is>
      </c>
      <c r="E136" s="24" t="inlineStr">
        <is>
          <t>네이버</t>
        </is>
      </c>
      <c r="F136" s="170" t="n">
        <v>1119</v>
      </c>
      <c r="G136" s="170" t="n">
        <v>40755700</v>
      </c>
      <c r="H136" s="182" t="n">
        <v>4161320</v>
      </c>
      <c r="I136" s="183" t="inlineStr">
        <is>
          <t>O</t>
        </is>
      </c>
      <c r="J136" s="184">
        <f>H136/8000000</f>
        <v/>
      </c>
      <c r="K136" s="170">
        <f>8000000-H136</f>
        <v/>
      </c>
    </row>
    <row r="137">
      <c r="A137" s="24" t="n">
        <v>135</v>
      </c>
      <c r="B137" s="24" t="inlineStr">
        <is>
          <t>시작</t>
        </is>
      </c>
      <c r="C137" s="24" t="inlineStr">
        <is>
          <t>769-88-03123</t>
        </is>
      </c>
      <c r="D137" s="76" t="inlineStr">
        <is>
          <t>농업회사법인 주식회사 정인</t>
        </is>
      </c>
      <c r="E137" s="24" t="inlineStr">
        <is>
          <t>온누리마켓</t>
        </is>
      </c>
      <c r="F137" s="170" t="n">
        <v>613</v>
      </c>
      <c r="G137" s="170" t="n">
        <v>17858500</v>
      </c>
      <c r="H137" s="182" t="n">
        <v>2753706</v>
      </c>
      <c r="I137" s="183" t="inlineStr">
        <is>
          <t>O</t>
        </is>
      </c>
      <c r="J137" s="184">
        <f>H137/8000000</f>
        <v/>
      </c>
      <c r="K137" s="170">
        <f>8000000-H137</f>
        <v/>
      </c>
    </row>
    <row r="138">
      <c r="A138" s="24" t="n">
        <v>136</v>
      </c>
      <c r="B138" s="24" t="inlineStr">
        <is>
          <t>성장</t>
        </is>
      </c>
      <c r="C138" s="24" t="inlineStr">
        <is>
          <t>234-81-04990</t>
        </is>
      </c>
      <c r="D138" s="76" t="inlineStr">
        <is>
          <t>농업회사법인 주식회사 고인돌</t>
        </is>
      </c>
      <c r="E138" s="24" t="inlineStr">
        <is>
          <t>온누리마켓</t>
        </is>
      </c>
      <c r="F138" s="170" t="n">
        <v>67</v>
      </c>
      <c r="G138" s="170" t="n">
        <v>1029600</v>
      </c>
      <c r="H138" s="182" t="n">
        <v>131199</v>
      </c>
      <c r="I138" s="183" t="inlineStr">
        <is>
          <t>O</t>
        </is>
      </c>
      <c r="J138" s="184">
        <f>H138/8000000</f>
        <v/>
      </c>
      <c r="K138" s="170">
        <f>8000000-H138</f>
        <v/>
      </c>
    </row>
    <row r="139">
      <c r="A139" s="24" t="n">
        <v>137</v>
      </c>
      <c r="B139" s="24" t="inlineStr">
        <is>
          <t>도약</t>
        </is>
      </c>
      <c r="C139" s="24" t="inlineStr">
        <is>
          <t>749-87-02443</t>
        </is>
      </c>
      <c r="D139" s="76" t="inlineStr">
        <is>
          <t>농업회사법인 주식회사 더자인</t>
        </is>
      </c>
      <c r="E139" s="24" t="inlineStr">
        <is>
          <t>농가살리기</t>
        </is>
      </c>
      <c r="F139" s="170" t="n">
        <v>3294</v>
      </c>
      <c r="G139" s="170" t="n">
        <v>53884129</v>
      </c>
      <c r="H139" s="182" t="n">
        <v>4931560</v>
      </c>
      <c r="I139" s="183" t="inlineStr">
        <is>
          <t>O</t>
        </is>
      </c>
      <c r="J139" s="184">
        <f>H139/8000000</f>
        <v/>
      </c>
      <c r="K139" s="170">
        <f>8000000-H139</f>
        <v/>
      </c>
    </row>
    <row r="140">
      <c r="A140" s="24" t="n">
        <v>138</v>
      </c>
      <c r="B140" s="24" t="inlineStr">
        <is>
          <t>도약</t>
        </is>
      </c>
      <c r="C140" s="24" t="inlineStr">
        <is>
          <t>511-98-46139</t>
        </is>
      </c>
      <c r="D140" s="76" t="inlineStr">
        <is>
          <t>상주에덴곶감농원</t>
        </is>
      </c>
      <c r="E140" s="24" t="inlineStr">
        <is>
          <t>지마켓</t>
        </is>
      </c>
      <c r="F140" s="170" t="n">
        <v>326</v>
      </c>
      <c r="G140" s="170" t="n">
        <v>8483000</v>
      </c>
      <c r="H140" s="182" t="n">
        <v>0</v>
      </c>
      <c r="I140" s="183" t="inlineStr">
        <is>
          <t>O</t>
        </is>
      </c>
      <c r="J140" s="184">
        <f>H140/8000000</f>
        <v/>
      </c>
      <c r="K140" s="170">
        <f>8000000-H140</f>
        <v/>
      </c>
    </row>
    <row r="141">
      <c r="A141" s="24" t="n">
        <v>139</v>
      </c>
      <c r="B141" s="24" t="inlineStr">
        <is>
          <t>도약</t>
        </is>
      </c>
      <c r="C141" s="24" t="inlineStr">
        <is>
          <t>608-18-95776</t>
        </is>
      </c>
      <c r="D141" s="76" t="inlineStr">
        <is>
          <t>의령부자망개떡</t>
        </is>
      </c>
      <c r="E141" s="24" t="inlineStr">
        <is>
          <t>네이버</t>
        </is>
      </c>
      <c r="F141" s="170" t="n">
        <v>95</v>
      </c>
      <c r="G141" s="170" t="n">
        <v>3250000</v>
      </c>
      <c r="H141" s="182" t="n">
        <v>387870</v>
      </c>
      <c r="I141" s="183" t="inlineStr">
        <is>
          <t>O</t>
        </is>
      </c>
      <c r="J141" s="184">
        <f>H141/8000000</f>
        <v/>
      </c>
      <c r="K141" s="170">
        <f>8000000-H141</f>
        <v/>
      </c>
    </row>
    <row r="142">
      <c r="A142" s="24" t="n">
        <v>140</v>
      </c>
      <c r="B142" s="24" t="inlineStr">
        <is>
          <t>시작</t>
        </is>
      </c>
      <c r="C142" s="24" t="inlineStr">
        <is>
          <t>562-81-04158</t>
        </is>
      </c>
      <c r="D142" s="76" t="inlineStr">
        <is>
          <t>주식회사 드림엘링크</t>
        </is>
      </c>
      <c r="E142" s="24" t="inlineStr">
        <is>
          <t>네이버</t>
        </is>
      </c>
      <c r="F142" s="170" t="n">
        <v>273</v>
      </c>
      <c r="G142" s="170" t="n">
        <v>4991620</v>
      </c>
      <c r="H142" s="182" t="n">
        <v>584880</v>
      </c>
      <c r="I142" s="183" t="inlineStr">
        <is>
          <t>O</t>
        </is>
      </c>
      <c r="J142" s="184">
        <f>H142/8000000</f>
        <v/>
      </c>
      <c r="K142" s="170">
        <f>8000000-H142</f>
        <v/>
      </c>
    </row>
    <row r="143">
      <c r="A143" s="24" t="n">
        <v>141</v>
      </c>
      <c r="B143" s="24" t="inlineStr">
        <is>
          <t>도약</t>
        </is>
      </c>
      <c r="C143" s="24" t="inlineStr">
        <is>
          <t>616-81-85948</t>
        </is>
      </c>
      <c r="D143" s="76" t="inlineStr">
        <is>
          <t>농업회사법인 제프런 주식회사</t>
        </is>
      </c>
      <c r="E143" s="24" t="inlineStr">
        <is>
          <t>지마켓</t>
        </is>
      </c>
      <c r="F143" s="170" t="n">
        <v>4348</v>
      </c>
      <c r="G143" s="170" t="n">
        <v>65560580</v>
      </c>
      <c r="H143" s="182" t="n">
        <v>4994140</v>
      </c>
      <c r="I143" s="183" t="inlineStr">
        <is>
          <t>O</t>
        </is>
      </c>
      <c r="J143" s="184">
        <f>H143/8000000</f>
        <v/>
      </c>
      <c r="K143" s="170">
        <f>8000000-H143</f>
        <v/>
      </c>
    </row>
    <row r="144">
      <c r="A144" s="24" t="n">
        <v>142</v>
      </c>
      <c r="B144" s="24" t="inlineStr">
        <is>
          <t>도약</t>
        </is>
      </c>
      <c r="C144" s="24" t="inlineStr">
        <is>
          <t>540-96-00855</t>
        </is>
      </c>
      <c r="D144" s="76" t="inlineStr">
        <is>
          <t>예다움곶감</t>
        </is>
      </c>
      <c r="E144" s="24" t="inlineStr">
        <is>
          <t>네이버</t>
        </is>
      </c>
      <c r="F144" s="170" t="n">
        <v>260</v>
      </c>
      <c r="G144" s="170" t="n">
        <v>11899600</v>
      </c>
      <c r="H144" s="182" t="n">
        <v>937090</v>
      </c>
      <c r="I144" s="183" t="inlineStr">
        <is>
          <t>O</t>
        </is>
      </c>
      <c r="J144" s="184">
        <f>H144/8000000</f>
        <v/>
      </c>
      <c r="K144" s="170">
        <f>8000000-H144</f>
        <v/>
      </c>
    </row>
    <row r="145">
      <c r="A145" s="24" t="n">
        <v>143</v>
      </c>
      <c r="B145" s="24" t="inlineStr">
        <is>
          <t>도약</t>
        </is>
      </c>
      <c r="C145" s="24" t="inlineStr">
        <is>
          <t>391-87-03582</t>
        </is>
      </c>
      <c r="D145" s="76" t="inlineStr">
        <is>
          <t>농업회사법인 주식회사 그린모먼트</t>
        </is>
      </c>
      <c r="E145" s="24" t="inlineStr">
        <is>
          <t>온누리마켓</t>
        </is>
      </c>
      <c r="F145" s="170" t="n">
        <v>0</v>
      </c>
      <c r="G145" s="170" t="n">
        <v>0</v>
      </c>
      <c r="H145" s="182" t="n">
        <v>0</v>
      </c>
      <c r="I145" s="183" t="inlineStr"/>
      <c r="J145" s="184">
        <f>H145/8000000</f>
        <v/>
      </c>
      <c r="K145" s="170">
        <f>8000000-H145</f>
        <v/>
      </c>
    </row>
    <row r="146">
      <c r="A146" s="24" t="n">
        <v>144</v>
      </c>
      <c r="B146" s="24" t="inlineStr">
        <is>
          <t>시작</t>
        </is>
      </c>
      <c r="C146" s="24" t="inlineStr">
        <is>
          <t>221-92-02444</t>
        </is>
      </c>
      <c r="D146" s="76" t="inlineStr">
        <is>
          <t>할배장터</t>
        </is>
      </c>
      <c r="E146" s="24" t="inlineStr">
        <is>
          <t>온누리마켓</t>
        </is>
      </c>
      <c r="F146" s="170" t="n">
        <v>17</v>
      </c>
      <c r="G146" s="170" t="n">
        <v>418000</v>
      </c>
      <c r="H146" s="182" t="n">
        <v>58680</v>
      </c>
      <c r="I146" s="183" t="inlineStr">
        <is>
          <t>O</t>
        </is>
      </c>
      <c r="J146" s="184">
        <f>H146/8000000</f>
        <v/>
      </c>
      <c r="K146" s="170">
        <f>8000000-H146</f>
        <v/>
      </c>
    </row>
    <row r="147">
      <c r="A147" s="24" t="n">
        <v>145</v>
      </c>
      <c r="B147" s="24" t="inlineStr">
        <is>
          <t>도약</t>
        </is>
      </c>
      <c r="C147" s="24" t="inlineStr">
        <is>
          <t>432-01-02406</t>
        </is>
      </c>
      <c r="D147" s="76" t="inlineStr">
        <is>
          <t>건강드림</t>
        </is>
      </c>
      <c r="E147" s="24" t="inlineStr">
        <is>
          <t>온누리마켓</t>
        </is>
      </c>
      <c r="F147" s="170" t="n">
        <v>0</v>
      </c>
      <c r="G147" s="170" t="n">
        <v>0</v>
      </c>
      <c r="H147" s="182" t="n">
        <v>0</v>
      </c>
      <c r="I147" s="183" t="inlineStr"/>
      <c r="J147" s="184">
        <f>H147/8000000</f>
        <v/>
      </c>
      <c r="K147" s="170">
        <f>8000000-H147</f>
        <v/>
      </c>
    </row>
    <row r="148">
      <c r="A148" s="24" t="n">
        <v>146</v>
      </c>
      <c r="B148" s="24" t="inlineStr">
        <is>
          <t>시작</t>
        </is>
      </c>
      <c r="C148" s="24" t="inlineStr">
        <is>
          <t>111-03-63698</t>
        </is>
      </c>
      <c r="D148" s="76" t="inlineStr">
        <is>
          <t>해나루발효식품</t>
        </is>
      </c>
      <c r="E148" s="24" t="inlineStr">
        <is>
          <t>네이버</t>
        </is>
      </c>
      <c r="F148" s="170" t="n">
        <v>1</v>
      </c>
      <c r="G148" s="170" t="n">
        <v>40000</v>
      </c>
      <c r="H148" s="182" t="n">
        <v>8000</v>
      </c>
      <c r="I148" s="183" t="inlineStr">
        <is>
          <t>O</t>
        </is>
      </c>
      <c r="J148" s="184">
        <f>H148/8000000</f>
        <v/>
      </c>
      <c r="K148" s="170">
        <f>8000000-H148</f>
        <v/>
      </c>
    </row>
    <row r="149">
      <c r="A149" s="24" t="n">
        <v>147</v>
      </c>
      <c r="B149" s="24" t="inlineStr">
        <is>
          <t>성장</t>
        </is>
      </c>
      <c r="C149" s="24" t="inlineStr">
        <is>
          <t>820-81-03211</t>
        </is>
      </c>
      <c r="D149" s="76" t="inlineStr">
        <is>
          <t>농업회사법인 주식회사 드레스푸드</t>
        </is>
      </c>
      <c r="E149" s="24" t="inlineStr">
        <is>
          <t>네이버</t>
        </is>
      </c>
      <c r="F149" s="170" t="n">
        <v>0</v>
      </c>
      <c r="G149" s="170" t="n">
        <v>0</v>
      </c>
      <c r="H149" s="182" t="n">
        <v>0</v>
      </c>
      <c r="I149" s="183" t="inlineStr"/>
      <c r="J149" s="184">
        <f>H149/8000000</f>
        <v/>
      </c>
      <c r="K149" s="170">
        <f>8000000-H149</f>
        <v/>
      </c>
    </row>
    <row r="150">
      <c r="A150" s="24" t="n">
        <v>148</v>
      </c>
      <c r="B150" s="24" t="inlineStr">
        <is>
          <t>시작</t>
        </is>
      </c>
      <c r="C150" s="24" t="inlineStr">
        <is>
          <t>262-27-01939</t>
        </is>
      </c>
      <c r="D150" s="76" t="inlineStr">
        <is>
          <t>박사기름</t>
        </is>
      </c>
      <c r="E150" s="24" t="inlineStr">
        <is>
          <t>오아시스</t>
        </is>
      </c>
      <c r="F150" s="170" t="n">
        <v>0</v>
      </c>
      <c r="G150" s="170" t="n">
        <v>0</v>
      </c>
      <c r="H150" s="182" t="n">
        <v>0</v>
      </c>
      <c r="I150" s="183" t="inlineStr"/>
      <c r="J150" s="184">
        <f>H150/8000000</f>
        <v/>
      </c>
      <c r="K150" s="170">
        <f>8000000-H150</f>
        <v/>
      </c>
    </row>
    <row r="151">
      <c r="A151" s="24" t="n">
        <v>149</v>
      </c>
      <c r="B151" s="24" t="inlineStr">
        <is>
          <t>도약</t>
        </is>
      </c>
      <c r="C151" s="24" t="inlineStr">
        <is>
          <t>847-12-02040</t>
        </is>
      </c>
      <c r="D151" s="76" t="inlineStr">
        <is>
          <t>농진담</t>
        </is>
      </c>
      <c r="E151" s="24" t="inlineStr">
        <is>
          <t>롯데온</t>
        </is>
      </c>
      <c r="F151" s="170" t="n">
        <v>3</v>
      </c>
      <c r="G151" s="170" t="n">
        <v>82000</v>
      </c>
      <c r="H151" s="182" t="n">
        <v>15330</v>
      </c>
      <c r="I151" s="183" t="inlineStr">
        <is>
          <t>O</t>
        </is>
      </c>
      <c r="J151" s="184">
        <f>H151/8000000</f>
        <v/>
      </c>
      <c r="K151" s="170">
        <f>8000000-H151</f>
        <v/>
      </c>
    </row>
    <row r="152">
      <c r="A152" s="24" t="n">
        <v>150</v>
      </c>
      <c r="B152" s="24" t="inlineStr">
        <is>
          <t>시작</t>
        </is>
      </c>
      <c r="C152" s="24" t="inlineStr">
        <is>
          <t>453-94-01880</t>
        </is>
      </c>
      <c r="D152" s="76" t="inlineStr">
        <is>
          <t>수확의 정석</t>
        </is>
      </c>
      <c r="E152" s="24" t="inlineStr">
        <is>
          <t>네이버</t>
        </is>
      </c>
      <c r="F152" s="170" t="n">
        <v>43</v>
      </c>
      <c r="G152" s="170" t="n">
        <v>754070</v>
      </c>
      <c r="H152" s="182" t="n">
        <v>108840</v>
      </c>
      <c r="I152" s="183" t="inlineStr">
        <is>
          <t>O</t>
        </is>
      </c>
      <c r="J152" s="184">
        <f>H152/8000000</f>
        <v/>
      </c>
      <c r="K152" s="170">
        <f>8000000-H152</f>
        <v/>
      </c>
    </row>
    <row r="153">
      <c r="A153" s="24" t="n">
        <v>151</v>
      </c>
      <c r="B153" s="24" t="inlineStr">
        <is>
          <t>도약</t>
        </is>
      </c>
      <c r="C153" s="24" t="inlineStr">
        <is>
          <t>606-81-52718</t>
        </is>
      </c>
      <c r="D153" s="76" t="inlineStr">
        <is>
          <t>두원식품(주)</t>
        </is>
      </c>
      <c r="E153" s="24" t="inlineStr">
        <is>
          <t>지마켓</t>
        </is>
      </c>
      <c r="F153" s="170" t="n">
        <v>2517</v>
      </c>
      <c r="G153" s="170" t="n">
        <v>57338800</v>
      </c>
      <c r="H153" s="182" t="n">
        <v>5062400</v>
      </c>
      <c r="I153" s="183" t="inlineStr">
        <is>
          <t>O</t>
        </is>
      </c>
      <c r="J153" s="184">
        <f>H153/8000000</f>
        <v/>
      </c>
      <c r="K153" s="170">
        <f>8000000-H153</f>
        <v/>
      </c>
    </row>
    <row r="154">
      <c r="A154" s="24" t="n">
        <v>152</v>
      </c>
      <c r="B154" s="24" t="inlineStr">
        <is>
          <t>도약</t>
        </is>
      </c>
      <c r="C154" s="24" t="inlineStr">
        <is>
          <t>316-01-24597</t>
        </is>
      </c>
      <c r="D154" s="76" t="inlineStr">
        <is>
          <t>청정태안식품</t>
        </is>
      </c>
      <c r="E154" s="24" t="inlineStr">
        <is>
          <t>지마켓</t>
        </is>
      </c>
      <c r="F154" s="170" t="n">
        <v>23</v>
      </c>
      <c r="G154" s="170" t="n">
        <v>793000</v>
      </c>
      <c r="H154" s="182" t="n">
        <v>75600</v>
      </c>
      <c r="I154" s="183" t="inlineStr">
        <is>
          <t>O</t>
        </is>
      </c>
      <c r="J154" s="184">
        <f>H154/8000000</f>
        <v/>
      </c>
      <c r="K154" s="170">
        <f>8000000-H154</f>
        <v/>
      </c>
    </row>
    <row r="155">
      <c r="A155" s="24" t="n">
        <v>153</v>
      </c>
      <c r="B155" s="24" t="inlineStr">
        <is>
          <t>도약</t>
        </is>
      </c>
      <c r="C155" s="24" t="inlineStr">
        <is>
          <t>324-88-02106</t>
        </is>
      </c>
      <c r="D155" s="76" t="inlineStr">
        <is>
          <t>농업회사법인주식회사 말린</t>
        </is>
      </c>
      <c r="E155" s="24" t="inlineStr">
        <is>
          <t>지마켓</t>
        </is>
      </c>
      <c r="F155" s="170" t="n">
        <v>0</v>
      </c>
      <c r="G155" s="170" t="n">
        <v>0</v>
      </c>
      <c r="H155" s="182" t="n">
        <v>0</v>
      </c>
      <c r="I155" s="183" t="inlineStr"/>
      <c r="J155" s="184">
        <f>H155/8000000</f>
        <v/>
      </c>
      <c r="K155" s="170">
        <f>8000000-H155</f>
        <v/>
      </c>
    </row>
    <row r="156">
      <c r="A156" s="24" t="n">
        <v>154</v>
      </c>
      <c r="B156" s="24" t="inlineStr">
        <is>
          <t>성장</t>
        </is>
      </c>
      <c r="C156" s="24" t="inlineStr">
        <is>
          <t>312-06-28581</t>
        </is>
      </c>
      <c r="D156" s="76" t="inlineStr">
        <is>
          <t>153양봉원</t>
        </is>
      </c>
      <c r="E156" s="24" t="inlineStr">
        <is>
          <t>네이버</t>
        </is>
      </c>
      <c r="F156" s="170" t="n">
        <v>20</v>
      </c>
      <c r="G156" s="170" t="n">
        <v>387500</v>
      </c>
      <c r="H156" s="182" t="n">
        <v>25800</v>
      </c>
      <c r="I156" s="183" t="inlineStr">
        <is>
          <t>O</t>
        </is>
      </c>
      <c r="J156" s="184">
        <f>H156/8000000</f>
        <v/>
      </c>
      <c r="K156" s="170">
        <f>8000000-H156</f>
        <v/>
      </c>
    </row>
    <row r="157">
      <c r="A157" s="24" t="n">
        <v>155</v>
      </c>
      <c r="B157" s="24" t="inlineStr">
        <is>
          <t>도약</t>
        </is>
      </c>
      <c r="C157" s="24" t="inlineStr">
        <is>
          <t>323-88-00158</t>
        </is>
      </c>
      <c r="D157" s="76" t="inlineStr">
        <is>
          <t>당진해나루쌀조합공동사업법인</t>
        </is>
      </c>
      <c r="E157" s="24" t="inlineStr">
        <is>
          <t>롯데온</t>
        </is>
      </c>
      <c r="F157" s="170" t="n">
        <v>737</v>
      </c>
      <c r="G157" s="170" t="n">
        <v>26752200</v>
      </c>
      <c r="H157" s="182" t="n">
        <v>5136630</v>
      </c>
      <c r="I157" s="183" t="inlineStr">
        <is>
          <t>O</t>
        </is>
      </c>
      <c r="J157" s="184">
        <f>H157/8000000</f>
        <v/>
      </c>
      <c r="K157" s="170">
        <f>8000000-H157</f>
        <v/>
      </c>
    </row>
    <row r="158">
      <c r="A158" s="24" t="n">
        <v>156</v>
      </c>
      <c r="B158" s="24" t="inlineStr">
        <is>
          <t>시작</t>
        </is>
      </c>
      <c r="C158" s="24" t="inlineStr">
        <is>
          <t>137-91-64304</t>
        </is>
      </c>
      <c r="D158" s="76" t="inlineStr">
        <is>
          <t>강화오이총각</t>
        </is>
      </c>
      <c r="E158" s="24" t="inlineStr">
        <is>
          <t>온누리마켓</t>
        </is>
      </c>
      <c r="F158" s="170" t="n">
        <v>0</v>
      </c>
      <c r="G158" s="170" t="n">
        <v>0</v>
      </c>
      <c r="H158" s="182" t="n">
        <v>0</v>
      </c>
      <c r="I158" s="183" t="inlineStr"/>
      <c r="J158" s="184">
        <f>H158/8000000</f>
        <v/>
      </c>
      <c r="K158" s="170">
        <f>8000000-H158</f>
        <v/>
      </c>
    </row>
    <row r="159">
      <c r="A159" s="24" t="n">
        <v>157</v>
      </c>
      <c r="B159" s="24" t="inlineStr">
        <is>
          <t>도약</t>
        </is>
      </c>
      <c r="C159" s="24" t="inlineStr">
        <is>
          <t>257-35-01010</t>
        </is>
      </c>
      <c r="D159" s="76" t="inlineStr">
        <is>
          <t>양파만</t>
        </is>
      </c>
      <c r="E159" s="24" t="inlineStr">
        <is>
          <t>네이버</t>
        </is>
      </c>
      <c r="F159" s="170" t="n">
        <v>67</v>
      </c>
      <c r="G159" s="170" t="n">
        <v>1124600</v>
      </c>
      <c r="H159" s="182" t="n">
        <v>70540</v>
      </c>
      <c r="I159" s="183" t="inlineStr">
        <is>
          <t>O</t>
        </is>
      </c>
      <c r="J159" s="184">
        <f>H159/8000000</f>
        <v/>
      </c>
      <c r="K159" s="170">
        <f>8000000-H159</f>
        <v/>
      </c>
    </row>
    <row r="160">
      <c r="A160" s="24" t="n">
        <v>158</v>
      </c>
      <c r="B160" s="24" t="inlineStr">
        <is>
          <t>시작</t>
        </is>
      </c>
      <c r="C160" s="24" t="inlineStr">
        <is>
          <t>308-82-08921</t>
        </is>
      </c>
      <c r="D160" s="76" t="inlineStr">
        <is>
          <t>농업회사법인 우듬지팜주식회사</t>
        </is>
      </c>
      <c r="E160" s="24" t="inlineStr">
        <is>
          <t>온누리마켓</t>
        </is>
      </c>
      <c r="F160" s="170" t="n">
        <v>202</v>
      </c>
      <c r="G160" s="170" t="n">
        <v>2546000</v>
      </c>
      <c r="H160" s="182" t="n">
        <v>288388</v>
      </c>
      <c r="I160" s="183" t="inlineStr">
        <is>
          <t>O</t>
        </is>
      </c>
      <c r="J160" s="184">
        <f>H160/8000000</f>
        <v/>
      </c>
      <c r="K160" s="170">
        <f>8000000-H160</f>
        <v/>
      </c>
    </row>
    <row r="161">
      <c r="A161" s="24" t="n">
        <v>159</v>
      </c>
      <c r="B161" s="24" t="inlineStr">
        <is>
          <t>도약</t>
        </is>
      </c>
      <c r="C161" s="24" t="inlineStr">
        <is>
          <t>616-26-53957</t>
        </is>
      </c>
      <c r="D161" s="76" t="inlineStr">
        <is>
          <t>탐라몰</t>
        </is>
      </c>
      <c r="E161" s="24" t="inlineStr">
        <is>
          <t>지마켓</t>
        </is>
      </c>
      <c r="F161" s="170" t="n">
        <v>0</v>
      </c>
      <c r="G161" s="170" t="n">
        <v>0</v>
      </c>
      <c r="H161" s="182" t="n">
        <v>0</v>
      </c>
      <c r="I161" s="183" t="inlineStr"/>
      <c r="J161" s="184">
        <f>H161/8000000</f>
        <v/>
      </c>
      <c r="K161" s="170">
        <f>8000000-H161</f>
        <v/>
      </c>
    </row>
    <row r="162">
      <c r="A162" s="24" t="n">
        <v>160</v>
      </c>
      <c r="B162" s="24" t="inlineStr">
        <is>
          <t>도약</t>
        </is>
      </c>
      <c r="C162" s="24" t="inlineStr">
        <is>
          <t>788-81-03144</t>
        </is>
      </c>
      <c r="D162" s="76" t="inlineStr">
        <is>
          <t>농업회사법인 주식회사 비에이비</t>
        </is>
      </c>
      <c r="E162" s="24" t="inlineStr">
        <is>
          <t>지마켓</t>
        </is>
      </c>
      <c r="F162" s="170" t="n">
        <v>0</v>
      </c>
      <c r="G162" s="170" t="n">
        <v>0</v>
      </c>
      <c r="H162" s="182" t="n">
        <v>0</v>
      </c>
      <c r="I162" s="183" t="inlineStr"/>
      <c r="J162" s="184">
        <f>H162/8000000</f>
        <v/>
      </c>
      <c r="K162" s="170">
        <f>8000000-H162</f>
        <v/>
      </c>
    </row>
    <row r="163">
      <c r="A163" s="24" t="n">
        <v>161</v>
      </c>
      <c r="B163" s="24" t="inlineStr">
        <is>
          <t>시작</t>
        </is>
      </c>
      <c r="C163" s="24" t="inlineStr">
        <is>
          <t>776-41-01486</t>
        </is>
      </c>
      <c r="D163" s="76" t="inlineStr">
        <is>
          <t>영산강 푸드</t>
        </is>
      </c>
      <c r="E163" s="24" t="inlineStr">
        <is>
          <t>네이버</t>
        </is>
      </c>
      <c r="F163" s="170" t="n">
        <v>0</v>
      </c>
      <c r="G163" s="170" t="n">
        <v>0</v>
      </c>
      <c r="H163" s="182" t="n">
        <v>0</v>
      </c>
      <c r="I163" s="183" t="inlineStr"/>
      <c r="J163" s="184">
        <f>H163/8000000</f>
        <v/>
      </c>
      <c r="K163" s="170">
        <f>8000000-H163</f>
        <v/>
      </c>
    </row>
    <row r="164">
      <c r="A164" s="24" t="n">
        <v>162</v>
      </c>
      <c r="B164" s="24" t="inlineStr">
        <is>
          <t>도약</t>
        </is>
      </c>
      <c r="C164" s="24" t="inlineStr">
        <is>
          <t>873-88-00110</t>
        </is>
      </c>
      <c r="D164" s="76" t="inlineStr">
        <is>
          <t>영농조합법인 우보산초</t>
        </is>
      </c>
      <c r="E164" s="24" t="inlineStr">
        <is>
          <t>농가살리기</t>
        </is>
      </c>
      <c r="F164" s="170" t="n">
        <v>7</v>
      </c>
      <c r="G164" s="170" t="n">
        <v>276800</v>
      </c>
      <c r="H164" s="182" t="n">
        <v>31200</v>
      </c>
      <c r="I164" s="183" t="inlineStr">
        <is>
          <t>O</t>
        </is>
      </c>
      <c r="J164" s="184">
        <f>H164/8000000</f>
        <v/>
      </c>
      <c r="K164" s="170">
        <f>8000000-H164</f>
        <v/>
      </c>
    </row>
    <row r="165">
      <c r="A165" s="24" t="n">
        <v>163</v>
      </c>
      <c r="B165" s="24" t="inlineStr">
        <is>
          <t>도약</t>
        </is>
      </c>
      <c r="C165" s="24" t="inlineStr">
        <is>
          <t>120-86-08936</t>
        </is>
      </c>
      <c r="D165" s="76" t="inlineStr">
        <is>
          <t>(주)케이에프지(KFG Co., Ltd.)</t>
        </is>
      </c>
      <c r="E165" s="24" t="inlineStr">
        <is>
          <t>오아시스</t>
        </is>
      </c>
      <c r="F165" s="170" t="n">
        <v>10441</v>
      </c>
      <c r="G165" s="170" t="n">
        <v>113790900</v>
      </c>
      <c r="H165" s="182" t="n">
        <v>2067740</v>
      </c>
      <c r="I165" s="183" t="inlineStr">
        <is>
          <t>O</t>
        </is>
      </c>
      <c r="J165" s="184">
        <f>H165/8000000</f>
        <v/>
      </c>
      <c r="K165" s="170">
        <f>8000000-H165</f>
        <v/>
      </c>
    </row>
    <row r="166">
      <c r="A166" s="24" t="n">
        <v>164</v>
      </c>
      <c r="B166" s="24" t="inlineStr">
        <is>
          <t>도약</t>
        </is>
      </c>
      <c r="C166" s="24" t="inlineStr">
        <is>
          <t>613-92-05994</t>
        </is>
      </c>
      <c r="D166" s="76" t="inlineStr">
        <is>
          <t>지리산황금농원</t>
        </is>
      </c>
      <c r="E166" s="24" t="inlineStr">
        <is>
          <t>롯데온</t>
        </is>
      </c>
      <c r="F166" s="170" t="n">
        <v>0</v>
      </c>
      <c r="G166" s="170" t="n">
        <v>0</v>
      </c>
      <c r="H166" s="182" t="n">
        <v>0</v>
      </c>
      <c r="I166" s="183" t="inlineStr"/>
      <c r="J166" s="184">
        <f>H166/8000000</f>
        <v/>
      </c>
      <c r="K166" s="170">
        <f>8000000-H166</f>
        <v/>
      </c>
    </row>
    <row r="167">
      <c r="A167" s="24" t="n">
        <v>165</v>
      </c>
      <c r="B167" s="24" t="inlineStr">
        <is>
          <t>도약</t>
        </is>
      </c>
      <c r="C167" s="24" t="inlineStr">
        <is>
          <t>511-90-56233</t>
        </is>
      </c>
      <c r="D167" s="76" t="inlineStr">
        <is>
          <t>상주곶감대장</t>
        </is>
      </c>
      <c r="E167" s="24" t="inlineStr">
        <is>
          <t>네이버</t>
        </is>
      </c>
      <c r="F167" s="170" t="n">
        <v>411</v>
      </c>
      <c r="G167" s="170" t="n">
        <v>15016900</v>
      </c>
      <c r="H167" s="182" t="n">
        <v>1478990</v>
      </c>
      <c r="I167" s="183" t="inlineStr">
        <is>
          <t>O</t>
        </is>
      </c>
      <c r="J167" s="184">
        <f>H167/8000000</f>
        <v/>
      </c>
      <c r="K167" s="170">
        <f>8000000-H167</f>
        <v/>
      </c>
    </row>
    <row r="168">
      <c r="A168" s="24" t="n">
        <v>166</v>
      </c>
      <c r="B168" s="24" t="inlineStr">
        <is>
          <t>시작</t>
        </is>
      </c>
      <c r="C168" s="24" t="inlineStr">
        <is>
          <t>491-96-01789</t>
        </is>
      </c>
      <c r="D168" s="76" t="inlineStr">
        <is>
          <t>온전히팜</t>
        </is>
      </c>
      <c r="E168" s="24" t="inlineStr">
        <is>
          <t>네이버</t>
        </is>
      </c>
      <c r="F168" s="170" t="n">
        <v>0</v>
      </c>
      <c r="G168" s="170" t="n">
        <v>0</v>
      </c>
      <c r="H168" s="182" t="n">
        <v>0</v>
      </c>
      <c r="I168" s="183" t="inlineStr"/>
      <c r="J168" s="184">
        <f>H168/8000000</f>
        <v/>
      </c>
      <c r="K168" s="170">
        <f>8000000-H168</f>
        <v/>
      </c>
    </row>
    <row r="169">
      <c r="A169" s="24" t="n">
        <v>167</v>
      </c>
      <c r="B169" s="24" t="inlineStr">
        <is>
          <t>시작</t>
        </is>
      </c>
      <c r="C169" s="24" t="inlineStr">
        <is>
          <t>775-86-01989</t>
        </is>
      </c>
      <c r="D169" s="76" t="inlineStr">
        <is>
          <t>농업회사법인 유한회사 늘품연</t>
        </is>
      </c>
      <c r="E169" s="24" t="inlineStr">
        <is>
          <t>네이버</t>
        </is>
      </c>
      <c r="F169" s="170" t="n">
        <v>0</v>
      </c>
      <c r="G169" s="170" t="n">
        <v>0</v>
      </c>
      <c r="H169" s="182" t="n">
        <v>0</v>
      </c>
      <c r="I169" s="183" t="inlineStr"/>
      <c r="J169" s="184">
        <f>H169/8000000</f>
        <v/>
      </c>
      <c r="K169" s="170">
        <f>8000000-H169</f>
        <v/>
      </c>
    </row>
    <row r="170">
      <c r="A170" s="24" t="n">
        <v>168</v>
      </c>
      <c r="B170" s="24" t="inlineStr">
        <is>
          <t>시작</t>
        </is>
      </c>
      <c r="C170" s="24" t="inlineStr">
        <is>
          <t>652-76-00368</t>
        </is>
      </c>
      <c r="D170" s="76" t="inlineStr">
        <is>
          <t>할매장터</t>
        </is>
      </c>
      <c r="E170" s="24" t="inlineStr">
        <is>
          <t>온누리마켓</t>
        </is>
      </c>
      <c r="F170" s="170" t="n">
        <v>37</v>
      </c>
      <c r="G170" s="170" t="n">
        <v>551300</v>
      </c>
      <c r="H170" s="182" t="n">
        <v>80180</v>
      </c>
      <c r="I170" s="183" t="inlineStr">
        <is>
          <t>O</t>
        </is>
      </c>
      <c r="J170" s="184">
        <f>H170/8000000</f>
        <v/>
      </c>
      <c r="K170" s="170">
        <f>8000000-H170</f>
        <v/>
      </c>
    </row>
    <row r="171">
      <c r="A171" s="24" t="n">
        <v>169</v>
      </c>
      <c r="B171" s="24" t="inlineStr">
        <is>
          <t>도약</t>
        </is>
      </c>
      <c r="C171" s="24" t="inlineStr">
        <is>
          <t>817-85-01855</t>
        </is>
      </c>
      <c r="D171" s="76" t="inlineStr">
        <is>
          <t>주식회사 대현상회 망미점</t>
        </is>
      </c>
      <c r="E171" s="24" t="inlineStr">
        <is>
          <t>롯데온</t>
        </is>
      </c>
      <c r="F171" s="170" t="n">
        <v>140</v>
      </c>
      <c r="G171" s="170" t="n">
        <v>3016100</v>
      </c>
      <c r="H171" s="182" t="n">
        <v>551480</v>
      </c>
      <c r="I171" s="183" t="inlineStr">
        <is>
          <t>O</t>
        </is>
      </c>
      <c r="J171" s="184">
        <f>H171/8000000</f>
        <v/>
      </c>
      <c r="K171" s="170">
        <f>8000000-H171</f>
        <v/>
      </c>
    </row>
    <row r="172">
      <c r="A172" s="24" t="n">
        <v>170</v>
      </c>
      <c r="B172" s="24" t="inlineStr">
        <is>
          <t>도약</t>
        </is>
      </c>
      <c r="C172" s="24" t="inlineStr">
        <is>
          <t>412-81-50546</t>
        </is>
      </c>
      <c r="D172" s="76" t="inlineStr">
        <is>
          <t>농업회사법인(유)코리아푸드</t>
        </is>
      </c>
      <c r="E172" s="24" t="inlineStr">
        <is>
          <t>농가살리기</t>
        </is>
      </c>
      <c r="F172" s="170" t="n">
        <v>23157</v>
      </c>
      <c r="G172" s="170" t="n">
        <v>348126237</v>
      </c>
      <c r="H172" s="182" t="n">
        <v>5847700</v>
      </c>
      <c r="I172" s="183" t="inlineStr">
        <is>
          <t>O</t>
        </is>
      </c>
      <c r="J172" s="184">
        <f>H172/8000000</f>
        <v/>
      </c>
      <c r="K172" s="170">
        <f>8000000-H172</f>
        <v/>
      </c>
    </row>
    <row r="173">
      <c r="A173" s="24" t="n">
        <v>171</v>
      </c>
      <c r="B173" s="24" t="inlineStr">
        <is>
          <t>도약</t>
        </is>
      </c>
      <c r="C173" s="24" t="inlineStr">
        <is>
          <t>887-10-00764</t>
        </is>
      </c>
      <c r="D173" s="76" t="inlineStr">
        <is>
          <t>도원명가</t>
        </is>
      </c>
      <c r="E173" s="24" t="inlineStr">
        <is>
          <t>농가살리기</t>
        </is>
      </c>
      <c r="F173" s="170" t="n">
        <v>3181</v>
      </c>
      <c r="G173" s="170" t="n">
        <v>55343432</v>
      </c>
      <c r="H173" s="182" t="n">
        <v>3711720</v>
      </c>
      <c r="I173" s="183" t="inlineStr">
        <is>
          <t>O</t>
        </is>
      </c>
      <c r="J173" s="184">
        <f>H173/8000000</f>
        <v/>
      </c>
      <c r="K173" s="170">
        <f>8000000-H173</f>
        <v/>
      </c>
    </row>
    <row r="174">
      <c r="A174" s="24" t="n">
        <v>172</v>
      </c>
      <c r="B174" s="24" t="inlineStr">
        <is>
          <t>시작</t>
        </is>
      </c>
      <c r="C174" s="24" t="inlineStr">
        <is>
          <t>381-44-00882</t>
        </is>
      </c>
      <c r="D174" s="76" t="inlineStr">
        <is>
          <t>메이</t>
        </is>
      </c>
      <c r="E174" s="24" t="inlineStr">
        <is>
          <t>네이버</t>
        </is>
      </c>
      <c r="F174" s="170" t="n">
        <v>0</v>
      </c>
      <c r="G174" s="170" t="n">
        <v>0</v>
      </c>
      <c r="H174" s="182" t="n">
        <v>0</v>
      </c>
      <c r="I174" s="183" t="inlineStr"/>
      <c r="J174" s="184">
        <f>H174/8000000</f>
        <v/>
      </c>
      <c r="K174" s="170">
        <f>8000000-H174</f>
        <v/>
      </c>
    </row>
    <row r="175">
      <c r="A175" s="24" t="n">
        <v>173</v>
      </c>
      <c r="B175" s="24" t="inlineStr">
        <is>
          <t>시작</t>
        </is>
      </c>
      <c r="C175" s="24" t="inlineStr">
        <is>
          <t>185-96-01074</t>
        </is>
      </c>
      <c r="D175" s="76" t="inlineStr">
        <is>
          <t>영프로식품</t>
        </is>
      </c>
      <c r="E175" s="24" t="inlineStr">
        <is>
          <t>네이버</t>
        </is>
      </c>
      <c r="F175" s="170" t="n">
        <v>41</v>
      </c>
      <c r="G175" s="170" t="n">
        <v>1129400</v>
      </c>
      <c r="H175" s="182" t="n">
        <v>90860</v>
      </c>
      <c r="I175" s="183" t="inlineStr">
        <is>
          <t>O</t>
        </is>
      </c>
      <c r="J175" s="184">
        <f>H175/8000000</f>
        <v/>
      </c>
      <c r="K175" s="170">
        <f>8000000-H175</f>
        <v/>
      </c>
    </row>
    <row r="176">
      <c r="A176" s="24" t="n">
        <v>174</v>
      </c>
      <c r="B176" s="24" t="inlineStr">
        <is>
          <t>성장</t>
        </is>
      </c>
      <c r="C176" s="24" t="inlineStr">
        <is>
          <t>141-06-23534</t>
        </is>
      </c>
      <c r="D176" s="76" t="inlineStr">
        <is>
          <t>명품수제프레시하우스</t>
        </is>
      </c>
      <c r="E176" s="24" t="inlineStr">
        <is>
          <t>오아시스</t>
        </is>
      </c>
      <c r="F176" s="170" t="n">
        <v>83</v>
      </c>
      <c r="G176" s="170" t="n">
        <v>1078300</v>
      </c>
      <c r="H176" s="182" t="n">
        <v>129420</v>
      </c>
      <c r="I176" s="183" t="inlineStr">
        <is>
          <t>O</t>
        </is>
      </c>
      <c r="J176" s="184">
        <f>H176/8000000</f>
        <v/>
      </c>
      <c r="K176" s="170">
        <f>8000000-H176</f>
        <v/>
      </c>
    </row>
    <row r="177">
      <c r="A177" s="24" t="n">
        <v>175</v>
      </c>
      <c r="B177" s="24" t="inlineStr">
        <is>
          <t>성장</t>
        </is>
      </c>
      <c r="C177" s="24" t="inlineStr">
        <is>
          <t>114-86-65039</t>
        </is>
      </c>
      <c r="D177" s="76" t="inlineStr">
        <is>
          <t>(주)우영채널</t>
        </is>
      </c>
      <c r="E177" s="24" t="inlineStr">
        <is>
          <t>지마켓</t>
        </is>
      </c>
      <c r="F177" s="170" t="n">
        <v>1653</v>
      </c>
      <c r="G177" s="170" t="n">
        <v>70241000</v>
      </c>
      <c r="H177" s="182" t="n">
        <v>5268240</v>
      </c>
      <c r="I177" s="183" t="inlineStr">
        <is>
          <t>O</t>
        </is>
      </c>
      <c r="J177" s="184">
        <f>H177/8000000</f>
        <v/>
      </c>
      <c r="K177" s="170">
        <f>8000000-H177</f>
        <v/>
      </c>
    </row>
    <row r="178">
      <c r="A178" s="24" t="n">
        <v>176</v>
      </c>
      <c r="B178" s="24" t="inlineStr">
        <is>
          <t>시작</t>
        </is>
      </c>
      <c r="C178" s="24" t="inlineStr">
        <is>
          <t>555-28-01518</t>
        </is>
      </c>
      <c r="D178" s="76" t="inlineStr">
        <is>
          <t>현주농장</t>
        </is>
      </c>
      <c r="E178" s="24" t="inlineStr">
        <is>
          <t>네이버</t>
        </is>
      </c>
      <c r="F178" s="170" t="n">
        <v>0</v>
      </c>
      <c r="G178" s="170" t="n">
        <v>0</v>
      </c>
      <c r="H178" s="182" t="n">
        <v>0</v>
      </c>
      <c r="I178" s="183" t="inlineStr"/>
      <c r="J178" s="184">
        <f>H178/8000000</f>
        <v/>
      </c>
      <c r="K178" s="170">
        <f>8000000-H178</f>
        <v/>
      </c>
    </row>
    <row r="179">
      <c r="A179" s="24" t="n">
        <v>177</v>
      </c>
      <c r="B179" s="24" t="inlineStr">
        <is>
          <t>성장</t>
        </is>
      </c>
      <c r="C179" s="24" t="inlineStr">
        <is>
          <t>605-38-29687</t>
        </is>
      </c>
      <c r="D179" s="76" t="inlineStr">
        <is>
          <t>나행상회</t>
        </is>
      </c>
      <c r="E179" s="24" t="inlineStr">
        <is>
          <t>롯데온</t>
        </is>
      </c>
      <c r="F179" s="170" t="n">
        <v>0</v>
      </c>
      <c r="G179" s="170" t="n">
        <v>0</v>
      </c>
      <c r="H179" s="182" t="n">
        <v>0</v>
      </c>
      <c r="I179" s="183" t="inlineStr"/>
      <c r="J179" s="184">
        <f>H179/8000000</f>
        <v/>
      </c>
      <c r="K179" s="170">
        <f>8000000-H179</f>
        <v/>
      </c>
    </row>
    <row r="180">
      <c r="A180" s="24" t="n">
        <v>178</v>
      </c>
      <c r="B180" s="24" t="inlineStr">
        <is>
          <t>성장</t>
        </is>
      </c>
      <c r="C180" s="24" t="inlineStr">
        <is>
          <t>809-86-00022</t>
        </is>
      </c>
      <c r="D180" s="76" t="inlineStr">
        <is>
          <t>농업회사법인 주식회사 착한푸드</t>
        </is>
      </c>
      <c r="E180" s="24" t="inlineStr">
        <is>
          <t>지마켓</t>
        </is>
      </c>
      <c r="F180" s="170" t="n">
        <v>4198</v>
      </c>
      <c r="G180" s="170" t="n">
        <v>91537100</v>
      </c>
      <c r="H180" s="182" t="n">
        <v>4866780</v>
      </c>
      <c r="I180" s="183" t="inlineStr">
        <is>
          <t>O</t>
        </is>
      </c>
      <c r="J180" s="184">
        <f>H180/8000000</f>
        <v/>
      </c>
      <c r="K180" s="170">
        <f>8000000-H180</f>
        <v/>
      </c>
    </row>
    <row r="181">
      <c r="A181" s="24" t="n">
        <v>179</v>
      </c>
      <c r="B181" s="24" t="inlineStr">
        <is>
          <t>성장</t>
        </is>
      </c>
      <c r="C181" s="24" t="inlineStr">
        <is>
          <t>540-25-00229</t>
        </is>
      </c>
      <c r="D181" s="76" t="inlineStr">
        <is>
          <t>신기농원</t>
        </is>
      </c>
      <c r="E181" s="24" t="inlineStr">
        <is>
          <t>네이버</t>
        </is>
      </c>
      <c r="F181" s="170" t="n">
        <v>453</v>
      </c>
      <c r="G181" s="170" t="n">
        <v>11843530</v>
      </c>
      <c r="H181" s="182" t="n">
        <v>1093520</v>
      </c>
      <c r="I181" s="183" t="inlineStr">
        <is>
          <t>O</t>
        </is>
      </c>
      <c r="J181" s="184">
        <f>H181/8000000</f>
        <v/>
      </c>
      <c r="K181" s="170">
        <f>8000000-H181</f>
        <v/>
      </c>
    </row>
    <row r="182">
      <c r="A182" s="24" t="n">
        <v>180</v>
      </c>
      <c r="B182" s="24" t="inlineStr">
        <is>
          <t>도약</t>
        </is>
      </c>
      <c r="C182" s="24" t="inlineStr">
        <is>
          <t>613-81-38510</t>
        </is>
      </c>
      <c r="D182" s="76" t="inlineStr">
        <is>
          <t>(주)율림에프앤비 농업회사법인</t>
        </is>
      </c>
      <c r="E182" s="24" t="inlineStr">
        <is>
          <t>지마켓</t>
        </is>
      </c>
      <c r="F182" s="170" t="n">
        <v>2197</v>
      </c>
      <c r="G182" s="170" t="n">
        <v>50970400</v>
      </c>
      <c r="H182" s="182" t="n">
        <v>4673920</v>
      </c>
      <c r="I182" s="183" t="inlineStr">
        <is>
          <t>O</t>
        </is>
      </c>
      <c r="J182" s="184">
        <f>H182/8000000</f>
        <v/>
      </c>
      <c r="K182" s="170">
        <f>8000000-H182</f>
        <v/>
      </c>
    </row>
    <row r="183">
      <c r="A183" s="24" t="n">
        <v>181</v>
      </c>
      <c r="B183" s="24" t="inlineStr">
        <is>
          <t>성장</t>
        </is>
      </c>
      <c r="C183" s="24" t="inlineStr">
        <is>
          <t>761-38-00336</t>
        </is>
      </c>
      <c r="D183" s="76" t="inlineStr">
        <is>
          <t>새암농장</t>
        </is>
      </c>
      <c r="E183" s="24" t="inlineStr">
        <is>
          <t>네이버</t>
        </is>
      </c>
      <c r="F183" s="170" t="n">
        <v>243</v>
      </c>
      <c r="G183" s="170" t="n">
        <v>4101220</v>
      </c>
      <c r="H183" s="182" t="n">
        <v>342710</v>
      </c>
      <c r="I183" s="183" t="inlineStr">
        <is>
          <t>O</t>
        </is>
      </c>
      <c r="J183" s="184">
        <f>H183/8000000</f>
        <v/>
      </c>
      <c r="K183" s="170">
        <f>8000000-H183</f>
        <v/>
      </c>
    </row>
    <row r="184">
      <c r="A184" s="24" t="n">
        <v>182</v>
      </c>
      <c r="B184" s="24" t="inlineStr">
        <is>
          <t>시작</t>
        </is>
      </c>
      <c r="C184" s="24" t="inlineStr">
        <is>
          <t>886-86-03308</t>
        </is>
      </c>
      <c r="D184" s="76" t="inlineStr">
        <is>
          <t>농업회사법인 그레프 주식회사</t>
        </is>
      </c>
      <c r="E184" s="24" t="inlineStr">
        <is>
          <t>네이버</t>
        </is>
      </c>
      <c r="F184" s="170" t="n">
        <v>0</v>
      </c>
      <c r="G184" s="170" t="n">
        <v>0</v>
      </c>
      <c r="H184" s="182" t="n">
        <v>0</v>
      </c>
      <c r="I184" s="183" t="inlineStr"/>
      <c r="J184" s="184">
        <f>H184/8000000</f>
        <v/>
      </c>
      <c r="K184" s="170">
        <f>8000000-H184</f>
        <v/>
      </c>
    </row>
    <row r="185">
      <c r="A185" s="24" t="n">
        <v>183</v>
      </c>
      <c r="B185" s="24" t="inlineStr">
        <is>
          <t>성장</t>
        </is>
      </c>
      <c r="C185" s="24" t="inlineStr">
        <is>
          <t>181-02-01980</t>
        </is>
      </c>
      <c r="D185" s="76" t="inlineStr">
        <is>
          <t>듬뿍곡간</t>
        </is>
      </c>
      <c r="E185" s="24" t="inlineStr">
        <is>
          <t>지마켓</t>
        </is>
      </c>
      <c r="F185" s="170" t="n">
        <v>238</v>
      </c>
      <c r="G185" s="170" t="n">
        <v>1681000</v>
      </c>
      <c r="H185" s="182" t="n">
        <v>135400</v>
      </c>
      <c r="I185" s="183" t="inlineStr">
        <is>
          <t>O</t>
        </is>
      </c>
      <c r="J185" s="184">
        <f>H185/8000000</f>
        <v/>
      </c>
      <c r="K185" s="170">
        <f>8000000-H185</f>
        <v/>
      </c>
    </row>
    <row r="186">
      <c r="A186" s="24" t="n">
        <v>184</v>
      </c>
      <c r="B186" s="24" t="inlineStr">
        <is>
          <t>도약</t>
        </is>
      </c>
      <c r="C186" s="24" t="inlineStr">
        <is>
          <t>499-51-00634</t>
        </is>
      </c>
      <c r="D186" s="76" t="inlineStr">
        <is>
          <t>청라</t>
        </is>
      </c>
      <c r="E186" s="24" t="inlineStr">
        <is>
          <t>롯데온</t>
        </is>
      </c>
      <c r="F186" s="170" t="n">
        <v>1343</v>
      </c>
      <c r="G186" s="170" t="n">
        <v>41973060</v>
      </c>
      <c r="H186" s="182" t="n">
        <v>5049440</v>
      </c>
      <c r="I186" s="183" t="inlineStr">
        <is>
          <t>O</t>
        </is>
      </c>
      <c r="J186" s="184">
        <f>H186/8000000</f>
        <v/>
      </c>
      <c r="K186" s="170">
        <f>8000000-H186</f>
        <v/>
      </c>
    </row>
    <row r="187">
      <c r="A187" s="24" t="n">
        <v>185</v>
      </c>
      <c r="B187" s="24" t="inlineStr">
        <is>
          <t>도약</t>
        </is>
      </c>
      <c r="C187" s="24" t="inlineStr">
        <is>
          <t>416-81-79884</t>
        </is>
      </c>
      <c r="D187" s="76" t="inlineStr">
        <is>
          <t>지리산피아골식품영농조합법인</t>
        </is>
      </c>
      <c r="E187" s="24" t="inlineStr">
        <is>
          <t>롯데온</t>
        </is>
      </c>
      <c r="F187" s="170" t="n">
        <v>37</v>
      </c>
      <c r="G187" s="170" t="n">
        <v>1449750</v>
      </c>
      <c r="H187" s="182" t="n">
        <v>159250</v>
      </c>
      <c r="I187" s="183" t="inlineStr">
        <is>
          <t>O</t>
        </is>
      </c>
      <c r="J187" s="184">
        <f>H187/8000000</f>
        <v/>
      </c>
      <c r="K187" s="170">
        <f>8000000-H187</f>
        <v/>
      </c>
    </row>
    <row r="188">
      <c r="A188" s="24" t="n">
        <v>186</v>
      </c>
      <c r="B188" s="24" t="inlineStr">
        <is>
          <t>도약</t>
        </is>
      </c>
      <c r="C188" s="24" t="inlineStr">
        <is>
          <t>639-81-03411</t>
        </is>
      </c>
      <c r="D188" s="76" t="inlineStr">
        <is>
          <t>농업회사법인 주식회사 노스팜</t>
        </is>
      </c>
      <c r="E188" s="24" t="inlineStr">
        <is>
          <t>지마켓</t>
        </is>
      </c>
      <c r="F188" s="170" t="n">
        <v>4478</v>
      </c>
      <c r="G188" s="170" t="n">
        <v>75036380</v>
      </c>
      <c r="H188" s="182" t="n">
        <v>4887830</v>
      </c>
      <c r="I188" s="183" t="inlineStr">
        <is>
          <t>O</t>
        </is>
      </c>
      <c r="J188" s="184">
        <f>H188/8000000</f>
        <v/>
      </c>
      <c r="K188" s="170">
        <f>8000000-H188</f>
        <v/>
      </c>
    </row>
    <row r="189">
      <c r="A189" s="24" t="n">
        <v>187</v>
      </c>
      <c r="B189" s="24" t="inlineStr">
        <is>
          <t>도약</t>
        </is>
      </c>
      <c r="C189" s="24" t="inlineStr">
        <is>
          <t>771-81-03506</t>
        </is>
      </c>
      <c r="D189" s="76" t="inlineStr">
        <is>
          <t>(주)더바른컴퍼니</t>
        </is>
      </c>
      <c r="E189" s="24" t="inlineStr">
        <is>
          <t>롯데온</t>
        </is>
      </c>
      <c r="F189" s="170" t="n">
        <v>1152</v>
      </c>
      <c r="G189" s="170" t="n">
        <v>17550000</v>
      </c>
      <c r="H189" s="182" t="n">
        <v>2955090</v>
      </c>
      <c r="I189" s="183" t="inlineStr">
        <is>
          <t>O</t>
        </is>
      </c>
      <c r="J189" s="184">
        <f>H189/8000000</f>
        <v/>
      </c>
      <c r="K189" s="170">
        <f>8000000-H189</f>
        <v/>
      </c>
    </row>
    <row r="190">
      <c r="A190" s="24" t="n">
        <v>188</v>
      </c>
      <c r="B190" s="24" t="inlineStr">
        <is>
          <t>도약</t>
        </is>
      </c>
      <c r="C190" s="24" t="inlineStr">
        <is>
          <t>585-96-01916</t>
        </is>
      </c>
      <c r="D190" s="76" t="inlineStr">
        <is>
          <t>싱싱보따리</t>
        </is>
      </c>
      <c r="E190" s="24" t="inlineStr">
        <is>
          <t>롯데온</t>
        </is>
      </c>
      <c r="F190" s="170" t="n">
        <v>0</v>
      </c>
      <c r="G190" s="170" t="n">
        <v>0</v>
      </c>
      <c r="H190" s="182" t="n">
        <v>0</v>
      </c>
      <c r="I190" s="183" t="inlineStr"/>
      <c r="J190" s="184">
        <f>H190/8000000</f>
        <v/>
      </c>
      <c r="K190" s="170">
        <f>8000000-H190</f>
        <v/>
      </c>
    </row>
    <row r="191">
      <c r="A191" s="24" t="n">
        <v>189</v>
      </c>
      <c r="B191" s="24" t="inlineStr">
        <is>
          <t>시작</t>
        </is>
      </c>
      <c r="C191" s="24" t="inlineStr">
        <is>
          <t>880-17-02847</t>
        </is>
      </c>
      <c r="D191" s="76" t="inlineStr">
        <is>
          <t>너른그린</t>
        </is>
      </c>
      <c r="E191" s="24" t="inlineStr">
        <is>
          <t>네이버</t>
        </is>
      </c>
      <c r="F191" s="170" t="n">
        <v>0</v>
      </c>
      <c r="G191" s="170" t="n">
        <v>0</v>
      </c>
      <c r="H191" s="182" t="n">
        <v>0</v>
      </c>
      <c r="I191" s="183" t="inlineStr"/>
      <c r="J191" s="184">
        <f>H191/8000000</f>
        <v/>
      </c>
      <c r="K191" s="170">
        <f>8000000-H191</f>
        <v/>
      </c>
    </row>
    <row r="192">
      <c r="A192" s="24" t="n">
        <v>190</v>
      </c>
      <c r="B192" s="24" t="inlineStr">
        <is>
          <t>도약</t>
        </is>
      </c>
      <c r="C192" s="24" t="inlineStr">
        <is>
          <t>606-88-00470</t>
        </is>
      </c>
      <c r="D192" s="76" t="inlineStr">
        <is>
          <t>상주아람곶감 영농조합법인</t>
        </is>
      </c>
      <c r="E192" s="24" t="inlineStr">
        <is>
          <t>롯데온</t>
        </is>
      </c>
      <c r="F192" s="170" t="n">
        <v>4</v>
      </c>
      <c r="G192" s="170" t="n">
        <v>172000</v>
      </c>
      <c r="H192" s="182" t="n">
        <v>31660</v>
      </c>
      <c r="I192" s="183" t="inlineStr">
        <is>
          <t>O</t>
        </is>
      </c>
      <c r="J192" s="184">
        <f>H192/8000000</f>
        <v/>
      </c>
      <c r="K192" s="170">
        <f>8000000-H192</f>
        <v/>
      </c>
    </row>
    <row r="193">
      <c r="A193" s="24" t="n">
        <v>191</v>
      </c>
      <c r="B193" s="24" t="inlineStr">
        <is>
          <t>도약</t>
        </is>
      </c>
      <c r="C193" s="24" t="inlineStr">
        <is>
          <t>575-87-02008</t>
        </is>
      </c>
      <c r="D193" s="76" t="inlineStr">
        <is>
          <t>(주)왕의산농원소담바리농업회사법인</t>
        </is>
      </c>
      <c r="E193" s="24" t="inlineStr">
        <is>
          <t>온누리마켓</t>
        </is>
      </c>
      <c r="F193" s="170" t="n">
        <v>9</v>
      </c>
      <c r="G193" s="170" t="n">
        <v>342100</v>
      </c>
      <c r="H193" s="182" t="n">
        <v>41960</v>
      </c>
      <c r="I193" s="183" t="inlineStr">
        <is>
          <t>O</t>
        </is>
      </c>
      <c r="J193" s="184">
        <f>H193/8000000</f>
        <v/>
      </c>
      <c r="K193" s="170">
        <f>8000000-H193</f>
        <v/>
      </c>
    </row>
    <row r="194">
      <c r="A194" s="24" t="n">
        <v>192</v>
      </c>
      <c r="B194" s="24" t="inlineStr">
        <is>
          <t>시작</t>
        </is>
      </c>
      <c r="C194" s="24" t="inlineStr">
        <is>
          <t>623-90-01875</t>
        </is>
      </c>
      <c r="D194" s="76" t="inlineStr">
        <is>
          <t>다소니농장</t>
        </is>
      </c>
      <c r="E194" s="24" t="inlineStr">
        <is>
          <t>네이버</t>
        </is>
      </c>
      <c r="F194" s="170" t="n">
        <v>0</v>
      </c>
      <c r="G194" s="170" t="n">
        <v>0</v>
      </c>
      <c r="H194" s="182" t="n">
        <v>0</v>
      </c>
      <c r="I194" s="183" t="inlineStr"/>
      <c r="J194" s="184">
        <f>H194/8000000</f>
        <v/>
      </c>
      <c r="K194" s="170">
        <f>8000000-H194</f>
        <v/>
      </c>
    </row>
    <row r="195">
      <c r="A195" s="24" t="n">
        <v>193</v>
      </c>
      <c r="B195" s="24" t="inlineStr">
        <is>
          <t>시작</t>
        </is>
      </c>
      <c r="C195" s="24" t="inlineStr">
        <is>
          <t>807-95-01634</t>
        </is>
      </c>
      <c r="D195" s="76" t="inlineStr">
        <is>
          <t>명품남매농장</t>
        </is>
      </c>
      <c r="E195" s="24" t="inlineStr">
        <is>
          <t>오아시스</t>
        </is>
      </c>
      <c r="F195" s="170" t="n">
        <v>1</v>
      </c>
      <c r="G195" s="170" t="n">
        <v>27000</v>
      </c>
      <c r="H195" s="182" t="n">
        <v>5400</v>
      </c>
      <c r="I195" s="183" t="inlineStr">
        <is>
          <t>O</t>
        </is>
      </c>
      <c r="J195" s="184">
        <f>H195/8000000</f>
        <v/>
      </c>
      <c r="K195" s="170">
        <f>8000000-H195</f>
        <v/>
      </c>
    </row>
    <row r="196">
      <c r="A196" s="24" t="n">
        <v>194</v>
      </c>
      <c r="B196" s="24" t="inlineStr">
        <is>
          <t>도약</t>
        </is>
      </c>
      <c r="C196" s="24" t="inlineStr">
        <is>
          <t>290-94-00335</t>
        </is>
      </c>
      <c r="D196" s="76" t="inlineStr">
        <is>
          <t>형지표고버섯</t>
        </is>
      </c>
      <c r="E196" s="24" t="inlineStr">
        <is>
          <t>지마켓</t>
        </is>
      </c>
      <c r="F196" s="170" t="n">
        <v>299</v>
      </c>
      <c r="G196" s="170" t="n">
        <v>7295900</v>
      </c>
      <c r="H196" s="182" t="n">
        <v>528440</v>
      </c>
      <c r="I196" s="183" t="inlineStr">
        <is>
          <t>O</t>
        </is>
      </c>
      <c r="J196" s="184">
        <f>H196/8000000</f>
        <v/>
      </c>
      <c r="K196" s="170">
        <f>8000000-H196</f>
        <v/>
      </c>
    </row>
    <row r="197">
      <c r="A197" s="24" t="n">
        <v>195</v>
      </c>
      <c r="B197" s="24" t="inlineStr">
        <is>
          <t>성장</t>
        </is>
      </c>
      <c r="C197" s="24" t="inlineStr">
        <is>
          <t>839-87-03615</t>
        </is>
      </c>
      <c r="D197" s="76" t="inlineStr">
        <is>
          <t>농업회사법인 주식회사 다움랩스</t>
        </is>
      </c>
      <c r="E197" s="24" t="inlineStr">
        <is>
          <t>지마켓</t>
        </is>
      </c>
      <c r="F197" s="170" t="n">
        <v>0</v>
      </c>
      <c r="G197" s="170" t="n">
        <v>0</v>
      </c>
      <c r="H197" s="182" t="n">
        <v>0</v>
      </c>
      <c r="I197" s="183" t="inlineStr"/>
      <c r="J197" s="184">
        <f>H197/8000000</f>
        <v/>
      </c>
      <c r="K197" s="170">
        <f>8000000-H197</f>
        <v/>
      </c>
    </row>
    <row r="198">
      <c r="A198" s="24" t="n">
        <v>196</v>
      </c>
      <c r="B198" s="24" t="inlineStr">
        <is>
          <t>시작</t>
        </is>
      </c>
      <c r="C198" s="24" t="inlineStr">
        <is>
          <t>357-18-02554</t>
        </is>
      </c>
      <c r="D198" s="76" t="inlineStr">
        <is>
          <t>집밥스토리</t>
        </is>
      </c>
      <c r="E198" s="24" t="inlineStr">
        <is>
          <t>지마켓</t>
        </is>
      </c>
      <c r="F198" s="170" t="n">
        <v>0</v>
      </c>
      <c r="G198" s="170" t="n">
        <v>0</v>
      </c>
      <c r="H198" s="182" t="n">
        <v>0</v>
      </c>
      <c r="I198" s="183" t="inlineStr"/>
      <c r="J198" s="184">
        <f>H198/8000000</f>
        <v/>
      </c>
      <c r="K198" s="170">
        <f>8000000-H198</f>
        <v/>
      </c>
    </row>
    <row r="199">
      <c r="A199" s="24" t="n">
        <v>197</v>
      </c>
      <c r="B199" s="24" t="inlineStr">
        <is>
          <t>도약</t>
        </is>
      </c>
      <c r="C199" s="24" t="inlineStr">
        <is>
          <t>407-05-49397</t>
        </is>
      </c>
      <c r="D199" s="76" t="inlineStr">
        <is>
          <t>노고단식품</t>
        </is>
      </c>
      <c r="E199" s="24" t="inlineStr">
        <is>
          <t>오아시스</t>
        </is>
      </c>
      <c r="F199" s="170" t="n">
        <v>36771</v>
      </c>
      <c r="G199" s="170" t="n">
        <v>171049640</v>
      </c>
      <c r="H199" s="182" t="n">
        <v>2095401</v>
      </c>
      <c r="I199" s="183" t="inlineStr">
        <is>
          <t>O</t>
        </is>
      </c>
      <c r="J199" s="184">
        <f>H199/8000000</f>
        <v/>
      </c>
      <c r="K199" s="170">
        <f>8000000-H199</f>
        <v/>
      </c>
    </row>
    <row r="200">
      <c r="A200" s="24" t="n">
        <v>198</v>
      </c>
      <c r="B200" s="24" t="inlineStr">
        <is>
          <t>시작</t>
        </is>
      </c>
      <c r="C200" s="24" t="inlineStr">
        <is>
          <t>268-86-01730</t>
        </is>
      </c>
      <c r="D200" s="76" t="inlineStr">
        <is>
          <t>농업회사법인 곤충킹주식회사</t>
        </is>
      </c>
      <c r="E200" s="24" t="inlineStr">
        <is>
          <t>네이버</t>
        </is>
      </c>
      <c r="F200" s="170" t="n">
        <v>10</v>
      </c>
      <c r="G200" s="170" t="n">
        <v>144500</v>
      </c>
      <c r="H200" s="182" t="n">
        <v>2000</v>
      </c>
      <c r="I200" s="183" t="inlineStr">
        <is>
          <t>O</t>
        </is>
      </c>
      <c r="J200" s="184">
        <f>H200/8000000</f>
        <v/>
      </c>
      <c r="K200" s="170">
        <f>8000000-H200</f>
        <v/>
      </c>
    </row>
    <row r="201">
      <c r="A201" s="24" t="n">
        <v>199</v>
      </c>
      <c r="B201" s="24" t="inlineStr">
        <is>
          <t>도약</t>
        </is>
      </c>
      <c r="C201" s="24" t="inlineStr">
        <is>
          <t>579-90-00021</t>
        </is>
      </c>
      <c r="D201" s="76" t="inlineStr">
        <is>
          <t>조양식품</t>
        </is>
      </c>
      <c r="E201" s="24" t="inlineStr">
        <is>
          <t>지마켓</t>
        </is>
      </c>
      <c r="F201" s="170" t="n">
        <v>21744</v>
      </c>
      <c r="G201" s="170" t="n">
        <v>287536270</v>
      </c>
      <c r="H201" s="182" t="n">
        <v>6140240</v>
      </c>
      <c r="I201" s="183" t="inlineStr">
        <is>
          <t>O</t>
        </is>
      </c>
      <c r="J201" s="184">
        <f>H201/8000000</f>
        <v/>
      </c>
      <c r="K201" s="170">
        <f>8000000-H201</f>
        <v/>
      </c>
    </row>
    <row r="202">
      <c r="A202" s="24" t="n">
        <v>200</v>
      </c>
      <c r="B202" s="24" t="inlineStr">
        <is>
          <t>도약</t>
        </is>
      </c>
      <c r="C202" s="24" t="inlineStr">
        <is>
          <t>733-81-01525</t>
        </is>
      </c>
      <c r="D202" s="76" t="inlineStr">
        <is>
          <t>당진시농협쌀조합공동사업법인</t>
        </is>
      </c>
      <c r="E202" s="24" t="inlineStr">
        <is>
          <t>지마켓</t>
        </is>
      </c>
      <c r="F202" s="170" t="n">
        <v>1689</v>
      </c>
      <c r="G202" s="170" t="n">
        <v>85838000</v>
      </c>
      <c r="H202" s="182" t="n">
        <v>4965820</v>
      </c>
      <c r="I202" s="183" t="inlineStr">
        <is>
          <t>O</t>
        </is>
      </c>
      <c r="J202" s="184">
        <f>H202/8000000</f>
        <v/>
      </c>
      <c r="K202" s="170">
        <f>8000000-H202</f>
        <v/>
      </c>
    </row>
    <row r="203">
      <c r="A203" s="24" t="n">
        <v>201</v>
      </c>
      <c r="B203" s="24" t="inlineStr">
        <is>
          <t>도약</t>
        </is>
      </c>
      <c r="C203" s="73" t="inlineStr">
        <is>
          <t>431-86-01809</t>
        </is>
      </c>
      <c r="D203" s="76" t="inlineStr">
        <is>
          <t>농업회사법인 복내리는당산나무 주식회사</t>
        </is>
      </c>
      <c r="E203" s="24" t="inlineStr">
        <is>
          <t>롯데온</t>
        </is>
      </c>
      <c r="F203" s="170" t="n">
        <v>0</v>
      </c>
      <c r="G203" s="170" t="n">
        <v>0</v>
      </c>
      <c r="H203" s="182" t="n">
        <v>0</v>
      </c>
      <c r="I203" s="183" t="inlineStr"/>
      <c r="J203" s="184">
        <f>H203/8000000</f>
        <v/>
      </c>
      <c r="K203" s="170">
        <f>8000000-H203</f>
        <v/>
      </c>
    </row>
    <row r="204">
      <c r="A204" s="24" t="n">
        <v>202</v>
      </c>
      <c r="B204" s="24" t="inlineStr">
        <is>
          <t>도약</t>
        </is>
      </c>
      <c r="C204" s="24" t="inlineStr">
        <is>
          <t>511-90-53861</t>
        </is>
      </c>
      <c r="D204" s="76" t="inlineStr">
        <is>
          <t>상주곶감대가</t>
        </is>
      </c>
      <c r="E204" s="24" t="inlineStr">
        <is>
          <t>지마켓</t>
        </is>
      </c>
      <c r="F204" s="170" t="n">
        <v>0</v>
      </c>
      <c r="G204" s="170" t="n">
        <v>0</v>
      </c>
      <c r="H204" s="182" t="n">
        <v>0</v>
      </c>
      <c r="I204" s="183" t="inlineStr"/>
      <c r="J204" s="184">
        <f>H204/8000000</f>
        <v/>
      </c>
      <c r="K204" s="170">
        <f>8000000-H204</f>
        <v/>
      </c>
    </row>
    <row r="205">
      <c r="A205" s="24" t="n">
        <v>203</v>
      </c>
      <c r="B205" s="24" t="inlineStr">
        <is>
          <t>시작</t>
        </is>
      </c>
      <c r="C205" s="24" t="inlineStr">
        <is>
          <t>418-98-34367</t>
        </is>
      </c>
      <c r="D205" s="76" t="inlineStr">
        <is>
          <t>새힘 성주참외라이프</t>
        </is>
      </c>
      <c r="E205" s="24" t="inlineStr">
        <is>
          <t>네이버</t>
        </is>
      </c>
      <c r="F205" s="170" t="n">
        <v>1</v>
      </c>
      <c r="G205" s="170" t="n">
        <v>36900</v>
      </c>
      <c r="H205" s="182" t="n">
        <v>0</v>
      </c>
      <c r="I205" s="183" t="inlineStr">
        <is>
          <t>O</t>
        </is>
      </c>
      <c r="J205" s="184">
        <f>H205/8000000</f>
        <v/>
      </c>
      <c r="K205" s="170">
        <f>8000000-H205</f>
        <v/>
      </c>
    </row>
    <row r="206">
      <c r="A206" s="24" t="n">
        <v>204</v>
      </c>
      <c r="B206" s="24" t="inlineStr">
        <is>
          <t>도약</t>
        </is>
      </c>
      <c r="C206" s="24" t="inlineStr">
        <is>
          <t>204-86-28088</t>
        </is>
      </c>
      <c r="D206" s="76" t="inlineStr">
        <is>
          <t>주식회사 토종마을</t>
        </is>
      </c>
      <c r="E206" s="24" t="inlineStr">
        <is>
          <t>오아시스</t>
        </is>
      </c>
      <c r="F206" s="170" t="n">
        <v>162</v>
      </c>
      <c r="G206" s="170" t="n">
        <v>2585100</v>
      </c>
      <c r="H206" s="182" t="n">
        <v>357549</v>
      </c>
      <c r="I206" s="183" t="inlineStr">
        <is>
          <t>O</t>
        </is>
      </c>
      <c r="J206" s="184">
        <f>H206/8000000</f>
        <v/>
      </c>
      <c r="K206" s="170">
        <f>8000000-H206</f>
        <v/>
      </c>
    </row>
    <row r="207">
      <c r="A207" s="24" t="n">
        <v>205</v>
      </c>
      <c r="B207" s="24" t="inlineStr">
        <is>
          <t>도약</t>
        </is>
      </c>
      <c r="C207" s="24" t="inlineStr">
        <is>
          <t>308-81-11910</t>
        </is>
      </c>
      <c r="D207" s="76" t="inlineStr">
        <is>
          <t>(합자)황산벌농업회사</t>
        </is>
      </c>
      <c r="E207" s="24" t="inlineStr">
        <is>
          <t>온누리마켓</t>
        </is>
      </c>
      <c r="F207" s="170" t="n">
        <v>531</v>
      </c>
      <c r="G207" s="170" t="n">
        <v>22703100</v>
      </c>
      <c r="H207" s="182" t="n">
        <v>4073774</v>
      </c>
      <c r="I207" s="183" t="inlineStr">
        <is>
          <t>O</t>
        </is>
      </c>
      <c r="J207" s="184">
        <f>H207/8000000</f>
        <v/>
      </c>
      <c r="K207" s="170">
        <f>8000000-H207</f>
        <v/>
      </c>
    </row>
    <row r="208">
      <c r="A208" s="24" t="n">
        <v>206</v>
      </c>
      <c r="B208" s="24" t="inlineStr">
        <is>
          <t>성장</t>
        </is>
      </c>
      <c r="C208" s="73" t="inlineStr">
        <is>
          <t>245-06-03392</t>
        </is>
      </c>
      <c r="D208" s="76" t="inlineStr">
        <is>
          <t>애산농원</t>
        </is>
      </c>
      <c r="E208" s="24" t="inlineStr">
        <is>
          <t>지마켓</t>
        </is>
      </c>
      <c r="F208" s="170" t="n">
        <v>18</v>
      </c>
      <c r="G208" s="170" t="n">
        <v>460000</v>
      </c>
      <c r="H208" s="182" t="n">
        <v>46000</v>
      </c>
      <c r="I208" s="183" t="inlineStr">
        <is>
          <t>O</t>
        </is>
      </c>
      <c r="J208" s="184">
        <f>H208/8000000</f>
        <v/>
      </c>
      <c r="K208" s="170">
        <f>8000000-H208</f>
        <v/>
      </c>
    </row>
    <row r="209">
      <c r="A209" s="24" t="n">
        <v>207</v>
      </c>
      <c r="B209" s="24" t="inlineStr">
        <is>
          <t>도약</t>
        </is>
      </c>
      <c r="C209" s="24" t="inlineStr">
        <is>
          <t>123-86-43136</t>
        </is>
      </c>
      <c r="D209" s="76" t="inlineStr">
        <is>
          <t>농업회사법인자연애에프앤비(주)</t>
        </is>
      </c>
      <c r="E209" s="24" t="inlineStr">
        <is>
          <t>네이버</t>
        </is>
      </c>
      <c r="F209" s="170" t="n">
        <v>391</v>
      </c>
      <c r="G209" s="170" t="n">
        <v>13205600</v>
      </c>
      <c r="H209" s="182" t="n">
        <v>484560</v>
      </c>
      <c r="I209" s="183" t="inlineStr">
        <is>
          <t>O</t>
        </is>
      </c>
      <c r="J209" s="184">
        <f>H209/8000000</f>
        <v/>
      </c>
      <c r="K209" s="170">
        <f>8000000-H209</f>
        <v/>
      </c>
    </row>
    <row r="210">
      <c r="A210" s="24" t="n">
        <v>208</v>
      </c>
      <c r="B210" s="24" t="inlineStr">
        <is>
          <t>도약</t>
        </is>
      </c>
      <c r="C210" s="24" t="inlineStr">
        <is>
          <t>756-87-00841</t>
        </is>
      </c>
      <c r="D210" s="76" t="inlineStr">
        <is>
          <t>농업회사법인주식회사 늘해랑</t>
        </is>
      </c>
      <c r="E210" s="24" t="inlineStr">
        <is>
          <t>지마켓</t>
        </is>
      </c>
      <c r="F210" s="170" t="n">
        <v>5988</v>
      </c>
      <c r="G210" s="170" t="n">
        <v>104624010</v>
      </c>
      <c r="H210" s="182" t="n">
        <v>5022810</v>
      </c>
      <c r="I210" s="183" t="inlineStr">
        <is>
          <t>O</t>
        </is>
      </c>
      <c r="J210" s="184">
        <f>H210/8000000</f>
        <v/>
      </c>
      <c r="K210" s="170">
        <f>8000000-H210</f>
        <v/>
      </c>
    </row>
    <row r="211">
      <c r="A211" s="24" t="n">
        <v>209</v>
      </c>
      <c r="B211" s="24" t="inlineStr">
        <is>
          <t>도약</t>
        </is>
      </c>
      <c r="C211" s="24" t="inlineStr">
        <is>
          <t>105-21-32350</t>
        </is>
      </c>
      <c r="D211" s="76" t="inlineStr">
        <is>
          <t>지애(至愛)</t>
        </is>
      </c>
      <c r="E211" s="24" t="inlineStr">
        <is>
          <t>온누리마켓</t>
        </is>
      </c>
      <c r="F211" s="170" t="n">
        <v>81</v>
      </c>
      <c r="G211" s="170" t="n">
        <v>1742100</v>
      </c>
      <c r="H211" s="182" t="n">
        <v>243770</v>
      </c>
      <c r="I211" s="183" t="inlineStr">
        <is>
          <t>O</t>
        </is>
      </c>
      <c r="J211" s="184">
        <f>H211/8000000</f>
        <v/>
      </c>
      <c r="K211" s="170">
        <f>8000000-H211</f>
        <v/>
      </c>
    </row>
    <row r="212">
      <c r="A212" s="24" t="n">
        <v>210</v>
      </c>
      <c r="B212" s="24" t="inlineStr">
        <is>
          <t>성장</t>
        </is>
      </c>
      <c r="C212" s="24" t="inlineStr">
        <is>
          <t>131-35-96215</t>
        </is>
      </c>
      <c r="D212" s="76" t="inlineStr">
        <is>
          <t>신선식품</t>
        </is>
      </c>
      <c r="E212" s="24" t="inlineStr">
        <is>
          <t>롯데온</t>
        </is>
      </c>
      <c r="F212" s="170" t="n">
        <v>740</v>
      </c>
      <c r="G212" s="170" t="n">
        <v>20010500</v>
      </c>
      <c r="H212" s="182" t="n">
        <v>3684430</v>
      </c>
      <c r="I212" s="183" t="inlineStr">
        <is>
          <t>O</t>
        </is>
      </c>
      <c r="J212" s="184">
        <f>H212/8000000</f>
        <v/>
      </c>
      <c r="K212" s="170">
        <f>8000000-H212</f>
        <v/>
      </c>
    </row>
    <row r="213">
      <c r="A213" s="24" t="n">
        <v>211</v>
      </c>
      <c r="B213" s="24" t="inlineStr">
        <is>
          <t>도약</t>
        </is>
      </c>
      <c r="C213" s="24" t="inlineStr">
        <is>
          <t>182-88-01920</t>
        </is>
      </c>
      <c r="D213" s="76" t="inlineStr">
        <is>
          <t>안동명가 영농조합법인</t>
        </is>
      </c>
      <c r="E213" s="24" t="inlineStr">
        <is>
          <t>네이버</t>
        </is>
      </c>
      <c r="F213" s="170" t="n">
        <v>0</v>
      </c>
      <c r="G213" s="170" t="n">
        <v>0</v>
      </c>
      <c r="H213" s="182" t="n">
        <v>0</v>
      </c>
      <c r="I213" s="183" t="inlineStr"/>
      <c r="J213" s="184">
        <f>H213/8000000</f>
        <v/>
      </c>
      <c r="K213" s="170">
        <f>8000000-H213</f>
        <v/>
      </c>
    </row>
    <row r="214">
      <c r="A214" s="24" t="n">
        <v>212</v>
      </c>
      <c r="B214" s="24" t="inlineStr">
        <is>
          <t>시작</t>
        </is>
      </c>
      <c r="C214" s="24" t="inlineStr">
        <is>
          <t>678-09-01770</t>
        </is>
      </c>
      <c r="D214" s="76" t="inlineStr">
        <is>
          <t>고향떡집</t>
        </is>
      </c>
      <c r="E214" s="24" t="inlineStr">
        <is>
          <t>네이버</t>
        </is>
      </c>
      <c r="F214" s="170" t="n">
        <v>0</v>
      </c>
      <c r="G214" s="170" t="n">
        <v>0</v>
      </c>
      <c r="H214" s="182" t="n">
        <v>0</v>
      </c>
      <c r="I214" s="183" t="inlineStr"/>
      <c r="J214" s="184">
        <f>H214/8000000</f>
        <v/>
      </c>
      <c r="K214" s="170">
        <f>8000000-H214</f>
        <v/>
      </c>
    </row>
    <row r="215">
      <c r="A215" s="24" t="n">
        <v>213</v>
      </c>
      <c r="B215" s="24" t="inlineStr">
        <is>
          <t>성장</t>
        </is>
      </c>
      <c r="C215" s="24" t="inlineStr">
        <is>
          <t>218-96-02728</t>
        </is>
      </c>
      <c r="D215" s="76" t="inlineStr">
        <is>
          <t>삼산1리개두릅 농산물 농원</t>
        </is>
      </c>
      <c r="E215" s="24" t="inlineStr">
        <is>
          <t>네이버</t>
        </is>
      </c>
      <c r="F215" s="170" t="n">
        <v>0</v>
      </c>
      <c r="G215" s="170" t="n">
        <v>0</v>
      </c>
      <c r="H215" s="182" t="n">
        <v>0</v>
      </c>
      <c r="I215" s="183" t="inlineStr"/>
      <c r="J215" s="184">
        <f>H215/8000000</f>
        <v/>
      </c>
      <c r="K215" s="170">
        <f>8000000-H215</f>
        <v/>
      </c>
    </row>
    <row r="216">
      <c r="A216" s="24" t="n">
        <v>214</v>
      </c>
      <c r="B216" s="24" t="inlineStr">
        <is>
          <t>성장</t>
        </is>
      </c>
      <c r="C216" s="24" t="inlineStr">
        <is>
          <t>883-95-01472</t>
        </is>
      </c>
      <c r="D216" s="76" t="inlineStr">
        <is>
          <t>그린몬스터즈</t>
        </is>
      </c>
      <c r="E216" s="24" t="inlineStr">
        <is>
          <t>지마켓</t>
        </is>
      </c>
      <c r="F216" s="170" t="n">
        <v>39</v>
      </c>
      <c r="G216" s="170" t="n">
        <v>865000</v>
      </c>
      <c r="H216" s="182" t="n">
        <v>38710</v>
      </c>
      <c r="I216" s="183" t="inlineStr">
        <is>
          <t>O</t>
        </is>
      </c>
      <c r="J216" s="184">
        <f>H216/8000000</f>
        <v/>
      </c>
      <c r="K216" s="170">
        <f>8000000-H216</f>
        <v/>
      </c>
    </row>
    <row r="217">
      <c r="A217" s="24" t="n">
        <v>215</v>
      </c>
      <c r="B217" s="24" t="inlineStr">
        <is>
          <t>도약</t>
        </is>
      </c>
      <c r="C217" s="24" t="inlineStr">
        <is>
          <t>781-04-02857</t>
        </is>
      </c>
      <c r="D217" s="76" t="inlineStr">
        <is>
          <t>하람떡방</t>
        </is>
      </c>
      <c r="E217" s="24" t="inlineStr">
        <is>
          <t>롯데온</t>
        </is>
      </c>
      <c r="F217" s="170" t="n">
        <v>0</v>
      </c>
      <c r="G217" s="170" t="n">
        <v>0</v>
      </c>
      <c r="H217" s="182" t="n">
        <v>0</v>
      </c>
      <c r="I217" s="183" t="inlineStr"/>
      <c r="J217" s="184">
        <f>H217/8000000</f>
        <v/>
      </c>
      <c r="K217" s="170">
        <f>8000000-H217</f>
        <v/>
      </c>
    </row>
    <row r="218">
      <c r="A218" s="24" t="n">
        <v>216</v>
      </c>
      <c r="B218" s="24" t="inlineStr">
        <is>
          <t>도약</t>
        </is>
      </c>
      <c r="C218" s="24" t="inlineStr">
        <is>
          <t>477-86-03031</t>
        </is>
      </c>
      <c r="D218" s="76" t="inlineStr">
        <is>
          <t>농업회사법인 (주) 살레농수산</t>
        </is>
      </c>
      <c r="E218" s="24" t="inlineStr">
        <is>
          <t>지마켓</t>
        </is>
      </c>
      <c r="F218" s="170" t="n">
        <v>1654</v>
      </c>
      <c r="G218" s="170" t="n">
        <v>69459000</v>
      </c>
      <c r="H218" s="182" t="n">
        <v>4836400</v>
      </c>
      <c r="I218" s="183" t="inlineStr">
        <is>
          <t>O</t>
        </is>
      </c>
      <c r="J218" s="184">
        <f>H218/8000000</f>
        <v/>
      </c>
      <c r="K218" s="170">
        <f>8000000-H218</f>
        <v/>
      </c>
    </row>
    <row r="219">
      <c r="A219" s="24" t="n">
        <v>217</v>
      </c>
      <c r="B219" s="24" t="inlineStr">
        <is>
          <t>도약</t>
        </is>
      </c>
      <c r="C219" s="24" t="inlineStr">
        <is>
          <t>205-67-00156</t>
        </is>
      </c>
      <c r="D219" s="76" t="inlineStr">
        <is>
          <t>풀빛농장</t>
        </is>
      </c>
      <c r="E219" s="24" t="inlineStr">
        <is>
          <t>오아시스</t>
        </is>
      </c>
      <c r="F219" s="170" t="n">
        <v>0</v>
      </c>
      <c r="G219" s="170" t="n">
        <v>0</v>
      </c>
      <c r="H219" s="182" t="n">
        <v>0</v>
      </c>
      <c r="I219" s="183" t="inlineStr"/>
      <c r="J219" s="184">
        <f>H219/8000000</f>
        <v/>
      </c>
      <c r="K219" s="170">
        <f>8000000-H219</f>
        <v/>
      </c>
    </row>
    <row r="220">
      <c r="A220" s="24" t="n">
        <v>218</v>
      </c>
      <c r="B220" s="24" t="inlineStr">
        <is>
          <t>성장</t>
        </is>
      </c>
      <c r="C220" s="24" t="inlineStr">
        <is>
          <t>806-87-01465</t>
        </is>
      </c>
      <c r="D220" s="76" t="inlineStr">
        <is>
          <t>농업회사법인뜬돌농원주식회사</t>
        </is>
      </c>
      <c r="E220" s="24" t="inlineStr">
        <is>
          <t>농가살리기</t>
        </is>
      </c>
      <c r="F220" s="170" t="n">
        <v>0</v>
      </c>
      <c r="G220" s="170" t="n">
        <v>0</v>
      </c>
      <c r="H220" s="182" t="n">
        <v>0</v>
      </c>
      <c r="I220" s="183" t="inlineStr"/>
      <c r="J220" s="184">
        <f>H220/8000000</f>
        <v/>
      </c>
      <c r="K220" s="170">
        <f>8000000-H220</f>
        <v/>
      </c>
    </row>
    <row r="221">
      <c r="A221" s="24" t="n">
        <v>219</v>
      </c>
      <c r="B221" s="24" t="inlineStr">
        <is>
          <t>도약</t>
        </is>
      </c>
      <c r="C221" s="24" t="inlineStr">
        <is>
          <t>508-90-95905</t>
        </is>
      </c>
      <c r="D221" s="76" t="inlineStr">
        <is>
          <t>별마루농원</t>
        </is>
      </c>
      <c r="E221" s="24" t="inlineStr">
        <is>
          <t>네이버</t>
        </is>
      </c>
      <c r="F221" s="170" t="n">
        <v>4847</v>
      </c>
      <c r="G221" s="170" t="n">
        <v>195587000</v>
      </c>
      <c r="H221" s="182" t="n">
        <v>4883600</v>
      </c>
      <c r="I221" s="183" t="inlineStr">
        <is>
          <t>O</t>
        </is>
      </c>
      <c r="J221" s="184">
        <f>H221/8000000</f>
        <v/>
      </c>
      <c r="K221" s="170">
        <f>8000000-H221</f>
        <v/>
      </c>
    </row>
    <row r="222">
      <c r="A222" s="24" t="n">
        <v>220</v>
      </c>
      <c r="B222" s="24" t="inlineStr">
        <is>
          <t>성장</t>
        </is>
      </c>
      <c r="C222" s="24" t="inlineStr">
        <is>
          <t>159-98-00084</t>
        </is>
      </c>
      <c r="D222" s="76" t="inlineStr">
        <is>
          <t>지구네밤농원</t>
        </is>
      </c>
      <c r="E222" s="24" t="inlineStr">
        <is>
          <t>네이버</t>
        </is>
      </c>
      <c r="F222" s="170" t="n">
        <v>0</v>
      </c>
      <c r="G222" s="170" t="n">
        <v>0</v>
      </c>
      <c r="H222" s="182" t="n">
        <v>0</v>
      </c>
      <c r="I222" s="183" t="inlineStr"/>
      <c r="J222" s="184">
        <f>H222/8000000</f>
        <v/>
      </c>
      <c r="K222" s="170">
        <f>8000000-H222</f>
        <v/>
      </c>
    </row>
    <row r="223">
      <c r="A223" s="24" t="n">
        <v>221</v>
      </c>
      <c r="B223" s="24" t="inlineStr">
        <is>
          <t>성장</t>
        </is>
      </c>
      <c r="C223" s="24" t="inlineStr">
        <is>
          <t>821-15-02618</t>
        </is>
      </c>
      <c r="D223" s="76" t="inlineStr">
        <is>
          <t>달아유과수원</t>
        </is>
      </c>
      <c r="E223" s="24" t="inlineStr">
        <is>
          <t>네이버</t>
        </is>
      </c>
      <c r="F223" s="170" t="n">
        <v>82</v>
      </c>
      <c r="G223" s="170" t="n">
        <v>2990300</v>
      </c>
      <c r="H223" s="182" t="n">
        <v>199940</v>
      </c>
      <c r="I223" s="183" t="inlineStr">
        <is>
          <t>O</t>
        </is>
      </c>
      <c r="J223" s="184">
        <f>H223/8000000</f>
        <v/>
      </c>
      <c r="K223" s="170">
        <f>8000000-H223</f>
        <v/>
      </c>
    </row>
    <row r="224">
      <c r="A224" s="24" t="n">
        <v>222</v>
      </c>
      <c r="B224" s="24" t="inlineStr">
        <is>
          <t>도약</t>
        </is>
      </c>
      <c r="C224" s="24" t="inlineStr">
        <is>
          <t>471-91-01719</t>
        </is>
      </c>
      <c r="D224" s="76" t="inlineStr">
        <is>
          <t>채소집</t>
        </is>
      </c>
      <c r="E224" s="24" t="inlineStr">
        <is>
          <t>지마켓</t>
        </is>
      </c>
      <c r="F224" s="170" t="n">
        <v>0</v>
      </c>
      <c r="G224" s="170" t="n">
        <v>0</v>
      </c>
      <c r="H224" s="182" t="n">
        <v>0</v>
      </c>
      <c r="I224" s="183" t="inlineStr"/>
      <c r="J224" s="184">
        <f>H224/8000000</f>
        <v/>
      </c>
      <c r="K224" s="170">
        <f>8000000-H224</f>
        <v/>
      </c>
    </row>
    <row r="225">
      <c r="A225" s="24" t="n">
        <v>223</v>
      </c>
      <c r="B225" s="24" t="inlineStr">
        <is>
          <t>도약</t>
        </is>
      </c>
      <c r="C225" s="24" t="inlineStr">
        <is>
          <t>305-28-13651</t>
        </is>
      </c>
      <c r="D225" s="76" t="inlineStr">
        <is>
          <t>홍성한우돈직판장</t>
        </is>
      </c>
      <c r="E225" s="24" t="inlineStr">
        <is>
          <t>지마켓</t>
        </is>
      </c>
      <c r="F225" s="170" t="n">
        <v>0</v>
      </c>
      <c r="G225" s="170" t="n">
        <v>0</v>
      </c>
      <c r="H225" s="182" t="n">
        <v>0</v>
      </c>
      <c r="I225" s="183" t="inlineStr"/>
      <c r="J225" s="184">
        <f>H225/8000000</f>
        <v/>
      </c>
      <c r="K225" s="170">
        <f>8000000-H225</f>
        <v/>
      </c>
    </row>
    <row r="226">
      <c r="A226" s="24" t="n">
        <v>224</v>
      </c>
      <c r="B226" s="24" t="inlineStr">
        <is>
          <t>도약</t>
        </is>
      </c>
      <c r="C226" s="24" t="inlineStr">
        <is>
          <t>615-19-39008</t>
        </is>
      </c>
      <c r="D226" s="76" t="inlineStr">
        <is>
          <t>감익는마을 천연식초</t>
        </is>
      </c>
      <c r="E226" s="24" t="inlineStr">
        <is>
          <t>네이버</t>
        </is>
      </c>
      <c r="F226" s="170" t="n">
        <v>157</v>
      </c>
      <c r="G226" s="170" t="n">
        <v>4540800</v>
      </c>
      <c r="H226" s="182" t="n">
        <v>356400</v>
      </c>
      <c r="I226" s="183" t="inlineStr">
        <is>
          <t>O</t>
        </is>
      </c>
      <c r="J226" s="184">
        <f>H226/8000000</f>
        <v/>
      </c>
      <c r="K226" s="170">
        <f>8000000-H226</f>
        <v/>
      </c>
    </row>
    <row r="227">
      <c r="A227" s="24" t="n">
        <v>225</v>
      </c>
      <c r="B227" s="24" t="inlineStr">
        <is>
          <t>시작</t>
        </is>
      </c>
      <c r="C227" s="24" t="inlineStr">
        <is>
          <t>675-81-03509</t>
        </is>
      </c>
      <c r="D227" s="76" t="inlineStr">
        <is>
          <t>팜올린</t>
        </is>
      </c>
      <c r="E227" s="24" t="inlineStr">
        <is>
          <t>네이버</t>
        </is>
      </c>
      <c r="F227" s="170" t="n">
        <v>0</v>
      </c>
      <c r="G227" s="170" t="n">
        <v>0</v>
      </c>
      <c r="H227" s="182" t="n">
        <v>0</v>
      </c>
      <c r="I227" s="183" t="inlineStr"/>
      <c r="J227" s="184">
        <f>H227/8000000</f>
        <v/>
      </c>
      <c r="K227" s="170">
        <f>8000000-H227</f>
        <v/>
      </c>
    </row>
    <row r="228">
      <c r="A228" s="24" t="n">
        <v>226</v>
      </c>
      <c r="B228" s="24" t="inlineStr">
        <is>
          <t>시작</t>
        </is>
      </c>
      <c r="C228" s="24" t="inlineStr">
        <is>
          <t>104-49-01294</t>
        </is>
      </c>
      <c r="D228" s="76" t="inlineStr">
        <is>
          <t>농장누가</t>
        </is>
      </c>
      <c r="E228" s="24" t="inlineStr">
        <is>
          <t>네이버</t>
        </is>
      </c>
      <c r="F228" s="170" t="n">
        <v>0</v>
      </c>
      <c r="G228" s="170" t="n">
        <v>0</v>
      </c>
      <c r="H228" s="182" t="n">
        <v>0</v>
      </c>
      <c r="I228" s="183" t="inlineStr"/>
      <c r="J228" s="184">
        <f>H228/8000000</f>
        <v/>
      </c>
      <c r="K228" s="170">
        <f>8000000-H228</f>
        <v/>
      </c>
    </row>
    <row r="229">
      <c r="A229" s="24" t="n">
        <v>227</v>
      </c>
      <c r="B229" s="24" t="inlineStr">
        <is>
          <t>성장</t>
        </is>
      </c>
      <c r="C229" s="24" t="inlineStr">
        <is>
          <t>404-81-43909</t>
        </is>
      </c>
      <c r="D229" s="76" t="inlineStr">
        <is>
          <t>두레영농조합법인</t>
        </is>
      </c>
      <c r="E229" s="24" t="inlineStr">
        <is>
          <t>온누리마켓</t>
        </is>
      </c>
      <c r="F229" s="170" t="n">
        <v>131</v>
      </c>
      <c r="G229" s="170" t="n">
        <v>4822000</v>
      </c>
      <c r="H229" s="182" t="n">
        <v>731663</v>
      </c>
      <c r="I229" s="183" t="inlineStr">
        <is>
          <t>O</t>
        </is>
      </c>
      <c r="J229" s="184">
        <f>H229/8000000</f>
        <v/>
      </c>
      <c r="K229" s="170">
        <f>8000000-H229</f>
        <v/>
      </c>
    </row>
    <row r="230">
      <c r="A230" s="24" t="n">
        <v>228</v>
      </c>
      <c r="B230" s="24" t="inlineStr">
        <is>
          <t>성장</t>
        </is>
      </c>
      <c r="C230" s="24" t="inlineStr">
        <is>
          <t>674-92-02158</t>
        </is>
      </c>
      <c r="D230" s="76" t="inlineStr">
        <is>
          <t>더자연사랑</t>
        </is>
      </c>
      <c r="E230" s="24" t="inlineStr">
        <is>
          <t>네이버</t>
        </is>
      </c>
      <c r="F230" s="170" t="n">
        <v>0</v>
      </c>
      <c r="G230" s="170" t="n">
        <v>0</v>
      </c>
      <c r="H230" s="182" t="n">
        <v>0</v>
      </c>
      <c r="I230" s="183" t="inlineStr"/>
      <c r="J230" s="184">
        <f>H230/8000000</f>
        <v/>
      </c>
      <c r="K230" s="170">
        <f>8000000-H230</f>
        <v/>
      </c>
    </row>
    <row r="231">
      <c r="A231" s="24" t="n">
        <v>229</v>
      </c>
      <c r="B231" s="24" t="inlineStr">
        <is>
          <t>도약</t>
        </is>
      </c>
      <c r="C231" s="73" t="inlineStr">
        <is>
          <t>343-53-00316</t>
        </is>
      </c>
      <c r="D231" s="76" t="inlineStr">
        <is>
          <t>그랑농원</t>
        </is>
      </c>
      <c r="E231" s="24" t="inlineStr">
        <is>
          <t>지마켓</t>
        </is>
      </c>
      <c r="F231" s="170" t="n">
        <v>0</v>
      </c>
      <c r="G231" s="170" t="n">
        <v>0</v>
      </c>
      <c r="H231" s="182" t="n">
        <v>0</v>
      </c>
      <c r="I231" s="183" t="inlineStr"/>
      <c r="J231" s="184">
        <f>H231/8000000</f>
        <v/>
      </c>
      <c r="K231" s="170">
        <f>8000000-H231</f>
        <v/>
      </c>
    </row>
    <row r="232">
      <c r="A232" s="24" t="n">
        <v>230</v>
      </c>
      <c r="B232" s="24" t="inlineStr">
        <is>
          <t>도약</t>
        </is>
      </c>
      <c r="C232" s="24" t="inlineStr">
        <is>
          <t>510-90-49461</t>
        </is>
      </c>
      <c r="D232" s="76" t="inlineStr">
        <is>
          <t>토댁</t>
        </is>
      </c>
      <c r="E232" s="24" t="inlineStr">
        <is>
          <t>네이버</t>
        </is>
      </c>
      <c r="F232" s="170" t="n">
        <v>156</v>
      </c>
      <c r="G232" s="170" t="n">
        <v>4832700</v>
      </c>
      <c r="H232" s="182" t="n">
        <v>338510</v>
      </c>
      <c r="I232" s="183" t="inlineStr">
        <is>
          <t>O</t>
        </is>
      </c>
      <c r="J232" s="184">
        <f>H232/8000000</f>
        <v/>
      </c>
      <c r="K232" s="170">
        <f>8000000-H232</f>
        <v/>
      </c>
    </row>
    <row r="233">
      <c r="A233" s="24" t="n">
        <v>231</v>
      </c>
      <c r="B233" s="24" t="inlineStr">
        <is>
          <t>성장</t>
        </is>
      </c>
      <c r="C233" s="24" t="inlineStr">
        <is>
          <t>615-14-93195</t>
        </is>
      </c>
      <c r="D233" s="76" t="inlineStr">
        <is>
          <t>초림단지묵</t>
        </is>
      </c>
      <c r="E233" s="24" t="inlineStr">
        <is>
          <t>지마켓</t>
        </is>
      </c>
      <c r="F233" s="170" t="n">
        <v>17</v>
      </c>
      <c r="G233" s="170" t="n">
        <v>324000</v>
      </c>
      <c r="H233" s="182" t="n">
        <v>0</v>
      </c>
      <c r="I233" s="183" t="inlineStr">
        <is>
          <t>O</t>
        </is>
      </c>
      <c r="J233" s="184">
        <f>H233/8000000</f>
        <v/>
      </c>
      <c r="K233" s="170">
        <f>8000000-H233</f>
        <v/>
      </c>
    </row>
    <row r="234">
      <c r="A234" s="24" t="n">
        <v>232</v>
      </c>
      <c r="B234" s="24" t="inlineStr">
        <is>
          <t>도약</t>
        </is>
      </c>
      <c r="C234" s="24" t="inlineStr">
        <is>
          <t>848-97-01191</t>
        </is>
      </c>
      <c r="D234" s="76" t="inlineStr">
        <is>
          <t>안동호두농장</t>
        </is>
      </c>
      <c r="E234" s="24" t="inlineStr">
        <is>
          <t>롯데온</t>
        </is>
      </c>
      <c r="F234" s="170" t="n">
        <v>0</v>
      </c>
      <c r="G234" s="170" t="n">
        <v>0</v>
      </c>
      <c r="H234" s="182" t="n">
        <v>0</v>
      </c>
      <c r="I234" s="183" t="inlineStr"/>
      <c r="J234" s="184">
        <f>H234/8000000</f>
        <v/>
      </c>
      <c r="K234" s="170">
        <f>8000000-H234</f>
        <v/>
      </c>
    </row>
    <row r="235">
      <c r="A235" s="24" t="n">
        <v>233</v>
      </c>
      <c r="B235" s="24" t="inlineStr">
        <is>
          <t>도약</t>
        </is>
      </c>
      <c r="C235" s="24" t="inlineStr">
        <is>
          <t>131-86-58305</t>
        </is>
      </c>
      <c r="D235" s="76" t="inlineStr">
        <is>
          <t>농업회사법인 주식회사 우리김치</t>
        </is>
      </c>
      <c r="E235" s="24" t="inlineStr">
        <is>
          <t>네이버</t>
        </is>
      </c>
      <c r="F235" s="170" t="n">
        <v>0</v>
      </c>
      <c r="G235" s="170" t="n">
        <v>0</v>
      </c>
      <c r="H235" s="182" t="n">
        <v>0</v>
      </c>
      <c r="I235" s="183" t="inlineStr"/>
      <c r="J235" s="184">
        <f>H235/8000000</f>
        <v/>
      </c>
      <c r="K235" s="170">
        <f>8000000-H235</f>
        <v/>
      </c>
    </row>
    <row r="236">
      <c r="A236" s="24" t="n">
        <v>234</v>
      </c>
      <c r="B236" s="24" t="inlineStr">
        <is>
          <t>도약</t>
        </is>
      </c>
      <c r="C236" s="24" t="inlineStr">
        <is>
          <t>602-88-01725</t>
        </is>
      </c>
      <c r="D236" s="76" t="inlineStr">
        <is>
          <t>농업회사법인(주)서대산푸드</t>
        </is>
      </c>
      <c r="E236" s="24" t="inlineStr">
        <is>
          <t>롯데온</t>
        </is>
      </c>
      <c r="F236" s="170" t="n">
        <v>47</v>
      </c>
      <c r="G236" s="170" t="n">
        <v>1464920</v>
      </c>
      <c r="H236" s="182" t="n">
        <v>176640</v>
      </c>
      <c r="I236" s="183" t="inlineStr">
        <is>
          <t>O</t>
        </is>
      </c>
      <c r="J236" s="184">
        <f>H236/8000000</f>
        <v/>
      </c>
      <c r="K236" s="170">
        <f>8000000-H236</f>
        <v/>
      </c>
    </row>
    <row r="237">
      <c r="A237" s="24" t="n">
        <v>235</v>
      </c>
      <c r="B237" s="24" t="inlineStr">
        <is>
          <t>도약</t>
        </is>
      </c>
      <c r="C237" s="24" t="inlineStr">
        <is>
          <t>303-09-74670</t>
        </is>
      </c>
      <c r="D237" s="76" t="inlineStr">
        <is>
          <t>시골내음건강</t>
        </is>
      </c>
      <c r="E237" s="24" t="inlineStr">
        <is>
          <t>네이버</t>
        </is>
      </c>
      <c r="F237" s="170" t="n">
        <v>0</v>
      </c>
      <c r="G237" s="170" t="n">
        <v>0</v>
      </c>
      <c r="H237" s="182" t="n">
        <v>0</v>
      </c>
      <c r="I237" s="183" t="inlineStr"/>
      <c r="J237" s="184">
        <f>H237/8000000</f>
        <v/>
      </c>
      <c r="K237" s="170">
        <f>8000000-H237</f>
        <v/>
      </c>
    </row>
    <row r="238">
      <c r="A238" s="24" t="n">
        <v>236</v>
      </c>
      <c r="B238" s="24" t="inlineStr">
        <is>
          <t>시작</t>
        </is>
      </c>
      <c r="C238" s="24" t="inlineStr">
        <is>
          <t>677-87-02304</t>
        </is>
      </c>
      <c r="D238" s="76" t="inlineStr">
        <is>
          <t>주식회사 시즌드시즌</t>
        </is>
      </c>
      <c r="E238" s="24" t="inlineStr">
        <is>
          <t>네이버</t>
        </is>
      </c>
      <c r="F238" s="170" t="n">
        <v>13</v>
      </c>
      <c r="G238" s="170" t="n">
        <v>698900</v>
      </c>
      <c r="H238" s="182" t="n">
        <v>15080</v>
      </c>
      <c r="I238" s="183" t="inlineStr">
        <is>
          <t>O</t>
        </is>
      </c>
      <c r="J238" s="184">
        <f>H238/8000000</f>
        <v/>
      </c>
      <c r="K238" s="170">
        <f>8000000-H238</f>
        <v/>
      </c>
    </row>
    <row r="239">
      <c r="A239" s="24" t="n">
        <v>237</v>
      </c>
      <c r="B239" s="24" t="inlineStr">
        <is>
          <t>도약</t>
        </is>
      </c>
      <c r="C239" s="24" t="inlineStr">
        <is>
          <t>670-81-01262</t>
        </is>
      </c>
      <c r="D239" s="76" t="inlineStr">
        <is>
          <t>(주)한마당</t>
        </is>
      </c>
      <c r="E239" s="24" t="inlineStr">
        <is>
          <t>네이버</t>
        </is>
      </c>
      <c r="F239" s="170" t="n">
        <v>219</v>
      </c>
      <c r="G239" s="170" t="n">
        <v>5713600</v>
      </c>
      <c r="H239" s="182" t="n">
        <v>399620</v>
      </c>
      <c r="I239" s="183" t="inlineStr">
        <is>
          <t>O</t>
        </is>
      </c>
      <c r="J239" s="184">
        <f>H239/8000000</f>
        <v/>
      </c>
      <c r="K239" s="170">
        <f>8000000-H239</f>
        <v/>
      </c>
    </row>
    <row r="240">
      <c r="A240" s="24" t="n">
        <v>238</v>
      </c>
      <c r="B240" s="24" t="inlineStr">
        <is>
          <t>도약</t>
        </is>
      </c>
      <c r="C240" s="73" t="inlineStr">
        <is>
          <t>847-88-01537</t>
        </is>
      </c>
      <c r="D240" s="76" t="inlineStr">
        <is>
          <t>주식회사 영인에프앤에스</t>
        </is>
      </c>
      <c r="E240" s="24" t="inlineStr">
        <is>
          <t>롯데온</t>
        </is>
      </c>
      <c r="F240" s="170" t="n">
        <v>15</v>
      </c>
      <c r="G240" s="170" t="n">
        <v>181800</v>
      </c>
      <c r="H240" s="182" t="n">
        <v>32790</v>
      </c>
      <c r="I240" s="183" t="inlineStr">
        <is>
          <t>O</t>
        </is>
      </c>
      <c r="J240" s="184">
        <f>H240/8000000</f>
        <v/>
      </c>
      <c r="K240" s="170">
        <f>8000000-H240</f>
        <v/>
      </c>
    </row>
    <row r="241">
      <c r="A241" s="24" t="n">
        <v>239</v>
      </c>
      <c r="B241" s="24" t="inlineStr">
        <is>
          <t>도약</t>
        </is>
      </c>
      <c r="C241" s="24" t="inlineStr">
        <is>
          <t>511-81-21260</t>
        </is>
      </c>
      <c r="D241" s="76" t="inlineStr">
        <is>
          <t>행복예감곶감 영농조합법인</t>
        </is>
      </c>
      <c r="E241" s="24" t="inlineStr">
        <is>
          <t>오아시스</t>
        </is>
      </c>
      <c r="F241" s="170" t="n">
        <v>3118</v>
      </c>
      <c r="G241" s="170" t="n">
        <v>16939700</v>
      </c>
      <c r="H241" s="182" t="n">
        <v>1323514</v>
      </c>
      <c r="I241" s="183" t="inlineStr">
        <is>
          <t>O</t>
        </is>
      </c>
      <c r="J241" s="184">
        <f>H241/8000000</f>
        <v/>
      </c>
      <c r="K241" s="170">
        <f>8000000-H241</f>
        <v/>
      </c>
    </row>
    <row r="242">
      <c r="A242" s="24" t="n">
        <v>240</v>
      </c>
      <c r="B242" s="24" t="inlineStr">
        <is>
          <t>도약</t>
        </is>
      </c>
      <c r="C242" s="24" t="inlineStr">
        <is>
          <t>408-91-76416</t>
        </is>
      </c>
      <c r="D242" s="76" t="inlineStr">
        <is>
          <t>옥과농원</t>
        </is>
      </c>
      <c r="E242" s="24" t="inlineStr">
        <is>
          <t>지마켓</t>
        </is>
      </c>
      <c r="F242" s="170" t="n">
        <v>2053</v>
      </c>
      <c r="G242" s="170" t="n">
        <v>37041760</v>
      </c>
      <c r="H242" s="182" t="n">
        <v>3387240</v>
      </c>
      <c r="I242" s="183" t="inlineStr">
        <is>
          <t>O</t>
        </is>
      </c>
      <c r="J242" s="184">
        <f>H242/8000000</f>
        <v/>
      </c>
      <c r="K242" s="170">
        <f>8000000-H242</f>
        <v/>
      </c>
    </row>
    <row r="243">
      <c r="A243" s="24" t="n">
        <v>241</v>
      </c>
      <c r="B243" s="24" t="inlineStr">
        <is>
          <t>시작</t>
        </is>
      </c>
      <c r="C243" s="24" t="inlineStr">
        <is>
          <t>282-81-02797</t>
        </is>
      </c>
      <c r="D243" s="76" t="inlineStr">
        <is>
          <t>주식회사로컬오누이</t>
        </is>
      </c>
      <c r="E243" s="24" t="inlineStr">
        <is>
          <t>네이버</t>
        </is>
      </c>
      <c r="F243" s="170" t="n">
        <v>91</v>
      </c>
      <c r="G243" s="170" t="n">
        <v>2705300</v>
      </c>
      <c r="H243" s="182" t="n">
        <v>238400</v>
      </c>
      <c r="I243" s="183" t="inlineStr">
        <is>
          <t>O</t>
        </is>
      </c>
      <c r="J243" s="184">
        <f>H243/8000000</f>
        <v/>
      </c>
      <c r="K243" s="170">
        <f>8000000-H243</f>
        <v/>
      </c>
    </row>
    <row r="244">
      <c r="A244" s="24" t="n">
        <v>242</v>
      </c>
      <c r="B244" s="24" t="inlineStr">
        <is>
          <t>도약</t>
        </is>
      </c>
      <c r="C244" s="24" t="inlineStr">
        <is>
          <t>676-81-00897</t>
        </is>
      </c>
      <c r="D244" s="76" t="inlineStr">
        <is>
          <t>농업회사법인 지리산별마루 유한회사</t>
        </is>
      </c>
      <c r="E244" s="24" t="inlineStr">
        <is>
          <t>롯데온</t>
        </is>
      </c>
      <c r="F244" s="170" t="n">
        <v>9</v>
      </c>
      <c r="G244" s="170" t="n">
        <v>295000</v>
      </c>
      <c r="H244" s="182" t="n">
        <v>47400</v>
      </c>
      <c r="I244" s="183" t="inlineStr">
        <is>
          <t>O</t>
        </is>
      </c>
      <c r="J244" s="184">
        <f>H244/8000000</f>
        <v/>
      </c>
      <c r="K244" s="170">
        <f>8000000-H244</f>
        <v/>
      </c>
    </row>
    <row r="245">
      <c r="A245" s="24" t="n">
        <v>243</v>
      </c>
      <c r="B245" s="24" t="inlineStr">
        <is>
          <t>시작</t>
        </is>
      </c>
      <c r="C245" s="24" t="inlineStr">
        <is>
          <t>292-67-00387</t>
        </is>
      </c>
      <c r="D245" s="76" t="inlineStr">
        <is>
          <t>꽃신호청신호</t>
        </is>
      </c>
      <c r="E245" s="24" t="inlineStr">
        <is>
          <t>농가살리기</t>
        </is>
      </c>
      <c r="F245" s="170" t="n">
        <v>0</v>
      </c>
      <c r="G245" s="170" t="n">
        <v>0</v>
      </c>
      <c r="H245" s="182" t="n">
        <v>0</v>
      </c>
      <c r="I245" s="183" t="inlineStr"/>
      <c r="J245" s="184">
        <f>H245/8000000</f>
        <v/>
      </c>
      <c r="K245" s="170">
        <f>8000000-H245</f>
        <v/>
      </c>
    </row>
    <row r="246">
      <c r="A246" s="24" t="n">
        <v>244</v>
      </c>
      <c r="B246" s="24" t="inlineStr">
        <is>
          <t>성장</t>
        </is>
      </c>
      <c r="C246" s="24" t="inlineStr">
        <is>
          <t>642-81-00628</t>
        </is>
      </c>
      <c r="D246" s="76" t="inlineStr">
        <is>
          <t>주식회사 강평농업회사법인</t>
        </is>
      </c>
      <c r="E246" s="24" t="inlineStr">
        <is>
          <t>네이버</t>
        </is>
      </c>
      <c r="F246" s="170" t="n">
        <v>92</v>
      </c>
      <c r="G246" s="170" t="n">
        <v>1481700</v>
      </c>
      <c r="H246" s="182" t="n">
        <v>205380</v>
      </c>
      <c r="I246" s="183" t="inlineStr">
        <is>
          <t>O</t>
        </is>
      </c>
      <c r="J246" s="184">
        <f>H246/8000000</f>
        <v/>
      </c>
      <c r="K246" s="170">
        <f>8000000-H246</f>
        <v/>
      </c>
    </row>
    <row r="247">
      <c r="A247" s="24" t="n">
        <v>245</v>
      </c>
      <c r="B247" s="24" t="inlineStr">
        <is>
          <t>도약</t>
        </is>
      </c>
      <c r="C247" s="24" t="inlineStr">
        <is>
          <t>409-86-39292</t>
        </is>
      </c>
      <c r="D247" s="76" t="inlineStr">
        <is>
          <t>농업회사법인 주식회사 누리보듬</t>
        </is>
      </c>
      <c r="E247" s="24" t="inlineStr">
        <is>
          <t>롯데온</t>
        </is>
      </c>
      <c r="F247" s="170" t="n">
        <v>0</v>
      </c>
      <c r="G247" s="170" t="n">
        <v>0</v>
      </c>
      <c r="H247" s="182" t="n">
        <v>0</v>
      </c>
      <c r="I247" s="183" t="inlineStr"/>
      <c r="J247" s="184">
        <f>H247/8000000</f>
        <v/>
      </c>
      <c r="K247" s="170">
        <f>8000000-H247</f>
        <v/>
      </c>
    </row>
    <row r="248">
      <c r="A248" s="24" t="n">
        <v>246</v>
      </c>
      <c r="B248" s="24" t="inlineStr">
        <is>
          <t>성장</t>
        </is>
      </c>
      <c r="C248" s="24" t="inlineStr">
        <is>
          <t>448-93-01936</t>
        </is>
      </c>
      <c r="D248" s="76" t="inlineStr">
        <is>
          <t>제이제이</t>
        </is>
      </c>
      <c r="E248" s="24" t="inlineStr">
        <is>
          <t>네이버</t>
        </is>
      </c>
      <c r="F248" s="170" t="n">
        <v>95</v>
      </c>
      <c r="G248" s="170" t="n">
        <v>2107070</v>
      </c>
      <c r="H248" s="182" t="n">
        <v>327200</v>
      </c>
      <c r="I248" s="183" t="inlineStr">
        <is>
          <t>O</t>
        </is>
      </c>
      <c r="J248" s="184">
        <f>H248/8000000</f>
        <v/>
      </c>
      <c r="K248" s="170">
        <f>8000000-H248</f>
        <v/>
      </c>
    </row>
    <row r="249">
      <c r="A249" s="24" t="n">
        <v>247</v>
      </c>
      <c r="B249" s="24" t="inlineStr">
        <is>
          <t>성장</t>
        </is>
      </c>
      <c r="C249" s="24" t="inlineStr">
        <is>
          <t>178-87-00546</t>
        </is>
      </c>
      <c r="D249" s="76" t="inlineStr">
        <is>
          <t>농업회사법인(주)씨앤씨정</t>
        </is>
      </c>
      <c r="E249" s="24" t="inlineStr">
        <is>
          <t>온누리마켓</t>
        </is>
      </c>
      <c r="F249" s="170" t="n">
        <v>20</v>
      </c>
      <c r="G249" s="170" t="n">
        <v>165300</v>
      </c>
      <c r="H249" s="182" t="n">
        <v>20408</v>
      </c>
      <c r="I249" s="183" t="inlineStr">
        <is>
          <t>O</t>
        </is>
      </c>
      <c r="J249" s="184">
        <f>H249/8000000</f>
        <v/>
      </c>
      <c r="K249" s="170">
        <f>8000000-H249</f>
        <v/>
      </c>
    </row>
    <row r="250">
      <c r="A250" s="24" t="n">
        <v>248</v>
      </c>
      <c r="B250" s="24" t="inlineStr">
        <is>
          <t>성장</t>
        </is>
      </c>
      <c r="C250" s="24" t="inlineStr">
        <is>
          <t>613-81-51809</t>
        </is>
      </c>
      <c r="D250" s="76" t="inlineStr">
        <is>
          <t>영농조합법인 농담</t>
        </is>
      </c>
      <c r="E250" s="24" t="inlineStr">
        <is>
          <t>온누리마켓</t>
        </is>
      </c>
      <c r="F250" s="170" t="n">
        <v>4</v>
      </c>
      <c r="G250" s="170" t="n">
        <v>100600</v>
      </c>
      <c r="H250" s="182" t="n">
        <v>13140</v>
      </c>
      <c r="I250" s="183" t="inlineStr">
        <is>
          <t>O</t>
        </is>
      </c>
      <c r="J250" s="184">
        <f>H250/8000000</f>
        <v/>
      </c>
      <c r="K250" s="170">
        <f>8000000-H250</f>
        <v/>
      </c>
    </row>
    <row r="251">
      <c r="A251" s="24" t="n">
        <v>249</v>
      </c>
      <c r="B251" s="24" t="inlineStr">
        <is>
          <t>성장</t>
        </is>
      </c>
      <c r="C251" s="24" t="inlineStr">
        <is>
          <t>485-94-01820</t>
        </is>
      </c>
      <c r="D251" s="76" t="inlineStr">
        <is>
          <t>늘푸름</t>
        </is>
      </c>
      <c r="E251" s="24" t="inlineStr">
        <is>
          <t>롯데온</t>
        </is>
      </c>
      <c r="F251" s="170" t="n">
        <v>4</v>
      </c>
      <c r="G251" s="170" t="n">
        <v>42000</v>
      </c>
      <c r="H251" s="182" t="n">
        <v>7980</v>
      </c>
      <c r="I251" s="183" t="inlineStr">
        <is>
          <t>O</t>
        </is>
      </c>
      <c r="J251" s="184">
        <f>H251/8000000</f>
        <v/>
      </c>
      <c r="K251" s="170">
        <f>8000000-H251</f>
        <v/>
      </c>
    </row>
    <row r="252">
      <c r="A252" s="24" t="n">
        <v>250</v>
      </c>
      <c r="B252" s="24" t="inlineStr">
        <is>
          <t>시작</t>
        </is>
      </c>
      <c r="C252" s="24" t="inlineStr">
        <is>
          <t>768-87-03220</t>
        </is>
      </c>
      <c r="D252" s="76" t="inlineStr">
        <is>
          <t>농업회사법인 케이에스팜(주)</t>
        </is>
      </c>
      <c r="E252" s="24" t="inlineStr">
        <is>
          <t>네이버</t>
        </is>
      </c>
      <c r="F252" s="170" t="n">
        <v>0</v>
      </c>
      <c r="G252" s="170" t="n">
        <v>0</v>
      </c>
      <c r="H252" s="182" t="n">
        <v>0</v>
      </c>
      <c r="I252" s="183" t="inlineStr"/>
      <c r="J252" s="184">
        <f>H252/8000000</f>
        <v/>
      </c>
      <c r="K252" s="170">
        <f>8000000-H252</f>
        <v/>
      </c>
    </row>
    <row r="253">
      <c r="A253" s="24" t="n">
        <v>251</v>
      </c>
      <c r="B253" s="24" t="inlineStr">
        <is>
          <t>시작</t>
        </is>
      </c>
      <c r="C253" s="24" t="inlineStr">
        <is>
          <t>136-04-11105</t>
        </is>
      </c>
      <c r="D253" s="76" t="inlineStr">
        <is>
          <t>쿠시룽</t>
        </is>
      </c>
      <c r="E253" s="24" t="inlineStr">
        <is>
          <t>네이버</t>
        </is>
      </c>
      <c r="F253" s="170" t="n">
        <v>4</v>
      </c>
      <c r="G253" s="170" t="n">
        <v>264000</v>
      </c>
      <c r="H253" s="182" t="n">
        <v>40000</v>
      </c>
      <c r="I253" s="183" t="inlineStr">
        <is>
          <t>O</t>
        </is>
      </c>
      <c r="J253" s="184">
        <f>H253/8000000</f>
        <v/>
      </c>
      <c r="K253" s="170">
        <f>8000000-H253</f>
        <v/>
      </c>
    </row>
    <row r="254">
      <c r="A254" s="24" t="n">
        <v>252</v>
      </c>
      <c r="B254" s="24" t="inlineStr">
        <is>
          <t>성장</t>
        </is>
      </c>
      <c r="C254" s="24" t="inlineStr">
        <is>
          <t>653-87-00241</t>
        </is>
      </c>
      <c r="D254" s="76" t="inlineStr">
        <is>
          <t>구방한과</t>
        </is>
      </c>
      <c r="E254" s="24" t="inlineStr">
        <is>
          <t>네이버</t>
        </is>
      </c>
      <c r="F254" s="170" t="n">
        <v>0</v>
      </c>
      <c r="G254" s="170" t="n">
        <v>0</v>
      </c>
      <c r="H254" s="182" t="n">
        <v>0</v>
      </c>
      <c r="I254" s="183" t="inlineStr"/>
      <c r="J254" s="184">
        <f>H254/8000000</f>
        <v/>
      </c>
      <c r="K254" s="170">
        <f>8000000-H254</f>
        <v/>
      </c>
    </row>
    <row r="255">
      <c r="A255" s="24" t="n">
        <v>253</v>
      </c>
      <c r="B255" s="24" t="inlineStr">
        <is>
          <t>성장</t>
        </is>
      </c>
      <c r="C255" s="24" t="inlineStr">
        <is>
          <t>145-29-01924</t>
        </is>
      </c>
      <c r="D255" s="76" t="inlineStr">
        <is>
          <t>슬기로운 청년 농부</t>
        </is>
      </c>
      <c r="E255" s="24" t="inlineStr">
        <is>
          <t>네이버</t>
        </is>
      </c>
      <c r="F255" s="170" t="n">
        <v>3</v>
      </c>
      <c r="G255" s="170" t="n">
        <v>83700</v>
      </c>
      <c r="H255" s="182" t="n">
        <v>5580</v>
      </c>
      <c r="I255" s="183" t="inlineStr">
        <is>
          <t>O</t>
        </is>
      </c>
      <c r="J255" s="184">
        <f>H255/8000000</f>
        <v/>
      </c>
      <c r="K255" s="170">
        <f>8000000-H255</f>
        <v/>
      </c>
    </row>
    <row r="256">
      <c r="A256" s="24" t="n">
        <v>254</v>
      </c>
      <c r="B256" s="24" t="inlineStr">
        <is>
          <t>도약</t>
        </is>
      </c>
      <c r="C256" s="24" t="inlineStr">
        <is>
          <t>501-03-42256</t>
        </is>
      </c>
      <c r="D256" s="76" t="inlineStr">
        <is>
          <t>달구벌한과</t>
        </is>
      </c>
      <c r="E256" s="24" t="inlineStr">
        <is>
          <t>롯데온</t>
        </is>
      </c>
      <c r="F256" s="170" t="n">
        <v>9</v>
      </c>
      <c r="G256" s="170" t="n">
        <v>182000</v>
      </c>
      <c r="H256" s="182" t="n">
        <v>31430</v>
      </c>
      <c r="I256" s="183" t="inlineStr">
        <is>
          <t>O</t>
        </is>
      </c>
      <c r="J256" s="184">
        <f>H256/8000000</f>
        <v/>
      </c>
      <c r="K256" s="170">
        <f>8000000-H256</f>
        <v/>
      </c>
    </row>
    <row r="257">
      <c r="A257" s="24" t="n">
        <v>255</v>
      </c>
      <c r="B257" s="24" t="inlineStr">
        <is>
          <t>도약</t>
        </is>
      </c>
      <c r="C257" s="24" t="inlineStr">
        <is>
          <t>119-88-01766</t>
        </is>
      </c>
      <c r="D257" s="76" t="inlineStr">
        <is>
          <t>농업회사법인 디에스푸즈 주식회사</t>
        </is>
      </c>
      <c r="E257" s="24" t="inlineStr">
        <is>
          <t>오아시스</t>
        </is>
      </c>
      <c r="F257" s="170" t="n">
        <v>19184</v>
      </c>
      <c r="G257" s="170" t="n">
        <v>273251750</v>
      </c>
      <c r="H257" s="182" t="n">
        <v>2025991</v>
      </c>
      <c r="I257" s="183" t="inlineStr">
        <is>
          <t>O</t>
        </is>
      </c>
      <c r="J257" s="184">
        <f>H257/8000000</f>
        <v/>
      </c>
      <c r="K257" s="170">
        <f>8000000-H257</f>
        <v/>
      </c>
    </row>
    <row r="258">
      <c r="A258" s="24" t="n">
        <v>256</v>
      </c>
      <c r="B258" s="24" t="inlineStr">
        <is>
          <t>성장</t>
        </is>
      </c>
      <c r="C258" s="24" t="inlineStr">
        <is>
          <t>171-94-01673</t>
        </is>
      </c>
      <c r="D258" s="76" t="inlineStr">
        <is>
          <t>지리산진미농원</t>
        </is>
      </c>
      <c r="E258" s="24" t="inlineStr">
        <is>
          <t>롯데온</t>
        </is>
      </c>
      <c r="F258" s="170" t="n">
        <v>0</v>
      </c>
      <c r="G258" s="170" t="n">
        <v>0</v>
      </c>
      <c r="H258" s="182" t="n">
        <v>0</v>
      </c>
      <c r="I258" s="183" t="inlineStr"/>
      <c r="J258" s="184">
        <f>H258/8000000</f>
        <v/>
      </c>
      <c r="K258" s="170">
        <f>8000000-H258</f>
        <v/>
      </c>
    </row>
    <row r="259">
      <c r="A259" s="24" t="n">
        <v>257</v>
      </c>
      <c r="B259" s="24" t="inlineStr">
        <is>
          <t>시작</t>
        </is>
      </c>
      <c r="C259" s="24" t="inlineStr">
        <is>
          <t>184-20-01950</t>
        </is>
      </c>
      <c r="D259" s="76" t="inlineStr">
        <is>
          <t>그린하모니</t>
        </is>
      </c>
      <c r="E259" s="24" t="inlineStr">
        <is>
          <t>롯데온</t>
        </is>
      </c>
      <c r="F259" s="170" t="n">
        <v>0</v>
      </c>
      <c r="G259" s="170" t="n">
        <v>0</v>
      </c>
      <c r="H259" s="182" t="n">
        <v>0</v>
      </c>
      <c r="I259" s="183" t="inlineStr"/>
      <c r="J259" s="184">
        <f>H259/8000000</f>
        <v/>
      </c>
      <c r="K259" s="170">
        <f>8000000-H259</f>
        <v/>
      </c>
    </row>
    <row r="260">
      <c r="A260" s="24" t="n">
        <v>258</v>
      </c>
      <c r="B260" s="24" t="inlineStr">
        <is>
          <t>도약</t>
        </is>
      </c>
      <c r="C260" s="24" t="inlineStr">
        <is>
          <t>570-93-01757</t>
        </is>
      </c>
      <c r="D260" s="76" t="inlineStr">
        <is>
          <t>그로운</t>
        </is>
      </c>
      <c r="E260" s="24" t="inlineStr">
        <is>
          <t>네이버</t>
        </is>
      </c>
      <c r="F260" s="170" t="n">
        <v>247</v>
      </c>
      <c r="G260" s="170" t="n">
        <v>2356800</v>
      </c>
      <c r="H260" s="182" t="n">
        <v>221980</v>
      </c>
      <c r="I260" s="183" t="inlineStr">
        <is>
          <t>O</t>
        </is>
      </c>
      <c r="J260" s="184">
        <f>H260/8000000</f>
        <v/>
      </c>
      <c r="K260" s="170">
        <f>8000000-H260</f>
        <v/>
      </c>
    </row>
    <row r="261">
      <c r="A261" s="24" t="n">
        <v>259</v>
      </c>
      <c r="B261" s="24" t="inlineStr">
        <is>
          <t>도약</t>
        </is>
      </c>
      <c r="C261" s="24" t="inlineStr">
        <is>
          <t>116-81-97167</t>
        </is>
      </c>
      <c r="D261" s="76" t="inlineStr">
        <is>
          <t>(주)페어베이커리</t>
        </is>
      </c>
      <c r="E261" s="24" t="inlineStr">
        <is>
          <t>네이버</t>
        </is>
      </c>
      <c r="F261" s="170" t="n">
        <v>15</v>
      </c>
      <c r="G261" s="170" t="n">
        <v>220220</v>
      </c>
      <c r="H261" s="182" t="n">
        <v>3890</v>
      </c>
      <c r="I261" s="183" t="inlineStr">
        <is>
          <t>O</t>
        </is>
      </c>
      <c r="J261" s="184">
        <f>H261/8000000</f>
        <v/>
      </c>
      <c r="K261" s="170">
        <f>8000000-H261</f>
        <v/>
      </c>
    </row>
    <row r="262">
      <c r="A262" s="24" t="n">
        <v>260</v>
      </c>
      <c r="B262" s="24" t="inlineStr">
        <is>
          <t>도약</t>
        </is>
      </c>
      <c r="C262" s="24" t="inlineStr">
        <is>
          <t>264-81-50516</t>
        </is>
      </c>
      <c r="D262" s="76" t="inlineStr">
        <is>
          <t>농업회사법인 유한회사 자연식품</t>
        </is>
      </c>
      <c r="E262" s="24" t="inlineStr">
        <is>
          <t>지마켓</t>
        </is>
      </c>
      <c r="F262" s="170" t="n">
        <v>486</v>
      </c>
      <c r="G262" s="170" t="n">
        <v>20608700</v>
      </c>
      <c r="H262" s="182" t="n">
        <v>948440</v>
      </c>
      <c r="I262" s="183" t="inlineStr">
        <is>
          <t>O</t>
        </is>
      </c>
      <c r="J262" s="184">
        <f>H262/8000000</f>
        <v/>
      </c>
      <c r="K262" s="170">
        <f>8000000-H262</f>
        <v/>
      </c>
    </row>
    <row r="263">
      <c r="A263" s="24" t="n">
        <v>261</v>
      </c>
      <c r="B263" s="24" t="inlineStr">
        <is>
          <t>도약</t>
        </is>
      </c>
      <c r="C263" s="73" t="inlineStr">
        <is>
          <t>514-81-74335</t>
        </is>
      </c>
      <c r="D263" s="76" t="inlineStr">
        <is>
          <t>농업회사법인 주식회사 생생초</t>
        </is>
      </c>
      <c r="E263" s="24" t="inlineStr">
        <is>
          <t>지마켓</t>
        </is>
      </c>
      <c r="F263" s="170" t="n">
        <v>71</v>
      </c>
      <c r="G263" s="170" t="n">
        <v>780290</v>
      </c>
      <c r="H263" s="182" t="n">
        <v>63690</v>
      </c>
      <c r="I263" s="183" t="inlineStr">
        <is>
          <t>O</t>
        </is>
      </c>
      <c r="J263" s="184">
        <f>H263/8000000</f>
        <v/>
      </c>
      <c r="K263" s="170">
        <f>8000000-H263</f>
        <v/>
      </c>
    </row>
    <row r="264">
      <c r="A264" s="24" t="n">
        <v>262</v>
      </c>
      <c r="B264" s="24" t="inlineStr">
        <is>
          <t>시작</t>
        </is>
      </c>
      <c r="C264" s="24" t="inlineStr">
        <is>
          <t>623-92-02179</t>
        </is>
      </c>
      <c r="D264" s="76" t="inlineStr">
        <is>
          <t>담아토</t>
        </is>
      </c>
      <c r="E264" s="24" t="inlineStr">
        <is>
          <t>네이버</t>
        </is>
      </c>
      <c r="F264" s="170" t="n">
        <v>0</v>
      </c>
      <c r="G264" s="170" t="n">
        <v>0</v>
      </c>
      <c r="H264" s="182" t="n">
        <v>0</v>
      </c>
      <c r="I264" s="183" t="inlineStr"/>
      <c r="J264" s="184">
        <f>H264/8000000</f>
        <v/>
      </c>
      <c r="K264" s="170">
        <f>8000000-H264</f>
        <v/>
      </c>
    </row>
    <row r="265">
      <c r="A265" s="24" t="n">
        <v>263</v>
      </c>
      <c r="B265" s="24" t="inlineStr">
        <is>
          <t>도약</t>
        </is>
      </c>
      <c r="C265" s="24" t="inlineStr">
        <is>
          <t>438-81-03064</t>
        </is>
      </c>
      <c r="D265" s="76" t="inlineStr">
        <is>
          <t>농업회사법인(주) 피어오름</t>
        </is>
      </c>
      <c r="E265" s="24" t="inlineStr">
        <is>
          <t>네이버</t>
        </is>
      </c>
      <c r="F265" s="170" t="n">
        <v>0</v>
      </c>
      <c r="G265" s="170" t="n">
        <v>0</v>
      </c>
      <c r="H265" s="182" t="n">
        <v>0</v>
      </c>
      <c r="I265" s="183" t="inlineStr"/>
      <c r="J265" s="184">
        <f>H265/8000000</f>
        <v/>
      </c>
      <c r="K265" s="170">
        <f>8000000-H265</f>
        <v/>
      </c>
    </row>
    <row r="266">
      <c r="A266" s="24" t="n">
        <v>264</v>
      </c>
      <c r="B266" s="24" t="inlineStr">
        <is>
          <t>도약</t>
        </is>
      </c>
      <c r="C266" s="24" t="inlineStr">
        <is>
          <t>126-86-80182</t>
        </is>
      </c>
      <c r="D266" s="76" t="inlineStr">
        <is>
          <t>길경영농조합법인</t>
        </is>
      </c>
      <c r="E266" s="24" t="inlineStr">
        <is>
          <t>네이버</t>
        </is>
      </c>
      <c r="F266" s="170" t="n">
        <v>201</v>
      </c>
      <c r="G266" s="170" t="n">
        <v>10319700</v>
      </c>
      <c r="H266" s="182" t="n">
        <v>969800</v>
      </c>
      <c r="I266" s="183" t="inlineStr">
        <is>
          <t>O</t>
        </is>
      </c>
      <c r="J266" s="184">
        <f>H266/8000000</f>
        <v/>
      </c>
      <c r="K266" s="170">
        <f>8000000-H266</f>
        <v/>
      </c>
    </row>
    <row r="267">
      <c r="A267" s="24" t="n">
        <v>265</v>
      </c>
      <c r="B267" s="24" t="inlineStr">
        <is>
          <t>도약</t>
        </is>
      </c>
      <c r="C267" s="24" t="inlineStr">
        <is>
          <t>112-28-97097</t>
        </is>
      </c>
      <c r="D267" s="76" t="inlineStr">
        <is>
          <t>시내들</t>
        </is>
      </c>
      <c r="E267" s="24" t="inlineStr">
        <is>
          <t>네이버</t>
        </is>
      </c>
      <c r="F267" s="170" t="n">
        <v>134</v>
      </c>
      <c r="G267" s="170" t="n">
        <v>4153000</v>
      </c>
      <c r="H267" s="182" t="n">
        <v>209040</v>
      </c>
      <c r="I267" s="183" t="inlineStr">
        <is>
          <t>O</t>
        </is>
      </c>
      <c r="J267" s="184">
        <f>H267/8000000</f>
        <v/>
      </c>
      <c r="K267" s="170">
        <f>8000000-H267</f>
        <v/>
      </c>
    </row>
    <row r="268">
      <c r="A268" s="24" t="n">
        <v>266</v>
      </c>
      <c r="B268" s="24" t="inlineStr">
        <is>
          <t>시작</t>
        </is>
      </c>
      <c r="C268" s="24" t="inlineStr">
        <is>
          <t>137-86-09516</t>
        </is>
      </c>
      <c r="D268" s="76" t="inlineStr">
        <is>
          <t>농업회사법인 주식회사 싸주아리</t>
        </is>
      </c>
      <c r="E268" s="24" t="inlineStr">
        <is>
          <t>네이버</t>
        </is>
      </c>
      <c r="F268" s="170" t="n">
        <v>78</v>
      </c>
      <c r="G268" s="170" t="n">
        <v>3658450</v>
      </c>
      <c r="H268" s="182" t="n">
        <v>412330</v>
      </c>
      <c r="I268" s="183" t="inlineStr">
        <is>
          <t>O</t>
        </is>
      </c>
      <c r="J268" s="184">
        <f>H268/8000000</f>
        <v/>
      </c>
      <c r="K268" s="170">
        <f>8000000-H268</f>
        <v/>
      </c>
    </row>
    <row r="269">
      <c r="A269" s="24" t="n">
        <v>267</v>
      </c>
      <c r="B269" s="24" t="inlineStr">
        <is>
          <t>성장</t>
        </is>
      </c>
      <c r="C269" s="24" t="inlineStr">
        <is>
          <t>608-03-39557</t>
        </is>
      </c>
      <c r="D269" s="76" t="inlineStr">
        <is>
          <t>하늘바라기</t>
        </is>
      </c>
      <c r="E269" s="24" t="inlineStr">
        <is>
          <t>네이버</t>
        </is>
      </c>
      <c r="F269" s="170" t="n">
        <v>67</v>
      </c>
      <c r="G269" s="170" t="n">
        <v>2157400</v>
      </c>
      <c r="H269" s="182" t="n">
        <v>241130</v>
      </c>
      <c r="I269" s="183" t="inlineStr">
        <is>
          <t>O</t>
        </is>
      </c>
      <c r="J269" s="184">
        <f>H269/8000000</f>
        <v/>
      </c>
      <c r="K269" s="170">
        <f>8000000-H269</f>
        <v/>
      </c>
    </row>
    <row r="270">
      <c r="A270" s="24" t="n">
        <v>268</v>
      </c>
      <c r="B270" s="24" t="inlineStr">
        <is>
          <t>성장</t>
        </is>
      </c>
      <c r="C270" s="24" t="inlineStr">
        <is>
          <t>622-81-28184</t>
        </is>
      </c>
      <c r="D270" s="76" t="inlineStr">
        <is>
          <t>주식회사 열두달</t>
        </is>
      </c>
      <c r="E270" s="24" t="inlineStr">
        <is>
          <t>오아시스</t>
        </is>
      </c>
      <c r="F270" s="170" t="n">
        <v>237</v>
      </c>
      <c r="G270" s="170" t="n">
        <v>3710620</v>
      </c>
      <c r="H270" s="182" t="n">
        <v>415736</v>
      </c>
      <c r="I270" s="183" t="inlineStr">
        <is>
          <t>O</t>
        </is>
      </c>
      <c r="J270" s="184">
        <f>H270/8000000</f>
        <v/>
      </c>
      <c r="K270" s="170">
        <f>8000000-H270</f>
        <v/>
      </c>
    </row>
    <row r="271">
      <c r="A271" s="24" t="n">
        <v>269</v>
      </c>
      <c r="B271" s="24" t="inlineStr">
        <is>
          <t>시작</t>
        </is>
      </c>
      <c r="C271" s="24" t="inlineStr">
        <is>
          <t>351-81-01207</t>
        </is>
      </c>
      <c r="D271" s="76" t="inlineStr">
        <is>
          <t>농업회사법인연꽃정원유한회사</t>
        </is>
      </c>
      <c r="E271" s="24" t="inlineStr">
        <is>
          <t>네이버</t>
        </is>
      </c>
      <c r="F271" s="170" t="n">
        <v>12</v>
      </c>
      <c r="G271" s="170" t="n">
        <v>293700</v>
      </c>
      <c r="H271" s="182" t="n">
        <v>46240</v>
      </c>
      <c r="I271" s="183" t="inlineStr">
        <is>
          <t>O</t>
        </is>
      </c>
      <c r="J271" s="184">
        <f>H271/8000000</f>
        <v/>
      </c>
      <c r="K271" s="170">
        <f>8000000-H271</f>
        <v/>
      </c>
    </row>
    <row r="272">
      <c r="A272" s="24" t="n">
        <v>270</v>
      </c>
      <c r="B272" s="24" t="inlineStr">
        <is>
          <t>도약</t>
        </is>
      </c>
      <c r="C272" s="24" t="inlineStr">
        <is>
          <t>409-82-16307</t>
        </is>
      </c>
      <c r="D272" s="76" t="inlineStr">
        <is>
          <t>씨튼장애인직업재활센터</t>
        </is>
      </c>
      <c r="E272" s="24" t="inlineStr">
        <is>
          <t>오아시스</t>
        </is>
      </c>
      <c r="F272" s="170" t="n">
        <v>10177</v>
      </c>
      <c r="G272" s="170" t="n">
        <v>51890900</v>
      </c>
      <c r="H272" s="182" t="n">
        <v>3084209</v>
      </c>
      <c r="I272" s="183" t="inlineStr">
        <is>
          <t>O</t>
        </is>
      </c>
      <c r="J272" s="184">
        <f>H272/8000000</f>
        <v/>
      </c>
      <c r="K272" s="170">
        <f>8000000-H272</f>
        <v/>
      </c>
    </row>
    <row r="273">
      <c r="A273" s="24" t="n">
        <v>271</v>
      </c>
      <c r="B273" s="24" t="inlineStr">
        <is>
          <t>도약</t>
        </is>
      </c>
      <c r="C273" s="24" t="inlineStr">
        <is>
          <t>307-81-28140</t>
        </is>
      </c>
      <c r="D273" s="76" t="inlineStr">
        <is>
          <t>행복우리식품영농조합</t>
        </is>
      </c>
      <c r="E273" s="24" t="inlineStr">
        <is>
          <t>오아시스</t>
        </is>
      </c>
      <c r="F273" s="170" t="n">
        <v>932</v>
      </c>
      <c r="G273" s="170" t="n">
        <v>12275200</v>
      </c>
      <c r="H273" s="182" t="n">
        <v>1273480</v>
      </c>
      <c r="I273" s="183" t="inlineStr">
        <is>
          <t>O</t>
        </is>
      </c>
      <c r="J273" s="184">
        <f>H273/8000000</f>
        <v/>
      </c>
      <c r="K273" s="170">
        <f>8000000-H273</f>
        <v/>
      </c>
    </row>
    <row r="274">
      <c r="A274" s="24" t="n">
        <v>272</v>
      </c>
      <c r="B274" s="24" t="inlineStr">
        <is>
          <t>도약</t>
        </is>
      </c>
      <c r="C274" s="24" t="inlineStr">
        <is>
          <t>604-02-68674</t>
        </is>
      </c>
      <c r="D274" s="76" t="inlineStr">
        <is>
          <t>알찬연근팜</t>
        </is>
      </c>
      <c r="E274" s="24" t="inlineStr">
        <is>
          <t>네이버</t>
        </is>
      </c>
      <c r="F274" s="170" t="n">
        <v>110</v>
      </c>
      <c r="G274" s="170" t="n">
        <v>2747250</v>
      </c>
      <c r="H274" s="182" t="n">
        <v>221190</v>
      </c>
      <c r="I274" s="183" t="inlineStr">
        <is>
          <t>O</t>
        </is>
      </c>
      <c r="J274" s="184">
        <f>H274/8000000</f>
        <v/>
      </c>
      <c r="K274" s="170">
        <f>8000000-H274</f>
        <v/>
      </c>
    </row>
    <row r="275">
      <c r="A275" s="24" t="n">
        <v>273</v>
      </c>
      <c r="B275" s="24" t="inlineStr">
        <is>
          <t>도약</t>
        </is>
      </c>
      <c r="C275" s="24" t="inlineStr">
        <is>
          <t>677-97-01944</t>
        </is>
      </c>
      <c r="D275" s="76" t="inlineStr">
        <is>
          <t>도하팜</t>
        </is>
      </c>
      <c r="E275" s="24" t="inlineStr">
        <is>
          <t>네이버</t>
        </is>
      </c>
      <c r="F275" s="170" t="n">
        <v>88</v>
      </c>
      <c r="G275" s="170" t="n">
        <v>899900</v>
      </c>
      <c r="H275" s="182" t="n">
        <v>141620</v>
      </c>
      <c r="I275" s="183" t="inlineStr">
        <is>
          <t>O</t>
        </is>
      </c>
      <c r="J275" s="184">
        <f>H275/8000000</f>
        <v/>
      </c>
      <c r="K275" s="170">
        <f>8000000-H275</f>
        <v/>
      </c>
    </row>
    <row r="276">
      <c r="A276" s="24" t="n">
        <v>274</v>
      </c>
      <c r="B276" s="24" t="inlineStr">
        <is>
          <t>도약</t>
        </is>
      </c>
      <c r="C276" s="24" t="inlineStr">
        <is>
          <t>418-81-43306</t>
        </is>
      </c>
      <c r="D276" s="76" t="inlineStr">
        <is>
          <t>농업회사법인버섯마루유한회사</t>
        </is>
      </c>
      <c r="E276" s="24" t="inlineStr">
        <is>
          <t>네이버</t>
        </is>
      </c>
      <c r="F276" s="170" t="n">
        <v>518</v>
      </c>
      <c r="G276" s="170" t="n">
        <v>15294900</v>
      </c>
      <c r="H276" s="182" t="n">
        <v>1705850</v>
      </c>
      <c r="I276" s="183" t="inlineStr">
        <is>
          <t>O</t>
        </is>
      </c>
      <c r="J276" s="184">
        <f>H276/8000000</f>
        <v/>
      </c>
      <c r="K276" s="170">
        <f>8000000-H276</f>
        <v/>
      </c>
    </row>
    <row r="277">
      <c r="A277" s="24" t="n">
        <v>275</v>
      </c>
      <c r="B277" s="24" t="inlineStr">
        <is>
          <t>시작</t>
        </is>
      </c>
      <c r="C277" s="24" t="inlineStr">
        <is>
          <t>404-81-37601</t>
        </is>
      </c>
      <c r="D277" s="76" t="inlineStr">
        <is>
          <t>내기마을</t>
        </is>
      </c>
      <c r="E277" s="24" t="inlineStr">
        <is>
          <t>네이버</t>
        </is>
      </c>
      <c r="F277" s="170" t="n">
        <v>441</v>
      </c>
      <c r="G277" s="170" t="n">
        <v>11600320</v>
      </c>
      <c r="H277" s="182" t="n">
        <v>1121350</v>
      </c>
      <c r="I277" s="183" t="inlineStr">
        <is>
          <t>O</t>
        </is>
      </c>
      <c r="J277" s="184">
        <f>H277/8000000</f>
        <v/>
      </c>
      <c r="K277" s="170">
        <f>8000000-H277</f>
        <v/>
      </c>
    </row>
    <row r="278">
      <c r="A278" s="24" t="n">
        <v>276</v>
      </c>
      <c r="B278" s="24" t="inlineStr">
        <is>
          <t>시작</t>
        </is>
      </c>
      <c r="C278" s="24" t="inlineStr">
        <is>
          <t>317-39-00698</t>
        </is>
      </c>
      <c r="D278" s="76" t="inlineStr">
        <is>
          <t>안동시 북후면</t>
        </is>
      </c>
      <c r="E278" s="24" t="inlineStr">
        <is>
          <t>네이버</t>
        </is>
      </c>
      <c r="F278" s="170" t="n">
        <v>0</v>
      </c>
      <c r="G278" s="170" t="n">
        <v>0</v>
      </c>
      <c r="H278" s="182" t="n">
        <v>0</v>
      </c>
      <c r="I278" s="183" t="inlineStr"/>
      <c r="J278" s="184">
        <f>H278/8000000</f>
        <v/>
      </c>
      <c r="K278" s="170">
        <f>8000000-H278</f>
        <v/>
      </c>
    </row>
    <row r="279">
      <c r="A279" s="24" t="n">
        <v>277</v>
      </c>
      <c r="B279" s="24" t="inlineStr">
        <is>
          <t>시작</t>
        </is>
      </c>
      <c r="C279" s="24" t="inlineStr">
        <is>
          <t>679-54-00740</t>
        </is>
      </c>
      <c r="D279" s="76" t="inlineStr">
        <is>
          <t>함께하는 근남면 사람들</t>
        </is>
      </c>
      <c r="E279" s="24" t="inlineStr">
        <is>
          <t>네이버</t>
        </is>
      </c>
      <c r="F279" s="170" t="n">
        <v>0</v>
      </c>
      <c r="G279" s="170" t="n">
        <v>0</v>
      </c>
      <c r="H279" s="182" t="n">
        <v>0</v>
      </c>
      <c r="I279" s="183" t="inlineStr"/>
      <c r="J279" s="184">
        <f>H279/8000000</f>
        <v/>
      </c>
      <c r="K279" s="170">
        <f>8000000-H279</f>
        <v/>
      </c>
    </row>
    <row r="280">
      <c r="A280" s="24" t="n">
        <v>278</v>
      </c>
      <c r="B280" s="24" t="inlineStr">
        <is>
          <t>시작</t>
        </is>
      </c>
      <c r="C280" s="24" t="inlineStr">
        <is>
          <t>721-34-00290</t>
        </is>
      </c>
      <c r="D280" s="76" t="inlineStr">
        <is>
          <t>가야산아래</t>
        </is>
      </c>
      <c r="E280" s="24" t="inlineStr">
        <is>
          <t>네이버</t>
        </is>
      </c>
      <c r="F280" s="170" t="n">
        <v>15</v>
      </c>
      <c r="G280" s="170" t="n">
        <v>481000</v>
      </c>
      <c r="H280" s="182" t="n">
        <v>49800</v>
      </c>
      <c r="I280" s="183" t="inlineStr">
        <is>
          <t>O</t>
        </is>
      </c>
      <c r="J280" s="184">
        <f>H280/8000000</f>
        <v/>
      </c>
      <c r="K280" s="170">
        <f>8000000-H280</f>
        <v/>
      </c>
    </row>
    <row r="281">
      <c r="A281" s="24" t="n">
        <v>279</v>
      </c>
      <c r="B281" s="24" t="inlineStr">
        <is>
          <t>시작</t>
        </is>
      </c>
      <c r="C281" s="24" t="inlineStr">
        <is>
          <t>183-95-00048</t>
        </is>
      </c>
      <c r="D281" s="76" t="inlineStr">
        <is>
          <t>신사리마을</t>
        </is>
      </c>
      <c r="E281" s="24" t="inlineStr">
        <is>
          <t>온누리마켓</t>
        </is>
      </c>
      <c r="F281" s="170" t="n">
        <v>40</v>
      </c>
      <c r="G281" s="170" t="n">
        <v>781000</v>
      </c>
      <c r="H281" s="182" t="n">
        <v>115720</v>
      </c>
      <c r="I281" s="183" t="inlineStr">
        <is>
          <t>O</t>
        </is>
      </c>
      <c r="J281" s="184">
        <f>H281/8000000</f>
        <v/>
      </c>
      <c r="K281" s="170">
        <f>8000000-H281</f>
        <v/>
      </c>
    </row>
    <row r="282">
      <c r="A282" s="24" t="n">
        <v>280</v>
      </c>
      <c r="B282" s="24" t="inlineStr">
        <is>
          <t>시작</t>
        </is>
      </c>
      <c r="C282" s="24" t="inlineStr">
        <is>
          <t>319-94-01654</t>
        </is>
      </c>
      <c r="D282" s="76" t="inlineStr">
        <is>
          <t>문경초록마을</t>
        </is>
      </c>
      <c r="E282" s="24" t="inlineStr">
        <is>
          <t>네이버</t>
        </is>
      </c>
      <c r="F282" s="170" t="n">
        <v>6</v>
      </c>
      <c r="G282" s="170" t="n">
        <v>257000</v>
      </c>
      <c r="H282" s="182" t="n">
        <v>19000</v>
      </c>
      <c r="I282" s="183" t="inlineStr">
        <is>
          <t>O</t>
        </is>
      </c>
      <c r="J282" s="184">
        <f>H282/8000000</f>
        <v/>
      </c>
      <c r="K282" s="170">
        <f>8000000-H282</f>
        <v/>
      </c>
    </row>
    <row r="283">
      <c r="A283" s="24" t="n">
        <v>281</v>
      </c>
      <c r="B283" s="24" t="inlineStr">
        <is>
          <t>시작</t>
        </is>
      </c>
      <c r="C283" s="24" t="inlineStr">
        <is>
          <t>834-86-00464</t>
        </is>
      </c>
      <c r="D283" s="76" t="inlineStr">
        <is>
          <t>평해마을</t>
        </is>
      </c>
      <c r="E283" s="24" t="inlineStr">
        <is>
          <t>네이버</t>
        </is>
      </c>
      <c r="F283" s="170" t="n">
        <v>4</v>
      </c>
      <c r="G283" s="170" t="n">
        <v>174000</v>
      </c>
      <c r="H283" s="182" t="n">
        <v>8800</v>
      </c>
      <c r="I283" s="183" t="inlineStr">
        <is>
          <t>O</t>
        </is>
      </c>
      <c r="J283" s="184">
        <f>H283/8000000</f>
        <v/>
      </c>
      <c r="K283" s="170">
        <f>8000000-H283</f>
        <v/>
      </c>
    </row>
    <row r="284">
      <c r="A284" s="24" t="n">
        <v>282</v>
      </c>
      <c r="B284" s="24" t="inlineStr">
        <is>
          <t>시작</t>
        </is>
      </c>
      <c r="C284" s="24" t="inlineStr">
        <is>
          <t>131-86-58421</t>
        </is>
      </c>
      <c r="D284" s="76" t="inlineStr">
        <is>
          <t>인천드레</t>
        </is>
      </c>
      <c r="E284" s="24" t="inlineStr">
        <is>
          <t>네이버</t>
        </is>
      </c>
      <c r="F284" s="170" t="n">
        <v>303</v>
      </c>
      <c r="G284" s="170" t="n">
        <v>7634410</v>
      </c>
      <c r="H284" s="182" t="n">
        <v>714800</v>
      </c>
      <c r="I284" s="183" t="inlineStr">
        <is>
          <t>O</t>
        </is>
      </c>
      <c r="J284" s="184">
        <f>H284/8000000</f>
        <v/>
      </c>
      <c r="K284" s="170">
        <f>8000000-H284</f>
        <v/>
      </c>
    </row>
    <row r="285">
      <c r="A285" s="24" t="n">
        <v>283</v>
      </c>
      <c r="B285" s="24" t="inlineStr">
        <is>
          <t>시작</t>
        </is>
      </c>
      <c r="C285" s="24" t="inlineStr">
        <is>
          <t>851-18-01907</t>
        </is>
      </c>
      <c r="D285" s="76" t="inlineStr">
        <is>
          <t>대구/영천 마을</t>
        </is>
      </c>
      <c r="E285" s="24" t="inlineStr">
        <is>
          <t>네이버</t>
        </is>
      </c>
      <c r="F285" s="170" t="n">
        <v>0</v>
      </c>
      <c r="G285" s="170" t="n">
        <v>0</v>
      </c>
      <c r="H285" s="182" t="n">
        <v>0</v>
      </c>
      <c r="I285" s="183" t="inlineStr"/>
      <c r="J285" s="184">
        <f>H285/8000000</f>
        <v/>
      </c>
      <c r="K285" s="170">
        <f>8000000-H285</f>
        <v/>
      </c>
    </row>
    <row r="286">
      <c r="A286" s="24" t="n">
        <v>284</v>
      </c>
      <c r="B286" s="24" t="inlineStr">
        <is>
          <t>시작</t>
        </is>
      </c>
      <c r="C286" s="24" t="inlineStr">
        <is>
          <t>279-86-00070</t>
        </is>
      </c>
      <c r="D286" s="76" t="inlineStr">
        <is>
          <t>두레마을</t>
        </is>
      </c>
      <c r="E286" s="24" t="inlineStr">
        <is>
          <t>네이버</t>
        </is>
      </c>
      <c r="F286" s="170" t="n">
        <v>0</v>
      </c>
      <c r="G286" s="170" t="n">
        <v>0</v>
      </c>
      <c r="H286" s="182" t="n">
        <v>0</v>
      </c>
      <c r="I286" s="183" t="inlineStr"/>
      <c r="J286" s="184">
        <f>H286/8000000</f>
        <v/>
      </c>
      <c r="K286" s="170">
        <f>8000000-H286</f>
        <v/>
      </c>
    </row>
    <row r="287">
      <c r="A287" s="24" t="n">
        <v>285</v>
      </c>
      <c r="B287" s="24" t="inlineStr">
        <is>
          <t>시작</t>
        </is>
      </c>
      <c r="C287" s="24" t="inlineStr">
        <is>
          <t>210-97-02245</t>
        </is>
      </c>
      <c r="D287" s="76" t="inlineStr">
        <is>
          <t>참외쀼</t>
        </is>
      </c>
      <c r="E287" s="24" t="inlineStr">
        <is>
          <t>네이버</t>
        </is>
      </c>
      <c r="F287" s="170" t="n">
        <v>2</v>
      </c>
      <c r="G287" s="170" t="n">
        <v>61900</v>
      </c>
      <c r="H287" s="182" t="n">
        <v>5380</v>
      </c>
      <c r="I287" s="183" t="inlineStr">
        <is>
          <t>O</t>
        </is>
      </c>
      <c r="J287" s="184">
        <f>H287/8000000</f>
        <v/>
      </c>
      <c r="K287" s="170">
        <f>8000000-H287</f>
        <v/>
      </c>
    </row>
  </sheetData>
  <autoFilter ref="A2:J287"/>
  <conditionalFormatting sqref="C1:C1048576">
    <cfRule type="duplicateValues" priority="13" dxfId="0"/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J1454"/>
  <sheetViews>
    <sheetView tabSelected="1" zoomScaleNormal="100" zoomScaleSheetLayoutView="85" workbookViewId="0">
      <pane xSplit="1" ySplit="5" topLeftCell="B279" activePane="bottomRight" state="frozen"/>
      <selection pane="topRight" activeCell="B1" sqref="B1"/>
      <selection pane="bottomLeft" activeCell="A6" sqref="A6"/>
      <selection pane="bottomRight" activeCell="H291" sqref="H29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27.5" customWidth="1" style="7" min="3" max="3"/>
    <col width="15" customWidth="1" style="7" min="4" max="4"/>
    <col width="46.1992187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19.19921875" customWidth="1" style="7" min="9" max="9"/>
    <col width="9" customWidth="1" style="7" min="10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30" t="n"/>
      <c r="G1" s="130" t="n"/>
    </row>
    <row r="2" ht="24.75" customFormat="1" customHeight="1" s="57">
      <c r="A2" s="56" t="inlineStr">
        <is>
          <t>기간 : 07월 06일 ~ 08월 31일</t>
        </is>
      </c>
      <c r="B2" s="7" t="n"/>
      <c r="H2" s="58" t="n"/>
      <c r="I2" s="131" t="n"/>
      <c r="J2" s="131" t="n"/>
    </row>
    <row r="3" customFormat="1" s="57">
      <c r="A3" s="4" t="n"/>
      <c r="F3" s="131" t="n"/>
      <c r="G3" s="131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SUM(F6:F2454)</f>
        <v/>
      </c>
      <c r="G4" s="132">
        <f>SUM(G6:G2454)</f>
        <v/>
      </c>
      <c r="H4" s="132">
        <f>SUM(H6:H2454)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8" t="inlineStr">
        <is>
          <t>지마켓</t>
        </is>
      </c>
      <c r="B6" s="9" t="inlineStr">
        <is>
          <t>축산물</t>
        </is>
      </c>
      <c r="C6" s="8" t="inlineStr">
        <is>
          <t>주식회사 마들</t>
        </is>
      </c>
      <c r="D6" s="134" t="inlineStr">
        <is>
          <t>892-87-01864</t>
        </is>
      </c>
      <c r="E6" s="8" t="inlineStr">
        <is>
          <t>춘천 닭갈비 오리지널 1kg 국내산 닭다리살(닭다리살 함량 85%)</t>
        </is>
      </c>
      <c r="F6" s="135" t="n">
        <v>253</v>
      </c>
      <c r="G6" s="135" t="n">
        <v>5220720</v>
      </c>
      <c r="H6" s="135" t="n">
        <v>278100</v>
      </c>
    </row>
    <row r="7">
      <c r="A7" s="8" t="inlineStr">
        <is>
          <t>지마켓</t>
        </is>
      </c>
      <c r="B7" s="89" t="inlineStr">
        <is>
          <t>농산물</t>
        </is>
      </c>
      <c r="C7" s="8" t="inlineStr">
        <is>
          <t>쌍둥이농장</t>
        </is>
      </c>
      <c r="D7" s="134" t="inlineStr">
        <is>
          <t>186-96-01664</t>
        </is>
      </c>
      <c r="E7" s="8" t="inlineStr">
        <is>
          <t>산지직송 하미과메론 양구메론 경북고령 고당도 그린하미과 골드하미과3kg 5kg</t>
        </is>
      </c>
      <c r="F7" s="135" t="n">
        <v>4</v>
      </c>
      <c r="G7" s="135" t="n">
        <v>187600</v>
      </c>
      <c r="H7" s="135" t="inlineStr">
        <is>
          <t>-</t>
        </is>
      </c>
    </row>
    <row r="8">
      <c r="A8" s="8" t="inlineStr">
        <is>
          <t>지마켓</t>
        </is>
      </c>
      <c r="B8" s="89" t="inlineStr">
        <is>
          <t>가공식품</t>
        </is>
      </c>
      <c r="C8" s="8" t="inlineStr">
        <is>
          <t>조양식품</t>
        </is>
      </c>
      <c r="D8" s="134" t="inlineStr">
        <is>
          <t>579-90-00021</t>
        </is>
      </c>
      <c r="E8" s="8" t="inlineStr">
        <is>
          <t>(신선집중/15%+NH10%) 한상궁김치 겉절이 2kg / 출고당일생산</t>
        </is>
      </c>
      <c r="F8" s="135" t="n">
        <v>21744</v>
      </c>
      <c r="G8" s="135" t="n">
        <v>287536270</v>
      </c>
      <c r="H8" s="135" t="n">
        <v>6140240</v>
      </c>
    </row>
    <row r="9">
      <c r="A9" s="8" t="inlineStr">
        <is>
          <t>지마켓</t>
        </is>
      </c>
      <c r="B9" s="9" t="inlineStr">
        <is>
          <t>농산물</t>
        </is>
      </c>
      <c r="C9" s="8" t="inlineStr">
        <is>
          <t>농업회사법인머쉬그로(주)</t>
        </is>
      </c>
      <c r="D9" s="134" t="inlineStr">
        <is>
          <t>113-87-00743</t>
        </is>
      </c>
      <c r="E9" s="8" t="inlineStr">
        <is>
          <t>최상등급품질 양송이버섯 1kg 2kg 산지직송 오후2시당일출고 무료배송 직접재배 산지직송 최대할인가</t>
        </is>
      </c>
      <c r="F9" s="135" t="n">
        <v>26</v>
      </c>
      <c r="G9" s="135" t="n">
        <v>621000</v>
      </c>
      <c r="H9" s="135" t="n">
        <v>57600</v>
      </c>
    </row>
    <row r="10">
      <c r="A10" s="8" t="inlineStr">
        <is>
          <t>지마켓</t>
        </is>
      </c>
      <c r="B10" s="9" t="inlineStr">
        <is>
          <t>농산물</t>
        </is>
      </c>
      <c r="C10" s="8" t="inlineStr">
        <is>
          <t>농업회사법인머쉬그로(주)</t>
        </is>
      </c>
      <c r="D10" s="134" t="inlineStr">
        <is>
          <t>113-87-00743</t>
        </is>
      </c>
      <c r="E10" s="8" t="inlineStr">
        <is>
          <t>양송이 마이스터 재배 화이트 양송이버섯 못난이 꼬다마 구이용 피자용 매장사용 소포장 스프용 1kg 2kg</t>
        </is>
      </c>
      <c r="F10" s="135" t="n">
        <v>32</v>
      </c>
      <c r="G10" s="135" t="n">
        <v>480900</v>
      </c>
      <c r="H10" s="135" t="n">
        <v>27500</v>
      </c>
    </row>
    <row r="11">
      <c r="A11" s="8" t="inlineStr">
        <is>
          <t>지마켓</t>
        </is>
      </c>
      <c r="B11" s="95" t="inlineStr">
        <is>
          <t>축산물</t>
        </is>
      </c>
      <c r="C11" s="8" t="inlineStr">
        <is>
          <t>두원식품(주)</t>
        </is>
      </c>
      <c r="D11" s="134" t="inlineStr">
        <is>
          <t>606-81-52718</t>
        </is>
      </c>
      <c r="E11" s="8" t="inlineStr">
        <is>
          <t>(신선집중) 국내산 한돈 프리미엄 대패 삼겹살 1.2kg</t>
        </is>
      </c>
      <c r="F11" s="135" t="n">
        <v>2382</v>
      </c>
      <c r="G11" s="135" t="n">
        <v>55053800</v>
      </c>
      <c r="H11" s="135" t="n">
        <v>4893300</v>
      </c>
    </row>
    <row r="12">
      <c r="A12" s="8" t="inlineStr">
        <is>
          <t>지마켓</t>
        </is>
      </c>
      <c r="B12" s="9" t="inlineStr">
        <is>
          <t>축산물</t>
        </is>
      </c>
      <c r="C12" s="8" t="inlineStr">
        <is>
          <t>두원식품(주)</t>
        </is>
      </c>
      <c r="D12" s="134" t="inlineStr">
        <is>
          <t>606-81-52718</t>
        </is>
      </c>
      <c r="E12" s="8" t="inlineStr">
        <is>
          <t>국내산 한돈 칼집 고추장 삼겹살 300g + 300g</t>
        </is>
      </c>
      <c r="F12" s="135" t="n">
        <v>3</v>
      </c>
      <c r="G12" s="135" t="n">
        <v>44700</v>
      </c>
      <c r="H12" s="135" t="inlineStr">
        <is>
          <t>-</t>
        </is>
      </c>
    </row>
    <row r="13">
      <c r="A13" s="8" t="inlineStr">
        <is>
          <t>지마켓</t>
        </is>
      </c>
      <c r="B13" s="9" t="inlineStr">
        <is>
          <t>축산물</t>
        </is>
      </c>
      <c r="C13" s="8" t="inlineStr">
        <is>
          <t>두원식품(주)</t>
        </is>
      </c>
      <c r="D13" s="134" t="inlineStr">
        <is>
          <t>606-81-52718</t>
        </is>
      </c>
      <c r="E13" s="8" t="inlineStr">
        <is>
          <t>(신선집중) 국내산 한돈 한입 옛날 삼겹살 400g + 400g</t>
        </is>
      </c>
      <c r="F13" s="135" t="n">
        <v>100</v>
      </c>
      <c r="G13" s="135" t="n">
        <v>1718300</v>
      </c>
      <c r="H13" s="135" t="n">
        <v>134180</v>
      </c>
    </row>
    <row r="14">
      <c r="A14" s="8" t="inlineStr">
        <is>
          <t>지마켓</t>
        </is>
      </c>
      <c r="B14" s="9" t="inlineStr">
        <is>
          <t>축산물</t>
        </is>
      </c>
      <c r="C14" s="8" t="inlineStr">
        <is>
          <t>두원식품(주)</t>
        </is>
      </c>
      <c r="D14" s="134" t="inlineStr">
        <is>
          <t>606-81-52718</t>
        </is>
      </c>
      <c r="E14" s="8" t="inlineStr">
        <is>
          <t>haccp인증 국내산 한돈 간장 LA돼지갈비 300g+300g</t>
        </is>
      </c>
      <c r="F14" s="135" t="n">
        <v>10</v>
      </c>
      <c r="G14" s="135" t="n">
        <v>137000</v>
      </c>
      <c r="H14" s="135" t="n">
        <v>8940</v>
      </c>
    </row>
    <row r="15">
      <c r="A15" s="8" t="inlineStr">
        <is>
          <t>지마켓</t>
        </is>
      </c>
      <c r="B15" s="9" t="inlineStr">
        <is>
          <t>축산물</t>
        </is>
      </c>
      <c r="C15" s="8" t="inlineStr">
        <is>
          <t>두원식품(주)</t>
        </is>
      </c>
      <c r="D15" s="134" t="inlineStr">
        <is>
          <t>606-81-52718</t>
        </is>
      </c>
      <c r="E15" s="8" t="inlineStr">
        <is>
          <t>국내산 한돈 프리미엄 대패 삼겹살 400g + 400g</t>
        </is>
      </c>
      <c r="F15" s="135" t="n">
        <v>9</v>
      </c>
      <c r="G15" s="135" t="n">
        <v>162100</v>
      </c>
      <c r="H15" s="135" t="n">
        <v>7560</v>
      </c>
    </row>
    <row r="16">
      <c r="A16" s="8" t="inlineStr">
        <is>
          <t>지마켓</t>
        </is>
      </c>
      <c r="B16" s="9" t="inlineStr">
        <is>
          <t>축산물</t>
        </is>
      </c>
      <c r="C16" s="8" t="inlineStr">
        <is>
          <t>두원식품(주)</t>
        </is>
      </c>
      <c r="D16" s="134" t="inlineStr">
        <is>
          <t>606-81-52718</t>
        </is>
      </c>
      <c r="E16" s="8" t="inlineStr">
        <is>
          <t>haccp인증 국내산 한돈 고추장 주물럭 300g x6팩(총 1.8kg)</t>
        </is>
      </c>
      <c r="F16" s="135" t="n">
        <v>2</v>
      </c>
      <c r="G16" s="135" t="n">
        <v>65000</v>
      </c>
      <c r="H16" s="135" t="n">
        <v>6500</v>
      </c>
    </row>
    <row r="17">
      <c r="A17" s="8" t="inlineStr">
        <is>
          <t>지마켓</t>
        </is>
      </c>
      <c r="B17" s="89" t="inlineStr">
        <is>
          <t>축산물</t>
        </is>
      </c>
      <c r="C17" s="8" t="inlineStr">
        <is>
          <t>두원식품(주)</t>
        </is>
      </c>
      <c r="D17" s="134" t="inlineStr">
        <is>
          <t>606-81-52718</t>
        </is>
      </c>
      <c r="E17" s="8" t="inlineStr">
        <is>
          <t>국내산 한돈 고추장 주물럭 300g + 300g 제육볶음</t>
        </is>
      </c>
      <c r="F17" s="135" t="n">
        <v>11</v>
      </c>
      <c r="G17" s="135" t="n">
        <v>157900</v>
      </c>
      <c r="H17" s="135" t="n">
        <v>11920</v>
      </c>
    </row>
    <row r="18">
      <c r="A18" s="8" t="inlineStr">
        <is>
          <t>지마켓</t>
        </is>
      </c>
      <c r="B18" s="9" t="inlineStr">
        <is>
          <t>농산물</t>
        </is>
      </c>
      <c r="C18" s="8" t="inlineStr">
        <is>
          <t>농업회사법인주식회사 말린</t>
        </is>
      </c>
      <c r="D18" s="134" t="inlineStr">
        <is>
          <t>324-88-02106</t>
        </is>
      </c>
      <c r="E18" s="8" t="inlineStr">
        <is>
          <t>해를품은 국산 꿀고구마 말랭이 60g 20봉 페이스트 고구마말랭이</t>
        </is>
      </c>
      <c r="F18" s="135" t="inlineStr">
        <is>
          <t>-</t>
        </is>
      </c>
      <c r="G18" s="135" t="inlineStr">
        <is>
          <t>-</t>
        </is>
      </c>
      <c r="H18" s="135" t="inlineStr">
        <is>
          <t>-</t>
        </is>
      </c>
    </row>
    <row r="19">
      <c r="A19" s="8" t="inlineStr">
        <is>
          <t>지마켓</t>
        </is>
      </c>
      <c r="B19" s="9" t="inlineStr">
        <is>
          <t>농산물</t>
        </is>
      </c>
      <c r="C19" s="8" t="inlineStr">
        <is>
          <t>농업회사법인주식회사 말린</t>
        </is>
      </c>
      <c r="D19" s="134" t="inlineStr">
        <is>
          <t>324-88-02106</t>
        </is>
      </c>
      <c r="E19" s="8" t="inlineStr">
        <is>
          <t>(신선집중) 해를품은 고구마스틱 고구마말랭이 20g x 30개 꿀고구마 그대로</t>
        </is>
      </c>
      <c r="F19" s="135" t="inlineStr">
        <is>
          <t>-</t>
        </is>
      </c>
      <c r="G19" s="135" t="inlineStr">
        <is>
          <t>-</t>
        </is>
      </c>
      <c r="H19" s="135" t="inlineStr">
        <is>
          <t>-</t>
        </is>
      </c>
    </row>
    <row r="20">
      <c r="A20" s="8" t="inlineStr">
        <is>
          <t>지마켓</t>
        </is>
      </c>
      <c r="B20" s="9" t="inlineStr">
        <is>
          <t>농산물</t>
        </is>
      </c>
      <c r="C20" s="8" t="inlineStr">
        <is>
          <t>농업회사법인주식회사 말린</t>
        </is>
      </c>
      <c r="D20" s="134" t="inlineStr">
        <is>
          <t>324-88-02106</t>
        </is>
      </c>
      <c r="E20" s="8" t="inlineStr">
        <is>
          <t>(신선집중) 해를품은 고구마스틱 고구마말랭이 20g x 20개 꿀고구마 그대로</t>
        </is>
      </c>
      <c r="F20" s="135" t="inlineStr">
        <is>
          <t>-</t>
        </is>
      </c>
      <c r="G20" s="135" t="inlineStr">
        <is>
          <t>-</t>
        </is>
      </c>
      <c r="H20" s="135" t="inlineStr">
        <is>
          <t>-</t>
        </is>
      </c>
    </row>
    <row r="21">
      <c r="A21" s="8" t="inlineStr">
        <is>
          <t>지마켓</t>
        </is>
      </c>
      <c r="B21" s="9" t="inlineStr">
        <is>
          <t>축산물</t>
        </is>
      </c>
      <c r="C21" s="8" t="inlineStr">
        <is>
          <t>다모아영농조합법인</t>
        </is>
      </c>
      <c r="D21" s="134" t="inlineStr">
        <is>
          <t>613-81-60803</t>
        </is>
      </c>
      <c r="E21" s="8" t="inlineStr">
        <is>
          <t>무항생제 싱싱한 계란 특란 60구 (30구 x 2판) 생계란</t>
        </is>
      </c>
      <c r="F21" s="135" t="n">
        <v>2123</v>
      </c>
      <c r="G21" s="135" t="n">
        <v>57108700</v>
      </c>
      <c r="H21" s="135" t="n">
        <v>4802120</v>
      </c>
    </row>
    <row r="22">
      <c r="A22" s="8" t="inlineStr">
        <is>
          <t>지마켓</t>
        </is>
      </c>
      <c r="B22" s="95" t="inlineStr">
        <is>
          <t>농산물</t>
        </is>
      </c>
      <c r="C22" s="8" t="inlineStr">
        <is>
          <t>다모아영농조합법인</t>
        </is>
      </c>
      <c r="D22" s="134" t="inlineStr">
        <is>
          <t>613-81-60803</t>
        </is>
      </c>
      <c r="E22" s="8" t="inlineStr">
        <is>
          <t>농협 공동선별 햇 남해 통마늘 3kg(상) 실중량 지리적표시품</t>
        </is>
      </c>
      <c r="F22" s="135" t="n">
        <v>19</v>
      </c>
      <c r="G22" s="135" t="n">
        <v>701100</v>
      </c>
      <c r="H22" s="135" t="n">
        <v>51660</v>
      </c>
    </row>
    <row r="23">
      <c r="A23" s="8" t="inlineStr">
        <is>
          <t>지마켓</t>
        </is>
      </c>
      <c r="B23" s="9" t="inlineStr">
        <is>
          <t>농산물</t>
        </is>
      </c>
      <c r="C23" s="8" t="inlineStr">
        <is>
          <t>다모아영농조합법인</t>
        </is>
      </c>
      <c r="D23" s="134" t="inlineStr">
        <is>
          <t>613-81-60803</t>
        </is>
      </c>
      <c r="E23" s="8" t="inlineStr">
        <is>
          <t>창녕 찰토마토 5kg(S-M) 창녕농협 품질보장</t>
        </is>
      </c>
      <c r="F23" s="135" t="inlineStr">
        <is>
          <t>-</t>
        </is>
      </c>
      <c r="G23" s="135" t="inlineStr">
        <is>
          <t>-</t>
        </is>
      </c>
      <c r="H23" s="135" t="inlineStr">
        <is>
          <t>-</t>
        </is>
      </c>
    </row>
    <row r="24">
      <c r="A24" s="8" t="inlineStr">
        <is>
          <t>지마켓</t>
        </is>
      </c>
      <c r="B24" s="9" t="inlineStr">
        <is>
          <t>농산물</t>
        </is>
      </c>
      <c r="C24" s="8" t="inlineStr">
        <is>
          <t>다모아영농조합법인</t>
        </is>
      </c>
      <c r="D24" s="134" t="inlineStr">
        <is>
          <t>613-81-60803</t>
        </is>
      </c>
      <c r="E24" s="8" t="inlineStr">
        <is>
          <t>산지발송 해남 꿀고구마 3kg 특상(120g~300g) 해남 산지발송</t>
        </is>
      </c>
      <c r="F24" s="135" t="n">
        <v>6</v>
      </c>
      <c r="G24" s="135" t="n">
        <v>107400</v>
      </c>
      <c r="H24" s="135" t="n">
        <v>10000</v>
      </c>
    </row>
    <row r="25">
      <c r="A25" s="8" t="inlineStr">
        <is>
          <t>지마켓</t>
        </is>
      </c>
      <c r="B25" s="9" t="inlineStr">
        <is>
          <t>농산물</t>
        </is>
      </c>
      <c r="C25" s="8" t="inlineStr">
        <is>
          <t>다모아영농조합법인</t>
        </is>
      </c>
      <c r="D25" s="134" t="inlineStr">
        <is>
          <t>613-81-60803</t>
        </is>
      </c>
      <c r="E25" s="8" t="inlineStr">
        <is>
          <t>국내산 안동 산마 3kg 가정용(혼합) 실중량</t>
        </is>
      </c>
      <c r="F25" s="135" t="n">
        <v>3</v>
      </c>
      <c r="G25" s="135" t="n">
        <v>56700</v>
      </c>
      <c r="H25" s="135" t="n">
        <v>3780</v>
      </c>
    </row>
    <row r="26">
      <c r="A26" s="8" t="inlineStr">
        <is>
          <t>지마켓</t>
        </is>
      </c>
      <c r="B26" s="9" t="inlineStr">
        <is>
          <t>농산물</t>
        </is>
      </c>
      <c r="C26" s="8" t="inlineStr">
        <is>
          <t>다모아영농조합법인</t>
        </is>
      </c>
      <c r="D26" s="134" t="inlineStr">
        <is>
          <t>613-81-60803</t>
        </is>
      </c>
      <c r="E26" s="8" t="inlineStr">
        <is>
          <t>진주 파프리카 산지직송 파프리카 3kg 실속형 (실중량)</t>
        </is>
      </c>
      <c r="F26" s="135" t="inlineStr">
        <is>
          <t>-</t>
        </is>
      </c>
      <c r="G26" s="135" t="inlineStr">
        <is>
          <t>-</t>
        </is>
      </c>
      <c r="H26" s="135" t="inlineStr">
        <is>
          <t>-</t>
        </is>
      </c>
    </row>
    <row r="27">
      <c r="A27" s="8" t="inlineStr">
        <is>
          <t>지마켓</t>
        </is>
      </c>
      <c r="B27" s="9" t="inlineStr">
        <is>
          <t>농산물</t>
        </is>
      </c>
      <c r="C27" s="8" t="inlineStr">
        <is>
          <t>청정태안식품</t>
        </is>
      </c>
      <c r="D27" s="134" t="inlineStr">
        <is>
          <t>316-01-24597</t>
        </is>
      </c>
      <c r="E27" s="8" t="inlineStr">
        <is>
          <t>(마싯구마)군고구마 말랭이 75g</t>
        </is>
      </c>
      <c r="F27" s="135" t="inlineStr">
        <is>
          <t>-</t>
        </is>
      </c>
      <c r="G27" s="135" t="inlineStr">
        <is>
          <t>-</t>
        </is>
      </c>
      <c r="H27" s="135" t="inlineStr">
        <is>
          <t>-</t>
        </is>
      </c>
    </row>
    <row r="28">
      <c r="A28" s="8" t="inlineStr">
        <is>
          <t>지마켓</t>
        </is>
      </c>
      <c r="B28" s="9" t="inlineStr">
        <is>
          <t>농산물</t>
        </is>
      </c>
      <c r="C28" s="8" t="inlineStr">
        <is>
          <t>청정태안식품</t>
        </is>
      </c>
      <c r="D28" s="134" t="inlineStr">
        <is>
          <t>316-01-24597</t>
        </is>
      </c>
      <c r="E28" s="8" t="inlineStr">
        <is>
          <t>(선물용)군고구마말랭이 75g8봉지</t>
        </is>
      </c>
      <c r="F28" s="135" t="inlineStr">
        <is>
          <t>-</t>
        </is>
      </c>
      <c r="G28" s="135" t="inlineStr">
        <is>
          <t>-</t>
        </is>
      </c>
      <c r="H28" s="135" t="inlineStr">
        <is>
          <t>-</t>
        </is>
      </c>
    </row>
    <row r="29">
      <c r="A29" s="8" t="inlineStr">
        <is>
          <t>지마켓</t>
        </is>
      </c>
      <c r="B29" s="9" t="inlineStr">
        <is>
          <t>농산물</t>
        </is>
      </c>
      <c r="C29" s="8" t="inlineStr">
        <is>
          <t>청정태안식품</t>
        </is>
      </c>
      <c r="D29" s="134" t="inlineStr">
        <is>
          <t>316-01-24597</t>
        </is>
      </c>
      <c r="E29" s="8" t="inlineStr">
        <is>
          <t>(선물용)군고구마말랭이 75g10봉지</t>
        </is>
      </c>
      <c r="F29" s="135" t="inlineStr">
        <is>
          <t>-</t>
        </is>
      </c>
      <c r="G29" s="135" t="inlineStr">
        <is>
          <t>-</t>
        </is>
      </c>
      <c r="H29" s="135" t="inlineStr">
        <is>
          <t>-</t>
        </is>
      </c>
    </row>
    <row r="30">
      <c r="A30" s="8" t="inlineStr">
        <is>
          <t>지마켓</t>
        </is>
      </c>
      <c r="B30" s="9" t="inlineStr">
        <is>
          <t>농산물</t>
        </is>
      </c>
      <c r="C30" s="8" t="inlineStr">
        <is>
          <t>청정태안식품</t>
        </is>
      </c>
      <c r="D30" s="134" t="inlineStr">
        <is>
          <t>316-01-24597</t>
        </is>
      </c>
      <c r="E30" s="8" t="inlineStr">
        <is>
          <t>마싯구마 아이스 군고구마 1kg(한입형/4~8봉지)</t>
        </is>
      </c>
      <c r="F30" s="135" t="inlineStr">
        <is>
          <t>-</t>
        </is>
      </c>
      <c r="G30" s="135" t="inlineStr">
        <is>
          <t>-</t>
        </is>
      </c>
      <c r="H30" s="135" t="inlineStr">
        <is>
          <t>-</t>
        </is>
      </c>
    </row>
    <row r="31">
      <c r="A31" s="8" t="inlineStr">
        <is>
          <t>지마켓</t>
        </is>
      </c>
      <c r="B31" s="9" t="inlineStr">
        <is>
          <t>농산물</t>
        </is>
      </c>
      <c r="C31" s="8" t="inlineStr">
        <is>
          <t>청정태안식품</t>
        </is>
      </c>
      <c r="D31" s="134" t="inlineStr">
        <is>
          <t>316-01-24597</t>
        </is>
      </c>
      <c r="E31" s="8" t="inlineStr">
        <is>
          <t>마싯구마 아이스 군고구마 1kg(혼합형/4~8봉지)</t>
        </is>
      </c>
      <c r="F31" s="135" t="inlineStr">
        <is>
          <t>-</t>
        </is>
      </c>
      <c r="G31" s="135" t="inlineStr">
        <is>
          <t>-</t>
        </is>
      </c>
      <c r="H31" s="135" t="inlineStr">
        <is>
          <t>-</t>
        </is>
      </c>
    </row>
    <row r="32">
      <c r="A32" s="8" t="inlineStr">
        <is>
          <t>지마켓</t>
        </is>
      </c>
      <c r="B32" s="9" t="inlineStr">
        <is>
          <t>농산물</t>
        </is>
      </c>
      <c r="C32" s="8" t="inlineStr">
        <is>
          <t>청정태안식품</t>
        </is>
      </c>
      <c r="D32" s="134" t="inlineStr">
        <is>
          <t>316-01-24597</t>
        </is>
      </c>
      <c r="E32" s="8" t="inlineStr">
        <is>
          <t>마싯구마 아이스 군고구마 1kg(정량형/6-8봉지)</t>
        </is>
      </c>
      <c r="F32" s="135" t="inlineStr">
        <is>
          <t>-</t>
        </is>
      </c>
      <c r="G32" s="135" t="inlineStr">
        <is>
          <t>-</t>
        </is>
      </c>
      <c r="H32" s="135" t="inlineStr">
        <is>
          <t>-</t>
        </is>
      </c>
    </row>
    <row r="33">
      <c r="A33" s="8" t="inlineStr">
        <is>
          <t>지마켓</t>
        </is>
      </c>
      <c r="B33" s="9" t="inlineStr">
        <is>
          <t>농산물</t>
        </is>
      </c>
      <c r="C33" s="8" t="inlineStr">
        <is>
          <t>청정태안식품</t>
        </is>
      </c>
      <c r="D33" s="134" t="inlineStr">
        <is>
          <t>316-01-24597</t>
        </is>
      </c>
      <c r="E33" s="8" t="inlineStr">
        <is>
          <t>마싯구마 아이스 군고구마 낱팩골라담기</t>
        </is>
      </c>
      <c r="F33" s="135" t="inlineStr">
        <is>
          <t>-</t>
        </is>
      </c>
      <c r="G33" s="135" t="inlineStr">
        <is>
          <t>-</t>
        </is>
      </c>
      <c r="H33" s="135" t="inlineStr">
        <is>
          <t>-</t>
        </is>
      </c>
    </row>
    <row r="34">
      <c r="A34" s="8" t="inlineStr">
        <is>
          <t>지마켓</t>
        </is>
      </c>
      <c r="B34" s="9" t="inlineStr">
        <is>
          <t>농산물</t>
        </is>
      </c>
      <c r="C34" s="8" t="inlineStr">
        <is>
          <t>청정태안식품</t>
        </is>
      </c>
      <c r="D34" s="134" t="inlineStr">
        <is>
          <t>316-01-24597</t>
        </is>
      </c>
      <c r="E34" s="8" t="inlineStr">
        <is>
          <t>마싯구마 누드한입군고구마 1봉지</t>
        </is>
      </c>
      <c r="F34" s="135" t="inlineStr">
        <is>
          <t>-</t>
        </is>
      </c>
      <c r="G34" s="135" t="inlineStr">
        <is>
          <t>-</t>
        </is>
      </c>
      <c r="H34" s="135" t="inlineStr">
        <is>
          <t>-</t>
        </is>
      </c>
    </row>
    <row r="35">
      <c r="A35" s="8" t="inlineStr">
        <is>
          <t>지마켓</t>
        </is>
      </c>
      <c r="B35" s="9" t="inlineStr">
        <is>
          <t>가공식품</t>
        </is>
      </c>
      <c r="C35" s="8" t="inlineStr">
        <is>
          <t>청정태안식품</t>
        </is>
      </c>
      <c r="D35" s="134" t="inlineStr">
        <is>
          <t>316-01-24597</t>
        </is>
      </c>
      <c r="E35" s="8" t="inlineStr">
        <is>
          <t>김명월 검정콩 청국장가루 1kg(500g2통)</t>
        </is>
      </c>
      <c r="F35" s="135" t="n">
        <v>6</v>
      </c>
      <c r="G35" s="135" t="n">
        <v>222000</v>
      </c>
      <c r="H35" s="135" t="n">
        <v>22200</v>
      </c>
    </row>
    <row r="36">
      <c r="A36" s="8" t="inlineStr">
        <is>
          <t>지마켓</t>
        </is>
      </c>
      <c r="B36" s="9" t="inlineStr">
        <is>
          <t>가공식품</t>
        </is>
      </c>
      <c r="C36" s="8" t="inlineStr">
        <is>
          <t>청정태안식품</t>
        </is>
      </c>
      <c r="D36" s="134" t="inlineStr">
        <is>
          <t>316-01-24597</t>
        </is>
      </c>
      <c r="E36" s="8" t="inlineStr">
        <is>
          <t>김명월 검정콩 청국장가루 1kg(500g2통)</t>
        </is>
      </c>
      <c r="F36" s="135" t="n">
        <v>7</v>
      </c>
      <c r="G36" s="135" t="n">
        <v>259000</v>
      </c>
      <c r="H36" s="135" t="n">
        <v>22200</v>
      </c>
    </row>
    <row r="37">
      <c r="A37" s="8" t="inlineStr">
        <is>
          <t>지마켓</t>
        </is>
      </c>
      <c r="B37" s="9" t="inlineStr">
        <is>
          <t>가공식품</t>
        </is>
      </c>
      <c r="C37" s="8" t="inlineStr">
        <is>
          <t>청정태안식품</t>
        </is>
      </c>
      <c r="D37" s="134" t="inlineStr">
        <is>
          <t>316-01-24597</t>
        </is>
      </c>
      <c r="E37" s="8" t="inlineStr">
        <is>
          <t>김명월 흰콩 청국장가루 1kg(500g2통)</t>
        </is>
      </c>
      <c r="F37" s="135" t="n">
        <v>4</v>
      </c>
      <c r="G37" s="135" t="n">
        <v>120000</v>
      </c>
      <c r="H37" s="135" t="n">
        <v>12000</v>
      </c>
    </row>
    <row r="38">
      <c r="A38" s="8" t="inlineStr">
        <is>
          <t>지마켓</t>
        </is>
      </c>
      <c r="B38" s="9" t="inlineStr">
        <is>
          <t>가공식품</t>
        </is>
      </c>
      <c r="C38" s="8" t="inlineStr">
        <is>
          <t>청정태안식품</t>
        </is>
      </c>
      <c r="D38" s="134" t="inlineStr">
        <is>
          <t>316-01-24597</t>
        </is>
      </c>
      <c r="E38" s="8" t="inlineStr">
        <is>
          <t>김명월 청국장가루 SET(흰콩 500g+검정콩 500g)</t>
        </is>
      </c>
      <c r="F38" s="135" t="n">
        <v>6</v>
      </c>
      <c r="G38" s="135" t="n">
        <v>192000</v>
      </c>
      <c r="H38" s="135" t="n">
        <v>19200</v>
      </c>
    </row>
    <row r="39">
      <c r="A39" s="8" t="inlineStr">
        <is>
          <t>지마켓</t>
        </is>
      </c>
      <c r="B39" s="9" t="inlineStr">
        <is>
          <t>가공식품</t>
        </is>
      </c>
      <c r="C39" s="8" t="inlineStr">
        <is>
          <t>(주)우영채널</t>
        </is>
      </c>
      <c r="D39" s="134" t="inlineStr">
        <is>
          <t>114-86-65039</t>
        </is>
      </c>
      <c r="E39" s="8" t="inlineStr">
        <is>
          <t>(신선집중) 사대부 포기김치 10kg (국내산 100% 원재료 한국소비자만족브랜드 대상)</t>
        </is>
      </c>
      <c r="F39" s="135" t="n">
        <v>34</v>
      </c>
      <c r="G39" s="135" t="n">
        <v>1469400</v>
      </c>
      <c r="H39" s="135" t="n">
        <v>16680</v>
      </c>
    </row>
    <row r="40">
      <c r="A40" s="8" t="inlineStr">
        <is>
          <t>지마켓</t>
        </is>
      </c>
      <c r="B40" s="9" t="inlineStr">
        <is>
          <t>농산물</t>
        </is>
      </c>
      <c r="C40" s="8" t="inlineStr">
        <is>
          <t>주식회사 율림에프앤비 농업회사법인</t>
        </is>
      </c>
      <c r="D40" s="134" t="inlineStr">
        <is>
          <t>613-81-38510</t>
        </is>
      </c>
      <c r="E40" s="8" t="inlineStr">
        <is>
          <t>국내산 밤 100% 알토리 맛밤 50g10봉 햇밤 찐밤 무첨가 간식 100% 무첨가 건강 간식</t>
        </is>
      </c>
      <c r="F40" s="135" t="n">
        <v>2197</v>
      </c>
      <c r="G40" s="135" t="n">
        <v>50970400</v>
      </c>
      <c r="H40" s="135" t="n">
        <v>4673920</v>
      </c>
    </row>
    <row r="41">
      <c r="A41" s="8" t="inlineStr">
        <is>
          <t>지마켓</t>
        </is>
      </c>
      <c r="B41" s="9" t="inlineStr">
        <is>
          <t>농산물</t>
        </is>
      </c>
      <c r="C41" s="8" t="inlineStr">
        <is>
          <t>농업회사법인 (주) 살레농수산</t>
        </is>
      </c>
      <c r="D41" s="134" t="inlineStr">
        <is>
          <t>477-86-03031</t>
        </is>
      </c>
      <c r="E41" s="8" t="inlineStr">
        <is>
          <t>백진주 쌀 4kg /25년산 햅쌀/오늘출발</t>
        </is>
      </c>
      <c r="F41" s="135" t="n">
        <v>22</v>
      </c>
      <c r="G41" s="135" t="n">
        <v>444400</v>
      </c>
      <c r="H41" s="135" t="inlineStr">
        <is>
          <t>-</t>
        </is>
      </c>
    </row>
    <row r="42">
      <c r="A42" s="8" t="inlineStr">
        <is>
          <t>지마켓</t>
        </is>
      </c>
      <c r="B42" s="9" t="inlineStr">
        <is>
          <t>농산물</t>
        </is>
      </c>
      <c r="C42" s="8" t="inlineStr">
        <is>
          <t>농업회사법인 (주) 살레농수산</t>
        </is>
      </c>
      <c r="D42" s="134" t="inlineStr">
        <is>
          <t>477-86-03031</t>
        </is>
      </c>
      <c r="E42" s="8" t="inlineStr">
        <is>
          <t>백진주 쌀 10kg /25년산 햅쌀/오늘출발</t>
        </is>
      </c>
      <c r="F42" s="135" t="n">
        <v>1505</v>
      </c>
      <c r="G42" s="135" t="n">
        <v>63783500</v>
      </c>
      <c r="H42" s="135" t="n">
        <v>4836400</v>
      </c>
    </row>
    <row r="43">
      <c r="A43" s="8" t="inlineStr">
        <is>
          <t>지마켓</t>
        </is>
      </c>
      <c r="B43" s="9" t="inlineStr">
        <is>
          <t>농산물</t>
        </is>
      </c>
      <c r="C43" s="8" t="inlineStr">
        <is>
          <t>농업회사법인 (주) 살레농수산</t>
        </is>
      </c>
      <c r="D43" s="134" t="inlineStr">
        <is>
          <t>477-86-03031</t>
        </is>
      </c>
      <c r="E43" s="8" t="inlineStr">
        <is>
          <t>백진주 쌀 20kg /25년산 햅쌀/오늘출발</t>
        </is>
      </c>
      <c r="F43" s="135" t="n">
        <v>8</v>
      </c>
      <c r="G43" s="135" t="n">
        <v>644000</v>
      </c>
      <c r="H43" s="135" t="inlineStr">
        <is>
          <t>-</t>
        </is>
      </c>
    </row>
    <row r="44">
      <c r="A44" s="8" t="inlineStr">
        <is>
          <t>지마켓</t>
        </is>
      </c>
      <c r="B44" s="9" t="inlineStr">
        <is>
          <t>농산물</t>
        </is>
      </c>
      <c r="C44" s="8" t="inlineStr">
        <is>
          <t>농업회사법인 (주) 살레농수산</t>
        </is>
      </c>
      <c r="D44" s="134" t="inlineStr">
        <is>
          <t>477-86-03031</t>
        </is>
      </c>
      <c r="E44" s="8" t="inlineStr">
        <is>
          <t>김포금쌀 하이아미 2kg 특등급 키 크는 기능성 쌀 /25년산 햅쌀/오늘출발</t>
        </is>
      </c>
      <c r="F44" s="135" t="n">
        <v>1</v>
      </c>
      <c r="G44" s="135" t="n">
        <v>12900</v>
      </c>
      <c r="H44" s="135" t="inlineStr">
        <is>
          <t>-</t>
        </is>
      </c>
    </row>
    <row r="45">
      <c r="A45" s="8" t="inlineStr">
        <is>
          <t>지마켓</t>
        </is>
      </c>
      <c r="B45" s="9" t="inlineStr">
        <is>
          <t>농산물</t>
        </is>
      </c>
      <c r="C45" s="8" t="inlineStr">
        <is>
          <t>농업회사법인 (주) 살레농수산</t>
        </is>
      </c>
      <c r="D45" s="134" t="inlineStr">
        <is>
          <t>477-86-03031</t>
        </is>
      </c>
      <c r="E45" s="8" t="inlineStr">
        <is>
          <t>김포금쌀 하이아미 5kg 특등급 키 크는 기능성 쌀 /25년산 햅쌀/오늘출발</t>
        </is>
      </c>
      <c r="F45" s="135" t="n">
        <v>8</v>
      </c>
      <c r="G45" s="135" t="n">
        <v>196400</v>
      </c>
      <c r="H45" s="135" t="inlineStr">
        <is>
          <t>-</t>
        </is>
      </c>
    </row>
    <row r="46">
      <c r="A46" s="8" t="inlineStr">
        <is>
          <t>지마켓</t>
        </is>
      </c>
      <c r="B46" s="9" t="inlineStr">
        <is>
          <t>농산물</t>
        </is>
      </c>
      <c r="C46" s="8" t="inlineStr">
        <is>
          <t>농업회사법인 (주) 살레농수산</t>
        </is>
      </c>
      <c r="D46" s="134" t="inlineStr">
        <is>
          <t>477-86-03031</t>
        </is>
      </c>
      <c r="E46" s="8" t="inlineStr">
        <is>
          <t>김포금쌀 하이아미 10kg 특등급 키 크는 기능성 쌀 /25년산 햅쌀/오늘출발</t>
        </is>
      </c>
      <c r="F46" s="135" t="n">
        <v>42</v>
      </c>
      <c r="G46" s="135" t="n">
        <v>1835600</v>
      </c>
      <c r="H46" s="135" t="inlineStr">
        <is>
          <t>-</t>
        </is>
      </c>
    </row>
    <row r="47">
      <c r="A47" s="8" t="inlineStr">
        <is>
          <t>지마켓</t>
        </is>
      </c>
      <c r="B47" s="9" t="inlineStr">
        <is>
          <t>농산물</t>
        </is>
      </c>
      <c r="C47" s="8" t="inlineStr">
        <is>
          <t>농업회사법인 (주) 살레농수산</t>
        </is>
      </c>
      <c r="D47" s="134" t="inlineStr">
        <is>
          <t>477-86-03031</t>
        </is>
      </c>
      <c r="E47" s="8" t="inlineStr">
        <is>
          <t>김포금쌀 하이아미 20kg 특등급 키 크는 기능성 쌀 /25년산 햅쌀/오늘출발</t>
        </is>
      </c>
      <c r="F47" s="135" t="n">
        <v>8</v>
      </c>
      <c r="G47" s="135" t="n">
        <v>676000</v>
      </c>
      <c r="H47" s="135" t="inlineStr">
        <is>
          <t>-</t>
        </is>
      </c>
    </row>
    <row r="48">
      <c r="A48" s="8" t="inlineStr">
        <is>
          <t>지마켓</t>
        </is>
      </c>
      <c r="B48" s="9" t="inlineStr">
        <is>
          <t>농산물</t>
        </is>
      </c>
      <c r="C48" s="8" t="inlineStr">
        <is>
          <t>농업회사법인 (주) 살레농수산</t>
        </is>
      </c>
      <c r="D48" s="134" t="inlineStr">
        <is>
          <t>477-86-03031</t>
        </is>
      </c>
      <c r="E48" s="8" t="inlineStr">
        <is>
          <t>고시히카리 쌀 4kg /25년 햅쌀/오늘출발</t>
        </is>
      </c>
      <c r="F48" s="135" t="n">
        <v>40</v>
      </c>
      <c r="G48" s="135" t="n">
        <v>869000</v>
      </c>
      <c r="H48" s="135" t="inlineStr">
        <is>
          <t>-</t>
        </is>
      </c>
    </row>
    <row r="49">
      <c r="A49" s="8" t="inlineStr">
        <is>
          <t>지마켓</t>
        </is>
      </c>
      <c r="B49" s="9" t="inlineStr">
        <is>
          <t>농산물</t>
        </is>
      </c>
      <c r="C49" s="8" t="inlineStr">
        <is>
          <t>농업회사법인 (주) 살레농수산</t>
        </is>
      </c>
      <c r="D49" s="134" t="inlineStr">
        <is>
          <t>477-86-03031</t>
        </is>
      </c>
      <c r="E49" s="8" t="inlineStr">
        <is>
          <t>고시히카리 쌀 10kg /25년 햅쌀/오늘출발</t>
        </is>
      </c>
      <c r="F49" s="135" t="n">
        <v>18</v>
      </c>
      <c r="G49" s="135" t="n">
        <v>823200</v>
      </c>
      <c r="H49" s="135" t="inlineStr">
        <is>
          <t>-</t>
        </is>
      </c>
    </row>
    <row r="50">
      <c r="A50" s="8" t="inlineStr">
        <is>
          <t>지마켓</t>
        </is>
      </c>
      <c r="B50" s="9" t="inlineStr">
        <is>
          <t>농산물</t>
        </is>
      </c>
      <c r="C50" s="8" t="inlineStr">
        <is>
          <t>농업회사법인 (주) 살레농수산</t>
        </is>
      </c>
      <c r="D50" s="134" t="inlineStr">
        <is>
          <t>477-86-03031</t>
        </is>
      </c>
      <c r="E50" s="8" t="inlineStr">
        <is>
          <t>고시히카리 쌀 20kg /25년 햅쌀/오늘출발</t>
        </is>
      </c>
      <c r="F50" s="135" t="n">
        <v>2</v>
      </c>
      <c r="G50" s="135" t="n">
        <v>174000</v>
      </c>
      <c r="H50" s="135" t="inlineStr">
        <is>
          <t>-</t>
        </is>
      </c>
    </row>
    <row r="51">
      <c r="A51" s="8" t="inlineStr">
        <is>
          <t>지마켓</t>
        </is>
      </c>
      <c r="B51" s="9" t="inlineStr">
        <is>
          <t>가공식품</t>
        </is>
      </c>
      <c r="C51" s="8" t="inlineStr">
        <is>
          <t>영농조합법인 팔공김치</t>
        </is>
      </c>
      <c r="D51" s="134" t="inlineStr">
        <is>
          <t>382-88-01160</t>
        </is>
      </c>
      <c r="E51" s="8" t="inlineStr">
        <is>
          <t>팔공산 명품김치 10kg</t>
        </is>
      </c>
      <c r="F51" s="135" t="n">
        <v>549</v>
      </c>
      <c r="G51" s="135" t="n">
        <v>28520800</v>
      </c>
      <c r="H51" s="135" t="n">
        <v>1570000</v>
      </c>
    </row>
    <row r="52">
      <c r="A52" s="8" t="inlineStr">
        <is>
          <t>지마켓</t>
        </is>
      </c>
      <c r="B52" s="9" t="inlineStr">
        <is>
          <t>가공식품</t>
        </is>
      </c>
      <c r="C52" s="8" t="inlineStr">
        <is>
          <t>영농조합법인 팔공김치</t>
        </is>
      </c>
      <c r="D52" s="134" t="inlineStr">
        <is>
          <t>382-88-01160</t>
        </is>
      </c>
      <c r="E52" s="8" t="inlineStr">
        <is>
          <t>팔공산 명품김치 5kg</t>
        </is>
      </c>
      <c r="F52" s="135" t="n">
        <v>146</v>
      </c>
      <c r="G52" s="135" t="n">
        <v>4569000</v>
      </c>
      <c r="H52" s="135" t="n">
        <v>6400</v>
      </c>
    </row>
    <row r="53">
      <c r="A53" s="8" t="inlineStr">
        <is>
          <t>지마켓</t>
        </is>
      </c>
      <c r="B53" s="9" t="inlineStr">
        <is>
          <t>가공식품</t>
        </is>
      </c>
      <c r="C53" s="8" t="inlineStr">
        <is>
          <t>영농조합법인 팔공김치</t>
        </is>
      </c>
      <c r="D53" s="134" t="inlineStr">
        <is>
          <t>382-88-01160</t>
        </is>
      </c>
      <c r="E53" s="8" t="inlineStr">
        <is>
          <t>팔공산 명품김치 3kg</t>
        </is>
      </c>
      <c r="F53" s="135" t="n">
        <v>27</v>
      </c>
      <c r="G53" s="135" t="n">
        <v>653400</v>
      </c>
      <c r="H53" s="135" t="n">
        <v>9680</v>
      </c>
    </row>
    <row r="54">
      <c r="A54" s="8" t="inlineStr">
        <is>
          <t>지마켓</t>
        </is>
      </c>
      <c r="B54" s="9" t="inlineStr">
        <is>
          <t>가공식품</t>
        </is>
      </c>
      <c r="C54" s="8" t="inlineStr">
        <is>
          <t>영농조합법인 팔공김치</t>
        </is>
      </c>
      <c r="D54" s="134" t="inlineStr">
        <is>
          <t>382-88-01160</t>
        </is>
      </c>
      <c r="E54" s="8" t="inlineStr">
        <is>
          <t>팔공 명품맛김치 10kg (한입김치)</t>
        </is>
      </c>
      <c r="F54" s="135" t="n">
        <v>52</v>
      </c>
      <c r="G54" s="135" t="n">
        <v>2272600</v>
      </c>
      <c r="H54" s="135" t="n">
        <v>25740</v>
      </c>
    </row>
    <row r="55">
      <c r="A55" s="8" t="inlineStr">
        <is>
          <t>지마켓</t>
        </is>
      </c>
      <c r="B55" s="9" t="inlineStr">
        <is>
          <t>가공식품</t>
        </is>
      </c>
      <c r="C55" s="8" t="inlineStr">
        <is>
          <t>영농조합법인 팔공김치</t>
        </is>
      </c>
      <c r="D55" s="134" t="inlineStr">
        <is>
          <t>382-88-01160</t>
        </is>
      </c>
      <c r="E55" s="8" t="inlineStr">
        <is>
          <t>팔공 명품맛김치 5kg (한입김치)</t>
        </is>
      </c>
      <c r="F55" s="135" t="n">
        <v>129</v>
      </c>
      <c r="G55" s="135" t="n">
        <v>3008700</v>
      </c>
      <c r="H55" s="135" t="n">
        <v>47300</v>
      </c>
    </row>
    <row r="56">
      <c r="A56" s="8" t="inlineStr">
        <is>
          <t>지마켓</t>
        </is>
      </c>
      <c r="B56" s="9" t="inlineStr">
        <is>
          <t>가공식품</t>
        </is>
      </c>
      <c r="C56" s="8" t="inlineStr">
        <is>
          <t>영농조합법인 팔공김치</t>
        </is>
      </c>
      <c r="D56" s="134" t="inlineStr">
        <is>
          <t>382-88-01160</t>
        </is>
      </c>
      <c r="E56" s="8" t="inlineStr">
        <is>
          <t>명품 맛김치 3kg</t>
        </is>
      </c>
      <c r="F56" s="135" t="n">
        <v>23</v>
      </c>
      <c r="G56" s="135" t="n">
        <v>420700</v>
      </c>
      <c r="H56" s="135" t="n">
        <v>8400</v>
      </c>
    </row>
    <row r="57">
      <c r="A57" s="8" t="inlineStr">
        <is>
          <t>지마켓</t>
        </is>
      </c>
      <c r="B57" s="9" t="inlineStr">
        <is>
          <t>가공식품</t>
        </is>
      </c>
      <c r="C57" s="8" t="inlineStr">
        <is>
          <t>영농조합법인 팔공김치</t>
        </is>
      </c>
      <c r="D57" s="134" t="inlineStr">
        <is>
          <t>382-88-01160</t>
        </is>
      </c>
      <c r="E57" s="8" t="inlineStr">
        <is>
          <t>팔공산 명품 불김치 10kg</t>
        </is>
      </c>
      <c r="F57" s="135" t="inlineStr">
        <is>
          <t>-</t>
        </is>
      </c>
      <c r="G57" s="135" t="inlineStr">
        <is>
          <t>-</t>
        </is>
      </c>
      <c r="H57" s="135" t="inlineStr">
        <is>
          <t>-</t>
        </is>
      </c>
    </row>
    <row r="58">
      <c r="A58" s="8" t="inlineStr">
        <is>
          <t>지마켓</t>
        </is>
      </c>
      <c r="B58" s="9" t="inlineStr">
        <is>
          <t>가공식품</t>
        </is>
      </c>
      <c r="C58" s="8" t="inlineStr">
        <is>
          <t>영농조합법인 팔공김치</t>
        </is>
      </c>
      <c r="D58" s="134" t="inlineStr">
        <is>
          <t>382-88-01160</t>
        </is>
      </c>
      <c r="E58" s="8" t="inlineStr">
        <is>
          <t>팔공산 명품 불김치 5kg</t>
        </is>
      </c>
      <c r="F58" s="135" t="n">
        <v>1</v>
      </c>
      <c r="G58" s="135" t="n">
        <v>35200</v>
      </c>
      <c r="H58" s="135" t="inlineStr">
        <is>
          <t>-</t>
        </is>
      </c>
    </row>
    <row r="59">
      <c r="A59" s="8" t="inlineStr">
        <is>
          <t>지마켓</t>
        </is>
      </c>
      <c r="B59" s="9" t="inlineStr">
        <is>
          <t>가공식품</t>
        </is>
      </c>
      <c r="C59" s="8" t="inlineStr">
        <is>
          <t>영농조합법인 팔공김치</t>
        </is>
      </c>
      <c r="D59" s="134" t="inlineStr">
        <is>
          <t>382-88-01160</t>
        </is>
      </c>
      <c r="E59" s="8" t="inlineStr">
        <is>
          <t>팔공산 명품 불김치 3kg</t>
        </is>
      </c>
      <c r="F59" s="135" t="n">
        <v>2</v>
      </c>
      <c r="G59" s="135" t="n">
        <v>52800</v>
      </c>
      <c r="H59" s="135" t="inlineStr">
        <is>
          <t>-</t>
        </is>
      </c>
    </row>
    <row r="60">
      <c r="A60" s="8" t="inlineStr">
        <is>
          <t>지마켓</t>
        </is>
      </c>
      <c r="B60" s="9" t="inlineStr">
        <is>
          <t>농산물</t>
        </is>
      </c>
      <c r="C60" s="8" t="inlineStr">
        <is>
          <t>당진시농협쌀조합공동사업법인</t>
        </is>
      </c>
      <c r="D60" s="134" t="inlineStr">
        <is>
          <t>733-81-01525</t>
        </is>
      </c>
      <c r="E60" s="8" t="inlineStr">
        <is>
          <t>출고당일도정 || 당진로얄삼광 특등급 쌀20kg 1개 2025년산 햅쌀 (서해대통 당진해나루)</t>
        </is>
      </c>
      <c r="F60" s="135" t="inlineStr">
        <is>
          <t>-</t>
        </is>
      </c>
      <c r="G60" s="135" t="inlineStr">
        <is>
          <t>-</t>
        </is>
      </c>
      <c r="H60" s="135" t="inlineStr">
        <is>
          <t>-</t>
        </is>
      </c>
    </row>
    <row r="61">
      <c r="A61" s="8" t="inlineStr">
        <is>
          <t>지마켓</t>
        </is>
      </c>
      <c r="B61" s="9" t="inlineStr">
        <is>
          <t>농산물</t>
        </is>
      </c>
      <c r="C61" s="8" t="inlineStr">
        <is>
          <t>당진시농협쌀조합공동사업법인</t>
        </is>
      </c>
      <c r="D61" s="134" t="inlineStr">
        <is>
          <t>733-81-01525</t>
        </is>
      </c>
      <c r="E61" s="8" t="inlineStr">
        <is>
          <t>출고당일도정 || 당진로얄삼광쌀 특등급 쌀20kg (10kg 2개) 2025년산 햅쌀 (서해대통 당진해나루)</t>
        </is>
      </c>
      <c r="F61" s="135" t="n">
        <v>19</v>
      </c>
      <c r="G61" s="135" t="n">
        <v>1420900</v>
      </c>
      <c r="H61" s="135" t="inlineStr">
        <is>
          <t>-</t>
        </is>
      </c>
    </row>
    <row r="62">
      <c r="A62" s="8" t="inlineStr">
        <is>
          <t>지마켓</t>
        </is>
      </c>
      <c r="B62" s="9" t="inlineStr">
        <is>
          <t>농산물</t>
        </is>
      </c>
      <c r="C62" s="8" t="inlineStr">
        <is>
          <t>당진시농협쌀조합공동사업법인</t>
        </is>
      </c>
      <c r="D62" s="134" t="inlineStr">
        <is>
          <t>733-81-01525</t>
        </is>
      </c>
      <c r="E62" s="8" t="inlineStr">
        <is>
          <t>출고당일도정 해풍맞고자란 당진해나루쌀 삼광미특등급 쌀20kg 2025년산 햅쌀 (당진시농협쌀조합)</t>
        </is>
      </c>
      <c r="F62" s="135" t="n">
        <v>61</v>
      </c>
      <c r="G62" s="135" t="n">
        <v>4613900</v>
      </c>
      <c r="H62" s="135" t="n">
        <v>30000</v>
      </c>
    </row>
    <row r="63">
      <c r="A63" s="8" t="inlineStr">
        <is>
          <t>지마켓</t>
        </is>
      </c>
      <c r="B63" s="9" t="inlineStr">
        <is>
          <t>농산물</t>
        </is>
      </c>
      <c r="C63" s="8" t="inlineStr">
        <is>
          <t>당진시농협쌀조합공동사업법인</t>
        </is>
      </c>
      <c r="D63" s="134" t="inlineStr">
        <is>
          <t>733-81-01525</t>
        </is>
      </c>
      <c r="E63" s="8" t="inlineStr">
        <is>
          <t>출고당일도정 해풍맞고자란 당진해나루쌀 삼광미특등급 쌀10kg 2025년산 햅쌀 (당진시농협쌀조합)</t>
        </is>
      </c>
      <c r="F63" s="135" t="n">
        <v>1103</v>
      </c>
      <c r="G63" s="135" t="n">
        <v>43956000</v>
      </c>
      <c r="H63" s="135" t="n">
        <v>3074000</v>
      </c>
    </row>
    <row r="64">
      <c r="A64" s="8" t="inlineStr">
        <is>
          <t>지마켓</t>
        </is>
      </c>
      <c r="B64" s="9" t="inlineStr">
        <is>
          <t>농산물</t>
        </is>
      </c>
      <c r="C64" s="8" t="inlineStr">
        <is>
          <t>당진시농협쌀조합공동사업법인</t>
        </is>
      </c>
      <c r="D64" s="134" t="inlineStr">
        <is>
          <t>733-81-01525</t>
        </is>
      </c>
      <c r="E64" s="8" t="inlineStr">
        <is>
          <t>출고당일도정 당진해나루 당찬진미 특등급 쌀10kg 2025년산 햅쌀 (당진시농협쌀조합)</t>
        </is>
      </c>
      <c r="F64" s="135" t="n">
        <v>16</v>
      </c>
      <c r="G64" s="135" t="n">
        <v>633000</v>
      </c>
      <c r="H64" s="135" t="n">
        <v>23820</v>
      </c>
    </row>
    <row r="65">
      <c r="A65" s="8" t="inlineStr">
        <is>
          <t>지마켓</t>
        </is>
      </c>
      <c r="B65" s="9" t="inlineStr">
        <is>
          <t>농산물</t>
        </is>
      </c>
      <c r="C65" s="8" t="inlineStr">
        <is>
          <t>당진시농협쌀조합공동사업법인</t>
        </is>
      </c>
      <c r="D65" s="134" t="inlineStr">
        <is>
          <t>733-81-01525</t>
        </is>
      </c>
      <c r="E65" s="8" t="inlineStr">
        <is>
          <t>출고당일도정 당진해나루 당찬진미 특등급 쌀10kg 2개 2025년산 햅쌀 (당진시농협쌀조합)</t>
        </is>
      </c>
      <c r="F65" s="135" t="n">
        <v>3</v>
      </c>
      <c r="G65" s="135" t="n">
        <v>223800</v>
      </c>
      <c r="H65" s="135" t="inlineStr">
        <is>
          <t>-</t>
        </is>
      </c>
    </row>
    <row r="66">
      <c r="A66" s="8" t="inlineStr">
        <is>
          <t>지마켓</t>
        </is>
      </c>
      <c r="B66" s="9" t="inlineStr">
        <is>
          <t>농산물</t>
        </is>
      </c>
      <c r="C66" s="8" t="inlineStr">
        <is>
          <t>당진시농협쌀조합공동사업법인</t>
        </is>
      </c>
      <c r="D66" s="134" t="inlineStr">
        <is>
          <t>733-81-01525</t>
        </is>
      </c>
      <c r="E66" s="8" t="inlineStr">
        <is>
          <t>당진해나루쌀 10kg x 2개 출고당일도정 삼광미특등급 2025년산 해풍맞고자란 햅쌀</t>
        </is>
      </c>
      <c r="F66" s="135" t="n">
        <v>394</v>
      </c>
      <c r="G66" s="135" t="n">
        <v>29981000</v>
      </c>
      <c r="H66" s="135" t="n">
        <v>1590000</v>
      </c>
    </row>
    <row r="67">
      <c r="A67" s="8" t="inlineStr">
        <is>
          <t>지마켓</t>
        </is>
      </c>
      <c r="B67" s="9" t="inlineStr">
        <is>
          <t>농산물</t>
        </is>
      </c>
      <c r="C67" s="8" t="inlineStr">
        <is>
          <t>당진시농협쌀조합공동사업법인</t>
        </is>
      </c>
      <c r="D67" s="134" t="inlineStr">
        <is>
          <t>733-81-01525</t>
        </is>
      </c>
      <c r="E67" s="8" t="inlineStr">
        <is>
          <t>출고당일도정 || 청풍명월 당진쌀 상등급 20kg 1개 ( 2025년산 햅쌀 서해대통 당진해나루)</t>
        </is>
      </c>
      <c r="F67" s="135" t="n">
        <v>6</v>
      </c>
      <c r="G67" s="135" t="n">
        <v>415000</v>
      </c>
      <c r="H67" s="135" t="inlineStr">
        <is>
          <t>-</t>
        </is>
      </c>
    </row>
    <row r="68">
      <c r="A68" s="8" t="inlineStr">
        <is>
          <t>지마켓</t>
        </is>
      </c>
      <c r="B68" s="9" t="inlineStr">
        <is>
          <t>농산물</t>
        </is>
      </c>
      <c r="C68" s="8" t="inlineStr">
        <is>
          <t>당진시농협쌀조합공동사업법인</t>
        </is>
      </c>
      <c r="D68" s="134" t="inlineStr">
        <is>
          <t>733-81-01525</t>
        </is>
      </c>
      <c r="E68" s="8" t="inlineStr">
        <is>
          <t>출고당일도정 || 청풍명월 당진쌀 상등급 20kg (10kg 2개) (2025년산 햅쌀 서해대통 당진해나루)</t>
        </is>
      </c>
      <c r="F68" s="135" t="n">
        <v>13</v>
      </c>
      <c r="G68" s="135" t="n">
        <v>892200</v>
      </c>
      <c r="H68" s="135" t="inlineStr">
        <is>
          <t>-</t>
        </is>
      </c>
    </row>
    <row r="69">
      <c r="A69" s="8" t="inlineStr">
        <is>
          <t>지마켓</t>
        </is>
      </c>
      <c r="B69" s="9" t="inlineStr">
        <is>
          <t>농산물</t>
        </is>
      </c>
      <c r="C69" s="8" t="inlineStr">
        <is>
          <t>당진시농협쌀조합공동사업법인</t>
        </is>
      </c>
      <c r="D69" s="134" t="inlineStr">
        <is>
          <t>733-81-01525</t>
        </is>
      </c>
      <c r="E69" s="8" t="inlineStr">
        <is>
          <t>출고당일도정 || 청풍명월 당진쌀 상등급 10kg 1개 ( 2025년산 햅쌀 서해대통 당진해나루)</t>
        </is>
      </c>
      <c r="F69" s="135" t="n">
        <v>45</v>
      </c>
      <c r="G69" s="135" t="n">
        <v>1663000</v>
      </c>
      <c r="H69" s="135" t="n">
        <v>148000</v>
      </c>
    </row>
    <row r="70">
      <c r="A70" s="8" t="inlineStr">
        <is>
          <t>지마켓</t>
        </is>
      </c>
      <c r="B70" s="9" t="inlineStr">
        <is>
          <t>농산물</t>
        </is>
      </c>
      <c r="C70" s="8" t="inlineStr">
        <is>
          <t>당진시농협쌀조합공동사업법인</t>
        </is>
      </c>
      <c r="D70" s="134" t="inlineStr">
        <is>
          <t>733-81-01525</t>
        </is>
      </c>
      <c r="E70" s="8" t="inlineStr">
        <is>
          <t>(서해대통) 당진해나루 현미 10kg (5kg 2개) 2025년 햅쌀 / 출고당일도정</t>
        </is>
      </c>
      <c r="F70" s="135" t="inlineStr">
        <is>
          <t>-</t>
        </is>
      </c>
      <c r="G70" s="135" t="inlineStr">
        <is>
          <t>-</t>
        </is>
      </c>
      <c r="H70" s="135" t="inlineStr">
        <is>
          <t>-</t>
        </is>
      </c>
    </row>
    <row r="71">
      <c r="A71" s="8" t="inlineStr">
        <is>
          <t>지마켓</t>
        </is>
      </c>
      <c r="B71" s="9" t="inlineStr">
        <is>
          <t>농산물</t>
        </is>
      </c>
      <c r="C71" s="8" t="inlineStr">
        <is>
          <t>당진시농협쌀조합공동사업법인</t>
        </is>
      </c>
      <c r="D71" s="134" t="inlineStr">
        <is>
          <t>733-81-01525</t>
        </is>
      </c>
      <c r="E71" s="8" t="inlineStr">
        <is>
          <t>서해대통 당진쌀 당진 친들미 20kg 25년산 (출고당일도정)</t>
        </is>
      </c>
      <c r="F71" s="135" t="n">
        <v>20</v>
      </c>
      <c r="G71" s="135" t="n">
        <v>1420000</v>
      </c>
      <c r="H71" s="135" t="n">
        <v>90000</v>
      </c>
    </row>
    <row r="72">
      <c r="A72" s="8" t="inlineStr">
        <is>
          <t>지마켓</t>
        </is>
      </c>
      <c r="B72" s="9" t="inlineStr">
        <is>
          <t>농산물</t>
        </is>
      </c>
      <c r="C72" s="8" t="inlineStr">
        <is>
          <t>당진시농협쌀조합공동사업법인</t>
        </is>
      </c>
      <c r="D72" s="134" t="inlineStr">
        <is>
          <t>733-81-01525</t>
        </is>
      </c>
      <c r="E72" s="8" t="inlineStr">
        <is>
          <t>맛이슈 당진쌀 20kg 2025년 햅쌀 (당진해나루 / 출고당일도정)</t>
        </is>
      </c>
      <c r="F72" s="135" t="n">
        <v>9</v>
      </c>
      <c r="G72" s="135" t="n">
        <v>619200</v>
      </c>
      <c r="H72" s="135" t="n">
        <v>10000</v>
      </c>
    </row>
    <row r="73">
      <c r="A73" s="8" t="inlineStr">
        <is>
          <t>지마켓</t>
        </is>
      </c>
      <c r="B73" s="9" t="inlineStr">
        <is>
          <t>농산물</t>
        </is>
      </c>
      <c r="C73" s="8" t="inlineStr">
        <is>
          <t>철원봉학미곡처리장</t>
        </is>
      </c>
      <c r="D73" s="134" t="inlineStr">
        <is>
          <t>127-42-46728</t>
        </is>
      </c>
      <c r="E73" s="8" t="inlineStr">
        <is>
          <t>(산지직송) 철원오대쌀 20kg (100% 오대미 상등급) (10kg 2개) 출고당일도정 2025년산 햅쌀</t>
        </is>
      </c>
      <c r="F73" s="135" t="n">
        <v>10</v>
      </c>
      <c r="G73" s="135" t="n">
        <v>885000</v>
      </c>
      <c r="H73" s="135" t="n">
        <v>30000</v>
      </c>
    </row>
    <row r="74">
      <c r="A74" s="8" t="inlineStr">
        <is>
          <t>지마켓</t>
        </is>
      </c>
      <c r="B74" s="9" t="inlineStr">
        <is>
          <t>농산물</t>
        </is>
      </c>
      <c r="C74" s="8" t="inlineStr">
        <is>
          <t>철원봉학미곡처리장</t>
        </is>
      </c>
      <c r="D74" s="134" t="inlineStr">
        <is>
          <t>127-42-46728</t>
        </is>
      </c>
      <c r="E74" s="8" t="inlineStr">
        <is>
          <t>(산지직송) 철원오대쌀 4kg (100% 오대미 상등급) 출고당일도정 2025년산 햅쌀</t>
        </is>
      </c>
      <c r="F74" s="135" t="inlineStr">
        <is>
          <t>-</t>
        </is>
      </c>
      <c r="G74" s="135" t="inlineStr">
        <is>
          <t>-</t>
        </is>
      </c>
      <c r="H74" s="135" t="inlineStr">
        <is>
          <t>-</t>
        </is>
      </c>
    </row>
    <row r="75">
      <c r="A75" s="8" t="inlineStr">
        <is>
          <t>지마켓</t>
        </is>
      </c>
      <c r="B75" s="9" t="inlineStr">
        <is>
          <t>농산물</t>
        </is>
      </c>
      <c r="C75" s="8" t="inlineStr">
        <is>
          <t>철원봉학미곡처리장</t>
        </is>
      </c>
      <c r="D75" s="134" t="inlineStr">
        <is>
          <t>127-42-46728</t>
        </is>
      </c>
      <c r="E75" s="8" t="inlineStr">
        <is>
          <t>( 출고당일도정 ) 철원오대쌀 10kg 1개 골드 2025년산 햅쌀</t>
        </is>
      </c>
      <c r="F75" s="135" t="n">
        <v>7</v>
      </c>
      <c r="G75" s="135" t="n">
        <v>320200</v>
      </c>
      <c r="H75" s="135" t="n">
        <v>18080</v>
      </c>
    </row>
    <row r="76">
      <c r="A76" s="8" t="inlineStr">
        <is>
          <t>지마켓</t>
        </is>
      </c>
      <c r="B76" s="9" t="inlineStr">
        <is>
          <t>농산물</t>
        </is>
      </c>
      <c r="C76" s="8" t="inlineStr">
        <is>
          <t>철원봉학미곡처리장</t>
        </is>
      </c>
      <c r="D76" s="134" t="inlineStr">
        <is>
          <t>127-42-46728</t>
        </is>
      </c>
      <c r="E76" s="8" t="inlineStr">
        <is>
          <t>( 출고당일도정 ) 철원오대쌀 10kg 2개 골드 2025년산 햅쌀</t>
        </is>
      </c>
      <c r="F76" s="135" t="inlineStr">
        <is>
          <t>-</t>
        </is>
      </c>
      <c r="G76" s="135" t="inlineStr">
        <is>
          <t>-</t>
        </is>
      </c>
      <c r="H76" s="135" t="inlineStr">
        <is>
          <t>-</t>
        </is>
      </c>
    </row>
    <row r="77">
      <c r="A77" s="8" t="inlineStr">
        <is>
          <t>지마켓</t>
        </is>
      </c>
      <c r="B77" s="9" t="inlineStr">
        <is>
          <t>농산물</t>
        </is>
      </c>
      <c r="C77" s="8" t="inlineStr">
        <is>
          <t>철원봉학미곡처리장</t>
        </is>
      </c>
      <c r="D77" s="134" t="inlineStr">
        <is>
          <t>127-42-46728</t>
        </is>
      </c>
      <c r="E77" s="8" t="inlineStr">
        <is>
          <t>철원향미 찹쌀 4kg (철원오대쌀이 자라는 철원평야) 출고당일도정 2025년산 햅쌀</t>
        </is>
      </c>
      <c r="F77" s="135" t="inlineStr">
        <is>
          <t>-</t>
        </is>
      </c>
      <c r="G77" s="135" t="inlineStr">
        <is>
          <t>-</t>
        </is>
      </c>
      <c r="H77" s="135" t="inlineStr">
        <is>
          <t>-</t>
        </is>
      </c>
    </row>
    <row r="78">
      <c r="A78" s="8" t="inlineStr">
        <is>
          <t>지마켓</t>
        </is>
      </c>
      <c r="B78" s="9" t="inlineStr">
        <is>
          <t>농산물</t>
        </is>
      </c>
      <c r="C78" s="8" t="inlineStr">
        <is>
          <t>철원봉학미곡처리장</t>
        </is>
      </c>
      <c r="D78" s="134" t="inlineStr">
        <is>
          <t>127-42-46728</t>
        </is>
      </c>
      <c r="E78" s="8" t="inlineStr">
        <is>
          <t>찹쌀 철원향미 10kg (철원오대쌀이 자라는 철원평야) 출고당일도정 2025년산 햅쌀</t>
        </is>
      </c>
      <c r="F78" s="135" t="n">
        <v>4</v>
      </c>
      <c r="G78" s="135" t="n">
        <v>219900</v>
      </c>
      <c r="H78" s="135" t="inlineStr">
        <is>
          <t>-</t>
        </is>
      </c>
    </row>
    <row r="79">
      <c r="A79" s="8" t="inlineStr">
        <is>
          <t>지마켓</t>
        </is>
      </c>
      <c r="B79" s="9" t="inlineStr">
        <is>
          <t>농산물</t>
        </is>
      </c>
      <c r="C79" s="8" t="inlineStr">
        <is>
          <t>철원봉학미곡처리장</t>
        </is>
      </c>
      <c r="D79" s="134" t="inlineStr">
        <is>
          <t>127-42-46728</t>
        </is>
      </c>
      <c r="E79" s="8" t="inlineStr">
        <is>
          <t>( 출고당일도정 ) 철원오대쌀골드 10kg 2개 상등급 2025년산 햅쌀</t>
        </is>
      </c>
      <c r="F79" s="135" t="inlineStr">
        <is>
          <t>-</t>
        </is>
      </c>
      <c r="G79" s="135" t="inlineStr">
        <is>
          <t>-</t>
        </is>
      </c>
      <c r="H79" s="135" t="inlineStr">
        <is>
          <t>-</t>
        </is>
      </c>
    </row>
    <row r="80">
      <c r="A80" s="8" t="inlineStr">
        <is>
          <t>지마켓</t>
        </is>
      </c>
      <c r="B80" s="9" t="inlineStr">
        <is>
          <t>농산물</t>
        </is>
      </c>
      <c r="C80" s="8" t="inlineStr">
        <is>
          <t>철원봉학미곡처리장</t>
        </is>
      </c>
      <c r="D80" s="134" t="inlineStr">
        <is>
          <t>127-42-46728</t>
        </is>
      </c>
      <c r="E80" s="8" t="inlineStr">
        <is>
          <t>두루미쌀 10kg 상등급 2025년산 (출고당일도정)</t>
        </is>
      </c>
      <c r="F80" s="135" t="n">
        <v>7</v>
      </c>
      <c r="G80" s="135" t="n">
        <v>263200</v>
      </c>
      <c r="H80" s="135" t="n">
        <v>22560</v>
      </c>
    </row>
    <row r="81">
      <c r="A81" s="8" t="inlineStr">
        <is>
          <t>지마켓</t>
        </is>
      </c>
      <c r="B81" s="9" t="inlineStr">
        <is>
          <t>농산물</t>
        </is>
      </c>
      <c r="C81" s="8" t="inlineStr">
        <is>
          <t>철원봉학미곡처리장</t>
        </is>
      </c>
      <c r="D81" s="134" t="inlineStr">
        <is>
          <t>127-42-46728</t>
        </is>
      </c>
      <c r="E81" s="8" t="inlineStr">
        <is>
          <t>두루미쌀 20kg(10kg 2개) 상등급 2025년산 (출고당일도정)</t>
        </is>
      </c>
      <c r="F81" s="135" t="n">
        <v>288</v>
      </c>
      <c r="G81" s="135" t="n">
        <v>20572000</v>
      </c>
      <c r="H81" s="135" t="n">
        <v>1420000</v>
      </c>
    </row>
    <row r="82">
      <c r="A82" s="8" t="inlineStr">
        <is>
          <t>지마켓</t>
        </is>
      </c>
      <c r="B82" s="9" t="inlineStr">
        <is>
          <t>농산물</t>
        </is>
      </c>
      <c r="C82" s="8" t="inlineStr">
        <is>
          <t>옥과농원</t>
        </is>
      </c>
      <c r="D82" s="134" t="inlineStr">
        <is>
          <t>408-91-76416</t>
        </is>
      </c>
      <c r="E82" s="8" t="inlineStr">
        <is>
          <t>곡성 친환경 참송이버섯 500g (농장직송)</t>
        </is>
      </c>
      <c r="F82" s="135" t="n">
        <v>2032</v>
      </c>
      <c r="G82" s="135" t="n">
        <v>36648720</v>
      </c>
      <c r="H82" s="135" t="n">
        <v>3377180</v>
      </c>
    </row>
    <row r="83">
      <c r="A83" s="8" t="inlineStr">
        <is>
          <t>지마켓</t>
        </is>
      </c>
      <c r="B83" s="9" t="inlineStr">
        <is>
          <t>농산물</t>
        </is>
      </c>
      <c r="C83" s="8" t="inlineStr">
        <is>
          <t>옥과농원</t>
        </is>
      </c>
      <c r="D83" s="134" t="inlineStr">
        <is>
          <t>408-91-76416</t>
        </is>
      </c>
      <c r="E83" s="8" t="inlineStr">
        <is>
          <t>곡성 친환경 참송이버섯 500g (농장직송)</t>
        </is>
      </c>
      <c r="F83" s="135" t="n">
        <v>21</v>
      </c>
      <c r="G83" s="135" t="n">
        <v>393040</v>
      </c>
      <c r="H83" s="135" t="n">
        <v>10060</v>
      </c>
    </row>
    <row r="84">
      <c r="A84" s="8" t="inlineStr">
        <is>
          <t>지마켓</t>
        </is>
      </c>
      <c r="B84" s="9" t="inlineStr">
        <is>
          <t>농산물</t>
        </is>
      </c>
      <c r="C84" s="8" t="inlineStr">
        <is>
          <t>옥과농원</t>
        </is>
      </c>
      <c r="D84" s="134" t="inlineStr">
        <is>
          <t>408-91-76416</t>
        </is>
      </c>
      <c r="E84" s="8" t="inlineStr">
        <is>
          <t>곡성 친환경 참송이버섯 선물용 / 선물세트 (고급이끼포장)</t>
        </is>
      </c>
      <c r="F84" s="135" t="inlineStr">
        <is>
          <t>-</t>
        </is>
      </c>
      <c r="G84" s="135" t="inlineStr">
        <is>
          <t>-</t>
        </is>
      </c>
      <c r="H84" s="135" t="inlineStr">
        <is>
          <t>-</t>
        </is>
      </c>
    </row>
    <row r="85">
      <c r="A85" s="8" t="inlineStr">
        <is>
          <t>지마켓</t>
        </is>
      </c>
      <c r="B85" s="9" t="inlineStr">
        <is>
          <t>농산물</t>
        </is>
      </c>
      <c r="C85" s="8" t="inlineStr">
        <is>
          <t>형지표고버섯</t>
        </is>
      </c>
      <c r="D85" s="134" t="inlineStr">
        <is>
          <t>290-94-00335</t>
        </is>
      </c>
      <c r="E85" s="8" t="inlineStr">
        <is>
          <t>(20%+7%) 국산 참나무 표고버섯 원목 표고 슬라이스 200g</t>
        </is>
      </c>
      <c r="F85" s="135" t="n">
        <v>130</v>
      </c>
      <c r="G85" s="135" t="n">
        <v>2256800</v>
      </c>
      <c r="H85" s="135" t="n">
        <v>152680</v>
      </c>
    </row>
    <row r="86">
      <c r="A86" s="8" t="inlineStr">
        <is>
          <t>지마켓</t>
        </is>
      </c>
      <c r="B86" s="9" t="inlineStr">
        <is>
          <t>가공식품</t>
        </is>
      </c>
      <c r="C86" s="8" t="inlineStr">
        <is>
          <t>형지표고버섯</t>
        </is>
      </c>
      <c r="D86" s="134" t="inlineStr">
        <is>
          <t>290-94-00335</t>
        </is>
      </c>
      <c r="E86" s="8" t="inlineStr">
        <is>
          <t>참나무 원목 표고버섯 가루 300g 천연조미료</t>
        </is>
      </c>
      <c r="F86" s="135" t="n">
        <v>19</v>
      </c>
      <c r="G86" s="135" t="n">
        <v>452200</v>
      </c>
      <c r="H86" s="135" t="n">
        <v>38080</v>
      </c>
    </row>
    <row r="87">
      <c r="A87" s="8" t="inlineStr">
        <is>
          <t>지마켓</t>
        </is>
      </c>
      <c r="B87" s="9" t="inlineStr">
        <is>
          <t>가공식품</t>
        </is>
      </c>
      <c r="C87" s="8" t="inlineStr">
        <is>
          <t>형지표고버섯</t>
        </is>
      </c>
      <c r="D87" s="134" t="inlineStr">
        <is>
          <t>290-94-00335</t>
        </is>
      </c>
      <c r="E87" s="8" t="inlineStr">
        <is>
          <t>국산 참나무 천연조미료 표고버섯가루 140g</t>
        </is>
      </c>
      <c r="F87" s="135" t="n">
        <v>2</v>
      </c>
      <c r="G87" s="135" t="n">
        <v>31600</v>
      </c>
      <c r="H87" s="135" t="n">
        <v>3160</v>
      </c>
    </row>
    <row r="88">
      <c r="A88" s="8" t="inlineStr">
        <is>
          <t>지마켓</t>
        </is>
      </c>
      <c r="B88" s="9" t="inlineStr">
        <is>
          <t>농산물</t>
        </is>
      </c>
      <c r="C88" s="8" t="inlineStr">
        <is>
          <t>형지표고버섯</t>
        </is>
      </c>
      <c r="D88" s="134" t="inlineStr">
        <is>
          <t>290-94-00335</t>
        </is>
      </c>
      <c r="E88" s="8" t="inlineStr">
        <is>
          <t>참나무 건표고버섯 다용도 국물육수용 요리용 500g</t>
        </is>
      </c>
      <c r="F88" s="135" t="n">
        <v>26</v>
      </c>
      <c r="G88" s="135" t="n">
        <v>829660</v>
      </c>
      <c r="H88" s="135" t="n">
        <v>63800</v>
      </c>
    </row>
    <row r="89">
      <c r="A89" s="8" t="inlineStr">
        <is>
          <t>지마켓</t>
        </is>
      </c>
      <c r="B89" s="9" t="inlineStr">
        <is>
          <t>농산물</t>
        </is>
      </c>
      <c r="C89" s="8" t="inlineStr">
        <is>
          <t>형지표고버섯</t>
        </is>
      </c>
      <c r="D89" s="134" t="inlineStr">
        <is>
          <t>290-94-00335</t>
        </is>
      </c>
      <c r="E89" s="8" t="inlineStr">
        <is>
          <t>국산 참나무 건표고버섯 표고사각(칩) 150g</t>
        </is>
      </c>
      <c r="F89" s="135" t="inlineStr">
        <is>
          <t>-</t>
        </is>
      </c>
      <c r="G89" s="135" t="inlineStr">
        <is>
          <t>-</t>
        </is>
      </c>
      <c r="H89" s="135" t="inlineStr">
        <is>
          <t>-</t>
        </is>
      </c>
    </row>
    <row r="90">
      <c r="A90" s="8" t="inlineStr">
        <is>
          <t>지마켓</t>
        </is>
      </c>
      <c r="B90" s="9" t="inlineStr">
        <is>
          <t>농산물</t>
        </is>
      </c>
      <c r="C90" s="8" t="inlineStr">
        <is>
          <t>형지표고버섯</t>
        </is>
      </c>
      <c r="D90" s="134" t="inlineStr">
        <is>
          <t>290-94-00335</t>
        </is>
      </c>
      <c r="E90" s="8" t="inlineStr">
        <is>
          <t>국내산 상황버섯 150g</t>
        </is>
      </c>
      <c r="F90" s="135" t="n">
        <v>30</v>
      </c>
      <c r="G90" s="135" t="n">
        <v>954300</v>
      </c>
      <c r="H90" s="135" t="n">
        <v>48160</v>
      </c>
    </row>
    <row r="91">
      <c r="A91" s="8" t="inlineStr">
        <is>
          <t>지마켓</t>
        </is>
      </c>
      <c r="B91" s="9" t="inlineStr">
        <is>
          <t>농산물</t>
        </is>
      </c>
      <c r="C91" s="8" t="inlineStr">
        <is>
          <t>형지표고버섯</t>
        </is>
      </c>
      <c r="D91" s="134" t="inlineStr">
        <is>
          <t>290-94-00335</t>
        </is>
      </c>
      <c r="E91" s="8" t="inlineStr">
        <is>
          <t>국산 장수 상황버섯 슬라이스 100g</t>
        </is>
      </c>
      <c r="F91" s="135" t="n">
        <v>19</v>
      </c>
      <c r="G91" s="135" t="n">
        <v>566200</v>
      </c>
      <c r="H91" s="135" t="n">
        <v>43840</v>
      </c>
    </row>
    <row r="92">
      <c r="A92" s="8" t="inlineStr">
        <is>
          <t>지마켓</t>
        </is>
      </c>
      <c r="B92" s="9" t="inlineStr">
        <is>
          <t>농산물</t>
        </is>
      </c>
      <c r="C92" s="8" t="inlineStr">
        <is>
          <t>형지표고버섯</t>
        </is>
      </c>
      <c r="D92" s="134" t="inlineStr">
        <is>
          <t>290-94-00335</t>
        </is>
      </c>
      <c r="E92" s="8" t="inlineStr">
        <is>
          <t>국산 장수 상황버섯 칩 50g</t>
        </is>
      </c>
      <c r="F92" s="135" t="n">
        <v>18</v>
      </c>
      <c r="G92" s="135" t="n">
        <v>333000</v>
      </c>
      <c r="H92" s="135" t="n">
        <v>29600</v>
      </c>
    </row>
    <row r="93">
      <c r="A93" s="8" t="inlineStr">
        <is>
          <t>지마켓</t>
        </is>
      </c>
      <c r="B93" s="9" t="inlineStr">
        <is>
          <t>농산물</t>
        </is>
      </c>
      <c r="C93" s="8" t="inlineStr">
        <is>
          <t>형지표고버섯</t>
        </is>
      </c>
      <c r="D93" s="134" t="inlineStr">
        <is>
          <t>290-94-00335</t>
        </is>
      </c>
      <c r="E93" s="8" t="inlineStr">
        <is>
          <t>국내산 영지버섯 절편 슬라이스 500g</t>
        </is>
      </c>
      <c r="F93" s="135" t="n">
        <v>21</v>
      </c>
      <c r="G93" s="135" t="n">
        <v>919800</v>
      </c>
      <c r="H93" s="135" t="n">
        <v>61320</v>
      </c>
    </row>
    <row r="94">
      <c r="A94" s="8" t="inlineStr">
        <is>
          <t>지마켓</t>
        </is>
      </c>
      <c r="B94" s="9" t="inlineStr">
        <is>
          <t>농산물</t>
        </is>
      </c>
      <c r="C94" s="8" t="inlineStr">
        <is>
          <t>형지표고버섯</t>
        </is>
      </c>
      <c r="D94" s="134" t="inlineStr">
        <is>
          <t>290-94-00335</t>
        </is>
      </c>
      <c r="E94" s="8" t="inlineStr">
        <is>
          <t>국산 영지버섯 절편 슬라이스 200g</t>
        </is>
      </c>
      <c r="F94" s="135" t="n">
        <v>10</v>
      </c>
      <c r="G94" s="135" t="n">
        <v>239000</v>
      </c>
      <c r="H94" s="135" t="n">
        <v>23900</v>
      </c>
    </row>
    <row r="95">
      <c r="A95" s="8" t="inlineStr">
        <is>
          <t>지마켓</t>
        </is>
      </c>
      <c r="B95" s="9" t="inlineStr">
        <is>
          <t>농산물</t>
        </is>
      </c>
      <c r="C95" s="8" t="inlineStr">
        <is>
          <t>형지표고버섯</t>
        </is>
      </c>
      <c r="D95" s="134" t="inlineStr">
        <is>
          <t>290-94-00335</t>
        </is>
      </c>
      <c r="E95" s="8" t="inlineStr">
        <is>
          <t>국내산 간편한 영지버섯 사각 조각(칩) 100g</t>
        </is>
      </c>
      <c r="F95" s="135" t="n">
        <v>12</v>
      </c>
      <c r="G95" s="135" t="n">
        <v>185040</v>
      </c>
      <c r="H95" s="135" t="n">
        <v>12320</v>
      </c>
    </row>
    <row r="96">
      <c r="A96" s="8" t="inlineStr">
        <is>
          <t>지마켓</t>
        </is>
      </c>
      <c r="B96" s="9" t="inlineStr">
        <is>
          <t>농산물</t>
        </is>
      </c>
      <c r="C96" s="8" t="inlineStr">
        <is>
          <t>형지표고버섯</t>
        </is>
      </c>
      <c r="D96" s="134" t="inlineStr">
        <is>
          <t>290-94-00335</t>
        </is>
      </c>
      <c r="E96" s="8" t="inlineStr">
        <is>
          <t>형지표고버섯 백화고 명품 1호 표고버섯 선물세트</t>
        </is>
      </c>
      <c r="F96" s="135" t="inlineStr">
        <is>
          <t>-</t>
        </is>
      </c>
      <c r="G96" s="135" t="inlineStr">
        <is>
          <t>-</t>
        </is>
      </c>
      <c r="H96" s="135" t="inlineStr">
        <is>
          <t>-</t>
        </is>
      </c>
    </row>
    <row r="97">
      <c r="A97" s="8" t="inlineStr">
        <is>
          <t>지마켓</t>
        </is>
      </c>
      <c r="B97" s="9" t="inlineStr">
        <is>
          <t>농산물</t>
        </is>
      </c>
      <c r="C97" s="8" t="inlineStr">
        <is>
          <t>형지표고버섯</t>
        </is>
      </c>
      <c r="D97" s="134" t="inlineStr">
        <is>
          <t>290-94-00335</t>
        </is>
      </c>
      <c r="E97" s="8" t="inlineStr">
        <is>
          <t>형지표고버섯 표고 영지버섯 간편 표고버섯 선물세트</t>
        </is>
      </c>
      <c r="F97" s="135" t="inlineStr">
        <is>
          <t>-</t>
        </is>
      </c>
      <c r="G97" s="135" t="inlineStr">
        <is>
          <t>-</t>
        </is>
      </c>
      <c r="H97" s="135" t="inlineStr">
        <is>
          <t>-</t>
        </is>
      </c>
    </row>
    <row r="98">
      <c r="A98" s="8" t="inlineStr">
        <is>
          <t>지마켓</t>
        </is>
      </c>
      <c r="B98" s="9" t="inlineStr">
        <is>
          <t>농산물</t>
        </is>
      </c>
      <c r="C98" s="8" t="inlineStr">
        <is>
          <t>형지표고버섯</t>
        </is>
      </c>
      <c r="D98" s="134" t="inlineStr">
        <is>
          <t>290-94-00335</t>
        </is>
      </c>
      <c r="E98" s="8" t="inlineStr">
        <is>
          <t>형지표고버섯 동고 혼합 2호 표고버섯 선물세트</t>
        </is>
      </c>
      <c r="F98" s="135" t="inlineStr">
        <is>
          <t>-</t>
        </is>
      </c>
      <c r="G98" s="135" t="inlineStr">
        <is>
          <t>-</t>
        </is>
      </c>
      <c r="H98" s="135" t="inlineStr">
        <is>
          <t>-</t>
        </is>
      </c>
    </row>
    <row r="99">
      <c r="A99" s="8" t="inlineStr">
        <is>
          <t>지마켓</t>
        </is>
      </c>
      <c r="B99" s="9" t="inlineStr">
        <is>
          <t>농산물</t>
        </is>
      </c>
      <c r="C99" s="8" t="inlineStr">
        <is>
          <t>형지표고버섯</t>
        </is>
      </c>
      <c r="D99" s="134" t="inlineStr">
        <is>
          <t>290-94-00335</t>
        </is>
      </c>
      <c r="E99" s="8" t="inlineStr">
        <is>
          <t>형지표고버섯 상황버섯 백화고 명품5호 버섯 선물세트</t>
        </is>
      </c>
      <c r="F99" s="135" t="inlineStr">
        <is>
          <t>-</t>
        </is>
      </c>
      <c r="G99" s="135" t="inlineStr">
        <is>
          <t>-</t>
        </is>
      </c>
      <c r="H99" s="135" t="inlineStr">
        <is>
          <t>-</t>
        </is>
      </c>
    </row>
    <row r="100">
      <c r="A100" s="8" t="inlineStr">
        <is>
          <t>지마켓</t>
        </is>
      </c>
      <c r="B100" s="9" t="inlineStr">
        <is>
          <t>농산물</t>
        </is>
      </c>
      <c r="C100" s="8" t="inlineStr">
        <is>
          <t>형지표고버섯</t>
        </is>
      </c>
      <c r="D100" s="134" t="inlineStr">
        <is>
          <t>290-94-00335</t>
        </is>
      </c>
      <c r="E100" s="8" t="inlineStr">
        <is>
          <t>국산 참나무 동고 영지버섯 혼합1호 버섯 선물세트</t>
        </is>
      </c>
      <c r="F100" s="135" t="inlineStr">
        <is>
          <t>-</t>
        </is>
      </c>
      <c r="G100" s="135" t="inlineStr">
        <is>
          <t>-</t>
        </is>
      </c>
      <c r="H100" s="135" t="inlineStr">
        <is>
          <t>-</t>
        </is>
      </c>
    </row>
    <row r="101">
      <c r="A101" s="8" t="inlineStr">
        <is>
          <t>지마켓</t>
        </is>
      </c>
      <c r="B101" s="9" t="inlineStr">
        <is>
          <t>농산물</t>
        </is>
      </c>
      <c r="C101" s="8" t="inlineStr">
        <is>
          <t>형지표고버섯</t>
        </is>
      </c>
      <c r="D101" s="134" t="inlineStr">
        <is>
          <t>290-94-00335</t>
        </is>
      </c>
      <c r="E101" s="8" t="inlineStr">
        <is>
          <t>형지표고버섯 표고 영지 상황버섯 4종1호 버섯 선물세트</t>
        </is>
      </c>
      <c r="F101" s="135" t="inlineStr">
        <is>
          <t>-</t>
        </is>
      </c>
      <c r="G101" s="135" t="inlineStr">
        <is>
          <t>-</t>
        </is>
      </c>
      <c r="H101" s="135" t="inlineStr">
        <is>
          <t>-</t>
        </is>
      </c>
    </row>
    <row r="102">
      <c r="A102" s="8" t="inlineStr">
        <is>
          <t>지마켓</t>
        </is>
      </c>
      <c r="B102" s="9" t="inlineStr">
        <is>
          <t>농산물</t>
        </is>
      </c>
      <c r="C102" s="8" t="inlineStr">
        <is>
          <t>형지표고버섯</t>
        </is>
      </c>
      <c r="D102" s="134" t="inlineStr">
        <is>
          <t>290-94-00335</t>
        </is>
      </c>
      <c r="E102" s="8" t="inlineStr">
        <is>
          <t>형지표고버섯 영지버섯 상황버섯 명품3호 버섯 선물세트</t>
        </is>
      </c>
      <c r="F102" s="135" t="inlineStr">
        <is>
          <t>-</t>
        </is>
      </c>
      <c r="G102" s="135" t="inlineStr">
        <is>
          <t>-</t>
        </is>
      </c>
      <c r="H102" s="135" t="inlineStr">
        <is>
          <t>-</t>
        </is>
      </c>
    </row>
    <row r="103">
      <c r="A103" s="8" t="inlineStr">
        <is>
          <t>지마켓</t>
        </is>
      </c>
      <c r="B103" s="9" t="inlineStr">
        <is>
          <t>농산물</t>
        </is>
      </c>
      <c r="C103" s="8" t="inlineStr">
        <is>
          <t>형지표고버섯</t>
        </is>
      </c>
      <c r="D103" s="134" t="inlineStr">
        <is>
          <t>290-94-00335</t>
        </is>
      </c>
      <c r="E103" s="8" t="inlineStr">
        <is>
          <t>형지표고버섯 흑화고 상황버섯 혼합2호 표고 버섯 선물세트</t>
        </is>
      </c>
      <c r="F103" s="135" t="inlineStr">
        <is>
          <t>-</t>
        </is>
      </c>
      <c r="G103" s="135" t="inlineStr">
        <is>
          <t>-</t>
        </is>
      </c>
      <c r="H103" s="135" t="inlineStr">
        <is>
          <t>-</t>
        </is>
      </c>
    </row>
    <row r="104">
      <c r="A104" s="8" t="inlineStr">
        <is>
          <t>지마켓</t>
        </is>
      </c>
      <c r="B104" s="9" t="inlineStr">
        <is>
          <t>농산물</t>
        </is>
      </c>
      <c r="C104" s="8" t="inlineStr">
        <is>
          <t>형지표고버섯</t>
        </is>
      </c>
      <c r="D104" s="134" t="inlineStr">
        <is>
          <t>290-94-00335</t>
        </is>
      </c>
      <c r="E104" s="8" t="inlineStr">
        <is>
          <t>국산 참나무 흑화고 상황버섯 혼합 버섯 선물세트</t>
        </is>
      </c>
      <c r="F104" s="135" t="inlineStr">
        <is>
          <t>-</t>
        </is>
      </c>
      <c r="G104" s="135" t="inlineStr">
        <is>
          <t>-</t>
        </is>
      </c>
      <c r="H104" s="135" t="inlineStr">
        <is>
          <t>-</t>
        </is>
      </c>
    </row>
    <row r="105">
      <c r="A105" s="8" t="inlineStr">
        <is>
          <t>지마켓</t>
        </is>
      </c>
      <c r="B105" s="9" t="inlineStr">
        <is>
          <t>농산물</t>
        </is>
      </c>
      <c r="C105" s="8" t="inlineStr">
        <is>
          <t>형지표고버섯</t>
        </is>
      </c>
      <c r="D105" s="134" t="inlineStr">
        <is>
          <t>290-94-00335</t>
        </is>
      </c>
      <c r="E105" s="8" t="inlineStr">
        <is>
          <t>국산 참나무 백화고 상황버섯 혼합 버섯 선물세트</t>
        </is>
      </c>
      <c r="F105" s="135" t="inlineStr">
        <is>
          <t>-</t>
        </is>
      </c>
      <c r="G105" s="135" t="inlineStr">
        <is>
          <t>-</t>
        </is>
      </c>
      <c r="H105" s="135" t="inlineStr">
        <is>
          <t>-</t>
        </is>
      </c>
    </row>
    <row r="106">
      <c r="A106" s="8" t="inlineStr">
        <is>
          <t>지마켓</t>
        </is>
      </c>
      <c r="B106" s="9" t="inlineStr">
        <is>
          <t>농산물</t>
        </is>
      </c>
      <c r="C106" s="8" t="inlineStr">
        <is>
          <t>형지표고버섯</t>
        </is>
      </c>
      <c r="D106" s="134" t="inlineStr">
        <is>
          <t>290-94-00335</t>
        </is>
      </c>
      <c r="E106" s="8" t="inlineStr">
        <is>
          <t>국산 참나무 백화고 영지버섯 혼합 선물세트</t>
        </is>
      </c>
      <c r="F106" s="135" t="inlineStr">
        <is>
          <t>-</t>
        </is>
      </c>
      <c r="G106" s="135" t="inlineStr">
        <is>
          <t>-</t>
        </is>
      </c>
      <c r="H106" s="135" t="inlineStr">
        <is>
          <t>-</t>
        </is>
      </c>
    </row>
    <row r="107">
      <c r="A107" s="8" t="inlineStr">
        <is>
          <t>지마켓</t>
        </is>
      </c>
      <c r="B107" s="9" t="inlineStr">
        <is>
          <t>농산물</t>
        </is>
      </c>
      <c r="C107" s="8" t="inlineStr">
        <is>
          <t>형지표고버섯</t>
        </is>
      </c>
      <c r="D107" s="134" t="inlineStr">
        <is>
          <t>290-94-00335</t>
        </is>
      </c>
      <c r="E107" s="8" t="inlineStr">
        <is>
          <t>국산 참나무 흑화고 표고 영지버섯 혼합 선물세트</t>
        </is>
      </c>
      <c r="F107" s="135" t="inlineStr">
        <is>
          <t>-</t>
        </is>
      </c>
      <c r="G107" s="135" t="inlineStr">
        <is>
          <t>-</t>
        </is>
      </c>
      <c r="H107" s="135" t="inlineStr">
        <is>
          <t>-</t>
        </is>
      </c>
    </row>
    <row r="108">
      <c r="A108" s="8" t="inlineStr">
        <is>
          <t>지마켓</t>
        </is>
      </c>
      <c r="B108" s="9" t="inlineStr">
        <is>
          <t>농산물</t>
        </is>
      </c>
      <c r="C108" s="8" t="inlineStr">
        <is>
          <t>형지표고버섯</t>
        </is>
      </c>
      <c r="D108" s="134" t="inlineStr">
        <is>
          <t>290-94-00335</t>
        </is>
      </c>
      <c r="E108" s="8" t="inlineStr">
        <is>
          <t>형지표고버섯 백화고 특 1호 표고버섯 선물세트</t>
        </is>
      </c>
      <c r="F108" s="135" t="inlineStr">
        <is>
          <t>-</t>
        </is>
      </c>
      <c r="G108" s="135" t="inlineStr">
        <is>
          <t>-</t>
        </is>
      </c>
      <c r="H108" s="135" t="inlineStr">
        <is>
          <t>-</t>
        </is>
      </c>
    </row>
    <row r="109">
      <c r="A109" s="8" t="inlineStr">
        <is>
          <t>지마켓</t>
        </is>
      </c>
      <c r="B109" s="9" t="inlineStr">
        <is>
          <t>농산물</t>
        </is>
      </c>
      <c r="C109" s="8" t="inlineStr">
        <is>
          <t>형지표고버섯</t>
        </is>
      </c>
      <c r="D109" s="134" t="inlineStr">
        <is>
          <t>290-94-00335</t>
        </is>
      </c>
      <c r="E109" s="8" t="inlineStr">
        <is>
          <t>형지표고버섯 흑화고 특 2호 표고버섯 선물세트</t>
        </is>
      </c>
      <c r="F109" s="135" t="inlineStr">
        <is>
          <t>-</t>
        </is>
      </c>
      <c r="G109" s="135" t="inlineStr">
        <is>
          <t>-</t>
        </is>
      </c>
      <c r="H109" s="135" t="inlineStr">
        <is>
          <t>-</t>
        </is>
      </c>
    </row>
    <row r="110">
      <c r="A110" s="8" t="inlineStr">
        <is>
          <t>지마켓</t>
        </is>
      </c>
      <c r="B110" s="9" t="inlineStr">
        <is>
          <t>농산물</t>
        </is>
      </c>
      <c r="C110" s="8" t="inlineStr">
        <is>
          <t>형지표고버섯</t>
        </is>
      </c>
      <c r="D110" s="134" t="inlineStr">
        <is>
          <t>290-94-00335</t>
        </is>
      </c>
      <c r="E110" s="8" t="inlineStr">
        <is>
          <t>형지표고버섯 종합 4종 4호 표고버섯 선물세트</t>
        </is>
      </c>
      <c r="F110" s="135" t="inlineStr">
        <is>
          <t>-</t>
        </is>
      </c>
      <c r="G110" s="135" t="inlineStr">
        <is>
          <t>-</t>
        </is>
      </c>
      <c r="H110" s="135" t="inlineStr">
        <is>
          <t>-</t>
        </is>
      </c>
    </row>
    <row r="111">
      <c r="A111" s="8" t="inlineStr">
        <is>
          <t>지마켓</t>
        </is>
      </c>
      <c r="B111" s="9" t="inlineStr">
        <is>
          <t>농산물</t>
        </is>
      </c>
      <c r="C111" s="8" t="inlineStr">
        <is>
          <t>형지표고버섯</t>
        </is>
      </c>
      <c r="D111" s="134" t="inlineStr">
        <is>
          <t>290-94-00335</t>
        </is>
      </c>
      <c r="E111" s="8" t="inlineStr">
        <is>
          <t>형지표고버섯 동고 특 2호 표고버섯 선물세트</t>
        </is>
      </c>
      <c r="F111" s="135" t="n">
        <v>2</v>
      </c>
      <c r="G111" s="135" t="n">
        <v>73400</v>
      </c>
      <c r="H111" s="135" t="n">
        <v>7340</v>
      </c>
    </row>
    <row r="112">
      <c r="A112" s="8" t="inlineStr">
        <is>
          <t>지마켓</t>
        </is>
      </c>
      <c r="B112" s="9" t="inlineStr">
        <is>
          <t>농산물</t>
        </is>
      </c>
      <c r="C112" s="8" t="inlineStr">
        <is>
          <t>형지표고버섯</t>
        </is>
      </c>
      <c r="D112" s="134" t="inlineStr">
        <is>
          <t>290-94-00335</t>
        </is>
      </c>
      <c r="E112" s="8" t="inlineStr">
        <is>
          <t>형지표고버섯 흑화고 혼합3호 표고버섯 선물세트</t>
        </is>
      </c>
      <c r="F112" s="135" t="n">
        <v>8</v>
      </c>
      <c r="G112" s="135" t="n">
        <v>342720</v>
      </c>
      <c r="H112" s="135" t="n">
        <v>34240</v>
      </c>
    </row>
    <row r="113">
      <c r="A113" s="8" t="inlineStr">
        <is>
          <t>지마켓</t>
        </is>
      </c>
      <c r="B113" s="9" t="inlineStr">
        <is>
          <t>농산물</t>
        </is>
      </c>
      <c r="C113" s="8" t="inlineStr">
        <is>
          <t>형지표고버섯</t>
        </is>
      </c>
      <c r="D113" s="134" t="inlineStr">
        <is>
          <t>290-94-00335</t>
        </is>
      </c>
      <c r="E113" s="8" t="inlineStr">
        <is>
          <t>형지표고버섯 백화고 특 3호 표고버섯 선물세트</t>
        </is>
      </c>
      <c r="F113" s="135" t="inlineStr">
        <is>
          <t>-</t>
        </is>
      </c>
      <c r="G113" s="135" t="inlineStr">
        <is>
          <t>-</t>
        </is>
      </c>
      <c r="H113" s="135" t="inlineStr">
        <is>
          <t>-</t>
        </is>
      </c>
    </row>
    <row r="114">
      <c r="A114" s="8" t="inlineStr">
        <is>
          <t>지마켓</t>
        </is>
      </c>
      <c r="B114" s="9" t="inlineStr">
        <is>
          <t>농산물</t>
        </is>
      </c>
      <c r="C114" s="8" t="inlineStr">
        <is>
          <t>형지표고버섯</t>
        </is>
      </c>
      <c r="D114" s="134" t="inlineStr">
        <is>
          <t>290-94-00335</t>
        </is>
      </c>
      <c r="E114" s="8" t="inlineStr">
        <is>
          <t>형지표고버섯 백화고 혼합2호 표고버섯 선물세트</t>
        </is>
      </c>
      <c r="F114" s="135" t="n">
        <v>2</v>
      </c>
      <c r="G114" s="135" t="n">
        <v>112180</v>
      </c>
      <c r="H114" s="135" t="n">
        <v>10000</v>
      </c>
    </row>
    <row r="115">
      <c r="A115" s="8" t="inlineStr">
        <is>
          <t>지마켓</t>
        </is>
      </c>
      <c r="B115" s="9" t="inlineStr">
        <is>
          <t>가공식품</t>
        </is>
      </c>
      <c r="C115" s="8" t="inlineStr">
        <is>
          <t>농부플러스</t>
        </is>
      </c>
      <c r="D115" s="134" t="inlineStr">
        <is>
          <t>571-81-00383</t>
        </is>
      </c>
      <c r="E115" s="8" t="inlineStr">
        <is>
          <t>국산 냉압착 생들기름 300ml</t>
        </is>
      </c>
      <c r="F115" s="135" t="n">
        <v>414</v>
      </c>
      <c r="G115" s="135" t="n">
        <v>13620600</v>
      </c>
      <c r="H115" s="135" t="n">
        <v>144760</v>
      </c>
    </row>
    <row r="116">
      <c r="A116" s="8" t="inlineStr">
        <is>
          <t>지마켓</t>
        </is>
      </c>
      <c r="B116" s="9" t="inlineStr">
        <is>
          <t>가공식품</t>
        </is>
      </c>
      <c r="C116" s="8" t="inlineStr">
        <is>
          <t>농부플러스</t>
        </is>
      </c>
      <c r="D116" s="134" t="inlineStr">
        <is>
          <t>571-81-00383</t>
        </is>
      </c>
      <c r="E116" s="8" t="inlineStr">
        <is>
          <t>농부플러스 국산 토종꿀 아카시아꿀 숙성꿀 1kg</t>
        </is>
      </c>
      <c r="F116" s="135" t="n">
        <v>147</v>
      </c>
      <c r="G116" s="135" t="n">
        <v>4312500</v>
      </c>
      <c r="H116" s="135" t="n">
        <v>142700</v>
      </c>
    </row>
    <row r="117">
      <c r="A117" s="8" t="inlineStr">
        <is>
          <t>지마켓</t>
        </is>
      </c>
      <c r="B117" s="9" t="inlineStr">
        <is>
          <t>가공식품</t>
        </is>
      </c>
      <c r="C117" s="8" t="inlineStr">
        <is>
          <t>농부플러스</t>
        </is>
      </c>
      <c r="D117" s="134" t="inlineStr">
        <is>
          <t>571-81-00383</t>
        </is>
      </c>
      <c r="E117" s="8" t="inlineStr">
        <is>
          <t>농부플러스 국산 냉압착 생들기름 200ml</t>
        </is>
      </c>
      <c r="F117" s="135" t="n">
        <v>96</v>
      </c>
      <c r="G117" s="135" t="n">
        <v>2294400</v>
      </c>
      <c r="H117" s="135" t="n">
        <v>43020</v>
      </c>
    </row>
    <row r="118">
      <c r="A118" s="8" t="inlineStr">
        <is>
          <t>지마켓</t>
        </is>
      </c>
      <c r="B118" s="9" t="inlineStr">
        <is>
          <t>가공식품</t>
        </is>
      </c>
      <c r="C118" s="8" t="inlineStr">
        <is>
          <t>농부플러스</t>
        </is>
      </c>
      <c r="D118" s="134" t="inlineStr">
        <is>
          <t>571-81-00383</t>
        </is>
      </c>
      <c r="E118" s="8" t="inlineStr">
        <is>
          <t>국산 저온착유 참기름 300ml</t>
        </is>
      </c>
      <c r="F118" s="135" t="n">
        <v>113</v>
      </c>
      <c r="G118" s="135" t="n">
        <v>4621700</v>
      </c>
      <c r="H118" s="135" t="n">
        <v>98160</v>
      </c>
    </row>
    <row r="119">
      <c r="A119" s="8" t="inlineStr">
        <is>
          <t>지마켓</t>
        </is>
      </c>
      <c r="B119" s="9" t="inlineStr">
        <is>
          <t>가공식품</t>
        </is>
      </c>
      <c r="C119" s="8" t="inlineStr">
        <is>
          <t>농부플러스</t>
        </is>
      </c>
      <c r="D119" s="134" t="inlineStr">
        <is>
          <t>571-81-00383</t>
        </is>
      </c>
      <c r="E119" s="8" t="inlineStr">
        <is>
          <t>농부플러스 국산 냉압착 생들기름 식물성 오메가3 스틱 5g 30개입</t>
        </is>
      </c>
      <c r="F119" s="135" t="n">
        <v>216</v>
      </c>
      <c r="G119" s="135" t="n">
        <v>6130400</v>
      </c>
      <c r="H119" s="135" t="n">
        <v>204380</v>
      </c>
    </row>
    <row r="120">
      <c r="A120" s="8" t="inlineStr">
        <is>
          <t>지마켓</t>
        </is>
      </c>
      <c r="B120" s="9" t="inlineStr">
        <is>
          <t>가공식품</t>
        </is>
      </c>
      <c r="C120" s="8" t="inlineStr">
        <is>
          <t>농부플러스</t>
        </is>
      </c>
      <c r="D120" s="134" t="inlineStr">
        <is>
          <t>571-81-00383</t>
        </is>
      </c>
      <c r="E120" s="8" t="inlineStr">
        <is>
          <t>농부플러스 국산 토종꿀 아카시아꿀 스틱형 허니스틱 (10g 30개입)</t>
        </is>
      </c>
      <c r="F120" s="135" t="n">
        <v>65</v>
      </c>
      <c r="G120" s="135" t="n">
        <v>1345500</v>
      </c>
      <c r="H120" s="135" t="n">
        <v>16560</v>
      </c>
    </row>
    <row r="121">
      <c r="A121" s="8" t="inlineStr">
        <is>
          <t>지마켓</t>
        </is>
      </c>
      <c r="B121" s="9" t="inlineStr">
        <is>
          <t>가공식품</t>
        </is>
      </c>
      <c r="C121" s="8" t="inlineStr">
        <is>
          <t>농부플러스</t>
        </is>
      </c>
      <c r="D121" s="134" t="inlineStr">
        <is>
          <t>571-81-00383</t>
        </is>
      </c>
      <c r="E121" s="8" t="inlineStr">
        <is>
          <t>농부플러스 국산 저온압착 참기름 200ml</t>
        </is>
      </c>
      <c r="F121" s="135" t="n">
        <v>29</v>
      </c>
      <c r="G121" s="135" t="n">
        <v>896100</v>
      </c>
      <c r="H121" s="135" t="n">
        <v>6180</v>
      </c>
    </row>
    <row r="122">
      <c r="A122" s="8" t="inlineStr">
        <is>
          <t>지마켓</t>
        </is>
      </c>
      <c r="B122" s="9" t="inlineStr">
        <is>
          <t>가공식품</t>
        </is>
      </c>
      <c r="C122" s="8" t="inlineStr">
        <is>
          <t>농부플러스</t>
        </is>
      </c>
      <c r="D122" s="134" t="inlineStr">
        <is>
          <t>571-81-00383</t>
        </is>
      </c>
      <c r="E122" s="8" t="inlineStr">
        <is>
          <t>농부플러스 국산 토종꿀 잡화꿀 야생화꿀 숙성꿀 1kg</t>
        </is>
      </c>
      <c r="F122" s="135" t="n">
        <v>19</v>
      </c>
      <c r="G122" s="135" t="n">
        <v>623100</v>
      </c>
      <c r="H122" s="135" t="n">
        <v>12360</v>
      </c>
    </row>
    <row r="123">
      <c r="A123" s="8" t="inlineStr">
        <is>
          <t>지마켓</t>
        </is>
      </c>
      <c r="B123" s="9" t="inlineStr">
        <is>
          <t>가공식품</t>
        </is>
      </c>
      <c r="C123" s="8" t="inlineStr">
        <is>
          <t>농부플러스</t>
        </is>
      </c>
      <c r="D123" s="134" t="inlineStr">
        <is>
          <t>571-81-00383</t>
        </is>
      </c>
      <c r="E123" s="8" t="inlineStr">
        <is>
          <t>농부플러스 국산 토종꿀 잡화꿀 스틱형 허니스틱 (10g 30개입)</t>
        </is>
      </c>
      <c r="F123" s="135" t="n">
        <v>3</v>
      </c>
      <c r="G123" s="135" t="n">
        <v>62100</v>
      </c>
      <c r="H123" s="135" t="inlineStr">
        <is>
          <t>-</t>
        </is>
      </c>
    </row>
    <row r="124">
      <c r="A124" s="8" t="inlineStr">
        <is>
          <t>지마켓</t>
        </is>
      </c>
      <c r="B124" s="9" t="inlineStr">
        <is>
          <t>가공식품</t>
        </is>
      </c>
      <c r="C124" s="8" t="inlineStr">
        <is>
          <t>농부플러스</t>
        </is>
      </c>
      <c r="D124" s="134" t="inlineStr">
        <is>
          <t>571-81-00383</t>
        </is>
      </c>
      <c r="E124" s="8" t="inlineStr">
        <is>
          <t>농부플러스 국산 저온압착 들기름 200ml</t>
        </is>
      </c>
      <c r="F124" s="135" t="inlineStr">
        <is>
          <t>-</t>
        </is>
      </c>
      <c r="G124" s="135" t="inlineStr">
        <is>
          <t>-</t>
        </is>
      </c>
      <c r="H124" s="135" t="inlineStr">
        <is>
          <t>-</t>
        </is>
      </c>
    </row>
    <row r="125">
      <c r="A125" s="8" t="inlineStr">
        <is>
          <t>지마켓</t>
        </is>
      </c>
      <c r="B125" s="9" t="inlineStr">
        <is>
          <t>가공식품</t>
        </is>
      </c>
      <c r="C125" s="8" t="inlineStr">
        <is>
          <t>농부플러스</t>
        </is>
      </c>
      <c r="D125" s="134" t="inlineStr">
        <is>
          <t>571-81-00383</t>
        </is>
      </c>
      <c r="E125" s="8" t="inlineStr">
        <is>
          <t>국산 볶음참깨 햇 참깨 볶은참깨 토종 통깨 200g</t>
        </is>
      </c>
      <c r="F125" s="135" t="n">
        <v>67</v>
      </c>
      <c r="G125" s="135" t="n">
        <v>1098800</v>
      </c>
      <c r="H125" s="135" t="n">
        <v>13120</v>
      </c>
    </row>
    <row r="126">
      <c r="A126" s="8" t="inlineStr">
        <is>
          <t>지마켓</t>
        </is>
      </c>
      <c r="B126" s="9" t="inlineStr">
        <is>
          <t>가공식품</t>
        </is>
      </c>
      <c r="C126" s="8" t="inlineStr">
        <is>
          <t>농부플러스</t>
        </is>
      </c>
      <c r="D126" s="134" t="inlineStr">
        <is>
          <t>571-81-00383</t>
        </is>
      </c>
      <c r="E126" s="8" t="inlineStr">
        <is>
          <t>국산 냉압착 생들기름 300ml x3병</t>
        </is>
      </c>
      <c r="F126" s="135" t="n">
        <v>4</v>
      </c>
      <c r="G126" s="135" t="n">
        <v>378800</v>
      </c>
      <c r="H126" s="135" t="inlineStr">
        <is>
          <t>-</t>
        </is>
      </c>
    </row>
    <row r="127">
      <c r="A127" s="8" t="inlineStr">
        <is>
          <t>지마켓</t>
        </is>
      </c>
      <c r="B127" s="9" t="inlineStr">
        <is>
          <t>가공식품</t>
        </is>
      </c>
      <c r="C127" s="8" t="inlineStr">
        <is>
          <t>농부플러스</t>
        </is>
      </c>
      <c r="D127" s="134" t="inlineStr">
        <is>
          <t>571-81-00383</t>
        </is>
      </c>
      <c r="E127" s="8" t="inlineStr">
        <is>
          <t>냉압착 생들기름 180ml/햇들깨/국내산 100%/ 농부드림</t>
        </is>
      </c>
      <c r="F127" s="135" t="n">
        <v>10</v>
      </c>
      <c r="G127" s="135" t="n">
        <v>229000</v>
      </c>
      <c r="H127" s="135" t="inlineStr">
        <is>
          <t>-</t>
        </is>
      </c>
    </row>
    <row r="128">
      <c r="A128" s="8" t="inlineStr">
        <is>
          <t>지마켓</t>
        </is>
      </c>
      <c r="B128" s="9" t="inlineStr">
        <is>
          <t>가공식품</t>
        </is>
      </c>
      <c r="C128" s="8" t="inlineStr">
        <is>
          <t>농부플러스</t>
        </is>
      </c>
      <c r="D128" s="134" t="inlineStr">
        <is>
          <t>571-81-00383</t>
        </is>
      </c>
      <c r="E128" s="8" t="inlineStr">
        <is>
          <t>국산 저온착유 들기름 300ml</t>
        </is>
      </c>
      <c r="F128" s="135" t="n">
        <v>6</v>
      </c>
      <c r="G128" s="135" t="n">
        <v>197400</v>
      </c>
      <c r="H128" s="135" t="inlineStr">
        <is>
          <t>-</t>
        </is>
      </c>
    </row>
    <row r="129">
      <c r="A129" s="8" t="inlineStr">
        <is>
          <t>지마켓</t>
        </is>
      </c>
      <c r="B129" s="9" t="inlineStr">
        <is>
          <t>가공식품</t>
        </is>
      </c>
      <c r="C129" s="8" t="inlineStr">
        <is>
          <t>농부플러스</t>
        </is>
      </c>
      <c r="D129" s="134" t="inlineStr">
        <is>
          <t>571-81-00383</t>
        </is>
      </c>
      <c r="E129" s="8" t="inlineStr">
        <is>
          <t>농부플러스 국산 냉압착 생들기름+참기름 200m 2병 선물세트</t>
        </is>
      </c>
      <c r="F129" s="135" t="n">
        <v>1</v>
      </c>
      <c r="G129" s="135" t="n">
        <v>57900</v>
      </c>
      <c r="H129" s="135" t="inlineStr">
        <is>
          <t>-</t>
        </is>
      </c>
    </row>
    <row r="130">
      <c r="A130" s="8" t="inlineStr">
        <is>
          <t>지마켓</t>
        </is>
      </c>
      <c r="B130" s="9" t="inlineStr">
        <is>
          <t>가공식품</t>
        </is>
      </c>
      <c r="C130" s="8" t="inlineStr">
        <is>
          <t>농부플러스</t>
        </is>
      </c>
      <c r="D130" s="134" t="inlineStr">
        <is>
          <t>571-81-00383</t>
        </is>
      </c>
      <c r="E130" s="8" t="inlineStr">
        <is>
          <t>농부플러스 국산 토종꿀 잡화꿀 야생화꿀 숙성꿀 500g</t>
        </is>
      </c>
      <c r="F130" s="135" t="n">
        <v>1</v>
      </c>
      <c r="G130" s="135" t="n">
        <v>21900</v>
      </c>
      <c r="H130" s="135" t="inlineStr">
        <is>
          <t>-</t>
        </is>
      </c>
    </row>
    <row r="131">
      <c r="A131" s="8" t="inlineStr">
        <is>
          <t>지마켓</t>
        </is>
      </c>
      <c r="B131" s="9" t="inlineStr">
        <is>
          <t>가공식품</t>
        </is>
      </c>
      <c r="C131" s="8" t="inlineStr">
        <is>
          <t>농부플러스</t>
        </is>
      </c>
      <c r="D131" s="134" t="inlineStr">
        <is>
          <t>571-81-00383</t>
        </is>
      </c>
      <c r="E131" s="8" t="inlineStr">
        <is>
          <t>저온압착 참기름 180ml/햇참깨/국내산 100%/ 농부드림</t>
        </is>
      </c>
      <c r="F131" s="135" t="n">
        <v>7</v>
      </c>
      <c r="G131" s="135" t="n">
        <v>202300</v>
      </c>
      <c r="H131" s="135" t="n">
        <v>5780</v>
      </c>
    </row>
    <row r="132">
      <c r="A132" s="8" t="inlineStr">
        <is>
          <t>지마켓</t>
        </is>
      </c>
      <c r="B132" s="9" t="inlineStr">
        <is>
          <t>가공식품</t>
        </is>
      </c>
      <c r="C132" s="8" t="inlineStr">
        <is>
          <t>농부플러스</t>
        </is>
      </c>
      <c r="D132" s="134" t="inlineStr">
        <is>
          <t>571-81-00383</t>
        </is>
      </c>
      <c r="E132" s="8" t="inlineStr">
        <is>
          <t>농부플러스 국산 토종꿀 아카시아꿀 숙성꿀 300g</t>
        </is>
      </c>
      <c r="F132" s="135" t="n">
        <v>5</v>
      </c>
      <c r="G132" s="135" t="n">
        <v>69500</v>
      </c>
      <c r="H132" s="135" t="inlineStr">
        <is>
          <t>-</t>
        </is>
      </c>
    </row>
    <row r="133">
      <c r="A133" s="8" t="inlineStr">
        <is>
          <t>지마켓</t>
        </is>
      </c>
      <c r="B133" s="9" t="inlineStr">
        <is>
          <t>가공식품</t>
        </is>
      </c>
      <c r="C133" s="8" t="inlineStr">
        <is>
          <t>농부플러스</t>
        </is>
      </c>
      <c r="D133" s="134" t="inlineStr">
        <is>
          <t>571-81-00383</t>
        </is>
      </c>
      <c r="E133" s="8" t="inlineStr">
        <is>
          <t>농부플러스 국산 토종꿀 아카시아꿀 숙성 꿀 500g</t>
        </is>
      </c>
      <c r="F133" s="135" t="n">
        <v>16</v>
      </c>
      <c r="G133" s="135" t="n">
        <v>302400</v>
      </c>
      <c r="H133" s="135" t="n">
        <v>7560</v>
      </c>
    </row>
    <row r="134" ht="16.8" customHeight="1" s="21">
      <c r="A134" s="8" t="inlineStr">
        <is>
          <t>지마켓</t>
        </is>
      </c>
      <c r="B134" s="9" t="inlineStr">
        <is>
          <t>가공식품</t>
        </is>
      </c>
      <c r="C134" s="8" t="inlineStr">
        <is>
          <t>농부플러스</t>
        </is>
      </c>
      <c r="D134" s="134" t="inlineStr">
        <is>
          <t>571-81-00383</t>
        </is>
      </c>
      <c r="E134" s="8" t="inlineStr">
        <is>
          <t>국산 볶음참깨 햇 참깨 볶은참깨 토종 통깨 150g</t>
        </is>
      </c>
      <c r="F134" s="135" t="n">
        <v>3</v>
      </c>
      <c r="G134" s="135" t="n">
        <v>42700</v>
      </c>
      <c r="H134" s="135" t="inlineStr">
        <is>
          <t>-</t>
        </is>
      </c>
    </row>
    <row r="135">
      <c r="A135" s="8" t="inlineStr">
        <is>
          <t>지마켓</t>
        </is>
      </c>
      <c r="B135" s="9" t="inlineStr">
        <is>
          <t>가공식품</t>
        </is>
      </c>
      <c r="C135" s="8" t="inlineStr">
        <is>
          <t>농부플러스</t>
        </is>
      </c>
      <c r="D135" s="134" t="inlineStr">
        <is>
          <t>571-81-00383</t>
        </is>
      </c>
      <c r="E135" s="8" t="inlineStr">
        <is>
          <t>저온압착 들기름 참기름 180ml 2병 선물 세트</t>
        </is>
      </c>
      <c r="F135" s="135" t="inlineStr">
        <is>
          <t>-</t>
        </is>
      </c>
      <c r="G135" s="135" t="inlineStr">
        <is>
          <t>-</t>
        </is>
      </c>
      <c r="H135" s="135" t="inlineStr">
        <is>
          <t>-</t>
        </is>
      </c>
    </row>
    <row r="136">
      <c r="A136" s="8" t="inlineStr">
        <is>
          <t>지마켓</t>
        </is>
      </c>
      <c r="B136" s="9" t="inlineStr">
        <is>
          <t>가공식품</t>
        </is>
      </c>
      <c r="C136" s="8" t="inlineStr">
        <is>
          <t>농부플러스</t>
        </is>
      </c>
      <c r="D136" s="134" t="inlineStr">
        <is>
          <t>571-81-00383</t>
        </is>
      </c>
      <c r="E136" s="8" t="inlineStr">
        <is>
          <t>농부플러스 아카시아꿀 300g 2구 선물세트</t>
        </is>
      </c>
      <c r="F136" s="135" t="inlineStr">
        <is>
          <t>-</t>
        </is>
      </c>
      <c r="G136" s="135" t="inlineStr">
        <is>
          <t>-</t>
        </is>
      </c>
      <c r="H136" s="135" t="inlineStr">
        <is>
          <t>-</t>
        </is>
      </c>
    </row>
    <row r="137">
      <c r="A137" s="8" t="inlineStr">
        <is>
          <t>지마켓</t>
        </is>
      </c>
      <c r="B137" s="9" t="inlineStr">
        <is>
          <t>가공식품</t>
        </is>
      </c>
      <c r="C137" s="8" t="inlineStr">
        <is>
          <t>농부플러스</t>
        </is>
      </c>
      <c r="D137" s="134" t="inlineStr">
        <is>
          <t>571-81-00383</t>
        </is>
      </c>
      <c r="E137" s="8" t="inlineStr">
        <is>
          <t>농부플러스 국산 냉압착 생들기름 식물성 오메가3 스틱 선물세트 (5g 30개입)</t>
        </is>
      </c>
      <c r="F137" s="135" t="inlineStr">
        <is>
          <t>-</t>
        </is>
      </c>
      <c r="G137" s="135" t="inlineStr">
        <is>
          <t>-</t>
        </is>
      </c>
      <c r="H137" s="135" t="inlineStr">
        <is>
          <t>-</t>
        </is>
      </c>
    </row>
    <row r="138">
      <c r="A138" s="8" t="inlineStr">
        <is>
          <t>지마켓</t>
        </is>
      </c>
      <c r="B138" s="9" t="inlineStr">
        <is>
          <t>가공식품</t>
        </is>
      </c>
      <c r="C138" s="8" t="inlineStr">
        <is>
          <t>농부플러스</t>
        </is>
      </c>
      <c r="D138" s="134" t="inlineStr">
        <is>
          <t>571-81-00383</t>
        </is>
      </c>
      <c r="E138" s="8" t="inlineStr">
        <is>
          <t>농부플러스 국산 토종꿀 아카시아꿀 1kg 1병 선물세트</t>
        </is>
      </c>
      <c r="F138" s="135" t="inlineStr">
        <is>
          <t>-</t>
        </is>
      </c>
      <c r="G138" s="135" t="inlineStr">
        <is>
          <t>-</t>
        </is>
      </c>
      <c r="H138" s="135" t="inlineStr">
        <is>
          <t>-</t>
        </is>
      </c>
    </row>
    <row r="139">
      <c r="A139" s="8" t="inlineStr">
        <is>
          <t>지마켓</t>
        </is>
      </c>
      <c r="B139" s="9" t="inlineStr">
        <is>
          <t>가공식품</t>
        </is>
      </c>
      <c r="C139" s="8" t="inlineStr">
        <is>
          <t>듬뿍농원</t>
        </is>
      </c>
      <c r="D139" s="134" t="inlineStr">
        <is>
          <t>411-08-51893</t>
        </is>
      </c>
      <c r="E139" s="8" t="inlineStr">
        <is>
          <t>(20%) 찐한 겉잎까지 달인 양배추즙 100포 100ml 무안 (산지 직송) 듬뿍농원</t>
        </is>
      </c>
      <c r="F139" s="135" t="n">
        <v>442</v>
      </c>
      <c r="G139" s="135" t="n">
        <v>13171600</v>
      </c>
      <c r="H139" s="135" t="n">
        <v>242440</v>
      </c>
    </row>
    <row r="140">
      <c r="A140" s="8" t="inlineStr">
        <is>
          <t>지마켓</t>
        </is>
      </c>
      <c r="B140" s="9" t="inlineStr">
        <is>
          <t>가공식품</t>
        </is>
      </c>
      <c r="C140" s="8" t="inlineStr">
        <is>
          <t>듬뿍농원</t>
        </is>
      </c>
      <c r="D140" s="134" t="inlineStr">
        <is>
          <t>411-08-51893</t>
        </is>
      </c>
      <c r="E140" s="8" t="inlineStr">
        <is>
          <t>붉은맛이 살아있는 무안 황토 비트즙 100포 100ml 무안 (산지직송)</t>
        </is>
      </c>
      <c r="F140" s="135" t="n">
        <v>25</v>
      </c>
      <c r="G140" s="135" t="n">
        <v>1120000</v>
      </c>
      <c r="H140" s="135" t="n">
        <v>8960</v>
      </c>
    </row>
    <row r="141">
      <c r="A141" s="8" t="inlineStr">
        <is>
          <t>지마켓</t>
        </is>
      </c>
      <c r="B141" s="9" t="inlineStr">
        <is>
          <t>가공식품</t>
        </is>
      </c>
      <c r="C141" s="8" t="inlineStr">
        <is>
          <t>듬뿍농원</t>
        </is>
      </c>
      <c r="D141" s="134" t="inlineStr">
        <is>
          <t>411-08-51893</t>
        </is>
      </c>
      <c r="E141" s="8" t="inlineStr">
        <is>
          <t>듬뿍농원 겉껍질까지 달인 무안 양배추즙 100포 무안(산지직송) 진액</t>
        </is>
      </c>
      <c r="F141" s="135" t="n">
        <v>5</v>
      </c>
      <c r="G141" s="135" t="n">
        <v>150000</v>
      </c>
      <c r="H141" s="135" t="inlineStr">
        <is>
          <t>-</t>
        </is>
      </c>
    </row>
    <row r="142">
      <c r="A142" s="8" t="inlineStr">
        <is>
          <t>지마켓</t>
        </is>
      </c>
      <c r="B142" s="9" t="inlineStr">
        <is>
          <t>가공식품</t>
        </is>
      </c>
      <c r="C142" s="8" t="inlineStr">
        <is>
          <t>듬뿍농원</t>
        </is>
      </c>
      <c r="D142" s="134" t="inlineStr">
        <is>
          <t>411-08-51893</t>
        </is>
      </c>
      <c r="E142" s="8" t="inlineStr">
        <is>
          <t>듬뿍농원 겉껍질까지 달인 무안 참솔잎 양파즙 100포</t>
        </is>
      </c>
      <c r="F142" s="135" t="n">
        <v>12</v>
      </c>
      <c r="G142" s="135" t="n">
        <v>420000</v>
      </c>
      <c r="H142" s="135" t="inlineStr">
        <is>
          <t>-</t>
        </is>
      </c>
    </row>
    <row r="143">
      <c r="A143" s="8" t="inlineStr">
        <is>
          <t>지마켓</t>
        </is>
      </c>
      <c r="B143" s="9" t="inlineStr">
        <is>
          <t>가공식품</t>
        </is>
      </c>
      <c r="C143" s="8" t="inlineStr">
        <is>
          <t>듬뿍농원</t>
        </is>
      </c>
      <c r="D143" s="134" t="inlineStr">
        <is>
          <t>411-08-51893</t>
        </is>
      </c>
      <c r="E143" s="8" t="inlineStr">
        <is>
          <t>듬뿍농원 겉껍질까지 달인 무안 빨간 양파즙 100포 무안 (산지직송)</t>
        </is>
      </c>
      <c r="F143" s="135" t="n">
        <v>14</v>
      </c>
      <c r="G143" s="135" t="n">
        <v>627200</v>
      </c>
      <c r="H143" s="135" t="n">
        <v>8960</v>
      </c>
    </row>
    <row r="144">
      <c r="A144" s="8" t="inlineStr">
        <is>
          <t>지마켓</t>
        </is>
      </c>
      <c r="B144" s="9" t="inlineStr">
        <is>
          <t>가공식품</t>
        </is>
      </c>
      <c r="C144" s="8" t="inlineStr">
        <is>
          <t>듬뿍농원</t>
        </is>
      </c>
      <c r="D144" s="134" t="inlineStr">
        <is>
          <t>411-08-51893</t>
        </is>
      </c>
      <c r="E144" s="8" t="inlineStr">
        <is>
          <t>듬뿍농원 겉껍질까지 달인 무안 빨간 양파즙 50포 무안 (산지직송)</t>
        </is>
      </c>
      <c r="F144" s="135" t="n">
        <v>2</v>
      </c>
      <c r="G144" s="135" t="n">
        <v>53600</v>
      </c>
      <c r="H144" s="135" t="inlineStr">
        <is>
          <t>-</t>
        </is>
      </c>
    </row>
    <row r="145">
      <c r="A145" s="8" t="inlineStr">
        <is>
          <t>지마켓</t>
        </is>
      </c>
      <c r="B145" s="9" t="inlineStr">
        <is>
          <t>가공식품</t>
        </is>
      </c>
      <c r="C145" s="8" t="inlineStr">
        <is>
          <t>듬뿍농원</t>
        </is>
      </c>
      <c r="D145" s="134" t="inlineStr">
        <is>
          <t>411-08-51893</t>
        </is>
      </c>
      <c r="E145" s="8" t="inlineStr">
        <is>
          <t>듬뿍농원 겉껍질까지 달인 무안 순수 양파즙 50포 무안 (산지직송)</t>
        </is>
      </c>
      <c r="F145" s="135" t="inlineStr">
        <is>
          <t>-</t>
        </is>
      </c>
      <c r="G145" s="135" t="inlineStr">
        <is>
          <t>-</t>
        </is>
      </c>
      <c r="H145" s="135" t="inlineStr">
        <is>
          <t>-</t>
        </is>
      </c>
    </row>
    <row r="146">
      <c r="A146" s="8" t="inlineStr">
        <is>
          <t>지마켓</t>
        </is>
      </c>
      <c r="B146" s="9" t="inlineStr">
        <is>
          <t>가공식품</t>
        </is>
      </c>
      <c r="C146" s="8" t="inlineStr">
        <is>
          <t>듬뿍농원</t>
        </is>
      </c>
      <c r="D146" s="134" t="inlineStr">
        <is>
          <t>411-08-51893</t>
        </is>
      </c>
      <c r="E146" s="8" t="inlineStr">
        <is>
          <t>듬뿍농원 겉껍질까지 달인 무안 참솔잎 양파즙 50포</t>
        </is>
      </c>
      <c r="F146" s="135" t="inlineStr">
        <is>
          <t>-</t>
        </is>
      </c>
      <c r="G146" s="135" t="inlineStr">
        <is>
          <t>-</t>
        </is>
      </c>
      <c r="H146" s="135" t="inlineStr">
        <is>
          <t>-</t>
        </is>
      </c>
    </row>
    <row r="147">
      <c r="A147" s="8" t="inlineStr">
        <is>
          <t>지마켓</t>
        </is>
      </c>
      <c r="B147" s="9" t="inlineStr">
        <is>
          <t>가공식품</t>
        </is>
      </c>
      <c r="C147" s="8" t="inlineStr">
        <is>
          <t>듬뿍농원</t>
        </is>
      </c>
      <c r="D147" s="134" t="inlineStr">
        <is>
          <t>411-08-51893</t>
        </is>
      </c>
      <c r="E147" s="8" t="inlineStr">
        <is>
          <t>듬뿍농원 겉껍질까지 달인 무안 순수 양파즙 100포 무안 (산지직송) 110ml 대용량</t>
        </is>
      </c>
      <c r="F147" s="135" t="n">
        <v>29</v>
      </c>
      <c r="G147" s="135" t="n">
        <v>1009200</v>
      </c>
      <c r="H147" s="135" t="n">
        <v>20880</v>
      </c>
    </row>
    <row r="148">
      <c r="A148" s="8" t="inlineStr">
        <is>
          <t>지마켓</t>
        </is>
      </c>
      <c r="B148" s="9" t="inlineStr">
        <is>
          <t>가공식품</t>
        </is>
      </c>
      <c r="C148" s="8" t="inlineStr">
        <is>
          <t>듬뿍농원</t>
        </is>
      </c>
      <c r="D148" s="134" t="inlineStr">
        <is>
          <t>411-08-51893</t>
        </is>
      </c>
      <c r="E148" s="8" t="inlineStr">
        <is>
          <t>붉은맛이 살아있는무안황토 비트즙 50포 100ml 무안(산지직송)</t>
        </is>
      </c>
      <c r="F148" s="135" t="n">
        <v>60</v>
      </c>
      <c r="G148" s="135" t="n">
        <v>1608000</v>
      </c>
      <c r="H148" s="135" t="inlineStr">
        <is>
          <t>-</t>
        </is>
      </c>
    </row>
    <row r="149">
      <c r="A149" s="8" t="inlineStr">
        <is>
          <t>지마켓</t>
        </is>
      </c>
      <c r="B149" s="9" t="inlineStr">
        <is>
          <t>가공식품</t>
        </is>
      </c>
      <c r="C149" s="8" t="inlineStr">
        <is>
          <t>듬뿍곡간</t>
        </is>
      </c>
      <c r="D149" s="134" t="inlineStr">
        <is>
          <t>181-02-01980</t>
        </is>
      </c>
      <c r="E149" s="8" t="inlineStr">
        <is>
          <t>듬뿍곡간 수제 쑥 떡 인절미/ 선물세트 간식 식사대용 1kg +콩고물 해썹인증시설</t>
        </is>
      </c>
      <c r="F149" s="135" t="n">
        <v>59</v>
      </c>
      <c r="G149" s="135" t="n">
        <v>970800</v>
      </c>
      <c r="H149" s="135" t="n">
        <v>76480</v>
      </c>
    </row>
    <row r="150">
      <c r="A150" s="8" t="inlineStr">
        <is>
          <t>지마켓</t>
        </is>
      </c>
      <c r="B150" s="9" t="inlineStr">
        <is>
          <t>가공식품</t>
        </is>
      </c>
      <c r="C150" s="8" t="inlineStr">
        <is>
          <t>듬뿍곡간</t>
        </is>
      </c>
      <c r="D150" s="134" t="inlineStr">
        <is>
          <t>181-02-01980</t>
        </is>
      </c>
      <c r="E150" s="8" t="inlineStr">
        <is>
          <t>듬뿍곡간 수제 백미찹쌀누룽지/ 식사대용 간식 누릉지</t>
        </is>
      </c>
      <c r="F150" s="135" t="inlineStr">
        <is>
          <t>-</t>
        </is>
      </c>
      <c r="G150" s="135" t="inlineStr">
        <is>
          <t>-</t>
        </is>
      </c>
      <c r="H150" s="135" t="inlineStr">
        <is>
          <t>-</t>
        </is>
      </c>
    </row>
    <row r="151">
      <c r="A151" s="8" t="inlineStr">
        <is>
          <t>지마켓</t>
        </is>
      </c>
      <c r="B151" s="9" t="inlineStr">
        <is>
          <t>가공식품</t>
        </is>
      </c>
      <c r="C151" s="8" t="inlineStr">
        <is>
          <t>듬뿍곡간</t>
        </is>
      </c>
      <c r="D151" s="134" t="inlineStr">
        <is>
          <t>181-02-01980</t>
        </is>
      </c>
      <c r="E151" s="8" t="inlineStr">
        <is>
          <t>듬뿍곡간 수제누룽지 9개입 / 명절선물세트 누릉지</t>
        </is>
      </c>
      <c r="F151" s="135" t="n">
        <v>4</v>
      </c>
      <c r="G151" s="135" t="n">
        <v>112000</v>
      </c>
      <c r="H151" s="135" t="n">
        <v>10000</v>
      </c>
    </row>
    <row r="152">
      <c r="A152" s="8" t="inlineStr">
        <is>
          <t>지마켓</t>
        </is>
      </c>
      <c r="B152" s="9" t="inlineStr">
        <is>
          <t>가공식품</t>
        </is>
      </c>
      <c r="C152" s="8" t="inlineStr">
        <is>
          <t>듬뿍곡간</t>
        </is>
      </c>
      <c r="D152" s="134" t="inlineStr">
        <is>
          <t>181-02-01980</t>
        </is>
      </c>
      <c r="E152" s="8" t="inlineStr">
        <is>
          <t>듬뿍곡간 수제누룽지 6개입 / 명절선물세트 누릉지</t>
        </is>
      </c>
      <c r="F152" s="135" t="inlineStr">
        <is>
          <t>-</t>
        </is>
      </c>
      <c r="G152" s="135" t="inlineStr">
        <is>
          <t>-</t>
        </is>
      </c>
      <c r="H152" s="135" t="inlineStr">
        <is>
          <t>-</t>
        </is>
      </c>
    </row>
    <row r="153">
      <c r="A153" s="8" t="inlineStr">
        <is>
          <t>지마켓</t>
        </is>
      </c>
      <c r="B153" s="9" t="inlineStr">
        <is>
          <t>가공식품</t>
        </is>
      </c>
      <c r="C153" s="8" t="inlineStr">
        <is>
          <t>듬뿍곡간</t>
        </is>
      </c>
      <c r="D153" s="134" t="inlineStr">
        <is>
          <t>181-02-01980</t>
        </is>
      </c>
      <c r="E153" s="8" t="inlineStr">
        <is>
          <t>듬뿍곡간 수제 귀리누룽지 / 식사대용 간식 누릉지</t>
        </is>
      </c>
      <c r="F153" s="135" t="n">
        <v>2</v>
      </c>
      <c r="G153" s="135" t="n">
        <v>7000</v>
      </c>
      <c r="H153" s="135" t="inlineStr">
        <is>
          <t>-</t>
        </is>
      </c>
    </row>
    <row r="154">
      <c r="A154" s="8" t="inlineStr">
        <is>
          <t>지마켓</t>
        </is>
      </c>
      <c r="B154" s="9" t="inlineStr">
        <is>
          <t>가공식품</t>
        </is>
      </c>
      <c r="C154" s="8" t="inlineStr">
        <is>
          <t>듬뿍곡간</t>
        </is>
      </c>
      <c r="D154" s="134" t="inlineStr">
        <is>
          <t>181-02-01980</t>
        </is>
      </c>
      <c r="E154" s="8" t="inlineStr">
        <is>
          <t>듬뿍곡간 수제 보리누룽지 / 식사대용 간식 누릉지</t>
        </is>
      </c>
      <c r="F154" s="135" t="n">
        <v>2</v>
      </c>
      <c r="G154" s="135" t="n">
        <v>7000</v>
      </c>
      <c r="H154" s="135" t="inlineStr">
        <is>
          <t>-</t>
        </is>
      </c>
    </row>
    <row r="155">
      <c r="A155" s="8" t="inlineStr">
        <is>
          <t>지마켓</t>
        </is>
      </c>
      <c r="B155" s="9" t="inlineStr">
        <is>
          <t>가공식품</t>
        </is>
      </c>
      <c r="C155" s="8" t="inlineStr">
        <is>
          <t>듬뿍곡간</t>
        </is>
      </c>
      <c r="D155" s="134" t="inlineStr">
        <is>
          <t>181-02-01980</t>
        </is>
      </c>
      <c r="E155" s="8" t="inlineStr">
        <is>
          <t>듬뿍곡간 수제 현미누룽지 / 식사대용 간식 누릉지</t>
        </is>
      </c>
      <c r="F155" s="135" t="n">
        <v>163</v>
      </c>
      <c r="G155" s="135" t="n">
        <v>489000</v>
      </c>
      <c r="H155" s="135" t="n">
        <v>39400</v>
      </c>
    </row>
    <row r="156">
      <c r="A156" s="8" t="inlineStr">
        <is>
          <t>지마켓</t>
        </is>
      </c>
      <c r="B156" s="9" t="inlineStr">
        <is>
          <t>가공식품</t>
        </is>
      </c>
      <c r="C156" s="8" t="inlineStr">
        <is>
          <t>듬뿍곡간</t>
        </is>
      </c>
      <c r="D156" s="134" t="inlineStr">
        <is>
          <t>181-02-01980</t>
        </is>
      </c>
      <c r="E156" s="8" t="inlineStr">
        <is>
          <t>듬뿍곡간 국내산 볶은 귀리 / 아침식사대용 간식</t>
        </is>
      </c>
      <c r="F156" s="135" t="inlineStr">
        <is>
          <t>-</t>
        </is>
      </c>
      <c r="G156" s="135" t="inlineStr">
        <is>
          <t>-</t>
        </is>
      </c>
      <c r="H156" s="135" t="inlineStr">
        <is>
          <t>-</t>
        </is>
      </c>
    </row>
    <row r="157">
      <c r="A157" s="8" t="inlineStr">
        <is>
          <t>지마켓</t>
        </is>
      </c>
      <c r="B157" s="9" t="inlineStr">
        <is>
          <t>가공식품</t>
        </is>
      </c>
      <c r="C157" s="8" t="inlineStr">
        <is>
          <t>듬뿍곡간</t>
        </is>
      </c>
      <c r="D157" s="134" t="inlineStr">
        <is>
          <t>181-02-01980</t>
        </is>
      </c>
      <c r="E157" s="8" t="inlineStr">
        <is>
          <t>듬뿍곡간 국내산 쑥미숫가루 / 선식 식사대용 간식 500g</t>
        </is>
      </c>
      <c r="F157" s="135" t="n">
        <v>2</v>
      </c>
      <c r="G157" s="135" t="n">
        <v>23800</v>
      </c>
      <c r="H157" s="135" t="n">
        <v>2380</v>
      </c>
    </row>
    <row r="158">
      <c r="A158" s="8" t="inlineStr">
        <is>
          <t>지마켓</t>
        </is>
      </c>
      <c r="B158" s="9" t="inlineStr">
        <is>
          <t>가공식품</t>
        </is>
      </c>
      <c r="C158" s="8" t="inlineStr">
        <is>
          <t>듬뿍곡간</t>
        </is>
      </c>
      <c r="D158" s="134" t="inlineStr">
        <is>
          <t>181-02-01980</t>
        </is>
      </c>
      <c r="E158" s="8" t="inlineStr">
        <is>
          <t>듬뿍곡간 국내산 귀리가루 / 식사대용 선식 미숫가루 500g</t>
        </is>
      </c>
      <c r="F158" s="135" t="n">
        <v>6</v>
      </c>
      <c r="G158" s="135" t="n">
        <v>71400</v>
      </c>
      <c r="H158" s="135" t="n">
        <v>7140</v>
      </c>
    </row>
    <row r="159">
      <c r="A159" s="8" t="inlineStr">
        <is>
          <t>지마켓</t>
        </is>
      </c>
      <c r="B159" s="9" t="inlineStr">
        <is>
          <t>가공식품</t>
        </is>
      </c>
      <c r="C159" s="8" t="inlineStr">
        <is>
          <t>농업회사법인(주)가남농원</t>
        </is>
      </c>
      <c r="D159" s="134" t="inlineStr">
        <is>
          <t>416-81-59229</t>
        </is>
      </c>
      <c r="E159" s="8" t="inlineStr">
        <is>
          <t>(20%) 광양매화마을 매실장인이 만든 매실원액 1000ml x 3</t>
        </is>
      </c>
      <c r="F159" s="135" t="n">
        <v>116</v>
      </c>
      <c r="G159" s="135" t="n">
        <v>3483700</v>
      </c>
      <c r="H159" s="135" t="n">
        <v>321380</v>
      </c>
    </row>
    <row r="160">
      <c r="A160" s="8" t="inlineStr">
        <is>
          <t>지마켓</t>
        </is>
      </c>
      <c r="B160" s="9" t="inlineStr">
        <is>
          <t>가공식품</t>
        </is>
      </c>
      <c r="C160" s="8" t="inlineStr">
        <is>
          <t>농업회사법인(주)가남농원</t>
        </is>
      </c>
      <c r="D160" s="134" t="inlineStr">
        <is>
          <t>416-81-59229</t>
        </is>
      </c>
      <c r="E160" s="8" t="inlineStr">
        <is>
          <t>광양매화마을 매실장인이 만든 매실원액 1000ml x 5</t>
        </is>
      </c>
      <c r="F160" s="135" t="inlineStr">
        <is>
          <t>-</t>
        </is>
      </c>
      <c r="G160" s="135" t="inlineStr">
        <is>
          <t>-</t>
        </is>
      </c>
      <c r="H160" s="135" t="inlineStr">
        <is>
          <t>-</t>
        </is>
      </c>
    </row>
    <row r="161">
      <c r="A161" s="8" t="inlineStr">
        <is>
          <t>지마켓</t>
        </is>
      </c>
      <c r="B161" s="9" t="inlineStr">
        <is>
          <t>가공식품</t>
        </is>
      </c>
      <c r="C161" s="8" t="inlineStr">
        <is>
          <t>농업회사법인(주)가남농원</t>
        </is>
      </c>
      <c r="D161" s="134" t="inlineStr">
        <is>
          <t>416-81-59229</t>
        </is>
      </c>
      <c r="E161" s="8" t="inlineStr">
        <is>
          <t>광양매화마을 매실장인이 만든 매실원액 1000ml x 5</t>
        </is>
      </c>
      <c r="F161" s="135" t="n">
        <v>1</v>
      </c>
      <c r="G161" s="135" t="n">
        <v>60000</v>
      </c>
      <c r="H161" s="135" t="inlineStr">
        <is>
          <t>-</t>
        </is>
      </c>
    </row>
    <row r="162">
      <c r="A162" s="8" t="inlineStr">
        <is>
          <t>지마켓</t>
        </is>
      </c>
      <c r="B162" s="9" t="inlineStr">
        <is>
          <t>가공식품</t>
        </is>
      </c>
      <c r="C162" s="8" t="inlineStr">
        <is>
          <t>농업회사법인(주)가남농원</t>
        </is>
      </c>
      <c r="D162" s="134" t="inlineStr">
        <is>
          <t>416-81-59229</t>
        </is>
      </c>
      <c r="E162" s="8" t="inlineStr">
        <is>
          <t>김승희매실가 신지식 농업인이 만든 매실절임 1kg</t>
        </is>
      </c>
      <c r="F162" s="135" t="n">
        <v>5</v>
      </c>
      <c r="G162" s="135" t="n">
        <v>165000</v>
      </c>
      <c r="H162" s="135" t="inlineStr">
        <is>
          <t>-</t>
        </is>
      </c>
    </row>
    <row r="163">
      <c r="A163" s="8" t="inlineStr">
        <is>
          <t>지마켓</t>
        </is>
      </c>
      <c r="B163" s="9" t="inlineStr">
        <is>
          <t>가공식품</t>
        </is>
      </c>
      <c r="C163" s="8" t="inlineStr">
        <is>
          <t>농업회사법인(주)가남농원</t>
        </is>
      </c>
      <c r="D163" s="134" t="inlineStr">
        <is>
          <t>416-81-59229</t>
        </is>
      </c>
      <c r="E163" s="8" t="inlineStr">
        <is>
          <t>천기누설 매실 장인이만든 매실고 (농축액) 150g</t>
        </is>
      </c>
      <c r="F163" s="135" t="inlineStr">
        <is>
          <t>-</t>
        </is>
      </c>
      <c r="G163" s="135" t="inlineStr">
        <is>
          <t>-</t>
        </is>
      </c>
      <c r="H163" s="135" t="inlineStr">
        <is>
          <t>-</t>
        </is>
      </c>
    </row>
    <row r="164">
      <c r="A164" s="8" t="inlineStr">
        <is>
          <t>지마켓</t>
        </is>
      </c>
      <c r="B164" s="9" t="inlineStr">
        <is>
          <t>가공식품</t>
        </is>
      </c>
      <c r="C164" s="8" t="inlineStr">
        <is>
          <t>농업회사법인(주)가남농원</t>
        </is>
      </c>
      <c r="D164" s="134" t="inlineStr">
        <is>
          <t>416-81-59229</t>
        </is>
      </c>
      <c r="E164" s="8" t="inlineStr">
        <is>
          <t>천기누설 매실 장인이만든 매실고 (농축액) 150g</t>
        </is>
      </c>
      <c r="F164" s="135" t="n">
        <v>1</v>
      </c>
      <c r="G164" s="135" t="n">
        <v>43000</v>
      </c>
      <c r="H164" s="135" t="inlineStr">
        <is>
          <t>-</t>
        </is>
      </c>
    </row>
    <row r="165">
      <c r="A165" s="8" t="inlineStr">
        <is>
          <t>지마켓</t>
        </is>
      </c>
      <c r="B165" s="9" t="inlineStr">
        <is>
          <t>가공식품</t>
        </is>
      </c>
      <c r="C165" s="8" t="inlineStr">
        <is>
          <t>농업회사법인(주)가남농원</t>
        </is>
      </c>
      <c r="D165" s="134" t="inlineStr">
        <is>
          <t>416-81-59229</t>
        </is>
      </c>
      <c r="E165" s="8" t="inlineStr">
        <is>
          <t>천기누설 매실 장인이만든 매실고150g (농축액) 2병</t>
        </is>
      </c>
      <c r="F165" s="135" t="n">
        <v>5</v>
      </c>
      <c r="G165" s="135" t="n">
        <v>400000</v>
      </c>
      <c r="H165" s="135" t="inlineStr">
        <is>
          <t>-</t>
        </is>
      </c>
    </row>
    <row r="166">
      <c r="A166" s="8" t="inlineStr">
        <is>
          <t>지마켓</t>
        </is>
      </c>
      <c r="B166" s="9" t="inlineStr">
        <is>
          <t>가공식품</t>
        </is>
      </c>
      <c r="C166" s="8" t="inlineStr">
        <is>
          <t>농업회사법인(주)가남농원</t>
        </is>
      </c>
      <c r="D166" s="134" t="inlineStr">
        <is>
          <t>416-81-59229</t>
        </is>
      </c>
      <c r="E166" s="8" t="inlineStr">
        <is>
          <t>100% 씨를 제거한 매실원액 프리미엄 청매원 900ml x3</t>
        </is>
      </c>
      <c r="F166" s="135" t="inlineStr">
        <is>
          <t>-</t>
        </is>
      </c>
      <c r="G166" s="135" t="inlineStr">
        <is>
          <t>-</t>
        </is>
      </c>
      <c r="H166" s="135" t="inlineStr">
        <is>
          <t>-</t>
        </is>
      </c>
    </row>
    <row r="167">
      <c r="A167" s="8" t="inlineStr">
        <is>
          <t>지마켓</t>
        </is>
      </c>
      <c r="B167" s="9" t="inlineStr">
        <is>
          <t>가공식품</t>
        </is>
      </c>
      <c r="C167" s="8" t="inlineStr">
        <is>
          <t>농업회사법인(주)가남농원</t>
        </is>
      </c>
      <c r="D167" s="134" t="inlineStr">
        <is>
          <t>416-81-59229</t>
        </is>
      </c>
      <c r="E167" s="8" t="inlineStr">
        <is>
          <t>100% 씨를 제거한 매실원액 프리미엄 청매원 900mlx3</t>
        </is>
      </c>
      <c r="F167" s="135" t="inlineStr">
        <is>
          <t>-</t>
        </is>
      </c>
      <c r="G167" s="135" t="inlineStr">
        <is>
          <t>-</t>
        </is>
      </c>
      <c r="H167" s="135" t="inlineStr">
        <is>
          <t>-</t>
        </is>
      </c>
    </row>
    <row r="168">
      <c r="A168" s="8" t="inlineStr">
        <is>
          <t>지마켓</t>
        </is>
      </c>
      <c r="B168" s="9" t="inlineStr">
        <is>
          <t>가공식품</t>
        </is>
      </c>
      <c r="C168" s="8" t="inlineStr">
        <is>
          <t>농업회사법인 팜팜(주)</t>
        </is>
      </c>
      <c r="D168" s="134" t="inlineStr">
        <is>
          <t>177-81-00798</t>
        </is>
      </c>
      <c r="E168" s="8" t="inlineStr">
        <is>
          <t>스테비아 국산 토마토 주스 설탕 무첨가 30포 1박스 110ml 30개 논산 직영산지 직접 재배 토마토로 만든</t>
        </is>
      </c>
      <c r="F168" s="135" t="n">
        <v>4</v>
      </c>
      <c r="G168" s="135" t="n">
        <v>120000</v>
      </c>
      <c r="H168" s="135" t="n">
        <v>12000</v>
      </c>
    </row>
    <row r="169">
      <c r="A169" s="8" t="inlineStr">
        <is>
          <t>지마켓</t>
        </is>
      </c>
      <c r="B169" s="9" t="inlineStr">
        <is>
          <t>농산물</t>
        </is>
      </c>
      <c r="C169" s="8" t="inlineStr">
        <is>
          <t>농업회사법인 팜팜(주)</t>
        </is>
      </c>
      <c r="D169" s="134" t="inlineStr">
        <is>
          <t>177-81-00798</t>
        </is>
      </c>
      <c r="E169" s="8" t="inlineStr">
        <is>
          <t>(품질보증) 산지직송 정품과 완숙토마토 5KG 당일수확 유럽종</t>
        </is>
      </c>
      <c r="F169" s="135" t="n">
        <v>320</v>
      </c>
      <c r="G169" s="135" t="n">
        <v>5967100</v>
      </c>
      <c r="H169" s="135" t="n">
        <v>464820</v>
      </c>
    </row>
    <row r="170">
      <c r="A170" s="8" t="inlineStr">
        <is>
          <t>지마켓</t>
        </is>
      </c>
      <c r="B170" s="9" t="inlineStr">
        <is>
          <t>농산물</t>
        </is>
      </c>
      <c r="C170" s="8" t="inlineStr">
        <is>
          <t>수촌농장</t>
        </is>
      </c>
      <c r="D170" s="134" t="inlineStr">
        <is>
          <t>477-93-01384</t>
        </is>
      </c>
      <c r="E170" s="8" t="inlineStr">
        <is>
          <t>(신선집중) 참외 산지직송 고당도 저탄소 꿀 참외 4.5kg(혼합과)</t>
        </is>
      </c>
      <c r="F170" s="135" t="n">
        <v>100</v>
      </c>
      <c r="G170" s="135" t="n">
        <v>1200200</v>
      </c>
      <c r="H170" s="135" t="n">
        <v>2700</v>
      </c>
    </row>
    <row r="171">
      <c r="A171" s="8" t="inlineStr">
        <is>
          <t>지마켓</t>
        </is>
      </c>
      <c r="B171" s="9" t="inlineStr">
        <is>
          <t>농산물</t>
        </is>
      </c>
      <c r="C171" s="8" t="inlineStr">
        <is>
          <t>농업회사법인주식회사착한푸드</t>
        </is>
      </c>
      <c r="D171" s="134" t="inlineStr">
        <is>
          <t>809-86-00022</t>
        </is>
      </c>
      <c r="E171" s="8" t="inlineStr">
        <is>
          <t>복숭아 대극천복숭아 2kg(21-24과내외)</t>
        </is>
      </c>
      <c r="F171" s="135" t="n">
        <v>16</v>
      </c>
      <c r="G171" s="135" t="n">
        <v>488000</v>
      </c>
      <c r="H171" s="135" t="inlineStr">
        <is>
          <t>-</t>
        </is>
      </c>
    </row>
    <row r="172">
      <c r="A172" s="8" t="inlineStr">
        <is>
          <t>지마켓</t>
        </is>
      </c>
      <c r="B172" s="9" t="inlineStr">
        <is>
          <t>농산물</t>
        </is>
      </c>
      <c r="C172" s="8" t="inlineStr">
        <is>
          <t>농업회사법인주식회사착한푸드</t>
        </is>
      </c>
      <c r="D172" s="134" t="inlineStr">
        <is>
          <t>809-86-00022</t>
        </is>
      </c>
      <c r="E172" s="8" t="inlineStr">
        <is>
          <t>복숭아 대극천복숭아 2kg(17-20과내외)</t>
        </is>
      </c>
      <c r="F172" s="135" t="n">
        <v>9</v>
      </c>
      <c r="G172" s="135" t="n">
        <v>232200</v>
      </c>
      <c r="H172" s="135" t="inlineStr">
        <is>
          <t>-</t>
        </is>
      </c>
    </row>
    <row r="173">
      <c r="A173" s="8" t="inlineStr">
        <is>
          <t>지마켓</t>
        </is>
      </c>
      <c r="B173" s="9" t="inlineStr">
        <is>
          <t>농산물</t>
        </is>
      </c>
      <c r="C173" s="8" t="inlineStr">
        <is>
          <t>농업회사법인주식회사착한푸드</t>
        </is>
      </c>
      <c r="D173" s="134" t="inlineStr">
        <is>
          <t>809-86-00022</t>
        </is>
      </c>
      <c r="E173" s="8" t="inlineStr">
        <is>
          <t>복숭아 대극천복숭아 2kg(13-16과내외)</t>
        </is>
      </c>
      <c r="F173" s="135" t="n">
        <v>2950</v>
      </c>
      <c r="G173" s="135" t="n">
        <v>61764200</v>
      </c>
      <c r="H173" s="135" t="n">
        <v>3306380</v>
      </c>
    </row>
    <row r="174">
      <c r="A174" s="8" t="inlineStr">
        <is>
          <t>지마켓</t>
        </is>
      </c>
      <c r="B174" s="9" t="inlineStr">
        <is>
          <t>농산물</t>
        </is>
      </c>
      <c r="C174" s="8" t="inlineStr">
        <is>
          <t>농업회사법인주식회사착한푸드</t>
        </is>
      </c>
      <c r="D174" s="134" t="inlineStr">
        <is>
          <t>809-86-00022</t>
        </is>
      </c>
      <c r="E174" s="8" t="inlineStr">
        <is>
          <t>복숭아 경북 아삭이 복숭아 4kg(20과내외)/중과</t>
        </is>
      </c>
      <c r="F174" s="135" t="n">
        <v>9</v>
      </c>
      <c r="G174" s="135" t="n">
        <v>272500</v>
      </c>
      <c r="H174" s="135" t="inlineStr">
        <is>
          <t>-</t>
        </is>
      </c>
    </row>
    <row r="175">
      <c r="A175" s="8" t="inlineStr">
        <is>
          <t>지마켓</t>
        </is>
      </c>
      <c r="B175" s="9" t="inlineStr">
        <is>
          <t>농산물</t>
        </is>
      </c>
      <c r="C175" s="8" t="inlineStr">
        <is>
          <t>농업회사법인주식회사착한푸드</t>
        </is>
      </c>
      <c r="D175" s="134" t="inlineStr">
        <is>
          <t>809-86-00022</t>
        </is>
      </c>
      <c r="E175" s="8" t="inlineStr">
        <is>
          <t>복숭아 경북 아삭이 복숭아 4kg(18과내외)/중대과</t>
        </is>
      </c>
      <c r="F175" s="135" t="n">
        <v>7</v>
      </c>
      <c r="G175" s="135" t="n">
        <v>232300</v>
      </c>
      <c r="H175" s="135" t="inlineStr">
        <is>
          <t>-</t>
        </is>
      </c>
    </row>
    <row r="176">
      <c r="A176" s="8" t="inlineStr">
        <is>
          <t>지마켓</t>
        </is>
      </c>
      <c r="B176" s="9" t="inlineStr">
        <is>
          <t>농산물</t>
        </is>
      </c>
      <c r="C176" s="8" t="inlineStr">
        <is>
          <t>농업회사법인주식회사착한푸드</t>
        </is>
      </c>
      <c r="D176" s="134" t="inlineStr">
        <is>
          <t>809-86-00022</t>
        </is>
      </c>
      <c r="E176" s="8" t="inlineStr">
        <is>
          <t>복숭아 경북 아삭이 복숭아 4kg(16과내외)/대과</t>
        </is>
      </c>
      <c r="F176" s="135" t="n">
        <v>1</v>
      </c>
      <c r="G176" s="135" t="n">
        <v>37500</v>
      </c>
      <c r="H176" s="135" t="inlineStr">
        <is>
          <t>-</t>
        </is>
      </c>
    </row>
    <row r="177">
      <c r="A177" s="8" t="inlineStr">
        <is>
          <t>지마켓</t>
        </is>
      </c>
      <c r="B177" s="9" t="inlineStr">
        <is>
          <t>농산물</t>
        </is>
      </c>
      <c r="C177" s="8" t="inlineStr">
        <is>
          <t>농업회사법인주식회사착한푸드</t>
        </is>
      </c>
      <c r="D177" s="134" t="inlineStr">
        <is>
          <t>809-86-00022</t>
        </is>
      </c>
      <c r="E177" s="8" t="inlineStr">
        <is>
          <t>복숭아 아삭이복숭아 2kg(11-15과내외)</t>
        </is>
      </c>
      <c r="F177" s="135" t="n">
        <v>1197</v>
      </c>
      <c r="G177" s="135" t="n">
        <v>28191100</v>
      </c>
      <c r="H177" s="135" t="n">
        <v>1560400</v>
      </c>
    </row>
    <row r="178">
      <c r="A178" s="8" t="inlineStr">
        <is>
          <t>지마켓</t>
        </is>
      </c>
      <c r="B178" s="9" t="inlineStr">
        <is>
          <t>농산물</t>
        </is>
      </c>
      <c r="C178" s="8" t="inlineStr">
        <is>
          <t>농업회사법인주식회사착한푸드</t>
        </is>
      </c>
      <c r="D178" s="134" t="inlineStr">
        <is>
          <t>809-86-00022</t>
        </is>
      </c>
      <c r="E178" s="8" t="inlineStr">
        <is>
          <t>복숭아 아삭이복숭아 2kg(9-10과내외)</t>
        </is>
      </c>
      <c r="F178" s="135" t="inlineStr">
        <is>
          <t>-</t>
        </is>
      </c>
      <c r="G178" s="135" t="inlineStr">
        <is>
          <t>-</t>
        </is>
      </c>
      <c r="H178" s="135" t="inlineStr">
        <is>
          <t>-</t>
        </is>
      </c>
    </row>
    <row r="179">
      <c r="A179" s="8" t="inlineStr">
        <is>
          <t>지마켓</t>
        </is>
      </c>
      <c r="B179" s="9" t="inlineStr">
        <is>
          <t>농산물</t>
        </is>
      </c>
      <c r="C179" s="8" t="inlineStr">
        <is>
          <t>농업회사법인주식회사착한푸드</t>
        </is>
      </c>
      <c r="D179" s="134" t="inlineStr">
        <is>
          <t>809-86-00022</t>
        </is>
      </c>
      <c r="E179" s="8" t="inlineStr">
        <is>
          <t>복숭아 아삭이복숭아 2kg(5-8과내외)</t>
        </is>
      </c>
      <c r="F179" s="135" t="n">
        <v>9</v>
      </c>
      <c r="G179" s="135" t="n">
        <v>319300</v>
      </c>
      <c r="H179" s="135" t="inlineStr">
        <is>
          <t>-</t>
        </is>
      </c>
    </row>
    <row r="180">
      <c r="A180" s="8" t="inlineStr">
        <is>
          <t>지마켓</t>
        </is>
      </c>
      <c r="B180" s="9" t="inlineStr">
        <is>
          <t>농산물</t>
        </is>
      </c>
      <c r="C180" s="8" t="inlineStr">
        <is>
          <t>정진농장</t>
        </is>
      </c>
      <c r="D180" s="134" t="inlineStr">
        <is>
          <t>126-99-15769</t>
        </is>
      </c>
      <c r="E180" s="8" t="inlineStr">
        <is>
          <t>유럽상추 GAP인증샐러드상추 산지직송 당일수확 루꼴라</t>
        </is>
      </c>
      <c r="F180" s="135" t="n">
        <v>2936</v>
      </c>
      <c r="G180" s="135" t="n">
        <v>34514260</v>
      </c>
      <c r="H180" s="135" t="n">
        <v>3201390</v>
      </c>
    </row>
    <row r="181">
      <c r="A181" s="8" t="inlineStr">
        <is>
          <t>지마켓</t>
        </is>
      </c>
      <c r="B181" s="9" t="inlineStr">
        <is>
          <t>가공식품</t>
        </is>
      </c>
      <c r="C181" s="8" t="inlineStr">
        <is>
          <t>애산농원</t>
        </is>
      </c>
      <c r="D181" s="134" t="inlineStr">
        <is>
          <t>245-06-03392</t>
        </is>
      </c>
      <c r="E181" s="8" t="inlineStr">
        <is>
          <t>제주 유기농감귤착즙주스 100% 150ml 10개</t>
        </is>
      </c>
      <c r="F181" s="135" t="n">
        <v>14</v>
      </c>
      <c r="G181" s="135" t="n">
        <v>316000</v>
      </c>
      <c r="H181" s="135" t="n">
        <v>31600</v>
      </c>
    </row>
    <row r="182">
      <c r="A182" s="8" t="inlineStr">
        <is>
          <t>지마켓</t>
        </is>
      </c>
      <c r="B182" s="9" t="inlineStr">
        <is>
          <t>농산물</t>
        </is>
      </c>
      <c r="C182" s="8" t="inlineStr">
        <is>
          <t>농업회사법인주식회사 늘해랑</t>
        </is>
      </c>
      <c r="D182" s="134" t="inlineStr">
        <is>
          <t>756-87-00841</t>
        </is>
      </c>
      <c r="E182" s="8" t="inlineStr">
        <is>
          <t>조은해남 고구마 못난이 10kg (꿀호박 랜덤발송)</t>
        </is>
      </c>
      <c r="F182" s="135" t="n">
        <v>179</v>
      </c>
      <c r="G182" s="135" t="n">
        <v>2827100</v>
      </c>
      <c r="H182" s="135" t="inlineStr">
        <is>
          <t>-</t>
        </is>
      </c>
    </row>
    <row r="183">
      <c r="A183" s="8" t="inlineStr">
        <is>
          <t>지마켓</t>
        </is>
      </c>
      <c r="B183" s="9" t="inlineStr">
        <is>
          <t>농산물</t>
        </is>
      </c>
      <c r="C183" s="8" t="inlineStr">
        <is>
          <t>농업회사법인주식회사 늘해랑</t>
        </is>
      </c>
      <c r="D183" s="134" t="inlineStr">
        <is>
          <t>756-87-00841</t>
        </is>
      </c>
      <c r="E183" s="8" t="inlineStr">
        <is>
          <t>조은해남 달콤한 세척 꿀고구마 특상5kg</t>
        </is>
      </c>
      <c r="F183" s="135" t="n">
        <v>284</v>
      </c>
      <c r="G183" s="135" t="n">
        <v>5367600</v>
      </c>
      <c r="H183" s="135" t="inlineStr">
        <is>
          <t>-</t>
        </is>
      </c>
    </row>
    <row r="184">
      <c r="A184" s="8" t="inlineStr">
        <is>
          <t>지마켓</t>
        </is>
      </c>
      <c r="B184" s="9" t="inlineStr">
        <is>
          <t>농산물</t>
        </is>
      </c>
      <c r="C184" s="8" t="inlineStr">
        <is>
          <t>농업회사법인주식회사 늘해랑</t>
        </is>
      </c>
      <c r="D184" s="134" t="inlineStr">
        <is>
          <t>756-87-00841</t>
        </is>
      </c>
      <c r="E184" s="8" t="inlineStr">
        <is>
          <t>조은해남 달콤한 세척 꿀고구마 특상10kg</t>
        </is>
      </c>
      <c r="F184" s="135" t="n">
        <v>16</v>
      </c>
      <c r="G184" s="135" t="n">
        <v>622400</v>
      </c>
      <c r="H184" s="135" t="inlineStr">
        <is>
          <t>-</t>
        </is>
      </c>
    </row>
    <row r="185">
      <c r="A185" s="8" t="inlineStr">
        <is>
          <t>지마켓</t>
        </is>
      </c>
      <c r="B185" s="9" t="inlineStr">
        <is>
          <t>농산물</t>
        </is>
      </c>
      <c r="C185" s="8" t="inlineStr">
        <is>
          <t>농업회사법인주식회사 늘해랑</t>
        </is>
      </c>
      <c r="D185" s="134" t="inlineStr">
        <is>
          <t>756-87-00841</t>
        </is>
      </c>
      <c r="E185" s="8" t="inlineStr">
        <is>
          <t>조은해남 달콤한 꿀밤고구마 특상 5kg</t>
        </is>
      </c>
      <c r="F185" s="135" t="n">
        <v>6</v>
      </c>
      <c r="G185" s="135" t="n">
        <v>119400</v>
      </c>
      <c r="H185" s="135" t="inlineStr">
        <is>
          <t>-</t>
        </is>
      </c>
    </row>
    <row r="186">
      <c r="A186" s="8" t="inlineStr">
        <is>
          <t>지마켓</t>
        </is>
      </c>
      <c r="B186" s="9" t="inlineStr">
        <is>
          <t>농산물</t>
        </is>
      </c>
      <c r="C186" s="8" t="inlineStr">
        <is>
          <t>농업회사법인주식회사 늘해랑</t>
        </is>
      </c>
      <c r="D186" s="134" t="inlineStr">
        <is>
          <t>756-87-00841</t>
        </is>
      </c>
      <c r="E186" s="8" t="inlineStr">
        <is>
          <t>조은해남 달콤한 꿀고구마 특상 5kg</t>
        </is>
      </c>
      <c r="F186" s="135" t="n">
        <v>2</v>
      </c>
      <c r="G186" s="135" t="n">
        <v>39800</v>
      </c>
      <c r="H186" s="135" t="inlineStr">
        <is>
          <t>-</t>
        </is>
      </c>
    </row>
    <row r="187">
      <c r="A187" s="8" t="inlineStr">
        <is>
          <t>지마켓</t>
        </is>
      </c>
      <c r="B187" s="9" t="inlineStr">
        <is>
          <t>농산물</t>
        </is>
      </c>
      <c r="C187" s="8" t="inlineStr">
        <is>
          <t>농업회사법인주식회사 늘해랑</t>
        </is>
      </c>
      <c r="D187" s="134" t="inlineStr">
        <is>
          <t>756-87-00841</t>
        </is>
      </c>
      <c r="E187" s="8" t="inlineStr">
        <is>
          <t>(신선집중) 조은해남 달콤한 꿀고구마 중 5kg</t>
        </is>
      </c>
      <c r="F187" s="135" t="n">
        <v>119</v>
      </c>
      <c r="G187" s="135" t="n">
        <v>2011100</v>
      </c>
      <c r="H187" s="135" t="inlineStr">
        <is>
          <t>-</t>
        </is>
      </c>
    </row>
    <row r="188">
      <c r="A188" s="8" t="inlineStr">
        <is>
          <t>지마켓</t>
        </is>
      </c>
      <c r="B188" s="9" t="inlineStr">
        <is>
          <t>농산물</t>
        </is>
      </c>
      <c r="C188" s="8" t="inlineStr">
        <is>
          <t>농업회사법인주식회사 늘해랑</t>
        </is>
      </c>
      <c r="D188" s="134" t="inlineStr">
        <is>
          <t>756-87-00841</t>
        </is>
      </c>
      <c r="E188" s="8" t="inlineStr">
        <is>
          <t>달콤한 꿀고구마 특상 5kg</t>
        </is>
      </c>
      <c r="F188" s="135" t="n">
        <v>6</v>
      </c>
      <c r="G188" s="135" t="n">
        <v>119400</v>
      </c>
      <c r="H188" s="135" t="inlineStr">
        <is>
          <t>-</t>
        </is>
      </c>
    </row>
    <row r="189">
      <c r="A189" s="8" t="inlineStr">
        <is>
          <t>지마켓</t>
        </is>
      </c>
      <c r="B189" s="9" t="inlineStr">
        <is>
          <t>농산물</t>
        </is>
      </c>
      <c r="C189" s="8" t="inlineStr">
        <is>
          <t>농업회사법인주식회사 늘해랑</t>
        </is>
      </c>
      <c r="D189" s="134" t="inlineStr">
        <is>
          <t>756-87-00841</t>
        </is>
      </c>
      <c r="E189" s="8" t="inlineStr">
        <is>
          <t>조은해남 달콤한 꿀고구마 중 3kg</t>
        </is>
      </c>
      <c r="F189" s="135" t="n">
        <v>1</v>
      </c>
      <c r="G189" s="135" t="n">
        <v>12900</v>
      </c>
      <c r="H189" s="135" t="inlineStr">
        <is>
          <t>-</t>
        </is>
      </c>
    </row>
    <row r="190">
      <c r="A190" s="8" t="inlineStr">
        <is>
          <t>지마켓</t>
        </is>
      </c>
      <c r="B190" s="9" t="inlineStr">
        <is>
          <t>농산물</t>
        </is>
      </c>
      <c r="C190" s="8" t="inlineStr">
        <is>
          <t>농업회사법인주식회사 늘해랑</t>
        </is>
      </c>
      <c r="D190" s="134" t="inlineStr">
        <is>
          <t>756-87-00841</t>
        </is>
      </c>
      <c r="E190" s="8" t="inlineStr">
        <is>
          <t>조은해남 달콤한 꿀고구마 특상 3kg</t>
        </is>
      </c>
      <c r="F190" s="135" t="n">
        <v>2</v>
      </c>
      <c r="G190" s="135" t="n">
        <v>27800</v>
      </c>
      <c r="H190" s="135" t="inlineStr">
        <is>
          <t>-</t>
        </is>
      </c>
    </row>
    <row r="191">
      <c r="A191" s="8" t="inlineStr">
        <is>
          <t>지마켓</t>
        </is>
      </c>
      <c r="B191" s="9" t="inlineStr">
        <is>
          <t>농산물</t>
        </is>
      </c>
      <c r="C191" s="8" t="inlineStr">
        <is>
          <t>농업회사법인주식회사 늘해랑</t>
        </is>
      </c>
      <c r="D191" s="134" t="inlineStr">
        <is>
          <t>756-87-00841</t>
        </is>
      </c>
      <c r="E191" s="8" t="inlineStr">
        <is>
          <t>(신선집중) 조은해남 고구마 못난이 10kg (꿀호박 랜덤발송)</t>
        </is>
      </c>
      <c r="F191" s="135" t="n">
        <v>1461</v>
      </c>
      <c r="G191" s="135" t="n">
        <v>23106900</v>
      </c>
      <c r="H191" s="135" t="inlineStr">
        <is>
          <t>-</t>
        </is>
      </c>
    </row>
    <row r="192">
      <c r="A192" s="8" t="inlineStr">
        <is>
          <t>지마켓</t>
        </is>
      </c>
      <c r="B192" s="9" t="inlineStr">
        <is>
          <t>농산물</t>
        </is>
      </c>
      <c r="C192" s="8" t="inlineStr">
        <is>
          <t>농업회사법인주식회사 늘해랑</t>
        </is>
      </c>
      <c r="D192" s="134" t="inlineStr">
        <is>
          <t>756-87-00841</t>
        </is>
      </c>
      <c r="E192" s="8" t="inlineStr">
        <is>
          <t>조은해남 달콤한 호박고구마 특상10kg</t>
        </is>
      </c>
      <c r="F192" s="135" t="n">
        <v>18</v>
      </c>
      <c r="G192" s="135" t="n">
        <v>592200</v>
      </c>
      <c r="H192" s="135" t="inlineStr">
        <is>
          <t>-</t>
        </is>
      </c>
    </row>
    <row r="193">
      <c r="A193" s="8" t="inlineStr">
        <is>
          <t>지마켓</t>
        </is>
      </c>
      <c r="B193" s="9" t="inlineStr">
        <is>
          <t>농산물</t>
        </is>
      </c>
      <c r="C193" s="8" t="inlineStr">
        <is>
          <t>농업회사법인주식회사 늘해랑</t>
        </is>
      </c>
      <c r="D193" s="134" t="inlineStr">
        <is>
          <t>756-87-00841</t>
        </is>
      </c>
      <c r="E193" s="8" t="inlineStr">
        <is>
          <t>조은해남 달콤한 호박고구마 특상 5kg</t>
        </is>
      </c>
      <c r="F193" s="135" t="n">
        <v>2946</v>
      </c>
      <c r="G193" s="135" t="n">
        <v>53973010</v>
      </c>
      <c r="H193" s="135" t="n">
        <v>5022810</v>
      </c>
    </row>
    <row r="194">
      <c r="A194" s="8" t="inlineStr">
        <is>
          <t>지마켓</t>
        </is>
      </c>
      <c r="B194" s="9" t="inlineStr">
        <is>
          <t>농산물</t>
        </is>
      </c>
      <c r="C194" s="8" t="inlineStr">
        <is>
          <t>농업회사법인주식회사 늘해랑</t>
        </is>
      </c>
      <c r="D194" s="134" t="inlineStr">
        <is>
          <t>756-87-00841</t>
        </is>
      </c>
      <c r="E194" s="8" t="inlineStr">
        <is>
          <t>조은해남 달콤한 꿀고구마 특상3kg</t>
        </is>
      </c>
      <c r="F194" s="135" t="n">
        <v>1</v>
      </c>
      <c r="G194" s="135" t="n">
        <v>14900</v>
      </c>
      <c r="H194" s="135" t="inlineStr">
        <is>
          <t>-</t>
        </is>
      </c>
    </row>
    <row r="195">
      <c r="A195" s="8" t="inlineStr">
        <is>
          <t>지마켓</t>
        </is>
      </c>
      <c r="B195" s="9" t="inlineStr">
        <is>
          <t>농산물</t>
        </is>
      </c>
      <c r="C195" s="8" t="inlineStr">
        <is>
          <t>농업회사법인주식회사 늘해랑</t>
        </is>
      </c>
      <c r="D195" s="134" t="inlineStr">
        <is>
          <t>756-87-00841</t>
        </is>
      </c>
      <c r="E195" s="8" t="inlineStr">
        <is>
          <t>(신선집중) 조은해남 달콤한 호박고구마 특상5kg</t>
        </is>
      </c>
      <c r="F195" s="135" t="n">
        <v>2</v>
      </c>
      <c r="G195" s="135" t="n">
        <v>35800</v>
      </c>
      <c r="H195" s="135" t="inlineStr">
        <is>
          <t>-</t>
        </is>
      </c>
    </row>
    <row r="196">
      <c r="A196" s="8" t="inlineStr">
        <is>
          <t>지마켓</t>
        </is>
      </c>
      <c r="B196" s="9" t="inlineStr">
        <is>
          <t>농산물</t>
        </is>
      </c>
      <c r="C196" s="8" t="inlineStr">
        <is>
          <t>농업회사법인주식회사 늘해랑</t>
        </is>
      </c>
      <c r="D196" s="134" t="inlineStr">
        <is>
          <t>756-87-00841</t>
        </is>
      </c>
      <c r="E196" s="8" t="inlineStr">
        <is>
          <t>(신선집중) 조은해남 못난이 고구마10kg</t>
        </is>
      </c>
      <c r="F196" s="135" t="n">
        <v>519</v>
      </c>
      <c r="G196" s="135" t="n">
        <v>8180100</v>
      </c>
      <c r="H196" s="135" t="inlineStr">
        <is>
          <t>-</t>
        </is>
      </c>
    </row>
    <row r="197">
      <c r="A197" s="8" t="inlineStr">
        <is>
          <t>지마켓</t>
        </is>
      </c>
      <c r="B197" s="9" t="inlineStr">
        <is>
          <t>농산물</t>
        </is>
      </c>
      <c r="C197" s="8" t="inlineStr">
        <is>
          <t>농업회사법인주식회사 늘해랑</t>
        </is>
      </c>
      <c r="D197" s="134" t="inlineStr">
        <is>
          <t>756-87-00841</t>
        </is>
      </c>
      <c r="E197" s="8" t="inlineStr">
        <is>
          <t>(신선집중) 조은해남 달콤한꿀고구마 특상3kg</t>
        </is>
      </c>
      <c r="F197" s="135" t="n">
        <v>98</v>
      </c>
      <c r="G197" s="135" t="n">
        <v>1180900</v>
      </c>
      <c r="H197" s="135" t="inlineStr">
        <is>
          <t>-</t>
        </is>
      </c>
    </row>
    <row r="198">
      <c r="A198" s="8" t="inlineStr">
        <is>
          <t>지마켓</t>
        </is>
      </c>
      <c r="B198" s="9" t="inlineStr">
        <is>
          <t>농산물</t>
        </is>
      </c>
      <c r="C198" s="8" t="inlineStr">
        <is>
          <t>농업회사법인주식회사 늘해랑</t>
        </is>
      </c>
      <c r="D198" s="134" t="inlineStr">
        <is>
          <t>756-87-00841</t>
        </is>
      </c>
      <c r="E198" s="8" t="inlineStr">
        <is>
          <t>조은해남 달콤한 꿀고구마 특상 10kg</t>
        </is>
      </c>
      <c r="F198" s="135" t="n">
        <v>4</v>
      </c>
      <c r="G198" s="135" t="n">
        <v>151600</v>
      </c>
      <c r="H198" s="135" t="inlineStr">
        <is>
          <t>-</t>
        </is>
      </c>
    </row>
    <row r="199">
      <c r="A199" s="8" t="inlineStr">
        <is>
          <t>지마켓</t>
        </is>
      </c>
      <c r="B199" s="9" t="inlineStr">
        <is>
          <t>농산물</t>
        </is>
      </c>
      <c r="C199" s="8" t="inlineStr">
        <is>
          <t>농업회사법인주식회사 늘해랑</t>
        </is>
      </c>
      <c r="D199" s="134" t="inlineStr">
        <is>
          <t>756-87-00841</t>
        </is>
      </c>
      <c r="E199" s="8" t="inlineStr">
        <is>
          <t>조은해남 달콤한 꿀고구마 중 10kg</t>
        </is>
      </c>
      <c r="F199" s="135" t="n">
        <v>2</v>
      </c>
      <c r="G199" s="135" t="n">
        <v>71800</v>
      </c>
      <c r="H199" s="135" t="inlineStr">
        <is>
          <t>-</t>
        </is>
      </c>
    </row>
    <row r="200">
      <c r="A200" s="8" t="inlineStr">
        <is>
          <t>지마켓</t>
        </is>
      </c>
      <c r="B200" s="9" t="inlineStr">
        <is>
          <t>농산물</t>
        </is>
      </c>
      <c r="C200" s="8" t="inlineStr">
        <is>
          <t>농업회사법인주식회사 늘해랑</t>
        </is>
      </c>
      <c r="D200" s="134" t="inlineStr">
        <is>
          <t>756-87-00841</t>
        </is>
      </c>
      <c r="E200" s="8" t="inlineStr">
        <is>
          <t>(신선집중) 조은해남 달콤한 꿀고구마 한입 10kg</t>
        </is>
      </c>
      <c r="F200" s="135" t="n">
        <v>9</v>
      </c>
      <c r="G200" s="135" t="n">
        <v>206100</v>
      </c>
      <c r="H200" s="135" t="inlineStr">
        <is>
          <t>-</t>
        </is>
      </c>
    </row>
    <row r="201">
      <c r="A201" s="8" t="inlineStr">
        <is>
          <t>지마켓</t>
        </is>
      </c>
      <c r="B201" s="9" t="inlineStr">
        <is>
          <t>농산물</t>
        </is>
      </c>
      <c r="C201" s="8" t="inlineStr">
        <is>
          <t>농업회사법인주식회사 늘해랑</t>
        </is>
      </c>
      <c r="D201" s="134" t="inlineStr">
        <is>
          <t>756-87-00841</t>
        </is>
      </c>
      <c r="E201" s="8" t="inlineStr">
        <is>
          <t>(신선집중) 조은해남 달콤한 꿀고구마 중 5kg</t>
        </is>
      </c>
      <c r="F201" s="135" t="n">
        <v>18</v>
      </c>
      <c r="G201" s="135" t="n">
        <v>358200</v>
      </c>
      <c r="H201" s="135" t="inlineStr">
        <is>
          <t>-</t>
        </is>
      </c>
    </row>
    <row r="202">
      <c r="A202" s="8" t="inlineStr">
        <is>
          <t>지마켓</t>
        </is>
      </c>
      <c r="B202" s="9" t="inlineStr">
        <is>
          <t>농산물</t>
        </is>
      </c>
      <c r="C202" s="8" t="inlineStr">
        <is>
          <t>농업회사법인주식회사 늘해랑</t>
        </is>
      </c>
      <c r="D202" s="134" t="inlineStr">
        <is>
          <t>756-87-00841</t>
        </is>
      </c>
      <c r="E202" s="8" t="inlineStr">
        <is>
          <t>(신선집중) 조은해남 달콤한 꿀고구마 특상 5kg</t>
        </is>
      </c>
      <c r="F202" s="135" t="n">
        <v>295</v>
      </c>
      <c r="G202" s="135" t="n">
        <v>5605000</v>
      </c>
      <c r="H202" s="135" t="inlineStr">
        <is>
          <t>-</t>
        </is>
      </c>
    </row>
    <row r="203">
      <c r="A203" s="8" t="inlineStr">
        <is>
          <t>지마켓</t>
        </is>
      </c>
      <c r="B203" s="9" t="inlineStr">
        <is>
          <t>축산물</t>
        </is>
      </c>
      <c r="C203" s="8" t="inlineStr">
        <is>
          <t>임마누엘농장</t>
        </is>
      </c>
      <c r="D203" s="134" t="inlineStr">
        <is>
          <t>382-91-01817</t>
        </is>
      </c>
      <c r="E203" s="8" t="inlineStr">
        <is>
          <t>난각번호1번 프리미엄 유정란 꾸지뽕 먹고 자란 자유 방사 유정란 자연방목 계란 대란 20구</t>
        </is>
      </c>
      <c r="F203" s="135" t="n">
        <v>24</v>
      </c>
      <c r="G203" s="135" t="n">
        <v>735600</v>
      </c>
      <c r="H203" s="135" t="n">
        <v>42210</v>
      </c>
    </row>
    <row r="204">
      <c r="A204" s="8" t="inlineStr">
        <is>
          <t>지마켓</t>
        </is>
      </c>
      <c r="B204" s="9" t="inlineStr">
        <is>
          <t>가공식품</t>
        </is>
      </c>
      <c r="C204" s="8" t="inlineStr">
        <is>
          <t>초림단지묵</t>
        </is>
      </c>
      <c r="D204" s="134" t="inlineStr">
        <is>
          <t>615-14-93195</t>
        </is>
      </c>
      <c r="E204" s="8" t="inlineStr">
        <is>
          <t>초림단지묵 국산 100% 도토리묵 400g 2인분 x 1팩</t>
        </is>
      </c>
      <c r="F204" s="135" t="inlineStr">
        <is>
          <t>-</t>
        </is>
      </c>
      <c r="G204" s="135" t="inlineStr">
        <is>
          <t>-</t>
        </is>
      </c>
      <c r="H204" s="135" t="inlineStr">
        <is>
          <t>-</t>
        </is>
      </c>
    </row>
    <row r="205">
      <c r="A205" s="8" t="inlineStr">
        <is>
          <t>지마켓</t>
        </is>
      </c>
      <c r="B205" s="9" t="inlineStr">
        <is>
          <t>가공식품</t>
        </is>
      </c>
      <c r="C205" s="8" t="inlineStr">
        <is>
          <t>초림단지묵</t>
        </is>
      </c>
      <c r="D205" s="134" t="inlineStr">
        <is>
          <t>615-14-93195</t>
        </is>
      </c>
      <c r="E205" s="8" t="inlineStr">
        <is>
          <t>초림단지묵 국산100% 도토리묵 묵사발 세트</t>
        </is>
      </c>
      <c r="F205" s="135" t="inlineStr">
        <is>
          <t>-</t>
        </is>
      </c>
      <c r="G205" s="135" t="inlineStr">
        <is>
          <t>-</t>
        </is>
      </c>
      <c r="H205" s="135" t="inlineStr">
        <is>
          <t>-</t>
        </is>
      </c>
    </row>
    <row r="206">
      <c r="A206" s="8" t="inlineStr">
        <is>
          <t>지마켓</t>
        </is>
      </c>
      <c r="B206" s="9" t="inlineStr">
        <is>
          <t>가공식품</t>
        </is>
      </c>
      <c r="C206" s="8" t="inlineStr">
        <is>
          <t>초림단지묵</t>
        </is>
      </c>
      <c r="D206" s="134" t="inlineStr">
        <is>
          <t>615-14-93195</t>
        </is>
      </c>
      <c r="E206" s="8" t="inlineStr">
        <is>
          <t>초림단지묵 명인 국산 콩물 우묵채 (2인분)</t>
        </is>
      </c>
      <c r="F206" s="135" t="inlineStr">
        <is>
          <t>-</t>
        </is>
      </c>
      <c r="G206" s="135" t="inlineStr">
        <is>
          <t>-</t>
        </is>
      </c>
      <c r="H206" s="135" t="inlineStr">
        <is>
          <t>-</t>
        </is>
      </c>
    </row>
    <row r="207">
      <c r="A207" s="8" t="inlineStr">
        <is>
          <t>지마켓</t>
        </is>
      </c>
      <c r="B207" s="9" t="inlineStr">
        <is>
          <t>가공식품</t>
        </is>
      </c>
      <c r="C207" s="8" t="inlineStr">
        <is>
          <t>초림단지묵</t>
        </is>
      </c>
      <c r="D207" s="134" t="inlineStr">
        <is>
          <t>615-14-93195</t>
        </is>
      </c>
      <c r="E207" s="8" t="inlineStr">
        <is>
          <t>초림단지묵 국산 콩물 콩가루 90g 1인분 x 5팩 물만타면 콩국수</t>
        </is>
      </c>
      <c r="F207" s="135" t="inlineStr">
        <is>
          <t>-</t>
        </is>
      </c>
      <c r="G207" s="135" t="inlineStr">
        <is>
          <t>-</t>
        </is>
      </c>
      <c r="H207" s="135" t="inlineStr">
        <is>
          <t>-</t>
        </is>
      </c>
    </row>
    <row r="208">
      <c r="A208" s="8" t="inlineStr">
        <is>
          <t>지마켓</t>
        </is>
      </c>
      <c r="B208" s="9" t="inlineStr">
        <is>
          <t>가공식품</t>
        </is>
      </c>
      <c r="C208" s="8" t="inlineStr">
        <is>
          <t>초림단지묵</t>
        </is>
      </c>
      <c r="D208" s="134" t="inlineStr">
        <is>
          <t>615-14-93195</t>
        </is>
      </c>
      <c r="E208" s="8" t="inlineStr">
        <is>
          <t>초림단지묵 국산 콩물 콩가루 400g 4인분 물만타면 콩국수</t>
        </is>
      </c>
      <c r="F208" s="135" t="inlineStr">
        <is>
          <t>-</t>
        </is>
      </c>
      <c r="G208" s="135" t="inlineStr">
        <is>
          <t>-</t>
        </is>
      </c>
      <c r="H208" s="135" t="inlineStr">
        <is>
          <t>-</t>
        </is>
      </c>
    </row>
    <row r="209">
      <c r="A209" s="8" t="inlineStr">
        <is>
          <t>지마켓</t>
        </is>
      </c>
      <c r="B209" s="9" t="inlineStr">
        <is>
          <t>농산물</t>
        </is>
      </c>
      <c r="C209" s="8" t="inlineStr">
        <is>
          <t>그린몬스터즈</t>
        </is>
      </c>
      <c r="D209" s="134" t="inlineStr">
        <is>
          <t>883-95-01472</t>
        </is>
      </c>
      <c r="E209" s="8" t="inlineStr">
        <is>
          <t>당일수확발송 그린몬스터즈 프리미엄 미니오이 1.5kg 농장직거래 여름작기 첫수확 특가할인행사</t>
        </is>
      </c>
      <c r="F209" s="135" t="n">
        <v>28</v>
      </c>
      <c r="G209" s="135" t="n">
        <v>700000</v>
      </c>
      <c r="H209" s="135" t="n">
        <v>31600</v>
      </c>
    </row>
    <row r="210">
      <c r="A210" s="8" t="inlineStr">
        <is>
          <t>지마켓</t>
        </is>
      </c>
      <c r="B210" s="9" t="inlineStr">
        <is>
          <t>농산물</t>
        </is>
      </c>
      <c r="C210" s="8" t="inlineStr">
        <is>
          <t>그린몬스터즈</t>
        </is>
      </c>
      <c r="D210" s="134" t="inlineStr">
        <is>
          <t>883-95-01472</t>
        </is>
      </c>
      <c r="E210" s="8" t="inlineStr">
        <is>
          <t>당일수확발송 그린몬스터즈 프리미엄 미니오이 750g 농장직거래 여름작기 첫수확 특가할인행사</t>
        </is>
      </c>
      <c r="F210" s="135" t="n">
        <v>11</v>
      </c>
      <c r="G210" s="135" t="n">
        <v>165000</v>
      </c>
      <c r="H210" s="135" t="n">
        <v>7110</v>
      </c>
    </row>
    <row r="211">
      <c r="A211" s="8" t="inlineStr">
        <is>
          <t>지마켓</t>
        </is>
      </c>
      <c r="B211" s="9" t="inlineStr">
        <is>
          <t>가공식품</t>
        </is>
      </c>
      <c r="C211" s="8" t="inlineStr">
        <is>
          <t>농업회사법인 주식회사 마이티팜</t>
        </is>
      </c>
      <c r="D211" s="134" t="inlineStr">
        <is>
          <t>460-88-01363</t>
        </is>
      </c>
      <c r="E211" s="8" t="inlineStr">
        <is>
          <t>국산 아카시아 꿀스틱 30포 / 100% 천연 벌꿀 아카시아꿀 허니스틱</t>
        </is>
      </c>
      <c r="F211" s="135" t="n">
        <v>21</v>
      </c>
      <c r="G211" s="135" t="n">
        <v>598500</v>
      </c>
      <c r="H211" s="135" t="n">
        <v>54200</v>
      </c>
    </row>
    <row r="212">
      <c r="A212" s="8" t="inlineStr">
        <is>
          <t>지마켓</t>
        </is>
      </c>
      <c r="B212" s="9" t="inlineStr">
        <is>
          <t>가공식품</t>
        </is>
      </c>
      <c r="C212" s="8" t="inlineStr">
        <is>
          <t>농업회사법인 주식회사 마이티팜</t>
        </is>
      </c>
      <c r="D212" s="134" t="inlineStr">
        <is>
          <t>460-88-01363</t>
        </is>
      </c>
      <c r="E212" s="8" t="inlineStr">
        <is>
          <t>국산 프로폴리스 꿀스틱 15포 / 컨디션 건강 관리 에너지 스틱 꿀 2026 리뉴얼</t>
        </is>
      </c>
      <c r="F212" s="135" t="n">
        <v>2</v>
      </c>
      <c r="G212" s="135" t="n">
        <v>55600</v>
      </c>
      <c r="H212" s="135" t="n">
        <v>10000</v>
      </c>
    </row>
    <row r="213">
      <c r="A213" s="8" t="inlineStr">
        <is>
          <t>지마켓</t>
        </is>
      </c>
      <c r="B213" s="9" t="inlineStr">
        <is>
          <t>가공식품</t>
        </is>
      </c>
      <c r="C213" s="8" t="inlineStr">
        <is>
          <t>농업회사법인 주식회사 마이티팜</t>
        </is>
      </c>
      <c r="D213" s="134" t="inlineStr">
        <is>
          <t>460-88-01363</t>
        </is>
      </c>
      <c r="E213" s="8" t="inlineStr">
        <is>
          <t>국산 프로폴리스 꿀스틱 30포 / 천연 벌꿀 허니스틱 꿀</t>
        </is>
      </c>
      <c r="F213" s="135" t="n">
        <v>4</v>
      </c>
      <c r="G213" s="135" t="n">
        <v>219600</v>
      </c>
      <c r="H213" s="135" t="n">
        <v>20000</v>
      </c>
    </row>
    <row r="214">
      <c r="A214" s="8" t="inlineStr">
        <is>
          <t>지마켓</t>
        </is>
      </c>
      <c r="B214" s="9" t="inlineStr">
        <is>
          <t>가공식품</t>
        </is>
      </c>
      <c r="C214" s="8" t="inlineStr">
        <is>
          <t>농업회사법인 주식회사 마이티팜</t>
        </is>
      </c>
      <c r="D214" s="134" t="inlineStr">
        <is>
          <t>460-88-01363</t>
        </is>
      </c>
      <c r="E214" s="8" t="inlineStr">
        <is>
          <t>꿀프로 국내산 맛있는 프로폴리스 꿀스틱 10포 /아카시아꿀+프로폴리스</t>
        </is>
      </c>
      <c r="F214" s="135" t="inlineStr">
        <is>
          <t>-</t>
        </is>
      </c>
      <c r="G214" s="135" t="inlineStr">
        <is>
          <t>-</t>
        </is>
      </c>
      <c r="H214" s="135" t="inlineStr">
        <is>
          <t>-</t>
        </is>
      </c>
    </row>
    <row r="215">
      <c r="A215" s="8" t="inlineStr">
        <is>
          <t>지마켓</t>
        </is>
      </c>
      <c r="B215" s="9" t="inlineStr">
        <is>
          <t>가공식품</t>
        </is>
      </c>
      <c r="C215" s="8" t="inlineStr">
        <is>
          <t>농업회사법인 주식회사 마이티팜</t>
        </is>
      </c>
      <c r="D215" s="134" t="inlineStr">
        <is>
          <t>460-88-01363</t>
        </is>
      </c>
      <c r="E215" s="8" t="inlineStr">
        <is>
          <t>꿀프로 국내산 맛있는 프로폴리스 꿀스틱 20포 /아카시아꿀+프로폴리스</t>
        </is>
      </c>
      <c r="F215" s="135" t="n">
        <v>2</v>
      </c>
      <c r="G215" s="135" t="n">
        <v>51800</v>
      </c>
      <c r="H215" s="135" t="n">
        <v>5180</v>
      </c>
    </row>
    <row r="216">
      <c r="A216" s="8" t="inlineStr">
        <is>
          <t>지마켓</t>
        </is>
      </c>
      <c r="B216" s="9" t="inlineStr">
        <is>
          <t>가공식품</t>
        </is>
      </c>
      <c r="C216" s="8" t="inlineStr">
        <is>
          <t>농업회사법인 주식회사 마이티팜</t>
        </is>
      </c>
      <c r="D216" s="134" t="inlineStr">
        <is>
          <t>460-88-01363</t>
        </is>
      </c>
      <c r="E216" s="8" t="inlineStr">
        <is>
          <t>스위터 국내산 아카시아꿀 500g 100% 천연 벌꿀</t>
        </is>
      </c>
      <c r="F216" s="135" t="n">
        <v>530</v>
      </c>
      <c r="G216" s="135" t="n">
        <v>7912000</v>
      </c>
      <c r="H216" s="135" t="n">
        <v>433560</v>
      </c>
    </row>
    <row r="217">
      <c r="A217" s="8" t="inlineStr">
        <is>
          <t>지마켓</t>
        </is>
      </c>
      <c r="B217" s="9" t="inlineStr">
        <is>
          <t>가공식품</t>
        </is>
      </c>
      <c r="C217" s="8" t="inlineStr">
        <is>
          <t>농업회사법인 주식회사 마이티팜</t>
        </is>
      </c>
      <c r="D217" s="134" t="inlineStr">
        <is>
          <t>460-88-01363</t>
        </is>
      </c>
      <c r="E217" s="8" t="inlineStr">
        <is>
          <t>스위터 국산 꿀스틱 10포 벌꿀 허니스틱 답례품 선물</t>
        </is>
      </c>
      <c r="F217" s="135" t="inlineStr">
        <is>
          <t>-</t>
        </is>
      </c>
      <c r="G217" s="135" t="inlineStr">
        <is>
          <t>-</t>
        </is>
      </c>
      <c r="H217" s="135" t="inlineStr">
        <is>
          <t>-</t>
        </is>
      </c>
    </row>
    <row r="218">
      <c r="A218" s="8" t="inlineStr">
        <is>
          <t>지마켓</t>
        </is>
      </c>
      <c r="B218" s="9" t="inlineStr">
        <is>
          <t>가공식품</t>
        </is>
      </c>
      <c r="C218" s="8" t="inlineStr">
        <is>
          <t>농업회사법인 주식회사 마이티팜</t>
        </is>
      </c>
      <c r="D218" s="134" t="inlineStr">
        <is>
          <t>460-88-01363</t>
        </is>
      </c>
      <c r="E218" s="8" t="inlineStr">
        <is>
          <t>스위터 국내산 아카시아 천연벌꿀 스틱 10p 꿀 아카시아꿀</t>
        </is>
      </c>
      <c r="F218" s="135" t="inlineStr">
        <is>
          <t>-</t>
        </is>
      </c>
      <c r="G218" s="135" t="inlineStr">
        <is>
          <t>-</t>
        </is>
      </c>
      <c r="H218" s="135" t="inlineStr">
        <is>
          <t>-</t>
        </is>
      </c>
    </row>
    <row r="219">
      <c r="A219" s="8" t="inlineStr">
        <is>
          <t>지마켓</t>
        </is>
      </c>
      <c r="B219" s="9" t="inlineStr">
        <is>
          <t>가공식품</t>
        </is>
      </c>
      <c r="C219" s="8" t="inlineStr">
        <is>
          <t>농업회사법인 주식회사 마이티팜</t>
        </is>
      </c>
      <c r="D219" s="134" t="inlineStr">
        <is>
          <t>460-88-01363</t>
        </is>
      </c>
      <c r="E219" s="8" t="inlineStr">
        <is>
          <t>국산 아카시아꿀 꿀스틱 선물세트 60포+쇼핑백 / 100% 천연 벌꿀 허니스틱 꿀 선물</t>
        </is>
      </c>
      <c r="F219" s="135" t="inlineStr">
        <is>
          <t>-</t>
        </is>
      </c>
      <c r="G219" s="135" t="inlineStr">
        <is>
          <t>-</t>
        </is>
      </c>
      <c r="H219" s="135" t="inlineStr">
        <is>
          <t>-</t>
        </is>
      </c>
    </row>
    <row r="220">
      <c r="A220" s="8" t="inlineStr">
        <is>
          <t>지마켓</t>
        </is>
      </c>
      <c r="B220" s="9" t="inlineStr">
        <is>
          <t>가공식품</t>
        </is>
      </c>
      <c r="C220" s="8" t="inlineStr">
        <is>
          <t>농업회사법인 주식회사 마이티팜</t>
        </is>
      </c>
      <c r="D220" s="134" t="inlineStr">
        <is>
          <t>460-88-01363</t>
        </is>
      </c>
      <c r="E220" s="8" t="inlineStr">
        <is>
          <t>국산 프로폴리스 꿀스틱 선물세트 60포+쇼핑백 / 건강 축하 응원 부모님 직장인 선물</t>
        </is>
      </c>
      <c r="F220" s="135" t="n">
        <v>1</v>
      </c>
      <c r="G220" s="135" t="n">
        <v>84900</v>
      </c>
      <c r="H220" s="135" t="inlineStr">
        <is>
          <t>-</t>
        </is>
      </c>
    </row>
    <row r="221">
      <c r="A221" s="8" t="inlineStr">
        <is>
          <t>지마켓</t>
        </is>
      </c>
      <c r="B221" s="9" t="inlineStr">
        <is>
          <t>가공식품</t>
        </is>
      </c>
      <c r="C221" s="8" t="inlineStr">
        <is>
          <t>농업회사법인 주식회사 마이티팜</t>
        </is>
      </c>
      <c r="D221" s="134" t="inlineStr">
        <is>
          <t>460-88-01363</t>
        </is>
      </c>
      <c r="E221" s="8" t="inlineStr">
        <is>
          <t>6가지맛 과일 꿀차 선물세트 허니카페 /부모님 선생님 선물 센스있는 답례품</t>
        </is>
      </c>
      <c r="F221" s="135" t="inlineStr">
        <is>
          <t>-</t>
        </is>
      </c>
      <c r="G221" s="135" t="inlineStr">
        <is>
          <t>-</t>
        </is>
      </c>
      <c r="H221" s="135" t="inlineStr">
        <is>
          <t>-</t>
        </is>
      </c>
    </row>
    <row r="222">
      <c r="A222" s="8" t="inlineStr">
        <is>
          <t>지마켓</t>
        </is>
      </c>
      <c r="B222" s="9" t="inlineStr">
        <is>
          <t>가공식품</t>
        </is>
      </c>
      <c r="C222" s="8" t="inlineStr">
        <is>
          <t>어이딸부각</t>
        </is>
      </c>
      <c r="D222" s="134" t="inlineStr">
        <is>
          <t>142-33-00898</t>
        </is>
      </c>
      <c r="E222" s="8" t="inlineStr">
        <is>
          <t>어이딸 순한 김부각 160g 찹쌀 수제 비건 글루텐프리 저당</t>
        </is>
      </c>
      <c r="F222" s="135" t="inlineStr">
        <is>
          <t>-</t>
        </is>
      </c>
      <c r="G222" s="135" t="inlineStr">
        <is>
          <t>-</t>
        </is>
      </c>
      <c r="H222" s="135" t="inlineStr">
        <is>
          <t>-</t>
        </is>
      </c>
    </row>
    <row r="223">
      <c r="A223" s="8" t="inlineStr">
        <is>
          <t>지마켓</t>
        </is>
      </c>
      <c r="B223" s="9" t="inlineStr">
        <is>
          <t>가공식품</t>
        </is>
      </c>
      <c r="C223" s="8" t="inlineStr">
        <is>
          <t>어이딸부각</t>
        </is>
      </c>
      <c r="D223" s="134" t="inlineStr">
        <is>
          <t>142-33-00898</t>
        </is>
      </c>
      <c r="E223" s="8" t="inlineStr">
        <is>
          <t>고추크런치 70g 고추부각 튀각 찹쌀 수제 비건</t>
        </is>
      </c>
      <c r="F223" s="135" t="inlineStr">
        <is>
          <t>-</t>
        </is>
      </c>
      <c r="G223" s="135" t="inlineStr">
        <is>
          <t>-</t>
        </is>
      </c>
      <c r="H223" s="135" t="inlineStr">
        <is>
          <t>-</t>
        </is>
      </c>
    </row>
    <row r="224">
      <c r="A224" s="8" t="inlineStr">
        <is>
          <t>지마켓</t>
        </is>
      </c>
      <c r="B224" s="9" t="inlineStr">
        <is>
          <t>가공식품</t>
        </is>
      </c>
      <c r="C224" s="8" t="inlineStr">
        <is>
          <t>어이딸부각</t>
        </is>
      </c>
      <c r="D224" s="134" t="inlineStr">
        <is>
          <t>142-33-00898</t>
        </is>
      </c>
      <c r="E224" s="8" t="inlineStr">
        <is>
          <t>어이딸 김부각 선물세트 소 5개입 찹쌀 수제 비건 글루텐프리 저당</t>
        </is>
      </c>
      <c r="F224" s="135" t="n">
        <v>30</v>
      </c>
      <c r="G224" s="135" t="n">
        <v>690000</v>
      </c>
      <c r="H224" s="135" t="n">
        <v>10000</v>
      </c>
    </row>
    <row r="225">
      <c r="A225" s="8" t="inlineStr">
        <is>
          <t>지마켓</t>
        </is>
      </c>
      <c r="B225" s="9" t="inlineStr">
        <is>
          <t>가공식품</t>
        </is>
      </c>
      <c r="C225" s="8" t="inlineStr">
        <is>
          <t>어이딸부각</t>
        </is>
      </c>
      <c r="D225" s="134" t="inlineStr">
        <is>
          <t>142-33-00898</t>
        </is>
      </c>
      <c r="E225" s="8" t="inlineStr">
        <is>
          <t>어이딸 김부각 선물세트 중 8개입 찹쌀 수제 비건 글루텐프리 저당</t>
        </is>
      </c>
      <c r="F225" s="135" t="inlineStr">
        <is>
          <t>-</t>
        </is>
      </c>
      <c r="G225" s="135" t="inlineStr">
        <is>
          <t>-</t>
        </is>
      </c>
      <c r="H225" s="135" t="inlineStr">
        <is>
          <t>-</t>
        </is>
      </c>
    </row>
    <row r="226">
      <c r="A226" s="8" t="inlineStr">
        <is>
          <t>지마켓</t>
        </is>
      </c>
      <c r="B226" s="9" t="inlineStr">
        <is>
          <t>가공식품</t>
        </is>
      </c>
      <c r="C226" s="8" t="inlineStr">
        <is>
          <t>농업회사법인 유한회사 자연식품</t>
        </is>
      </c>
      <c r="D226" s="134" t="inlineStr">
        <is>
          <t>264-81-50516</t>
        </is>
      </c>
      <c r="E226" s="8" t="inlineStr">
        <is>
          <t>(HACPP 인증) 자연그대로 배도라지즙 100ml x 30팩</t>
        </is>
      </c>
      <c r="F226" s="135" t="inlineStr">
        <is>
          <t>-</t>
        </is>
      </c>
      <c r="G226" s="135" t="inlineStr">
        <is>
          <t>-</t>
        </is>
      </c>
      <c r="H226" s="135" t="inlineStr">
        <is>
          <t>-</t>
        </is>
      </c>
    </row>
    <row r="227">
      <c r="A227" s="8" t="inlineStr">
        <is>
          <t>지마켓</t>
        </is>
      </c>
      <c r="B227" s="9" t="inlineStr">
        <is>
          <t>가공식품</t>
        </is>
      </c>
      <c r="C227" s="8" t="inlineStr">
        <is>
          <t>농업회사법인 유한회사 자연식품</t>
        </is>
      </c>
      <c r="D227" s="134" t="inlineStr">
        <is>
          <t>264-81-50516</t>
        </is>
      </c>
      <c r="E227" s="8" t="inlineStr">
        <is>
          <t>(HACPP 인증) 자연그대로 배도라지즙 100ml x 60팩</t>
        </is>
      </c>
      <c r="F227" s="135" t="n">
        <v>4</v>
      </c>
      <c r="G227" s="135" t="n">
        <v>107600</v>
      </c>
      <c r="H227" s="135" t="inlineStr">
        <is>
          <t>-</t>
        </is>
      </c>
    </row>
    <row r="228">
      <c r="A228" s="8" t="inlineStr">
        <is>
          <t>지마켓</t>
        </is>
      </c>
      <c r="B228" s="9" t="inlineStr">
        <is>
          <t>가공식품</t>
        </is>
      </c>
      <c r="C228" s="8" t="inlineStr">
        <is>
          <t>농업회사법인 유한회사 자연식품</t>
        </is>
      </c>
      <c r="D228" s="134" t="inlineStr">
        <is>
          <t>264-81-50516</t>
        </is>
      </c>
      <c r="E228" s="8" t="inlineStr">
        <is>
          <t>(HACPP 인증) 자연그대로 배도라지즙 100ml x 90팩 / 선물용 패키지박스(30팩 x 3박스)</t>
        </is>
      </c>
      <c r="F228" s="135" t="n">
        <v>26</v>
      </c>
      <c r="G228" s="135" t="n">
        <v>983400</v>
      </c>
      <c r="H228" s="135" t="n">
        <v>32140</v>
      </c>
    </row>
    <row r="229">
      <c r="A229" s="8" t="inlineStr">
        <is>
          <t>지마켓</t>
        </is>
      </c>
      <c r="B229" s="9" t="inlineStr">
        <is>
          <t>가공식품</t>
        </is>
      </c>
      <c r="C229" s="8" t="inlineStr">
        <is>
          <t>농업회사법인 유한회사 자연식품</t>
        </is>
      </c>
      <c r="D229" s="134" t="inlineStr">
        <is>
          <t>264-81-50516</t>
        </is>
      </c>
      <c r="E229" s="8" t="inlineStr">
        <is>
          <t>(HACPP 인증) 자연그대로 배도라지즙 100ml x 100팩+10팩(총110팩)</t>
        </is>
      </c>
      <c r="F229" s="135" t="n">
        <v>68</v>
      </c>
      <c r="G229" s="135" t="n">
        <v>2752900</v>
      </c>
      <c r="H229" s="135" t="n">
        <v>70000</v>
      </c>
    </row>
    <row r="230">
      <c r="A230" s="8" t="inlineStr">
        <is>
          <t>지마켓</t>
        </is>
      </c>
      <c r="B230" s="9" t="inlineStr">
        <is>
          <t>가공식품</t>
        </is>
      </c>
      <c r="C230" s="8" t="inlineStr">
        <is>
          <t>농업회사법인 유한회사 자연식품</t>
        </is>
      </c>
      <c r="D230" s="134" t="inlineStr">
        <is>
          <t>264-81-50516</t>
        </is>
      </c>
      <c r="E230" s="8" t="inlineStr">
        <is>
          <t>자연 그대로 도라지배즙 100ml 30팩</t>
        </is>
      </c>
      <c r="F230" s="135" t="inlineStr">
        <is>
          <t>-</t>
        </is>
      </c>
      <c r="G230" s="135" t="inlineStr">
        <is>
          <t>-</t>
        </is>
      </c>
      <c r="H230" s="135" t="inlineStr">
        <is>
          <t>-</t>
        </is>
      </c>
    </row>
    <row r="231">
      <c r="A231" s="8" t="inlineStr">
        <is>
          <t>지마켓</t>
        </is>
      </c>
      <c r="B231" s="9" t="inlineStr">
        <is>
          <t>가공식품</t>
        </is>
      </c>
      <c r="C231" s="8" t="inlineStr">
        <is>
          <t>농업회사법인 유한회사 자연식품</t>
        </is>
      </c>
      <c r="D231" s="134" t="inlineStr">
        <is>
          <t>264-81-50516</t>
        </is>
      </c>
      <c r="E231" s="8" t="inlineStr">
        <is>
          <t>자연 그대로 도라지배즙 100ml 60팩</t>
        </is>
      </c>
      <c r="F231" s="135" t="inlineStr">
        <is>
          <t>-</t>
        </is>
      </c>
      <c r="G231" s="135" t="inlineStr">
        <is>
          <t>-</t>
        </is>
      </c>
      <c r="H231" s="135" t="inlineStr">
        <is>
          <t>-</t>
        </is>
      </c>
    </row>
    <row r="232">
      <c r="A232" s="8" t="inlineStr">
        <is>
          <t>지마켓</t>
        </is>
      </c>
      <c r="B232" s="9" t="inlineStr">
        <is>
          <t>가공식품</t>
        </is>
      </c>
      <c r="C232" s="8" t="inlineStr">
        <is>
          <t>농업회사법인 유한회사 자연식품</t>
        </is>
      </c>
      <c r="D232" s="134" t="inlineStr">
        <is>
          <t>264-81-50516</t>
        </is>
      </c>
      <c r="E232" s="8" t="inlineStr">
        <is>
          <t>자연 그대로 도라지배즙 100ml 90팩</t>
        </is>
      </c>
      <c r="F232" s="135" t="n">
        <v>1</v>
      </c>
      <c r="G232" s="135" t="n">
        <v>40900</v>
      </c>
      <c r="H232" s="135" t="inlineStr">
        <is>
          <t>-</t>
        </is>
      </c>
    </row>
    <row r="233">
      <c r="A233" s="8" t="inlineStr">
        <is>
          <t>지마켓</t>
        </is>
      </c>
      <c r="B233" s="9" t="inlineStr">
        <is>
          <t>가공식품</t>
        </is>
      </c>
      <c r="C233" s="8" t="inlineStr">
        <is>
          <t>농업회사법인 유한회사 자연식품</t>
        </is>
      </c>
      <c r="D233" s="134" t="inlineStr">
        <is>
          <t>264-81-50516</t>
        </is>
      </c>
      <c r="E233" s="8" t="inlineStr">
        <is>
          <t>자연이 만든 도라지배즙 파우치 100ml 30팩</t>
        </is>
      </c>
      <c r="F233" s="135" t="inlineStr">
        <is>
          <t>-</t>
        </is>
      </c>
      <c r="G233" s="135" t="inlineStr">
        <is>
          <t>-</t>
        </is>
      </c>
      <c r="H233" s="135" t="inlineStr">
        <is>
          <t>-</t>
        </is>
      </c>
    </row>
    <row r="234">
      <c r="A234" s="8" t="inlineStr">
        <is>
          <t>지마켓</t>
        </is>
      </c>
      <c r="B234" s="9" t="inlineStr">
        <is>
          <t>가공식품</t>
        </is>
      </c>
      <c r="C234" s="8" t="inlineStr">
        <is>
          <t>농업회사법인 유한회사 자연식품</t>
        </is>
      </c>
      <c r="D234" s="134" t="inlineStr">
        <is>
          <t>264-81-50516</t>
        </is>
      </c>
      <c r="E234" s="8" t="inlineStr">
        <is>
          <t>자연이 만든 도라지배즙 파우치 100ml 60팩</t>
        </is>
      </c>
      <c r="F234" s="135" t="n">
        <v>1</v>
      </c>
      <c r="G234" s="135" t="n">
        <v>36900</v>
      </c>
      <c r="H234" s="135" t="inlineStr">
        <is>
          <t>-</t>
        </is>
      </c>
    </row>
    <row r="235">
      <c r="A235" s="8" t="inlineStr">
        <is>
          <t>지마켓</t>
        </is>
      </c>
      <c r="B235" s="9" t="inlineStr">
        <is>
          <t>가공식품</t>
        </is>
      </c>
      <c r="C235" s="8" t="inlineStr">
        <is>
          <t>농업회사법인 유한회사 자연식품</t>
        </is>
      </c>
      <c r="D235" s="134" t="inlineStr">
        <is>
          <t>264-81-50516</t>
        </is>
      </c>
      <c r="E235" s="8" t="inlineStr">
        <is>
          <t>(HACPP 인증) 자연이 만든 도라지배즙 100ml x 100팩+10팩(총110팩)</t>
        </is>
      </c>
      <c r="F235" s="135" t="n">
        <v>1</v>
      </c>
      <c r="G235" s="135" t="n">
        <v>49900</v>
      </c>
      <c r="H235" s="135" t="inlineStr">
        <is>
          <t>-</t>
        </is>
      </c>
    </row>
    <row r="236">
      <c r="A236" s="8" t="inlineStr">
        <is>
          <t>지마켓</t>
        </is>
      </c>
      <c r="B236" s="9" t="inlineStr">
        <is>
          <t>가공식품</t>
        </is>
      </c>
      <c r="C236" s="8" t="inlineStr">
        <is>
          <t>농업회사법인 유한회사 자연식품</t>
        </is>
      </c>
      <c r="D236" s="134" t="inlineStr">
        <is>
          <t>264-81-50516</t>
        </is>
      </c>
      <c r="E236" s="8" t="inlineStr">
        <is>
          <t>자연이 만든 도라지배즙 스파우트 100ml 30팩</t>
        </is>
      </c>
      <c r="F236" s="135" t="inlineStr">
        <is>
          <t>-</t>
        </is>
      </c>
      <c r="G236" s="135" t="inlineStr">
        <is>
          <t>-</t>
        </is>
      </c>
      <c r="H236" s="135" t="inlineStr">
        <is>
          <t>-</t>
        </is>
      </c>
    </row>
    <row r="237">
      <c r="A237" s="8" t="inlineStr">
        <is>
          <t>지마켓</t>
        </is>
      </c>
      <c r="B237" s="9" t="inlineStr">
        <is>
          <t>가공식품</t>
        </is>
      </c>
      <c r="C237" s="8" t="inlineStr">
        <is>
          <t>농업회사법인 유한회사 자연식품</t>
        </is>
      </c>
      <c r="D237" s="134" t="inlineStr">
        <is>
          <t>264-81-50516</t>
        </is>
      </c>
      <c r="E237" s="8" t="inlineStr">
        <is>
          <t>자연이 만든 도라지배즙 스파우트 100ml 60팩</t>
        </is>
      </c>
      <c r="F237" s="135" t="inlineStr">
        <is>
          <t>-</t>
        </is>
      </c>
      <c r="G237" s="135" t="inlineStr">
        <is>
          <t>-</t>
        </is>
      </c>
      <c r="H237" s="135" t="inlineStr">
        <is>
          <t>-</t>
        </is>
      </c>
    </row>
    <row r="238">
      <c r="A238" s="8" t="inlineStr">
        <is>
          <t>지마켓</t>
        </is>
      </c>
      <c r="B238" s="9" t="inlineStr">
        <is>
          <t>가공식품</t>
        </is>
      </c>
      <c r="C238" s="8" t="inlineStr">
        <is>
          <t>농업회사법인 유한회사 자연식품</t>
        </is>
      </c>
      <c r="D238" s="134" t="inlineStr">
        <is>
          <t>264-81-50516</t>
        </is>
      </c>
      <c r="E238" s="8" t="inlineStr">
        <is>
          <t>(도라지 20%) HACCP인증 자연이 만든 더 진한 도라지배즙 스파우트 100ml x 30팩</t>
        </is>
      </c>
      <c r="F238" s="135" t="n">
        <v>1</v>
      </c>
      <c r="G238" s="135" t="n">
        <v>36900</v>
      </c>
      <c r="H238" s="135" t="inlineStr">
        <is>
          <t>-</t>
        </is>
      </c>
    </row>
    <row r="239">
      <c r="A239" s="8" t="inlineStr">
        <is>
          <t>지마켓</t>
        </is>
      </c>
      <c r="B239" s="9" t="inlineStr">
        <is>
          <t>가공식품</t>
        </is>
      </c>
      <c r="C239" s="8" t="inlineStr">
        <is>
          <t>농업회사법인 유한회사 자연식품</t>
        </is>
      </c>
      <c r="D239" s="134" t="inlineStr">
        <is>
          <t>264-81-50516</t>
        </is>
      </c>
      <c r="E239" s="8" t="inlineStr">
        <is>
          <t>(도라지 20%) HACCP인증 자연이 만든 더 진한 도라지배즙 스파우트 100ml x 60팩</t>
        </is>
      </c>
      <c r="F239" s="135" t="inlineStr">
        <is>
          <t>-</t>
        </is>
      </c>
      <c r="G239" s="135" t="inlineStr">
        <is>
          <t>-</t>
        </is>
      </c>
      <c r="H239" s="135" t="inlineStr">
        <is>
          <t>-</t>
        </is>
      </c>
    </row>
    <row r="240">
      <c r="A240" s="8" t="inlineStr">
        <is>
          <t>지마켓</t>
        </is>
      </c>
      <c r="B240" s="9" t="inlineStr">
        <is>
          <t>가공식품</t>
        </is>
      </c>
      <c r="C240" s="8" t="inlineStr">
        <is>
          <t>농업회사법인 유한회사 자연식품</t>
        </is>
      </c>
      <c r="D240" s="134" t="inlineStr">
        <is>
          <t>264-81-50516</t>
        </is>
      </c>
      <c r="E240" s="8" t="inlineStr">
        <is>
          <t>(HACPP 인증) 자연그대로 무안 자색양파즙 100ml x 30팩</t>
        </is>
      </c>
      <c r="F240" s="135" t="n">
        <v>11</v>
      </c>
      <c r="G240" s="135" t="n">
        <v>195500</v>
      </c>
      <c r="H240" s="135" t="n">
        <v>3500</v>
      </c>
    </row>
    <row r="241">
      <c r="A241" s="8" t="inlineStr">
        <is>
          <t>지마켓</t>
        </is>
      </c>
      <c r="B241" s="9" t="inlineStr">
        <is>
          <t>가공식품</t>
        </is>
      </c>
      <c r="C241" s="8" t="inlineStr">
        <is>
          <t>농업회사법인 유한회사 자연식품</t>
        </is>
      </c>
      <c r="D241" s="134" t="inlineStr">
        <is>
          <t>264-81-50516</t>
        </is>
      </c>
      <c r="E241" s="8" t="inlineStr">
        <is>
          <t>(HACPP 인증) 자연그대로 무안 자색양파즙 100ml x 60팩</t>
        </is>
      </c>
      <c r="F241" s="135" t="n">
        <v>11</v>
      </c>
      <c r="G241" s="135" t="n">
        <v>303900</v>
      </c>
      <c r="H241" s="135" t="n">
        <v>5380</v>
      </c>
    </row>
    <row r="242">
      <c r="A242" s="8" t="inlineStr">
        <is>
          <t>지마켓</t>
        </is>
      </c>
      <c r="B242" s="9" t="inlineStr">
        <is>
          <t>가공식품</t>
        </is>
      </c>
      <c r="C242" s="8" t="inlineStr">
        <is>
          <t>농업회사법인 유한회사 자연식품</t>
        </is>
      </c>
      <c r="D242" s="134" t="inlineStr">
        <is>
          <t>264-81-50516</t>
        </is>
      </c>
      <c r="E242" s="8" t="inlineStr">
        <is>
          <t>(HACPP 인증) 자연그대로 무안 자색양파즙 100ml x 100팩+10팩(총110팩)</t>
        </is>
      </c>
      <c r="F242" s="135" t="n">
        <v>114</v>
      </c>
      <c r="G242" s="135" t="n">
        <v>4542600</v>
      </c>
      <c r="H242" s="135" t="n">
        <v>140040</v>
      </c>
    </row>
    <row r="243">
      <c r="A243" s="8" t="inlineStr">
        <is>
          <t>지마켓</t>
        </is>
      </c>
      <c r="B243" s="9" t="inlineStr">
        <is>
          <t>가공식품</t>
        </is>
      </c>
      <c r="C243" s="8" t="inlineStr">
        <is>
          <t>농업회사법인 유한회사 자연식품</t>
        </is>
      </c>
      <c r="D243" s="134" t="inlineStr">
        <is>
          <t>264-81-50516</t>
        </is>
      </c>
      <c r="E243" s="8" t="inlineStr">
        <is>
          <t>(HACPP 인증) 자연그대로 무안 자색양파즙 100ml x 140팩 / 최대용량 기획세트(35팩 x 4박스)</t>
        </is>
      </c>
      <c r="F243" s="135" t="n">
        <v>242</v>
      </c>
      <c r="G243" s="135" t="n">
        <v>11349800</v>
      </c>
      <c r="H243" s="135" t="n">
        <v>697380</v>
      </c>
    </row>
    <row r="244">
      <c r="A244" s="8" t="inlineStr">
        <is>
          <t>지마켓</t>
        </is>
      </c>
      <c r="B244" s="9" t="inlineStr">
        <is>
          <t>가공식품</t>
        </is>
      </c>
      <c r="C244" s="8" t="inlineStr">
        <is>
          <t>농업회사법인 유한회사 자연식품</t>
        </is>
      </c>
      <c r="D244" s="134" t="inlineStr">
        <is>
          <t>264-81-50516</t>
        </is>
      </c>
      <c r="E244" s="8" t="inlineStr">
        <is>
          <t>(100포) 자연식품 무안 양파즙 100ml x 100팩(실속구성 HACCP)</t>
        </is>
      </c>
      <c r="F244" s="135" t="n">
        <v>6</v>
      </c>
      <c r="G244" s="135" t="n">
        <v>208400</v>
      </c>
      <c r="H244" s="135" t="inlineStr">
        <is>
          <t>-</t>
        </is>
      </c>
    </row>
    <row r="245">
      <c r="A245" s="8" t="inlineStr">
        <is>
          <t>지마켓</t>
        </is>
      </c>
      <c r="B245" s="9" t="inlineStr">
        <is>
          <t>농산물</t>
        </is>
      </c>
      <c r="C245" s="8" t="inlineStr">
        <is>
          <t>농업회사법인제프런주식회사</t>
        </is>
      </c>
      <c r="D245" s="134" t="inlineStr">
        <is>
          <t>616-81-85948</t>
        </is>
      </c>
      <c r="E245" s="8" t="inlineStr">
        <is>
          <t>(신선집중) 밤호박 제주직송 밤단호박 보우짱 5kg실중량(9~25과내외)</t>
        </is>
      </c>
      <c r="F245" s="135" t="n">
        <v>4348</v>
      </c>
      <c r="G245" s="135" t="n">
        <v>65560580</v>
      </c>
      <c r="H245" s="135" t="n">
        <v>4994140</v>
      </c>
    </row>
    <row r="246">
      <c r="A246" s="8" t="inlineStr">
        <is>
          <t>지마켓</t>
        </is>
      </c>
      <c r="B246" s="9" t="inlineStr">
        <is>
          <t>가공식품</t>
        </is>
      </c>
      <c r="C246" s="8" t="inlineStr">
        <is>
          <t>농업회사법인 (주)생생초</t>
        </is>
      </c>
      <c r="D246" s="134" t="inlineStr">
        <is>
          <t>514-81-74335</t>
        </is>
      </c>
      <c r="E246" s="8" t="inlineStr">
        <is>
          <t>생생초 애사비 애플사이다비니거 생초 사과식초 1000ml 생사과만 발효시켜 초모가 살아있는 자연발효식초</t>
        </is>
      </c>
      <c r="F246" s="135" t="n">
        <v>71</v>
      </c>
      <c r="G246" s="135" t="n">
        <v>780290</v>
      </c>
      <c r="H246" s="135" t="n">
        <v>63690</v>
      </c>
    </row>
    <row r="247">
      <c r="A247" s="8" t="inlineStr">
        <is>
          <t>지마켓</t>
        </is>
      </c>
      <c r="B247" s="9" t="inlineStr">
        <is>
          <t>가공식품</t>
        </is>
      </c>
      <c r="C247" s="8" t="inlineStr">
        <is>
          <t>(주)노스팜</t>
        </is>
      </c>
      <c r="D247" s="134" t="inlineStr">
        <is>
          <t>639-81-03411</t>
        </is>
      </c>
      <c r="E247" s="8" t="inlineStr">
        <is>
          <t>전라도할매 국내산 원재료로 만든 얼갈이김치 2.5kg+열무김치2.5kg / 총 5kg / 국산 100% 재료 및 제조</t>
        </is>
      </c>
      <c r="F247" s="135" t="n">
        <v>4478</v>
      </c>
      <c r="G247" s="135" t="n">
        <v>75036380</v>
      </c>
      <c r="H247" s="135" t="n">
        <v>4887830</v>
      </c>
    </row>
    <row r="248">
      <c r="A248" s="8" t="inlineStr">
        <is>
          <t>지마켓</t>
        </is>
      </c>
      <c r="B248" s="9" t="inlineStr">
        <is>
          <t>농산물</t>
        </is>
      </c>
      <c r="C248" s="8" t="inlineStr">
        <is>
          <t>다모아영농조합법인</t>
        </is>
      </c>
      <c r="D248" s="134" t="inlineStr">
        <is>
          <t>613-81-60803</t>
        </is>
      </c>
      <c r="E248" s="8" t="inlineStr">
        <is>
          <t>창녕 양파 햇양파 3kg (4번 5.9cm이하)</t>
        </is>
      </c>
      <c r="F248" s="135" t="inlineStr">
        <is>
          <t>-</t>
        </is>
      </c>
      <c r="G248" s="135" t="inlineStr">
        <is>
          <t>-</t>
        </is>
      </c>
      <c r="H248" s="135" t="inlineStr">
        <is>
          <t>-</t>
        </is>
      </c>
    </row>
    <row r="249">
      <c r="A249" s="8" t="inlineStr">
        <is>
          <t>지마켓</t>
        </is>
      </c>
      <c r="B249" s="9" t="inlineStr">
        <is>
          <t>농산물</t>
        </is>
      </c>
      <c r="C249" s="8" t="inlineStr">
        <is>
          <t>다모아영농조합법인</t>
        </is>
      </c>
      <c r="D249" s="134" t="inlineStr">
        <is>
          <t>613-81-60803</t>
        </is>
      </c>
      <c r="E249" s="8" t="inlineStr">
        <is>
          <t>창녕 양파 햇양파 3kg (3번 6-6.9cm)</t>
        </is>
      </c>
      <c r="F249" s="135" t="inlineStr">
        <is>
          <t>-</t>
        </is>
      </c>
      <c r="G249" s="135" t="inlineStr">
        <is>
          <t>-</t>
        </is>
      </c>
      <c r="H249" s="135" t="inlineStr">
        <is>
          <t>-</t>
        </is>
      </c>
    </row>
    <row r="250">
      <c r="A250" s="8" t="inlineStr">
        <is>
          <t>지마켓</t>
        </is>
      </c>
      <c r="B250" s="9" t="inlineStr">
        <is>
          <t>농산물</t>
        </is>
      </c>
      <c r="C250" s="8" t="inlineStr">
        <is>
          <t>다모아영농조합법인</t>
        </is>
      </c>
      <c r="D250" s="134" t="inlineStr">
        <is>
          <t>613-81-60803</t>
        </is>
      </c>
      <c r="E250" s="8" t="inlineStr">
        <is>
          <t>창녕 양파 햇양파 3kg (2번 7-7.9cm)</t>
        </is>
      </c>
      <c r="F250" s="135" t="inlineStr">
        <is>
          <t>-</t>
        </is>
      </c>
      <c r="G250" s="135" t="inlineStr">
        <is>
          <t>-</t>
        </is>
      </c>
      <c r="H250" s="135" t="inlineStr">
        <is>
          <t>-</t>
        </is>
      </c>
    </row>
    <row r="251">
      <c r="A251" s="8" t="inlineStr">
        <is>
          <t>지마켓</t>
        </is>
      </c>
      <c r="B251" s="9" t="inlineStr">
        <is>
          <t>가공식품</t>
        </is>
      </c>
      <c r="C251" s="8" t="inlineStr">
        <is>
          <t>(주)우영채널</t>
        </is>
      </c>
      <c r="D251" s="134" t="inlineStr">
        <is>
          <t>114-86-65039</t>
        </is>
      </c>
      <c r="E251" s="8" t="inlineStr">
        <is>
          <t>(신선집중) 사대부 포기김치 10kg (국내산 100% 농산물 한국소비자만족브랜드 대상)</t>
        </is>
      </c>
      <c r="F251" s="135" t="n">
        <v>1619</v>
      </c>
      <c r="G251" s="135" t="n">
        <v>68771600</v>
      </c>
      <c r="H251" s="135" t="n">
        <v>5251560</v>
      </c>
    </row>
    <row r="252">
      <c r="A252" s="8" t="inlineStr">
        <is>
          <t>지마켓</t>
        </is>
      </c>
      <c r="B252" s="9" t="inlineStr">
        <is>
          <t>가공식품</t>
        </is>
      </c>
      <c r="C252" s="8" t="inlineStr">
        <is>
          <t>애산농원</t>
        </is>
      </c>
      <c r="D252" s="134" t="inlineStr">
        <is>
          <t>245-06-03392</t>
        </is>
      </c>
      <c r="E252" s="8" t="inlineStr">
        <is>
          <t>제주 유기농감귤착즙주스 100% 150ml 30개</t>
        </is>
      </c>
      <c r="F252" s="135" t="n">
        <v>2</v>
      </c>
      <c r="G252" s="135" t="n">
        <v>82000</v>
      </c>
      <c r="H252" s="135" t="n">
        <v>8200</v>
      </c>
    </row>
    <row r="253">
      <c r="A253" s="8" t="inlineStr">
        <is>
          <t>지마켓</t>
        </is>
      </c>
      <c r="B253" s="9" t="inlineStr">
        <is>
          <t>가공식품</t>
        </is>
      </c>
      <c r="C253" s="8" t="inlineStr">
        <is>
          <t>애산농원</t>
        </is>
      </c>
      <c r="D253" s="134" t="inlineStr">
        <is>
          <t>245-06-03392</t>
        </is>
      </c>
      <c r="E253" s="8" t="inlineStr">
        <is>
          <t>제주 유기농감귤착즙주스 100% 150ml 20개</t>
        </is>
      </c>
      <c r="F253" s="135" t="n">
        <v>2</v>
      </c>
      <c r="G253" s="135" t="n">
        <v>62000</v>
      </c>
      <c r="H253" s="135" t="n">
        <v>6200</v>
      </c>
    </row>
    <row r="254">
      <c r="A254" s="8" t="inlineStr">
        <is>
          <t>지마켓</t>
        </is>
      </c>
      <c r="B254" s="9" t="inlineStr">
        <is>
          <t>축산물</t>
        </is>
      </c>
      <c r="C254" s="8" t="inlineStr">
        <is>
          <t>찬찬한상</t>
        </is>
      </c>
      <c r="D254" s="134" t="inlineStr">
        <is>
          <t>459-15-02771</t>
        </is>
      </c>
      <c r="E254" s="8" t="inlineStr">
        <is>
          <t>(갈비맛집1995 런칭특가) 제육갈비 1+ 한돈 간장볶음 양념 돼지고기 불고기주물럭 두루치기 350g 4팩 1.4kg</t>
        </is>
      </c>
      <c r="F254" s="135" t="n">
        <v>629</v>
      </c>
      <c r="G254" s="135" t="n">
        <v>8654300</v>
      </c>
      <c r="H254" s="135" t="n">
        <v>838840</v>
      </c>
    </row>
    <row r="255">
      <c r="A255" s="8" t="inlineStr">
        <is>
          <t>지마켓</t>
        </is>
      </c>
      <c r="B255" s="9" t="inlineStr">
        <is>
          <t>가공식품</t>
        </is>
      </c>
      <c r="C255" s="8" t="inlineStr">
        <is>
          <t>초림단지묵</t>
        </is>
      </c>
      <c r="D255" s="134" t="inlineStr">
        <is>
          <t>615-14-93195</t>
        </is>
      </c>
      <c r="E255" s="8" t="inlineStr">
        <is>
          <t>초림단지묵 국산 100% 도토리묵 400g 2인분 x 1팩</t>
        </is>
      </c>
      <c r="F255" s="135" t="n">
        <v>2</v>
      </c>
      <c r="G255" s="135" t="n">
        <v>30000</v>
      </c>
      <c r="H255" s="135" t="inlineStr">
        <is>
          <t>-</t>
        </is>
      </c>
    </row>
    <row r="256">
      <c r="A256" s="8" t="inlineStr">
        <is>
          <t>지마켓</t>
        </is>
      </c>
      <c r="B256" s="9" t="inlineStr">
        <is>
          <t>가공식품</t>
        </is>
      </c>
      <c r="C256" s="8" t="inlineStr">
        <is>
          <t>초림단지묵</t>
        </is>
      </c>
      <c r="D256" s="134" t="inlineStr">
        <is>
          <t>615-14-93195</t>
        </is>
      </c>
      <c r="E256" s="8" t="inlineStr">
        <is>
          <t>초림단지묵 국산 콩물 콩가루 90g 1인분 x 5팩 물만타면 콩국수</t>
        </is>
      </c>
      <c r="F256" s="135" t="n">
        <v>12</v>
      </c>
      <c r="G256" s="135" t="n">
        <v>240000</v>
      </c>
      <c r="H256" s="135" t="inlineStr">
        <is>
          <t>-</t>
        </is>
      </c>
    </row>
    <row r="257">
      <c r="A257" s="8" t="inlineStr">
        <is>
          <t>지마켓</t>
        </is>
      </c>
      <c r="B257" s="9" t="inlineStr">
        <is>
          <t>가공식품</t>
        </is>
      </c>
      <c r="C257" s="8" t="inlineStr">
        <is>
          <t>초림단지묵</t>
        </is>
      </c>
      <c r="D257" s="134" t="inlineStr">
        <is>
          <t>615-14-93195</t>
        </is>
      </c>
      <c r="E257" s="8" t="inlineStr">
        <is>
          <t>초림단지묵 국산 콩물 콩가루 400g 4인분 물만타면 콩국수</t>
        </is>
      </c>
      <c r="F257" s="135" t="n">
        <v>3</v>
      </c>
      <c r="G257" s="135" t="n">
        <v>54000</v>
      </c>
      <c r="H257" s="135" t="inlineStr">
        <is>
          <t>-</t>
        </is>
      </c>
    </row>
    <row r="258">
      <c r="A258" s="8" t="inlineStr">
        <is>
          <t>지마켓</t>
        </is>
      </c>
      <c r="B258" s="9" t="inlineStr">
        <is>
          <t>농산물</t>
        </is>
      </c>
      <c r="C258" s="8" t="inlineStr">
        <is>
          <t>수촌농장</t>
        </is>
      </c>
      <c r="D258" s="134" t="inlineStr">
        <is>
          <t>477-93-01384</t>
        </is>
      </c>
      <c r="E258" s="8" t="inlineStr">
        <is>
          <t>(신선집중) 사과 초록사과 4kg(26-30과내외)/꼬마소과</t>
        </is>
      </c>
      <c r="F258" s="135" t="n">
        <v>3335</v>
      </c>
      <c r="G258" s="135" t="n">
        <v>59038700</v>
      </c>
      <c r="H258" s="135" t="n">
        <v>5725400</v>
      </c>
    </row>
    <row r="259">
      <c r="A259" s="8" t="inlineStr">
        <is>
          <t>지마켓</t>
        </is>
      </c>
      <c r="B259" s="9" t="inlineStr">
        <is>
          <t>농산물</t>
        </is>
      </c>
      <c r="C259" s="8" t="inlineStr">
        <is>
          <t>수촌농장</t>
        </is>
      </c>
      <c r="D259" s="134" t="inlineStr">
        <is>
          <t>477-93-01384</t>
        </is>
      </c>
      <c r="E259" s="8" t="inlineStr">
        <is>
          <t>사과 초록사과 2kg(13-15과내외)/꼬마소과</t>
        </is>
      </c>
      <c r="F259" s="135" t="inlineStr">
        <is>
          <t>-</t>
        </is>
      </c>
      <c r="G259" s="135" t="inlineStr">
        <is>
          <t>-</t>
        </is>
      </c>
      <c r="H259" s="135" t="inlineStr">
        <is>
          <t>-</t>
        </is>
      </c>
    </row>
    <row r="260">
      <c r="A260" s="8" t="inlineStr">
        <is>
          <t>지마켓</t>
        </is>
      </c>
      <c r="B260" s="9" t="inlineStr">
        <is>
          <t>농산물</t>
        </is>
      </c>
      <c r="C260" s="8" t="inlineStr">
        <is>
          <t>수촌농장</t>
        </is>
      </c>
      <c r="D260" s="134" t="inlineStr">
        <is>
          <t>477-93-01384</t>
        </is>
      </c>
      <c r="E260" s="8" t="inlineStr">
        <is>
          <t>사과 초록사과 2kg(10-12과내외)/소과</t>
        </is>
      </c>
      <c r="F260" s="135" t="inlineStr">
        <is>
          <t>-</t>
        </is>
      </c>
      <c r="G260" s="135" t="inlineStr">
        <is>
          <t>-</t>
        </is>
      </c>
      <c r="H260" s="135" t="inlineStr">
        <is>
          <t>-</t>
        </is>
      </c>
    </row>
    <row r="261">
      <c r="A261" s="8" t="inlineStr">
        <is>
          <t>지마켓</t>
        </is>
      </c>
      <c r="B261" s="9" t="inlineStr">
        <is>
          <t>농산물</t>
        </is>
      </c>
      <c r="C261" s="8" t="inlineStr">
        <is>
          <t>수촌농장</t>
        </is>
      </c>
      <c r="D261" s="134" t="inlineStr">
        <is>
          <t>477-93-01384</t>
        </is>
      </c>
      <c r="E261" s="8" t="inlineStr">
        <is>
          <t>사과 초록사과 2kg(8-9과내외)/중과</t>
        </is>
      </c>
      <c r="F261" s="135" t="n">
        <v>1</v>
      </c>
      <c r="G261" s="135" t="n">
        <v>28900</v>
      </c>
      <c r="H261" s="135" t="inlineStr">
        <is>
          <t>-</t>
        </is>
      </c>
    </row>
    <row r="262">
      <c r="A262" s="8" t="inlineStr">
        <is>
          <t>지마켓</t>
        </is>
      </c>
      <c r="B262" s="12" t="inlineStr">
        <is>
          <t>농산물</t>
        </is>
      </c>
      <c r="C262" s="8" t="inlineStr">
        <is>
          <t>수촌농장</t>
        </is>
      </c>
      <c r="D262" s="134" t="inlineStr">
        <is>
          <t>477-93-01384</t>
        </is>
      </c>
      <c r="E262" s="8" t="inlineStr">
        <is>
          <t>사과 초록사과 4kg(21-25과내외)/소과</t>
        </is>
      </c>
      <c r="F262" s="135" t="inlineStr">
        <is>
          <t>-</t>
        </is>
      </c>
      <c r="G262" s="135" t="inlineStr">
        <is>
          <t>-</t>
        </is>
      </c>
      <c r="H262" s="135" t="inlineStr">
        <is>
          <t>-</t>
        </is>
      </c>
    </row>
    <row r="263">
      <c r="A263" s="8" t="inlineStr">
        <is>
          <t>지마켓</t>
        </is>
      </c>
      <c r="B263" s="12" t="inlineStr">
        <is>
          <t>농산물</t>
        </is>
      </c>
      <c r="C263" s="8" t="inlineStr">
        <is>
          <t>수촌농장</t>
        </is>
      </c>
      <c r="D263" s="134" t="inlineStr">
        <is>
          <t>477-93-01384</t>
        </is>
      </c>
      <c r="E263" s="8" t="inlineStr">
        <is>
          <t>사과 초록사과 4kg(16-20과내외)/중과</t>
        </is>
      </c>
      <c r="F263" s="135" t="n">
        <v>5</v>
      </c>
      <c r="G263" s="135" t="n">
        <v>80600</v>
      </c>
      <c r="H263" s="135" t="inlineStr">
        <is>
          <t>-</t>
        </is>
      </c>
    </row>
    <row r="264">
      <c r="A264" s="8" t="inlineStr">
        <is>
          <t>지마켓</t>
        </is>
      </c>
      <c r="B264" s="12" t="inlineStr">
        <is>
          <t>농산물</t>
        </is>
      </c>
      <c r="C264" s="12" t="inlineStr">
        <is>
          <t>아침햇살영농조합법인</t>
        </is>
      </c>
      <c r="D264" s="136" t="inlineStr">
        <is>
          <t>508-81-33305</t>
        </is>
      </c>
      <c r="E264" s="12" t="inlineStr">
        <is>
          <t>(신선집중) 아삭아삭 사과 부사 4kg 가정용(27~33과) 꼬마과 기스과 /상처과</t>
        </is>
      </c>
      <c r="F264" s="135" t="n">
        <v>191</v>
      </c>
      <c r="G264" s="135" t="n">
        <v>2056700</v>
      </c>
      <c r="H264" s="135" t="inlineStr">
        <is>
          <t>-</t>
        </is>
      </c>
    </row>
    <row r="265">
      <c r="A265" s="8" t="inlineStr">
        <is>
          <t>지마켓</t>
        </is>
      </c>
      <c r="B265" s="12" t="inlineStr">
        <is>
          <t>농산물</t>
        </is>
      </c>
      <c r="C265" s="12" t="inlineStr">
        <is>
          <t>아침햇살영농조합법인</t>
        </is>
      </c>
      <c r="D265" s="136" t="inlineStr">
        <is>
          <t>508-81-33305</t>
        </is>
      </c>
      <c r="E265" s="12" t="inlineStr">
        <is>
          <t>아삭아삭 사과 실중량9kg 가정용 사과 /소과~꼬꼬크기 흡집사과/</t>
        </is>
      </c>
      <c r="F265" s="135" t="n">
        <v>228</v>
      </c>
      <c r="G265" s="135" t="n">
        <v>4343200</v>
      </c>
      <c r="H265" s="135" t="n">
        <v>199400</v>
      </c>
    </row>
    <row r="266">
      <c r="A266" s="8" t="inlineStr">
        <is>
          <t>지마켓</t>
        </is>
      </c>
      <c r="B266" s="12" t="inlineStr">
        <is>
          <t>농산물</t>
        </is>
      </c>
      <c r="C266" s="12" t="inlineStr">
        <is>
          <t>아침햇살영농조합법인</t>
        </is>
      </c>
      <c r="D266" s="136" t="inlineStr">
        <is>
          <t>508-81-33305</t>
        </is>
      </c>
      <c r="E266" s="12" t="inlineStr">
        <is>
          <t>(신선집중) 20%+5%/ 입안과즙가득 빨간사과 청송사과 정품사과 2.5kg 11~14과 팬캡포장 부사</t>
        </is>
      </c>
      <c r="F266" s="135" t="inlineStr">
        <is>
          <t>-</t>
        </is>
      </c>
      <c r="G266" s="135" t="inlineStr">
        <is>
          <t>-</t>
        </is>
      </c>
      <c r="H266" s="135" t="inlineStr">
        <is>
          <t>-</t>
        </is>
      </c>
    </row>
    <row r="267">
      <c r="A267" s="8" t="inlineStr">
        <is>
          <t>지마켓</t>
        </is>
      </c>
      <c r="B267" s="12" t="inlineStr">
        <is>
          <t>농산물</t>
        </is>
      </c>
      <c r="C267" s="12" t="inlineStr">
        <is>
          <t>아침햇살영농조합법인</t>
        </is>
      </c>
      <c r="D267" s="136" t="inlineStr">
        <is>
          <t>508-81-33305</t>
        </is>
      </c>
      <c r="E267" s="12" t="inlineStr">
        <is>
          <t>(신선집중) 아삭아삭 사과 아삭아삭 부사사과 가정용 2kg 12-16과(소과)+2박스 구매시 4.5kg발송/미색/</t>
        </is>
      </c>
      <c r="F267" s="135" t="n">
        <v>28</v>
      </c>
      <c r="G267" s="135" t="n">
        <v>277200</v>
      </c>
      <c r="H267" s="135" t="inlineStr">
        <is>
          <t>-</t>
        </is>
      </c>
    </row>
    <row r="268">
      <c r="A268" s="8" t="inlineStr">
        <is>
          <t>지마켓</t>
        </is>
      </c>
      <c r="B268" s="12" t="inlineStr">
        <is>
          <t>가공식품</t>
        </is>
      </c>
      <c r="C268" s="12" t="inlineStr">
        <is>
          <t>아침햇살영농조합법인</t>
        </is>
      </c>
      <c r="D268" s="136" t="inlineStr">
        <is>
          <t>508-81-33305</t>
        </is>
      </c>
      <c r="E268" s="12" t="inlineStr">
        <is>
          <t>사과를 가득담아 사과100% 사과꽃향기 사과즙 100mlX50팩 NFC착즙/(스타배송)</t>
        </is>
      </c>
      <c r="F268" s="135" t="n">
        <v>16</v>
      </c>
      <c r="G268" s="135" t="n">
        <v>241400</v>
      </c>
      <c r="H268" s="135" t="inlineStr">
        <is>
          <t>-</t>
        </is>
      </c>
    </row>
    <row r="269">
      <c r="A269" s="8" t="inlineStr">
        <is>
          <t>지마켓</t>
        </is>
      </c>
      <c r="B269" s="12" t="inlineStr">
        <is>
          <t>농산물</t>
        </is>
      </c>
      <c r="C269" s="12" t="inlineStr">
        <is>
          <t>다모아영농조합법인</t>
        </is>
      </c>
      <c r="D269" s="136" t="inlineStr">
        <is>
          <t>613-81-60803</t>
        </is>
      </c>
      <c r="E269" s="12" t="inlineStr">
        <is>
          <t>창녕 양파 햇양파 3kg (1번/왕특)</t>
        </is>
      </c>
      <c r="F269" s="135" t="inlineStr">
        <is>
          <t>-</t>
        </is>
      </c>
      <c r="G269" s="135" t="inlineStr">
        <is>
          <t>-</t>
        </is>
      </c>
      <c r="H269" s="135" t="inlineStr">
        <is>
          <t>-</t>
        </is>
      </c>
    </row>
    <row r="270">
      <c r="A270" s="8" t="inlineStr">
        <is>
          <t>지마켓</t>
        </is>
      </c>
      <c r="B270" s="12" t="inlineStr">
        <is>
          <t>농산물</t>
        </is>
      </c>
      <c r="C270" s="12" t="inlineStr">
        <is>
          <t>상주에덴곶감농원</t>
        </is>
      </c>
      <c r="D270" s="136" t="inlineStr">
        <is>
          <t>511-98-46139</t>
        </is>
      </c>
      <c r="E270" s="12" t="inlineStr">
        <is>
          <t>(신선집중) 상주에덴곶감 건시선물세트 2026년 햇곶감 1.0kg내외 박스무게제외 예약배송가능</t>
        </is>
      </c>
      <c r="F270" s="135" t="n">
        <v>306</v>
      </c>
      <c r="G270" s="135" t="n">
        <v>7650000</v>
      </c>
      <c r="H270" s="135" t="inlineStr">
        <is>
          <t>-</t>
        </is>
      </c>
    </row>
    <row r="271">
      <c r="A271" s="8" t="inlineStr">
        <is>
          <t>지마켓</t>
        </is>
      </c>
      <c r="B271" s="12" t="inlineStr">
        <is>
          <t>농산물</t>
        </is>
      </c>
      <c r="C271" s="12" t="inlineStr">
        <is>
          <t>상주에덴곶감농원</t>
        </is>
      </c>
      <c r="D271" s="136" t="inlineStr">
        <is>
          <t>511-98-46139</t>
        </is>
      </c>
      <c r="E271" s="12" t="inlineStr">
        <is>
          <t>(신선집중) 상주에덴곶감 건시선물세트 2026년 햇곶감 1.5KG 박스무게제외 예약배송가능</t>
        </is>
      </c>
      <c r="F271" s="135" t="n">
        <v>20</v>
      </c>
      <c r="G271" s="135" t="n">
        <v>833000</v>
      </c>
      <c r="H271" s="135" t="inlineStr">
        <is>
          <t>-</t>
        </is>
      </c>
    </row>
    <row r="272">
      <c r="A272" s="8" t="inlineStr">
        <is>
          <t>지마켓</t>
        </is>
      </c>
      <c r="B272" s="12" t="inlineStr">
        <is>
          <t>농산물</t>
        </is>
      </c>
      <c r="C272" s="12" t="inlineStr">
        <is>
          <t>다모아영농조합법인</t>
        </is>
      </c>
      <c r="D272" s="136" t="inlineStr">
        <is>
          <t>613-81-60803</t>
        </is>
      </c>
      <c r="E272" s="12" t="inlineStr">
        <is>
          <t>햇살 가득 영암 무화과 2kg(500g x 4팩) 지리적표시 특산품</t>
        </is>
      </c>
      <c r="F272" s="135" t="inlineStr">
        <is>
          <t>-</t>
        </is>
      </c>
      <c r="G272" s="135" t="inlineStr">
        <is>
          <t>-</t>
        </is>
      </c>
      <c r="H272" s="135" t="inlineStr">
        <is>
          <t>-</t>
        </is>
      </c>
    </row>
    <row r="273">
      <c r="A273" s="8" t="inlineStr">
        <is>
          <t>지마켓</t>
        </is>
      </c>
      <c r="B273" s="12" t="inlineStr">
        <is>
          <t>농산물</t>
        </is>
      </c>
      <c r="C273" s="12" t="inlineStr">
        <is>
          <t>다모아영농조합법인</t>
        </is>
      </c>
      <c r="D273" s="136" t="inlineStr">
        <is>
          <t>613-81-60803</t>
        </is>
      </c>
      <c r="E273" s="12" t="inlineStr">
        <is>
          <t>(신선집중) 햇살 가득 영암 무화과 1kg(500g x 2팩) 지리적표시 특산품</t>
        </is>
      </c>
      <c r="F273" s="135" t="inlineStr">
        <is>
          <t>-</t>
        </is>
      </c>
      <c r="G273" s="135" t="inlineStr">
        <is>
          <t>-</t>
        </is>
      </c>
      <c r="H273" s="135" t="inlineStr">
        <is>
          <t>-</t>
        </is>
      </c>
    </row>
    <row r="274">
      <c r="A274" s="8" t="inlineStr">
        <is>
          <t>지마켓</t>
        </is>
      </c>
      <c r="B274" s="12" t="inlineStr">
        <is>
          <t>농산물</t>
        </is>
      </c>
      <c r="C274" s="12" t="inlineStr">
        <is>
          <t>다모아영농조합법인</t>
        </is>
      </c>
      <c r="D274" s="136" t="inlineStr">
        <is>
          <t>613-81-60803</t>
        </is>
      </c>
      <c r="E274" s="12" t="inlineStr">
        <is>
          <t>(신선집중) 이베따 알밤처럼 타박한 산청 밤고구마 3kg(무선별)</t>
        </is>
      </c>
      <c r="F274" s="135" t="inlineStr">
        <is>
          <t>-</t>
        </is>
      </c>
      <c r="G274" s="135" t="inlineStr">
        <is>
          <t>-</t>
        </is>
      </c>
      <c r="H274" s="135" t="inlineStr">
        <is>
          <t>-</t>
        </is>
      </c>
    </row>
    <row r="275">
      <c r="A275" s="8" t="inlineStr">
        <is>
          <t>지마켓</t>
        </is>
      </c>
      <c r="B275" s="12" t="inlineStr">
        <is>
          <t>가공식품</t>
        </is>
      </c>
      <c r="C275" s="12" t="inlineStr">
        <is>
          <t>농업회사법인 주식회사 다움랩스</t>
        </is>
      </c>
      <c r="D275" s="136" t="inlineStr">
        <is>
          <t>839-87-03615</t>
        </is>
      </c>
      <c r="E275" s="12" t="inlineStr">
        <is>
          <t>문스팜 국산 원재료 전라도식 열무김치 4kg</t>
        </is>
      </c>
      <c r="F275" s="135" t="inlineStr">
        <is>
          <t>-</t>
        </is>
      </c>
      <c r="G275" s="135" t="inlineStr">
        <is>
          <t>-</t>
        </is>
      </c>
      <c r="H275" s="135" t="inlineStr">
        <is>
          <t>-</t>
        </is>
      </c>
    </row>
    <row r="276">
      <c r="A276" s="8" t="inlineStr">
        <is>
          <t>지마켓</t>
        </is>
      </c>
      <c r="B276" s="12" t="inlineStr">
        <is>
          <t>농산물</t>
        </is>
      </c>
      <c r="C276" s="12" t="inlineStr">
        <is>
          <t>수촌농장</t>
        </is>
      </c>
      <c r="D276" s="136" t="inlineStr">
        <is>
          <t>477-93-01384</t>
        </is>
      </c>
      <c r="E276" s="12" t="inlineStr">
        <is>
          <t>(신선집중) 사과 경북 햇 가정용 홍로사과 2kg(13-17과)/꼬마소과</t>
        </is>
      </c>
      <c r="F276" s="135" t="inlineStr">
        <is>
          <t>-</t>
        </is>
      </c>
      <c r="G276" s="135" t="inlineStr">
        <is>
          <t>-</t>
        </is>
      </c>
      <c r="H276" s="135" t="inlineStr">
        <is>
          <t>-</t>
        </is>
      </c>
    </row>
    <row r="277">
      <c r="A277" s="8" t="inlineStr">
        <is>
          <t>지마켓</t>
        </is>
      </c>
      <c r="B277" s="12" t="inlineStr">
        <is>
          <t>농산물</t>
        </is>
      </c>
      <c r="C277" s="12" t="inlineStr">
        <is>
          <t>수촌농장</t>
        </is>
      </c>
      <c r="D277" s="136" t="inlineStr">
        <is>
          <t>477-93-01384</t>
        </is>
      </c>
      <c r="E277" s="12" t="inlineStr">
        <is>
          <t>사과 경북 햇 가정용 홍로사과 2kg(6-8과)/중과</t>
        </is>
      </c>
      <c r="F277" s="135" t="inlineStr">
        <is>
          <t>-</t>
        </is>
      </c>
      <c r="G277" s="135" t="inlineStr">
        <is>
          <t>-</t>
        </is>
      </c>
      <c r="H277" s="135" t="inlineStr">
        <is>
          <t>-</t>
        </is>
      </c>
    </row>
    <row r="278">
      <c r="A278" s="8" t="inlineStr">
        <is>
          <t>지마켓</t>
        </is>
      </c>
      <c r="B278" s="12" t="inlineStr">
        <is>
          <t>농산물</t>
        </is>
      </c>
      <c r="C278" s="12" t="inlineStr">
        <is>
          <t>수촌농장</t>
        </is>
      </c>
      <c r="D278" s="136" t="inlineStr">
        <is>
          <t>477-93-01384</t>
        </is>
      </c>
      <c r="E278" s="12" t="inlineStr">
        <is>
          <t>(신선집중) 사과 경북 햇 가정용 홍로사과 2kg(9-12과)/중소과</t>
        </is>
      </c>
      <c r="F278" s="135" t="inlineStr">
        <is>
          <t>-</t>
        </is>
      </c>
      <c r="G278" s="135" t="inlineStr">
        <is>
          <t>-</t>
        </is>
      </c>
      <c r="H278" s="135" t="inlineStr">
        <is>
          <t>-</t>
        </is>
      </c>
    </row>
    <row r="279">
      <c r="A279" s="8" t="inlineStr">
        <is>
          <t>지마켓</t>
        </is>
      </c>
      <c r="B279" s="12" t="inlineStr">
        <is>
          <t>농산물</t>
        </is>
      </c>
      <c r="C279" s="12" t="inlineStr">
        <is>
          <t>수촌농장</t>
        </is>
      </c>
      <c r="D279" s="136" t="inlineStr">
        <is>
          <t>477-93-01384</t>
        </is>
      </c>
      <c r="E279" s="12" t="inlineStr">
        <is>
          <t>사과 경북 사과 선물세트 3kg(13과내외)/중과</t>
        </is>
      </c>
      <c r="F279" s="135" t="inlineStr">
        <is>
          <t>-</t>
        </is>
      </c>
      <c r="G279" s="135" t="inlineStr">
        <is>
          <t>-</t>
        </is>
      </c>
      <c r="H279" s="135" t="inlineStr">
        <is>
          <t>-</t>
        </is>
      </c>
    </row>
    <row r="280">
      <c r="A280" s="8" t="inlineStr">
        <is>
          <t>지마켓</t>
        </is>
      </c>
      <c r="B280" s="12" t="inlineStr">
        <is>
          <t>농산물</t>
        </is>
      </c>
      <c r="C280" s="12" t="inlineStr">
        <is>
          <t>수촌농장</t>
        </is>
      </c>
      <c r="D280" s="136" t="inlineStr">
        <is>
          <t>477-93-01384</t>
        </is>
      </c>
      <c r="E280" s="12" t="inlineStr">
        <is>
          <t>사과 경북 사과 선물세트 3kg(11과내외)/중대과</t>
        </is>
      </c>
      <c r="F280" s="135" t="inlineStr">
        <is>
          <t>-</t>
        </is>
      </c>
      <c r="G280" s="135" t="inlineStr">
        <is>
          <t>-</t>
        </is>
      </c>
      <c r="H280" s="135" t="inlineStr">
        <is>
          <t>-</t>
        </is>
      </c>
    </row>
    <row r="281">
      <c r="A281" s="8" t="inlineStr">
        <is>
          <t>지마켓</t>
        </is>
      </c>
      <c r="B281" s="12" t="inlineStr">
        <is>
          <t>농산물</t>
        </is>
      </c>
      <c r="C281" s="12" t="inlineStr">
        <is>
          <t>수촌농장</t>
        </is>
      </c>
      <c r="D281" s="136" t="inlineStr">
        <is>
          <t>477-93-01384</t>
        </is>
      </c>
      <c r="E281" s="12" t="inlineStr">
        <is>
          <t>사과 경북 사과 프리미엄 선물세트 3kg(9과내외)/대과/제수용</t>
        </is>
      </c>
      <c r="F281" s="135" t="inlineStr">
        <is>
          <t>-</t>
        </is>
      </c>
      <c r="G281" s="135" t="inlineStr">
        <is>
          <t>-</t>
        </is>
      </c>
      <c r="H281" s="135" t="inlineStr">
        <is>
          <t>-</t>
        </is>
      </c>
    </row>
    <row r="282">
      <c r="A282" s="8" t="inlineStr">
        <is>
          <t>지마켓</t>
        </is>
      </c>
      <c r="B282" s="12" t="inlineStr">
        <is>
          <t>농산물</t>
        </is>
      </c>
      <c r="C282" s="12" t="inlineStr">
        <is>
          <t>수촌농장</t>
        </is>
      </c>
      <c r="D282" s="136" t="inlineStr">
        <is>
          <t>477-93-01384</t>
        </is>
      </c>
      <c r="E282" s="12" t="inlineStr">
        <is>
          <t>사과 경북 사과 선물세트 4kg(18과내외)/중과</t>
        </is>
      </c>
      <c r="F282" s="135" t="inlineStr">
        <is>
          <t>-</t>
        </is>
      </c>
      <c r="G282" s="135" t="inlineStr">
        <is>
          <t>-</t>
        </is>
      </c>
      <c r="H282" s="135" t="inlineStr">
        <is>
          <t>-</t>
        </is>
      </c>
    </row>
    <row r="283">
      <c r="A283" s="8" t="inlineStr">
        <is>
          <t>지마켓</t>
        </is>
      </c>
      <c r="B283" s="12" t="inlineStr">
        <is>
          <t>농산물</t>
        </is>
      </c>
      <c r="C283" s="12" t="inlineStr">
        <is>
          <t>수촌농장</t>
        </is>
      </c>
      <c r="D283" s="136" t="inlineStr">
        <is>
          <t>477-93-01384</t>
        </is>
      </c>
      <c r="E283" s="12" t="inlineStr">
        <is>
          <t>사과 경북 사과 선물세트 4kg(15과내외)/중대과</t>
        </is>
      </c>
      <c r="F283" s="135" t="inlineStr">
        <is>
          <t>-</t>
        </is>
      </c>
      <c r="G283" s="135" t="inlineStr">
        <is>
          <t>-</t>
        </is>
      </c>
      <c r="H283" s="135" t="inlineStr">
        <is>
          <t>-</t>
        </is>
      </c>
    </row>
    <row r="284">
      <c r="A284" s="8" t="inlineStr">
        <is>
          <t>지마켓</t>
        </is>
      </c>
      <c r="B284" s="12" t="inlineStr">
        <is>
          <t>농산물</t>
        </is>
      </c>
      <c r="C284" s="12" t="inlineStr">
        <is>
          <t>수촌농장</t>
        </is>
      </c>
      <c r="D284" s="136" t="inlineStr">
        <is>
          <t>477-93-01384</t>
        </is>
      </c>
      <c r="E284" s="12" t="inlineStr">
        <is>
          <t>사과 경북 사과 프리미엄 선물세트 4kg(12과내외)/대과/제수용</t>
        </is>
      </c>
      <c r="F284" s="135" t="inlineStr">
        <is>
          <t>-</t>
        </is>
      </c>
      <c r="G284" s="135" t="inlineStr">
        <is>
          <t>-</t>
        </is>
      </c>
      <c r="H284" s="135" t="inlineStr">
        <is>
          <t>-</t>
        </is>
      </c>
    </row>
    <row r="285">
      <c r="A285" s="8" t="inlineStr">
        <is>
          <t>지마켓</t>
        </is>
      </c>
      <c r="B285" s="12" t="inlineStr">
        <is>
          <t>농산물</t>
        </is>
      </c>
      <c r="C285" s="12" t="inlineStr">
        <is>
          <t>농업회사법인 주식회사 착한푸드</t>
        </is>
      </c>
      <c r="D285" s="136" t="inlineStr">
        <is>
          <t>809-86-00022</t>
        </is>
      </c>
      <c r="E285" s="12" t="inlineStr">
        <is>
          <t>나주배 산지직송 나주 가정용 햇 배 5kg(11-13과내외)</t>
        </is>
      </c>
      <c r="F285" s="135" t="inlineStr">
        <is>
          <t>-</t>
        </is>
      </c>
      <c r="G285" s="135" t="inlineStr">
        <is>
          <t>-</t>
        </is>
      </c>
      <c r="H285" s="135" t="inlineStr">
        <is>
          <t>-</t>
        </is>
      </c>
    </row>
    <row r="286">
      <c r="A286" s="8" t="inlineStr">
        <is>
          <t>지마켓</t>
        </is>
      </c>
      <c r="B286" s="12" t="inlineStr">
        <is>
          <t>농산물</t>
        </is>
      </c>
      <c r="C286" s="12" t="inlineStr">
        <is>
          <t>농업회사법인 주식회사 착한푸드</t>
        </is>
      </c>
      <c r="D286" s="136" t="inlineStr">
        <is>
          <t>809-86-00022</t>
        </is>
      </c>
      <c r="E286" s="12" t="inlineStr">
        <is>
          <t>나주배 산지직송 나주 가정용 햇 배 5kg(8-10과내외)</t>
        </is>
      </c>
      <c r="F286" s="135" t="inlineStr">
        <is>
          <t>-</t>
        </is>
      </c>
      <c r="G286" s="135" t="inlineStr">
        <is>
          <t>-</t>
        </is>
      </c>
      <c r="H286" s="135" t="inlineStr">
        <is>
          <t>-</t>
        </is>
      </c>
    </row>
    <row r="287">
      <c r="A287" s="8" t="inlineStr">
        <is>
          <t>지마켓</t>
        </is>
      </c>
      <c r="B287" s="12" t="inlineStr">
        <is>
          <t>농산물</t>
        </is>
      </c>
      <c r="C287" s="12" t="inlineStr">
        <is>
          <t>농업회사법인 주식회사 착한푸드</t>
        </is>
      </c>
      <c r="D287" s="136" t="inlineStr">
        <is>
          <t>809-86-00022</t>
        </is>
      </c>
      <c r="E287" s="12" t="inlineStr">
        <is>
          <t>나주배 산지직송 나주 가정용 햇 배 3kg(4-6과내외)</t>
        </is>
      </c>
      <c r="F287" s="135" t="inlineStr">
        <is>
          <t>-</t>
        </is>
      </c>
      <c r="G287" s="135" t="inlineStr">
        <is>
          <t>-</t>
        </is>
      </c>
      <c r="H287" s="135" t="inlineStr">
        <is>
          <t>-</t>
        </is>
      </c>
    </row>
    <row r="288">
      <c r="A288" s="8" t="inlineStr">
        <is>
          <t>지마켓</t>
        </is>
      </c>
      <c r="B288" s="12" t="inlineStr">
        <is>
          <t>농산물</t>
        </is>
      </c>
      <c r="C288" s="12" t="inlineStr">
        <is>
          <t>농업회사법인 주식회사 착한푸드</t>
        </is>
      </c>
      <c r="D288" s="136" t="inlineStr">
        <is>
          <t>809-86-00022</t>
        </is>
      </c>
      <c r="E288" s="12" t="inlineStr">
        <is>
          <t>나주배 산지직송 나주 가정용 햇 배 3kg(7-8과내외)</t>
        </is>
      </c>
      <c r="F288" s="135" t="inlineStr">
        <is>
          <t>-</t>
        </is>
      </c>
      <c r="G288" s="135" t="inlineStr">
        <is>
          <t>-</t>
        </is>
      </c>
      <c r="H288" s="135" t="inlineStr">
        <is>
          <t>-</t>
        </is>
      </c>
    </row>
    <row r="289">
      <c r="A289" s="8" t="inlineStr">
        <is>
          <t>지마켓</t>
        </is>
      </c>
      <c r="B289" s="12" t="inlineStr">
        <is>
          <t>농산물</t>
        </is>
      </c>
      <c r="C289" s="12" t="inlineStr">
        <is>
          <t>농업회사법인 주식회사 착한푸드</t>
        </is>
      </c>
      <c r="D289" s="136" t="inlineStr">
        <is>
          <t>809-86-00022</t>
        </is>
      </c>
      <c r="E289" s="12" t="inlineStr">
        <is>
          <t>나주배 나주배 선물세트 특품 7.5kg(11-12과)/대과/제수용</t>
        </is>
      </c>
      <c r="F289" s="135" t="inlineStr">
        <is>
          <t>-</t>
        </is>
      </c>
      <c r="G289" s="135" t="inlineStr">
        <is>
          <t>-</t>
        </is>
      </c>
      <c r="H289" s="135" t="inlineStr">
        <is>
          <t>-</t>
        </is>
      </c>
    </row>
    <row r="290">
      <c r="A290" s="8" t="inlineStr">
        <is>
          <t>지마켓</t>
        </is>
      </c>
      <c r="B290" s="12" t="inlineStr">
        <is>
          <t>농산물</t>
        </is>
      </c>
      <c r="C290" s="12" t="inlineStr">
        <is>
          <t>농업회사법인 주식회사 착한푸드</t>
        </is>
      </c>
      <c r="D290" s="136" t="inlineStr">
        <is>
          <t>809-86-00022</t>
        </is>
      </c>
      <c r="E290" s="12" t="inlineStr">
        <is>
          <t>나주배 나주배 선물세트 특품 7.5kg(9-10과)/특대과/제수용</t>
        </is>
      </c>
      <c r="F290" s="135" t="inlineStr">
        <is>
          <t>-</t>
        </is>
      </c>
      <c r="G290" s="135" t="inlineStr">
        <is>
          <t>-</t>
        </is>
      </c>
      <c r="H290" s="135" t="inlineStr">
        <is>
          <t>-</t>
        </is>
      </c>
    </row>
    <row r="291">
      <c r="A291" s="8" t="inlineStr">
        <is>
          <t>지마켓</t>
        </is>
      </c>
      <c r="B291" s="12" t="inlineStr">
        <is>
          <t>농산물</t>
        </is>
      </c>
      <c r="C291" s="12" t="inlineStr">
        <is>
          <t>농업회사법인 주식회사 착한푸드</t>
        </is>
      </c>
      <c r="D291" s="12" t="inlineStr">
        <is>
          <t>809-86-00022</t>
        </is>
      </c>
      <c r="E291" s="12" t="inlineStr">
        <is>
          <t>나주배 가정용 실속세트 7.5kg(11-12과)/대과</t>
        </is>
      </c>
      <c r="F291" s="135" t="inlineStr">
        <is>
          <t>-</t>
        </is>
      </c>
      <c r="G291" s="135" t="inlineStr">
        <is>
          <t>-</t>
        </is>
      </c>
      <c r="H291" s="135" t="inlineStr">
        <is>
          <t>-</t>
        </is>
      </c>
    </row>
    <row r="292">
      <c r="A292" s="8" t="inlineStr">
        <is>
          <t>지마켓</t>
        </is>
      </c>
      <c r="B292" s="12" t="inlineStr">
        <is>
          <t>농산물</t>
        </is>
      </c>
      <c r="C292" s="12" t="inlineStr">
        <is>
          <t>농업회사법인 주식회사 착한푸드</t>
        </is>
      </c>
      <c r="D292" s="12" t="inlineStr">
        <is>
          <t>809-86-00022</t>
        </is>
      </c>
      <c r="E292" s="12" t="inlineStr">
        <is>
          <t>나주배 가정용 실속세트 7.5kg(6-10과)/특대과</t>
        </is>
      </c>
      <c r="F292" s="135" t="inlineStr">
        <is>
          <t>-</t>
        </is>
      </c>
      <c r="G292" s="135" t="inlineStr">
        <is>
          <t>-</t>
        </is>
      </c>
      <c r="H292" s="135" t="inlineStr">
        <is>
          <t>-</t>
        </is>
      </c>
    </row>
    <row r="293">
      <c r="A293" s="8" t="inlineStr">
        <is>
          <t>지마켓</t>
        </is>
      </c>
      <c r="B293" s="12" t="inlineStr">
        <is>
          <t>농산물</t>
        </is>
      </c>
      <c r="C293" s="12" t="inlineStr">
        <is>
          <t>농업회사법인 주식회사 착한푸드</t>
        </is>
      </c>
      <c r="D293" s="12" t="inlineStr">
        <is>
          <t>809-86-00022</t>
        </is>
      </c>
      <c r="E293" s="12" t="inlineStr">
        <is>
          <t>나주배 나주배 선물세트 최고특품 7.5kg(5-9과)/특대과/제수용</t>
        </is>
      </c>
      <c r="F293" s="135" t="inlineStr">
        <is>
          <t>-</t>
        </is>
      </c>
      <c r="G293" s="135" t="inlineStr">
        <is>
          <t>-</t>
        </is>
      </c>
      <c r="H293" s="135" t="inlineStr">
        <is>
          <t>-</t>
        </is>
      </c>
    </row>
    <row r="294">
      <c r="A294" s="8" t="inlineStr">
        <is>
          <t>지마켓</t>
        </is>
      </c>
      <c r="B294" s="12" t="inlineStr">
        <is>
          <t>농산물</t>
        </is>
      </c>
      <c r="C294" s="12" t="inlineStr">
        <is>
          <t>농업회사법인제프런주식회사</t>
        </is>
      </c>
      <c r="D294" s="12" t="inlineStr">
        <is>
          <t>616-81-85948</t>
        </is>
      </c>
      <c r="E294" s="12" t="inlineStr">
        <is>
          <t>(신선집중) 감귤 예약배송 극조생 감귤 2kg 로얄과</t>
        </is>
      </c>
      <c r="F294" s="135" t="inlineStr">
        <is>
          <t>-</t>
        </is>
      </c>
      <c r="G294" s="135" t="inlineStr">
        <is>
          <t>-</t>
        </is>
      </c>
      <c r="H294" s="135" t="inlineStr">
        <is>
          <t>-</t>
        </is>
      </c>
    </row>
    <row r="295">
      <c r="A295" s="8" t="inlineStr">
        <is>
          <t>지마켓</t>
        </is>
      </c>
      <c r="B295" s="12" t="inlineStr">
        <is>
          <t>농산물</t>
        </is>
      </c>
      <c r="C295" s="12" t="inlineStr">
        <is>
          <t>농업회사법인제프런주식회사</t>
        </is>
      </c>
      <c r="D295" s="12" t="inlineStr">
        <is>
          <t>616-81-85948</t>
        </is>
      </c>
      <c r="E295" s="12" t="inlineStr">
        <is>
          <t>(신선집중) 감귤 예약배송 첫 감귤 하우스 유라실생 2kg 로얄과(2S-M)</t>
        </is>
      </c>
      <c r="F295" s="135" t="inlineStr">
        <is>
          <t>-</t>
        </is>
      </c>
      <c r="G295" s="135" t="inlineStr">
        <is>
          <t>-</t>
        </is>
      </c>
      <c r="H295" s="135" t="inlineStr">
        <is>
          <t>-</t>
        </is>
      </c>
    </row>
    <row r="296">
      <c r="A296" s="8" t="inlineStr">
        <is>
          <t>지마켓</t>
        </is>
      </c>
      <c r="B296" s="12" t="inlineStr">
        <is>
          <t>농산물</t>
        </is>
      </c>
      <c r="C296" s="12" t="inlineStr">
        <is>
          <t>농업회사법인제프런주식회사</t>
        </is>
      </c>
      <c r="D296" s="12" t="inlineStr">
        <is>
          <t>616-81-85948</t>
        </is>
      </c>
      <c r="E296" s="12" t="inlineStr">
        <is>
          <t>동백향 예약배송 첫 감귤 하우스 유라실생 2kg 로얄과(2S-M)</t>
        </is>
      </c>
      <c r="F296" s="135" t="inlineStr">
        <is>
          <t>-</t>
        </is>
      </c>
      <c r="G296" s="135" t="inlineStr">
        <is>
          <t>-</t>
        </is>
      </c>
      <c r="H296" s="135" t="inlineStr">
        <is>
          <t>-</t>
        </is>
      </c>
    </row>
    <row r="297">
      <c r="A297" s="8" t="inlineStr">
        <is>
          <t>지마켓</t>
        </is>
      </c>
      <c r="B297" s="12" t="inlineStr">
        <is>
          <t>축산물</t>
        </is>
      </c>
      <c r="C297" s="12" t="inlineStr">
        <is>
          <t>홍성한우돈직판장</t>
        </is>
      </c>
      <c r="D297" s="12" t="inlineStr">
        <is>
          <t>305-28-13651</t>
        </is>
      </c>
      <c r="E297" s="12" t="inlineStr">
        <is>
          <t>(20%) 100%국내산 수제 돼지양념갈비 3Kg (1.5Kg 2개/무료배송/선물세트)</t>
        </is>
      </c>
      <c r="F297" s="135" t="inlineStr">
        <is>
          <t>-</t>
        </is>
      </c>
      <c r="G297" s="135" t="inlineStr">
        <is>
          <t>-</t>
        </is>
      </c>
      <c r="H297" s="135" t="inlineStr">
        <is>
          <t>-</t>
        </is>
      </c>
    </row>
    <row r="298">
      <c r="A298" s="8" t="inlineStr">
        <is>
          <t>지마켓</t>
        </is>
      </c>
      <c r="B298" s="12" t="inlineStr">
        <is>
          <t>농산물</t>
        </is>
      </c>
      <c r="C298" s="12" t="inlineStr">
        <is>
          <t>농업회사법인제프런주식회사</t>
        </is>
      </c>
      <c r="D298" s="12" t="inlineStr">
        <is>
          <t>616-81-85948</t>
        </is>
      </c>
      <c r="E298" s="12" t="inlineStr">
        <is>
          <t>(신선집중) 감귤 황금향 2KG 중소과</t>
        </is>
      </c>
      <c r="F298" s="135" t="inlineStr">
        <is>
          <t>-</t>
        </is>
      </c>
      <c r="G298" s="135" t="inlineStr">
        <is>
          <t>-</t>
        </is>
      </c>
      <c r="H298" s="135" t="inlineStr">
        <is>
          <t>-</t>
        </is>
      </c>
    </row>
    <row r="299">
      <c r="A299" s="8" t="inlineStr">
        <is>
          <t>지마켓</t>
        </is>
      </c>
      <c r="B299" s="12" t="inlineStr">
        <is>
          <t>농산물</t>
        </is>
      </c>
      <c r="C299" s="12" t="inlineStr">
        <is>
          <t>농업회사법인제프런주식회사</t>
        </is>
      </c>
      <c r="D299" s="12" t="inlineStr">
        <is>
          <t>616-81-85948</t>
        </is>
      </c>
      <c r="E299" s="12" t="inlineStr">
        <is>
          <t>(신선집중) 제주직송 황금향 황금향 2KG 중대과</t>
        </is>
      </c>
      <c r="F299" s="135" t="inlineStr">
        <is>
          <t>-</t>
        </is>
      </c>
      <c r="G299" s="135" t="inlineStr">
        <is>
          <t>-</t>
        </is>
      </c>
      <c r="H299" s="135" t="inlineStr">
        <is>
          <t>-</t>
        </is>
      </c>
    </row>
    <row r="300">
      <c r="A300" s="8" t="inlineStr">
        <is>
          <t>지마켓</t>
        </is>
      </c>
      <c r="B300" s="12" t="inlineStr">
        <is>
          <t>농산물</t>
        </is>
      </c>
      <c r="C300" s="12" t="inlineStr">
        <is>
          <t>상주곶감대가</t>
        </is>
      </c>
      <c r="D300" s="12" t="inlineStr">
        <is>
          <t>511-90-53861</t>
        </is>
      </c>
      <c r="E300" s="12" t="inlineStr">
        <is>
          <t>(신선집중) 상주곶감 선물용 건시 1kg 24-28과</t>
        </is>
      </c>
      <c r="F300" s="135" t="inlineStr">
        <is>
          <t>-</t>
        </is>
      </c>
      <c r="G300" s="135" t="inlineStr">
        <is>
          <t>-</t>
        </is>
      </c>
      <c r="H300" s="135" t="inlineStr">
        <is>
          <t>-</t>
        </is>
      </c>
    </row>
    <row r="301">
      <c r="A301" s="8" t="inlineStr">
        <is>
          <t>지마켓</t>
        </is>
      </c>
      <c r="B301" s="12" t="inlineStr">
        <is>
          <t>농산물</t>
        </is>
      </c>
      <c r="C301" s="12" t="inlineStr">
        <is>
          <t>상주곶감대가</t>
        </is>
      </c>
      <c r="D301" s="12" t="inlineStr">
        <is>
          <t>511-90-53861</t>
        </is>
      </c>
      <c r="E301" s="12" t="inlineStr">
        <is>
          <t>(신선집중) 프리미엄 대봉 반건시 선물세트 1.4kg 대과-특대과</t>
        </is>
      </c>
      <c r="F301" s="135" t="inlineStr">
        <is>
          <t>-</t>
        </is>
      </c>
      <c r="G301" s="135" t="inlineStr">
        <is>
          <t>-</t>
        </is>
      </c>
      <c r="H301" s="135" t="inlineStr">
        <is>
          <t>-</t>
        </is>
      </c>
    </row>
    <row r="302">
      <c r="A302" s="8" t="inlineStr">
        <is>
          <t>지마켓</t>
        </is>
      </c>
      <c r="B302" s="12" t="inlineStr">
        <is>
          <t>농산물</t>
        </is>
      </c>
      <c r="C302" s="12" t="inlineStr">
        <is>
          <t>상주곶감대가</t>
        </is>
      </c>
      <c r="D302" s="12" t="inlineStr">
        <is>
          <t>511-90-53861</t>
        </is>
      </c>
      <c r="E302" s="12" t="inlineStr">
        <is>
          <t>(신선집중) 상주 왕대봉곶감 1kg 특대과 지리적표시 특산품</t>
        </is>
      </c>
      <c r="F302" s="135" t="inlineStr">
        <is>
          <t>-</t>
        </is>
      </c>
      <c r="G302" s="135" t="inlineStr">
        <is>
          <t>-</t>
        </is>
      </c>
      <c r="H302" s="135" t="inlineStr">
        <is>
          <t>-</t>
        </is>
      </c>
    </row>
    <row r="303" customFormat="1" s="72">
      <c r="A303" s="82" t="inlineStr">
        <is>
          <t>지마켓</t>
        </is>
      </c>
      <c r="B303" s="73" t="inlineStr">
        <is>
          <t>농산물</t>
        </is>
      </c>
      <c r="C303" s="73" t="inlineStr">
        <is>
          <t>상주곶감대가</t>
        </is>
      </c>
      <c r="D303" s="73" t="inlineStr">
        <is>
          <t>511-90-53861</t>
        </is>
      </c>
      <c r="E303" s="73" t="inlineStr">
        <is>
          <t>(신선집중) 상주곶감 선물용 반건시 1.3kg 30과</t>
        </is>
      </c>
      <c r="F303" s="137" t="inlineStr">
        <is>
          <t>-</t>
        </is>
      </c>
      <c r="G303" s="137" t="inlineStr">
        <is>
          <t>-</t>
        </is>
      </c>
      <c r="H303" s="137" t="inlineStr">
        <is>
          <t>-</t>
        </is>
      </c>
    </row>
    <row r="304" hidden="1" s="21">
      <c r="A304" s="8" t="inlineStr">
        <is>
          <t>롯데ON</t>
        </is>
      </c>
      <c r="B304" s="9" t="inlineStr">
        <is>
          <t>축산물</t>
        </is>
      </c>
      <c r="C304" s="9" t="inlineStr">
        <is>
          <t>주식회사 더락</t>
        </is>
      </c>
      <c r="D304" s="134" t="inlineStr">
        <is>
          <t>593-86-01295</t>
        </is>
      </c>
      <c r="E304" s="138" t="inlineStr">
        <is>
          <t>국내산 한돈 수제 돼지갈비찜 600g (2종 중 택1)</t>
        </is>
      </c>
      <c r="F304" s="139" t="inlineStr">
        <is>
          <t>-</t>
        </is>
      </c>
      <c r="G304" s="139" t="inlineStr">
        <is>
          <t>-</t>
        </is>
      </c>
      <c r="H304" s="139" t="inlineStr">
        <is>
          <t>-</t>
        </is>
      </c>
    </row>
    <row r="305" hidden="1" s="21">
      <c r="A305" s="8" t="inlineStr">
        <is>
          <t>롯데ON</t>
        </is>
      </c>
      <c r="B305" s="9" t="inlineStr">
        <is>
          <t>축산물</t>
        </is>
      </c>
      <c r="C305" s="9" t="inlineStr">
        <is>
          <t>주식회사 더락</t>
        </is>
      </c>
      <c r="D305" s="134" t="inlineStr">
        <is>
          <t>593-86-01295</t>
        </is>
      </c>
      <c r="E305" s="138" t="inlineStr">
        <is>
          <t>국내산 한돈 수제 양념 돼지갈비 450G (2종 중 택1)</t>
        </is>
      </c>
      <c r="F305" s="140" t="n">
        <v>729</v>
      </c>
      <c r="G305" s="140" t="n">
        <v>37312000</v>
      </c>
      <c r="H305" s="140" t="n">
        <v>4967600</v>
      </c>
    </row>
    <row r="306" hidden="1" s="21">
      <c r="A306" s="8" t="inlineStr">
        <is>
          <t>롯데ON</t>
        </is>
      </c>
      <c r="B306" s="9" t="inlineStr">
        <is>
          <t>축산물</t>
        </is>
      </c>
      <c r="C306" s="9" t="inlineStr">
        <is>
          <t>농업회사법인 라이플로우 주식회사</t>
        </is>
      </c>
      <c r="D306" s="134" t="inlineStr">
        <is>
          <t>715-87-02493</t>
        </is>
      </c>
      <c r="E306" s="138" t="inlineStr">
        <is>
          <t>[온누리7%혜택][주왕산가든] 한우불고기 전골 밀키트 750g 3인분 불고기 육수 야채 소불고기</t>
        </is>
      </c>
      <c r="F306" s="140" t="n">
        <v>65</v>
      </c>
      <c r="G306" s="140" t="n">
        <v>1967900</v>
      </c>
      <c r="H306" s="140" t="n">
        <v>371630</v>
      </c>
    </row>
    <row r="307" hidden="1" s="21">
      <c r="A307" s="8" t="inlineStr">
        <is>
          <t>롯데ON</t>
        </is>
      </c>
      <c r="B307" s="9" t="inlineStr">
        <is>
          <t>축산물</t>
        </is>
      </c>
      <c r="C307" s="9" t="inlineStr">
        <is>
          <t>농업회사법인 라이플로우 주식회사</t>
        </is>
      </c>
      <c r="D307" s="134" t="inlineStr">
        <is>
          <t>715-87-02493</t>
        </is>
      </c>
      <c r="E307" s="138" t="inlineStr">
        <is>
          <t>[온누리7%혜택][주왕산가든] 명품 한돈 수제 돼지갈비 실속형 500g 양념돼지갈비 밀키트</t>
        </is>
      </c>
      <c r="F307" s="140" t="n">
        <v>11</v>
      </c>
      <c r="G307" s="140" t="n">
        <v>345000</v>
      </c>
      <c r="H307" s="140" t="n">
        <v>63050</v>
      </c>
    </row>
    <row r="308" hidden="1" s="21">
      <c r="A308" s="8" t="inlineStr">
        <is>
          <t>롯데ON</t>
        </is>
      </c>
      <c r="B308" s="9" t="inlineStr">
        <is>
          <t>농산물</t>
        </is>
      </c>
      <c r="C308" s="9" t="inlineStr">
        <is>
          <t>당진해나루쌀조합공동사업법인</t>
        </is>
      </c>
      <c r="D308" s="134" t="inlineStr">
        <is>
          <t>323-88-00158</t>
        </is>
      </c>
      <c r="E308" s="138" t="inlineStr">
        <is>
          <t>[출고당일도정] 2025년산 햅쌀 당진해나루쌀 삼광미 특등급 쌀10kg</t>
        </is>
      </c>
      <c r="F308" s="140" t="n">
        <v>699</v>
      </c>
      <c r="G308" s="140" t="n">
        <v>24332000</v>
      </c>
      <c r="H308" s="140" t="n">
        <v>4785490</v>
      </c>
    </row>
    <row r="309" hidden="1" s="21">
      <c r="A309" s="8" t="inlineStr">
        <is>
          <t>롯데ON</t>
        </is>
      </c>
      <c r="B309" s="9" t="inlineStr">
        <is>
          <t>농산물</t>
        </is>
      </c>
      <c r="C309" s="9" t="inlineStr">
        <is>
          <t>당진해나루쌀조합공동사업법인</t>
        </is>
      </c>
      <c r="D309" s="134" t="inlineStr">
        <is>
          <t>323-88-00158</t>
        </is>
      </c>
      <c r="E309" s="138" t="inlineStr">
        <is>
          <t>[출고당일도정] 2025년산 햅쌀 당진해나루쌀 삼광미 특등급 쌀20kg</t>
        </is>
      </c>
      <c r="F309" s="140" t="n">
        <v>31</v>
      </c>
      <c r="G309" s="140" t="n">
        <v>2044500</v>
      </c>
      <c r="H309" s="140" t="n">
        <v>290000</v>
      </c>
    </row>
    <row r="310" hidden="1" s="21">
      <c r="A310" s="8" t="inlineStr">
        <is>
          <t>롯데ON</t>
        </is>
      </c>
      <c r="B310" s="9" t="inlineStr">
        <is>
          <t>농산물</t>
        </is>
      </c>
      <c r="C310" s="9" t="inlineStr">
        <is>
          <t>당진해나루쌀조합공동사업법인</t>
        </is>
      </c>
      <c r="D310" s="134" t="inlineStr">
        <is>
          <t>323-88-00158</t>
        </is>
      </c>
      <c r="E310" s="138" t="inlineStr">
        <is>
          <t>[출고당일도정] 2025년산 햅쌀 당진해나루 당찬쌀 상등급 20kg</t>
        </is>
      </c>
      <c r="F310" s="140" t="n">
        <v>4</v>
      </c>
      <c r="G310" s="140" t="n">
        <v>269200</v>
      </c>
      <c r="H310" s="140" t="n">
        <v>40000</v>
      </c>
    </row>
    <row r="311" hidden="1" s="21">
      <c r="A311" s="8" t="inlineStr">
        <is>
          <t>롯데ON</t>
        </is>
      </c>
      <c r="B311" s="9" t="inlineStr">
        <is>
          <t>농산물</t>
        </is>
      </c>
      <c r="C311" s="9" t="inlineStr">
        <is>
          <t>당진해나루쌀조합공동사업법인</t>
        </is>
      </c>
      <c r="D311" s="134" t="inlineStr">
        <is>
          <t>323-88-00158</t>
        </is>
      </c>
      <c r="E311" s="138" t="inlineStr">
        <is>
          <t>[출고당일도정] 2025년산 햅쌀 당진해나루 당찬쌀 상등급 10kg</t>
        </is>
      </c>
      <c r="F311" s="140" t="n">
        <v>3</v>
      </c>
      <c r="G311" s="140" t="n">
        <v>106500</v>
      </c>
      <c r="H311" s="140" t="n">
        <v>21140</v>
      </c>
    </row>
    <row r="312" hidden="1" s="21">
      <c r="A312" s="8" t="inlineStr">
        <is>
          <t>롯데ON</t>
        </is>
      </c>
      <c r="B312" s="9" t="inlineStr">
        <is>
          <t>농산물</t>
        </is>
      </c>
      <c r="C312" s="9" t="inlineStr">
        <is>
          <t>당진해나루쌀조합공동사업법인</t>
        </is>
      </c>
      <c r="D312" s="134" t="inlineStr">
        <is>
          <t>323-88-00158</t>
        </is>
      </c>
      <c r="E312" s="138" t="inlineStr">
        <is>
          <t>[출고당일도정] 2025년산 햅쌀 당진해나루 신유빈쌀 삼광미 특등급 쌀10kg</t>
        </is>
      </c>
      <c r="F312" s="140" t="inlineStr">
        <is>
          <t>-</t>
        </is>
      </c>
      <c r="G312" s="140" t="inlineStr">
        <is>
          <t>-</t>
        </is>
      </c>
      <c r="H312" s="140" t="inlineStr">
        <is>
          <t>-</t>
        </is>
      </c>
    </row>
    <row r="313" hidden="1" s="21">
      <c r="A313" s="8" t="inlineStr">
        <is>
          <t>롯데ON</t>
        </is>
      </c>
      <c r="B313" s="9" t="inlineStr">
        <is>
          <t>가공식품</t>
        </is>
      </c>
      <c r="C313" s="9" t="inlineStr">
        <is>
          <t>선김치</t>
        </is>
      </c>
      <c r="D313" s="134" t="inlineStr">
        <is>
          <t>409-23-97341</t>
        </is>
      </c>
      <c r="E313" s="138" t="inlineStr">
        <is>
          <t>[온누리7%혜택][말바우시장 선김치] 전라도 국산 알타리 총각김치</t>
        </is>
      </c>
      <c r="F313" s="140" t="n">
        <v>603</v>
      </c>
      <c r="G313" s="140" t="n">
        <v>18494100</v>
      </c>
      <c r="H313" s="140" t="n">
        <v>3507210</v>
      </c>
    </row>
    <row r="314" hidden="1" s="21">
      <c r="A314" s="8" t="inlineStr">
        <is>
          <t>롯데ON</t>
        </is>
      </c>
      <c r="B314" s="9" t="inlineStr">
        <is>
          <t>가공식품</t>
        </is>
      </c>
      <c r="C314" s="9" t="inlineStr">
        <is>
          <t>선김치</t>
        </is>
      </c>
      <c r="D314" s="134" t="inlineStr">
        <is>
          <t>409-23-97341</t>
        </is>
      </c>
      <c r="E314" s="138" t="inlineStr">
        <is>
          <t>[온누리7%혜택][말바우시장 선김치] 전라도 국산 얼갈이김치</t>
        </is>
      </c>
      <c r="F314" s="140" t="n">
        <v>7</v>
      </c>
      <c r="G314" s="140" t="n">
        <v>199100</v>
      </c>
      <c r="H314" s="140" t="n">
        <v>37810</v>
      </c>
    </row>
    <row r="315" hidden="1" s="21">
      <c r="A315" s="8" t="inlineStr">
        <is>
          <t>롯데ON</t>
        </is>
      </c>
      <c r="B315" s="9" t="inlineStr">
        <is>
          <t>가공식품</t>
        </is>
      </c>
      <c r="C315" s="9" t="inlineStr">
        <is>
          <t>선김치</t>
        </is>
      </c>
      <c r="D315" s="134" t="inlineStr">
        <is>
          <t>409-23-97341</t>
        </is>
      </c>
      <c r="E315" s="138" t="inlineStr">
        <is>
          <t>[온누리7%혜택][말바우시장 선김치] 전라도 국산 파김치</t>
        </is>
      </c>
      <c r="F315" s="140" t="n">
        <v>68</v>
      </c>
      <c r="G315" s="140" t="n">
        <v>1702800</v>
      </c>
      <c r="H315" s="140" t="n">
        <v>320500</v>
      </c>
    </row>
    <row r="316" hidden="1" s="21">
      <c r="A316" s="8" t="inlineStr">
        <is>
          <t>롯데ON</t>
        </is>
      </c>
      <c r="B316" s="9" t="inlineStr">
        <is>
          <t>가공식품</t>
        </is>
      </c>
      <c r="C316" s="9" t="inlineStr">
        <is>
          <t>선김치</t>
        </is>
      </c>
      <c r="D316" s="134" t="inlineStr">
        <is>
          <t>409-23-97341</t>
        </is>
      </c>
      <c r="E316" s="138" t="inlineStr">
        <is>
          <t>[온누리7%혜택][말바우시장 선김치] 전라도 국산 여수갓김치</t>
        </is>
      </c>
      <c r="F316" s="140" t="inlineStr">
        <is>
          <t>-</t>
        </is>
      </c>
      <c r="G316" s="140" t="inlineStr">
        <is>
          <t>-</t>
        </is>
      </c>
      <c r="H316" s="140" t="inlineStr">
        <is>
          <t>-</t>
        </is>
      </c>
    </row>
    <row r="317" hidden="1" s="21">
      <c r="A317" s="8" t="inlineStr">
        <is>
          <t>롯데ON</t>
        </is>
      </c>
      <c r="B317" s="9" t="inlineStr">
        <is>
          <t>가공식품</t>
        </is>
      </c>
      <c r="C317" s="9" t="inlineStr">
        <is>
          <t>선김치</t>
        </is>
      </c>
      <c r="D317" s="134" t="inlineStr">
        <is>
          <t>409-23-97341</t>
        </is>
      </c>
      <c r="E317" s="138" t="inlineStr">
        <is>
          <t>[온누리7%혜택][말바우시장 선김치] 전라도 국산 알배기 겉절이 김치 외</t>
        </is>
      </c>
      <c r="F317" s="140" t="n">
        <v>11</v>
      </c>
      <c r="G317" s="140" t="n">
        <v>337700</v>
      </c>
      <c r="H317" s="140" t="n">
        <v>64240</v>
      </c>
    </row>
    <row r="318" hidden="1" s="21">
      <c r="A318" s="8" t="inlineStr">
        <is>
          <t>롯데ON</t>
        </is>
      </c>
      <c r="B318" s="9" t="inlineStr">
        <is>
          <t>가공식품</t>
        </is>
      </c>
      <c r="C318" s="9" t="inlineStr">
        <is>
          <t>선김치</t>
        </is>
      </c>
      <c r="D318" s="134" t="inlineStr">
        <is>
          <t>409-23-97341</t>
        </is>
      </c>
      <c r="E318" s="138" t="inlineStr">
        <is>
          <t>[온누리7%혜택][말바우시장 선김치] 전라도 국산 열무김치</t>
        </is>
      </c>
      <c r="F318" s="140" t="n">
        <v>18</v>
      </c>
      <c r="G318" s="140" t="n">
        <v>493800</v>
      </c>
      <c r="H318" s="140" t="n">
        <v>93870</v>
      </c>
    </row>
    <row r="319" hidden="1" s="21">
      <c r="A319" s="8" t="inlineStr">
        <is>
          <t>롯데ON</t>
        </is>
      </c>
      <c r="B319" s="9" t="inlineStr">
        <is>
          <t>가공식품</t>
        </is>
      </c>
      <c r="C319" s="9" t="inlineStr">
        <is>
          <t>선김치</t>
        </is>
      </c>
      <c r="D319" s="134" t="inlineStr">
        <is>
          <t>409-23-97341</t>
        </is>
      </c>
      <c r="E319" s="138" t="inlineStr">
        <is>
          <t>[온누리7%혜택][말바우시장 선김치] 전라도 국산 오이소박이 김치</t>
        </is>
      </c>
      <c r="F319" s="140" t="n">
        <v>7</v>
      </c>
      <c r="G319" s="140" t="n">
        <v>206800</v>
      </c>
      <c r="H319" s="140" t="n">
        <v>39280</v>
      </c>
    </row>
    <row r="320" hidden="1" s="21">
      <c r="A320" s="8" t="inlineStr">
        <is>
          <t>롯데ON</t>
        </is>
      </c>
      <c r="B320" s="9" t="inlineStr">
        <is>
          <t>가공식품</t>
        </is>
      </c>
      <c r="C320" s="9" t="inlineStr">
        <is>
          <t>선김치</t>
        </is>
      </c>
      <c r="D320" s="134" t="inlineStr">
        <is>
          <t>409-23-97341</t>
        </is>
      </c>
      <c r="E320" s="138" t="inlineStr">
        <is>
          <t>[온누리7%혜택][100% 국산 청양고추] 말바우시장 선김치 맛있게 매운 실비 배추겉절이</t>
        </is>
      </c>
      <c r="F320" s="140" t="inlineStr">
        <is>
          <t>-</t>
        </is>
      </c>
      <c r="G320" s="140" t="inlineStr">
        <is>
          <t>-</t>
        </is>
      </c>
      <c r="H320" s="140" t="inlineStr">
        <is>
          <t>-</t>
        </is>
      </c>
    </row>
    <row r="321" hidden="1" s="21">
      <c r="A321" s="8" t="inlineStr">
        <is>
          <t>롯데ON</t>
        </is>
      </c>
      <c r="B321" s="9" t="inlineStr">
        <is>
          <t>가공식품</t>
        </is>
      </c>
      <c r="C321" s="9" t="inlineStr">
        <is>
          <t>선김치</t>
        </is>
      </c>
      <c r="D321" s="134" t="inlineStr">
        <is>
          <t>409-23-97341</t>
        </is>
      </c>
      <c r="E321" s="138" t="inlineStr">
        <is>
          <t>[온누리7%혜택][100% 국산 청양고추] 말바우시장 선김치 맛있게 매운 실비 배추김치</t>
        </is>
      </c>
      <c r="F321" s="140" t="n">
        <v>22</v>
      </c>
      <c r="G321" s="140" t="n">
        <v>746800</v>
      </c>
      <c r="H321" s="140" t="n">
        <v>141800</v>
      </c>
    </row>
    <row r="322" hidden="1" s="21">
      <c r="A322" s="8" t="inlineStr">
        <is>
          <t>롯데ON</t>
        </is>
      </c>
      <c r="B322" s="9" t="inlineStr">
        <is>
          <t>가공식품</t>
        </is>
      </c>
      <c r="C322" s="9" t="inlineStr">
        <is>
          <t>선김치</t>
        </is>
      </c>
      <c r="D322" s="134" t="inlineStr">
        <is>
          <t>409-23-97341</t>
        </is>
      </c>
      <c r="E322" s="138" t="inlineStr">
        <is>
          <t>[온누리7%혜택][말바우시장 선김치] 전라도 국산 포기 배추김치</t>
        </is>
      </c>
      <c r="F322" s="140" t="n">
        <v>23</v>
      </c>
      <c r="G322" s="140" t="n">
        <v>1016900</v>
      </c>
      <c r="H322" s="140" t="n">
        <v>171220</v>
      </c>
    </row>
    <row r="323" hidden="1" s="21">
      <c r="A323" s="8" t="inlineStr">
        <is>
          <t>롯데ON</t>
        </is>
      </c>
      <c r="B323" s="9" t="inlineStr">
        <is>
          <t>가공식품</t>
        </is>
      </c>
      <c r="C323" s="9" t="inlineStr">
        <is>
          <t>선김치</t>
        </is>
      </c>
      <c r="D323" s="134" t="inlineStr">
        <is>
          <t>409-23-97341</t>
        </is>
      </c>
      <c r="E323" s="138" t="inlineStr">
        <is>
          <t>[온누리7%혜택]말바우시장 국산 전라도 알배기 겉절이 김치</t>
        </is>
      </c>
      <c r="F323" s="140" t="inlineStr">
        <is>
          <t>-</t>
        </is>
      </c>
      <c r="G323" s="140" t="inlineStr">
        <is>
          <t>-</t>
        </is>
      </c>
      <c r="H323" s="140" t="inlineStr">
        <is>
          <t>-</t>
        </is>
      </c>
    </row>
    <row r="324" hidden="1" s="21">
      <c r="A324" s="8" t="inlineStr">
        <is>
          <t>롯데ON</t>
        </is>
      </c>
      <c r="B324" s="9" t="inlineStr">
        <is>
          <t>가공식품</t>
        </is>
      </c>
      <c r="C324" s="9" t="inlineStr">
        <is>
          <t>선김치</t>
        </is>
      </c>
      <c r="D324" s="134" t="inlineStr">
        <is>
          <t>409-23-97341</t>
        </is>
      </c>
      <c r="E324" s="138" t="inlineStr">
        <is>
          <t>[온누리7%혜택][100% 국산 청양고추] 말바우시장 선김치 맛있게 매운 실비 파김치</t>
        </is>
      </c>
      <c r="F324" s="140" t="n">
        <v>6</v>
      </c>
      <c r="G324" s="140" t="n">
        <v>136800</v>
      </c>
      <c r="H324" s="140" t="n">
        <v>25950</v>
      </c>
    </row>
    <row r="325" hidden="1" s="21">
      <c r="A325" s="8" t="inlineStr">
        <is>
          <t>롯데ON</t>
        </is>
      </c>
      <c r="B325" s="9" t="inlineStr">
        <is>
          <t>가공식품</t>
        </is>
      </c>
      <c r="C325" s="9" t="inlineStr">
        <is>
          <t>선김치</t>
        </is>
      </c>
      <c r="D325" s="134" t="inlineStr">
        <is>
          <t>409-23-97341</t>
        </is>
      </c>
      <c r="E325" s="138" t="inlineStr">
        <is>
          <t>[온누리7%혜택][말바우시장 선김치] 국산 전라도 가정식 깍두기 김치</t>
        </is>
      </c>
      <c r="F325" s="140" t="n">
        <v>5</v>
      </c>
      <c r="G325" s="140" t="n">
        <v>111500</v>
      </c>
      <c r="H325" s="140" t="n">
        <v>21460</v>
      </c>
    </row>
    <row r="326" hidden="1" s="21">
      <c r="A326" s="8" t="inlineStr">
        <is>
          <t>롯데ON</t>
        </is>
      </c>
      <c r="B326" s="9" t="inlineStr">
        <is>
          <t>가공식품</t>
        </is>
      </c>
      <c r="C326" s="9" t="inlineStr">
        <is>
          <t>선김치</t>
        </is>
      </c>
      <c r="D326" s="134" t="inlineStr">
        <is>
          <t>409-23-97341</t>
        </is>
      </c>
      <c r="E326" s="138" t="inlineStr">
        <is>
          <t>[온누리7%혜택][말바우시장 선김치] 국산 전라도 가정식 석박지</t>
        </is>
      </c>
      <c r="F326" s="140" t="n">
        <v>4</v>
      </c>
      <c r="G326" s="140" t="n">
        <v>78700</v>
      </c>
      <c r="H326" s="140" t="n">
        <v>14940</v>
      </c>
    </row>
    <row r="327" hidden="1" s="21">
      <c r="A327" s="8" t="inlineStr">
        <is>
          <t>롯데ON</t>
        </is>
      </c>
      <c r="B327" s="9" t="inlineStr">
        <is>
          <t>가공식품</t>
        </is>
      </c>
      <c r="C327" s="9" t="inlineStr">
        <is>
          <t>선김치</t>
        </is>
      </c>
      <c r="D327" s="134" t="inlineStr">
        <is>
          <t>409-23-97341</t>
        </is>
      </c>
      <c r="E327" s="138" t="inlineStr">
        <is>
          <t>[온누리7%혜택][말바우시장 선김치] 국산 전라도 부추김치</t>
        </is>
      </c>
      <c r="F327" s="140" t="inlineStr">
        <is>
          <t>-</t>
        </is>
      </c>
      <c r="G327" s="140" t="inlineStr">
        <is>
          <t>-</t>
        </is>
      </c>
      <c r="H327" s="140" t="inlineStr">
        <is>
          <t>-</t>
        </is>
      </c>
    </row>
    <row r="328" hidden="1" s="21">
      <c r="A328" s="8" t="inlineStr">
        <is>
          <t>롯데ON</t>
        </is>
      </c>
      <c r="B328" s="9" t="inlineStr">
        <is>
          <t>가공식품</t>
        </is>
      </c>
      <c r="C328" s="12" t="inlineStr">
        <is>
          <t>선김치</t>
        </is>
      </c>
      <c r="D328" s="136" t="inlineStr">
        <is>
          <t>409-23-97341</t>
        </is>
      </c>
      <c r="E328" s="141" t="inlineStr">
        <is>
          <t>[온누리7%혜택][말바우시장 선김치] 국산 전라도 가정식 수제 백김치</t>
        </is>
      </c>
      <c r="F328" s="140" t="inlineStr">
        <is>
          <t>-</t>
        </is>
      </c>
      <c r="G328" s="140" t="inlineStr">
        <is>
          <t>-</t>
        </is>
      </c>
      <c r="H328" s="140" t="inlineStr">
        <is>
          <t>-</t>
        </is>
      </c>
    </row>
    <row r="329" hidden="1" s="21">
      <c r="A329" s="8" t="inlineStr">
        <is>
          <t>롯데ON</t>
        </is>
      </c>
      <c r="B329" s="9" t="inlineStr">
        <is>
          <t>가공식품</t>
        </is>
      </c>
      <c r="C329" s="12" t="inlineStr">
        <is>
          <t>선김치</t>
        </is>
      </c>
      <c r="D329" s="136" t="inlineStr">
        <is>
          <t>409-23-97341</t>
        </is>
      </c>
      <c r="E329" s="141" t="inlineStr">
        <is>
          <t>[온누리7%혜택][말바우시장 선김치] 국산 전라도 다발무김치</t>
        </is>
      </c>
      <c r="F329" s="140" t="n">
        <v>2</v>
      </c>
      <c r="G329" s="140" t="n">
        <v>92400</v>
      </c>
      <c r="H329" s="140" t="n">
        <v>17930</v>
      </c>
    </row>
    <row r="330" hidden="1" s="21">
      <c r="A330" s="8" t="inlineStr">
        <is>
          <t>롯데ON</t>
        </is>
      </c>
      <c r="B330" s="9" t="inlineStr">
        <is>
          <t>가공식품</t>
        </is>
      </c>
      <c r="C330" s="12" t="inlineStr">
        <is>
          <t>선김치</t>
        </is>
      </c>
      <c r="D330" s="136" t="inlineStr">
        <is>
          <t>409-23-97341</t>
        </is>
      </c>
      <c r="E330" s="141" t="inlineStr">
        <is>
          <t>[온누리7%혜택][말바우시장 선김치] 전라도 국산 알배기 겉절이 김치 1kg 외</t>
        </is>
      </c>
      <c r="F330" s="140" t="n">
        <v>13</v>
      </c>
      <c r="G330" s="140" t="n">
        <v>203900</v>
      </c>
      <c r="H330" s="140" t="n">
        <v>38700</v>
      </c>
    </row>
    <row r="331" hidden="1" s="21">
      <c r="A331" s="8" t="inlineStr">
        <is>
          <t>롯데ON</t>
        </is>
      </c>
      <c r="B331" s="12" t="inlineStr">
        <is>
          <t>가공식품</t>
        </is>
      </c>
      <c r="C331" s="12" t="inlineStr">
        <is>
          <t>선김치</t>
        </is>
      </c>
      <c r="D331" s="136" t="inlineStr">
        <is>
          <t>409-23-97341</t>
        </is>
      </c>
      <c r="E331" s="141" t="inlineStr">
        <is>
          <t>[온누리7%혜택][말바우시장 선김치] 25년 국산 햇고춧가루 김치 반찬용</t>
        </is>
      </c>
      <c r="F331" s="142" t="n">
        <v>7</v>
      </c>
      <c r="G331" s="142" t="n">
        <v>241800</v>
      </c>
      <c r="H331" s="142" t="n">
        <v>46210</v>
      </c>
    </row>
    <row r="332" hidden="1" s="21">
      <c r="A332" s="8" t="inlineStr">
        <is>
          <t>롯데ON</t>
        </is>
      </c>
      <c r="B332" s="12" t="inlineStr">
        <is>
          <t>가공식품</t>
        </is>
      </c>
      <c r="C332" s="12" t="inlineStr">
        <is>
          <t>정선아라리한과농원 영농조합법인</t>
        </is>
      </c>
      <c r="D332" s="136" t="inlineStr">
        <is>
          <t>226-81-48890</t>
        </is>
      </c>
      <c r="E332" s="141" t="inlineStr">
        <is>
          <t>[온누리7%혜택]국산 석류와 배를 담은 수제생강청 착즙원액 스틱 30포</t>
        </is>
      </c>
      <c r="F332" s="142" t="inlineStr">
        <is>
          <t>-</t>
        </is>
      </c>
      <c r="G332" s="142" t="inlineStr">
        <is>
          <t>-</t>
        </is>
      </c>
      <c r="H332" s="142" t="inlineStr">
        <is>
          <t>-</t>
        </is>
      </c>
    </row>
    <row r="333" hidden="1" s="21">
      <c r="A333" s="8" t="inlineStr">
        <is>
          <t>롯데ON</t>
        </is>
      </c>
      <c r="B333" s="12" t="inlineStr">
        <is>
          <t>가공식품</t>
        </is>
      </c>
      <c r="C333" s="12" t="inlineStr">
        <is>
          <t>정선아라리한과농원 영농조합법인</t>
        </is>
      </c>
      <c r="D333" s="136" t="inlineStr">
        <is>
          <t>226-81-48890</t>
        </is>
      </c>
      <c r="E333" s="141" t="inlineStr">
        <is>
          <t>[온누리7%혜택]물한방울 섞지 않은 100%착즙 국산 수제 생강청 생강원액 420g</t>
        </is>
      </c>
      <c r="F333" s="142" t="inlineStr">
        <is>
          <t>-</t>
        </is>
      </c>
      <c r="G333" s="142" t="inlineStr">
        <is>
          <t>-</t>
        </is>
      </c>
      <c r="H333" s="142" t="inlineStr">
        <is>
          <t>-</t>
        </is>
      </c>
    </row>
    <row r="334" hidden="1" s="21">
      <c r="A334" s="8" t="inlineStr">
        <is>
          <t>롯데ON</t>
        </is>
      </c>
      <c r="B334" s="12" t="inlineStr">
        <is>
          <t>가공식품</t>
        </is>
      </c>
      <c r="C334" s="12" t="inlineStr">
        <is>
          <t>정선아라리한과농원 영농조합법인</t>
        </is>
      </c>
      <c r="D334" s="136" t="inlineStr">
        <is>
          <t>226-81-48890</t>
        </is>
      </c>
      <c r="E334" s="141" t="inlineStr">
        <is>
          <t>[온누리7%혜택]정선 약도라지 착즙원액 국산 도라지청 추석 설 명절 선물 420g</t>
        </is>
      </c>
      <c r="F334" s="142" t="inlineStr">
        <is>
          <t>-</t>
        </is>
      </c>
      <c r="G334" s="142" t="inlineStr">
        <is>
          <t>-</t>
        </is>
      </c>
      <c r="H334" s="142" t="inlineStr">
        <is>
          <t>-</t>
        </is>
      </c>
    </row>
    <row r="335" hidden="1" s="21">
      <c r="A335" s="8" t="inlineStr">
        <is>
          <t>롯데ON</t>
        </is>
      </c>
      <c r="B335" s="12" t="inlineStr">
        <is>
          <t>가공식품</t>
        </is>
      </c>
      <c r="C335" s="12" t="inlineStr">
        <is>
          <t>정선아라리한과농원 영농조합법인</t>
        </is>
      </c>
      <c r="D335" s="136" t="inlineStr">
        <is>
          <t>226-81-48890</t>
        </is>
      </c>
      <c r="E335" s="141" t="inlineStr">
        <is>
          <t>[온누리7%혜택][살수록할인]정선사위 정선약도라지청 착즙 원액 스틱 30포3박스</t>
        </is>
      </c>
      <c r="F335" s="142" t="inlineStr">
        <is>
          <t>-</t>
        </is>
      </c>
      <c r="G335" s="142" t="inlineStr">
        <is>
          <t>-</t>
        </is>
      </c>
      <c r="H335" s="142" t="inlineStr">
        <is>
          <t>-</t>
        </is>
      </c>
    </row>
    <row r="336" hidden="1" s="21">
      <c r="A336" s="8" t="inlineStr">
        <is>
          <t>롯데ON</t>
        </is>
      </c>
      <c r="B336" s="12" t="inlineStr">
        <is>
          <t>가공식품</t>
        </is>
      </c>
      <c r="C336" s="12" t="inlineStr">
        <is>
          <t>정선아라리한과농원 영농조합법인</t>
        </is>
      </c>
      <c r="D336" s="136" t="inlineStr">
        <is>
          <t>226-81-48890</t>
        </is>
      </c>
      <c r="E336" s="141" t="inlineStr">
        <is>
          <t>[온누리7%혜택]강옥연 국산 수제 한입 도라지정과 한입 더덕정과 명절 선물 100g</t>
        </is>
      </c>
      <c r="F336" s="142" t="n">
        <v>1</v>
      </c>
      <c r="G336" s="142" t="n">
        <v>22000</v>
      </c>
      <c r="H336" s="142" t="n">
        <v>4180</v>
      </c>
    </row>
    <row r="337" hidden="1" s="21">
      <c r="A337" s="8" t="inlineStr">
        <is>
          <t>롯데ON</t>
        </is>
      </c>
      <c r="B337" s="12" t="inlineStr">
        <is>
          <t>가공식품</t>
        </is>
      </c>
      <c r="C337" s="12" t="inlineStr">
        <is>
          <t>정선아라리한과농원 영농조합법인</t>
        </is>
      </c>
      <c r="D337" s="136" t="inlineStr">
        <is>
          <t>226-81-48890</t>
        </is>
      </c>
      <c r="E337" s="141" t="inlineStr">
        <is>
          <t>[온누리7%혜택]국산 도라지청 약도라지 착즙 원액 420g</t>
        </is>
      </c>
      <c r="F337" s="142" t="n">
        <v>1</v>
      </c>
      <c r="G337" s="142" t="n">
        <v>38000</v>
      </c>
      <c r="H337" s="142" t="n">
        <v>7220</v>
      </c>
    </row>
    <row r="338" hidden="1" s="21">
      <c r="A338" s="8" t="inlineStr">
        <is>
          <t>롯데ON</t>
        </is>
      </c>
      <c r="B338" s="12" t="inlineStr">
        <is>
          <t>가공식품</t>
        </is>
      </c>
      <c r="C338" s="12" t="inlineStr">
        <is>
          <t>정선아라리한과농원 영농조합법인</t>
        </is>
      </c>
      <c r="D338" s="136" t="inlineStr">
        <is>
          <t>226-81-48890</t>
        </is>
      </c>
      <c r="E338" s="141" t="inlineStr">
        <is>
          <t>[온누리7%혜택]국산 콩고물 수제 도라지정과 350g (실크 보자기포장 포함) 상견례 추석 명절 선물세트</t>
        </is>
      </c>
      <c r="F338" s="142" t="inlineStr">
        <is>
          <t>-</t>
        </is>
      </c>
      <c r="G338" s="142" t="inlineStr">
        <is>
          <t>-</t>
        </is>
      </c>
      <c r="H338" s="142" t="inlineStr">
        <is>
          <t>-</t>
        </is>
      </c>
    </row>
    <row r="339" hidden="1" s="21">
      <c r="A339" s="8" t="inlineStr">
        <is>
          <t>롯데ON</t>
        </is>
      </c>
      <c r="B339" s="12" t="inlineStr">
        <is>
          <t>가공식품</t>
        </is>
      </c>
      <c r="C339" s="12" t="inlineStr">
        <is>
          <t>정선아라리한과농원 영농조합법인</t>
        </is>
      </c>
      <c r="D339" s="136" t="inlineStr">
        <is>
          <t>226-81-48890</t>
        </is>
      </c>
      <c r="E339" s="141" t="inlineStr">
        <is>
          <t>[온누리7%혜택]국산 콩고물 수제 도라지정과 500g (고급 보자기포장 포함) 상견례 추석 명절 선물세트</t>
        </is>
      </c>
      <c r="F339" s="142" t="inlineStr">
        <is>
          <t>-</t>
        </is>
      </c>
      <c r="G339" s="142" t="inlineStr">
        <is>
          <t>-</t>
        </is>
      </c>
      <c r="H339" s="142" t="inlineStr">
        <is>
          <t>-</t>
        </is>
      </c>
    </row>
    <row r="340" hidden="1" s="21">
      <c r="A340" s="8" t="inlineStr">
        <is>
          <t>롯데ON</t>
        </is>
      </c>
      <c r="B340" s="12" t="inlineStr">
        <is>
          <t>가공식품</t>
        </is>
      </c>
      <c r="C340" s="12" t="inlineStr">
        <is>
          <t>정선아라리한과농원 영농조합법인</t>
        </is>
      </c>
      <c r="D340" s="136" t="inlineStr">
        <is>
          <t>226-81-48890</t>
        </is>
      </c>
      <c r="E340" s="141" t="inlineStr">
        <is>
          <t>[온누리7%혜택]국산 콩고물 수제 도라지정과 300g (고급 보자기포장 포함) 상견례 추석 명절 선물세트</t>
        </is>
      </c>
      <c r="F340" s="142" t="inlineStr">
        <is>
          <t>-</t>
        </is>
      </c>
      <c r="G340" s="142" t="inlineStr">
        <is>
          <t>-</t>
        </is>
      </c>
      <c r="H340" s="142" t="inlineStr">
        <is>
          <t>-</t>
        </is>
      </c>
    </row>
    <row r="341" hidden="1" s="21">
      <c r="A341" s="8" t="inlineStr">
        <is>
          <t>롯데ON</t>
        </is>
      </c>
      <c r="B341" s="12" t="inlineStr">
        <is>
          <t>가공식품</t>
        </is>
      </c>
      <c r="C341" s="12" t="inlineStr">
        <is>
          <t>정선아라리한과농원 영농조합법인</t>
        </is>
      </c>
      <c r="D341" s="136" t="inlineStr">
        <is>
          <t>226-81-48890</t>
        </is>
      </c>
      <c r="E341" s="141" t="inlineStr">
        <is>
          <t>[온누리7%혜택]국산 생강 착즙원액 650g 생강청 생강차</t>
        </is>
      </c>
      <c r="F341" s="142" t="n">
        <v>2</v>
      </c>
      <c r="G341" s="142" t="n">
        <v>60000</v>
      </c>
      <c r="H341" s="142" t="n">
        <v>9600</v>
      </c>
    </row>
    <row r="342" hidden="1" s="21">
      <c r="A342" s="8" t="inlineStr">
        <is>
          <t>롯데ON</t>
        </is>
      </c>
      <c r="B342" s="12" t="inlineStr">
        <is>
          <t>가공식품</t>
        </is>
      </c>
      <c r="C342" s="12" t="inlineStr">
        <is>
          <t>정선아라리한과농원 영농조합법인</t>
        </is>
      </c>
      <c r="D342" s="136" t="inlineStr">
        <is>
          <t>226-81-48890</t>
        </is>
      </c>
      <c r="E342" s="141" t="inlineStr">
        <is>
          <t>[온누리7%혜택]국산 콩고물 수제 더덕정과 350g (실크 보자기포장 포함) 상견례 추석 명절 선물세트</t>
        </is>
      </c>
      <c r="F342" s="142" t="inlineStr">
        <is>
          <t>-</t>
        </is>
      </c>
      <c r="G342" s="142" t="inlineStr">
        <is>
          <t>-</t>
        </is>
      </c>
      <c r="H342" s="142" t="inlineStr">
        <is>
          <t>-</t>
        </is>
      </c>
    </row>
    <row r="343" hidden="1" s="21">
      <c r="A343" s="8" t="inlineStr">
        <is>
          <t>롯데ON</t>
        </is>
      </c>
      <c r="B343" s="12" t="inlineStr">
        <is>
          <t>가공식품</t>
        </is>
      </c>
      <c r="C343" s="12" t="inlineStr">
        <is>
          <t>정선아라리한과농원 영농조합법인</t>
        </is>
      </c>
      <c r="D343" s="136" t="inlineStr">
        <is>
          <t>226-81-48890</t>
        </is>
      </c>
      <c r="E343" s="141" t="inlineStr">
        <is>
          <t>[온누리7%혜택]정선 약도라지 착즙원액 국산 도라지청 추석 설 명절 선물 150g</t>
        </is>
      </c>
      <c r="F343" s="142" t="inlineStr">
        <is>
          <t>-</t>
        </is>
      </c>
      <c r="G343" s="142" t="inlineStr">
        <is>
          <t>-</t>
        </is>
      </c>
      <c r="H343" s="142" t="inlineStr">
        <is>
          <t>-</t>
        </is>
      </c>
    </row>
    <row r="344" hidden="1" s="21">
      <c r="A344" s="8" t="inlineStr">
        <is>
          <t>롯데ON</t>
        </is>
      </c>
      <c r="B344" s="12" t="inlineStr">
        <is>
          <t>가공식품</t>
        </is>
      </c>
      <c r="C344" s="12" t="inlineStr">
        <is>
          <t>정선아라리한과농원 영농조합법인</t>
        </is>
      </c>
      <c r="D344" s="136" t="inlineStr">
        <is>
          <t>226-81-48890</t>
        </is>
      </c>
      <c r="E344" s="141" t="inlineStr">
        <is>
          <t>[온누리7%혜택]물한방울 섞지 않은 100% 착즙 국산 수제 생강청 생강원액 630g</t>
        </is>
      </c>
      <c r="F344" s="142" t="inlineStr">
        <is>
          <t>-</t>
        </is>
      </c>
      <c r="G344" s="142" t="inlineStr">
        <is>
          <t>-</t>
        </is>
      </c>
      <c r="H344" s="142" t="inlineStr">
        <is>
          <t>-</t>
        </is>
      </c>
    </row>
    <row r="345" hidden="1" s="21">
      <c r="A345" s="8" t="inlineStr">
        <is>
          <t>롯데ON</t>
        </is>
      </c>
      <c r="B345" s="12" t="inlineStr">
        <is>
          <t>가공식품</t>
        </is>
      </c>
      <c r="C345" s="12" t="inlineStr">
        <is>
          <t>정선아라리한과농원 영농조합법인</t>
        </is>
      </c>
      <c r="D345" s="136" t="inlineStr">
        <is>
          <t>226-81-48890</t>
        </is>
      </c>
      <c r="E345" s="141" t="inlineStr">
        <is>
          <t>[온누리7%혜택]국산 도라지청 약도라지 착즙 원액 630g</t>
        </is>
      </c>
      <c r="F345" s="142" t="n">
        <v>1</v>
      </c>
      <c r="G345" s="142" t="n">
        <v>55000</v>
      </c>
      <c r="H345" s="142" t="n">
        <v>8800</v>
      </c>
    </row>
    <row r="346" hidden="1" s="21">
      <c r="A346" s="8" t="inlineStr">
        <is>
          <t>롯데ON</t>
        </is>
      </c>
      <c r="B346" s="9" t="inlineStr">
        <is>
          <t>가공식품</t>
        </is>
      </c>
      <c r="C346" s="12" t="inlineStr">
        <is>
          <t>정선아라리한과농원 영농조합법인</t>
        </is>
      </c>
      <c r="D346" s="136" t="inlineStr">
        <is>
          <t>226-81-48890</t>
        </is>
      </c>
      <c r="E346" s="141" t="inlineStr">
        <is>
          <t>[온누리7%혜택]국산 구수한 가마솥 우리쌀 누룽지 간식 1kg</t>
        </is>
      </c>
      <c r="F346" s="142" t="n">
        <v>6</v>
      </c>
      <c r="G346" s="142" t="n">
        <v>120400</v>
      </c>
      <c r="H346" s="142" t="n">
        <v>22810</v>
      </c>
    </row>
    <row r="347" hidden="1" s="21">
      <c r="A347" s="8" t="inlineStr">
        <is>
          <t>롯데ON</t>
        </is>
      </c>
      <c r="B347" s="12" t="inlineStr">
        <is>
          <t>가공식품</t>
        </is>
      </c>
      <c r="C347" s="12" t="inlineStr">
        <is>
          <t>더바른컴퍼니</t>
        </is>
      </c>
      <c r="D347" s="136" t="inlineStr">
        <is>
          <t>771-81-03506</t>
        </is>
      </c>
      <c r="E347" s="141" t="inlineStr">
        <is>
          <t>[떡1위] 반반 바람떡 1box 개별포장 100%국산쌀</t>
        </is>
      </c>
      <c r="F347" s="142" t="n">
        <v>3</v>
      </c>
      <c r="G347" s="142" t="n">
        <v>39900</v>
      </c>
      <c r="H347" s="142" t="n">
        <v>7360</v>
      </c>
    </row>
    <row r="348" hidden="1" s="21">
      <c r="A348" s="8" t="inlineStr">
        <is>
          <t>롯데ON</t>
        </is>
      </c>
      <c r="B348" s="12" t="inlineStr">
        <is>
          <t>가공식품</t>
        </is>
      </c>
      <c r="C348" s="12" t="inlineStr">
        <is>
          <t>더바른컴퍼니</t>
        </is>
      </c>
      <c r="D348" s="136" t="inlineStr">
        <is>
          <t>771-81-03506</t>
        </is>
      </c>
      <c r="E348" s="141" t="inlineStr">
        <is>
          <t>[떡1위] 초코팅 피넛버터크림떡 1box 개별포장 100%국산쌀</t>
        </is>
      </c>
      <c r="F348" s="142" t="n">
        <v>3</v>
      </c>
      <c r="G348" s="142" t="n">
        <v>68700</v>
      </c>
      <c r="H348" s="142" t="n">
        <v>12700</v>
      </c>
    </row>
    <row r="349" hidden="1" s="21">
      <c r="A349" s="8" t="inlineStr">
        <is>
          <t>롯데ON</t>
        </is>
      </c>
      <c r="B349" s="12" t="inlineStr">
        <is>
          <t>가공식품</t>
        </is>
      </c>
      <c r="C349" s="12" t="inlineStr">
        <is>
          <t>더바른컴퍼니</t>
        </is>
      </c>
      <c r="D349" s="136" t="inlineStr">
        <is>
          <t>771-81-03506</t>
        </is>
      </c>
      <c r="E349" s="141" t="inlineStr">
        <is>
          <t>[떡1위] 초코팅 말차크림떡 1box 개별포장 100%국산쌀</t>
        </is>
      </c>
      <c r="F349" s="142" t="n">
        <v>2</v>
      </c>
      <c r="G349" s="142" t="n">
        <v>45800</v>
      </c>
      <c r="H349" s="142" t="n">
        <v>8520</v>
      </c>
    </row>
    <row r="350" hidden="1" s="21">
      <c r="A350" s="8" t="inlineStr">
        <is>
          <t>롯데ON</t>
        </is>
      </c>
      <c r="B350" s="12" t="inlineStr">
        <is>
          <t>가공식품</t>
        </is>
      </c>
      <c r="C350" s="12" t="inlineStr">
        <is>
          <t>더바른컴퍼니</t>
        </is>
      </c>
      <c r="D350" s="136" t="inlineStr">
        <is>
          <t>771-81-03506</t>
        </is>
      </c>
      <c r="E350" s="141" t="inlineStr">
        <is>
          <t>[떡 1위] 더바른떡 콩쑥개떡 1box 100%국산쌀</t>
        </is>
      </c>
      <c r="F350" s="142" t="n">
        <v>1</v>
      </c>
      <c r="G350" s="142" t="n">
        <v>17900</v>
      </c>
      <c r="H350" s="142" t="n">
        <v>2860</v>
      </c>
    </row>
    <row r="351" hidden="1" s="21">
      <c r="A351" s="8" t="inlineStr">
        <is>
          <t>롯데ON</t>
        </is>
      </c>
      <c r="B351" s="12" t="inlineStr">
        <is>
          <t>가공식품</t>
        </is>
      </c>
      <c r="C351" s="12" t="inlineStr">
        <is>
          <t>더바른컴퍼니</t>
        </is>
      </c>
      <c r="D351" s="136" t="inlineStr">
        <is>
          <t>771-81-03506</t>
        </is>
      </c>
      <c r="E351" s="141" t="inlineStr">
        <is>
          <t>[떡1위] 파베초코크림떡 1box 개별포장 100%국산쌀</t>
        </is>
      </c>
      <c r="F351" s="142" t="n">
        <v>935</v>
      </c>
      <c r="G351" s="142" t="n">
        <v>14153100</v>
      </c>
      <c r="H351" s="142" t="n">
        <v>2375280</v>
      </c>
    </row>
    <row r="352" hidden="1" s="21">
      <c r="A352" s="8" t="inlineStr">
        <is>
          <t>롯데ON</t>
        </is>
      </c>
      <c r="B352" s="12" t="inlineStr">
        <is>
          <t>가공식품</t>
        </is>
      </c>
      <c r="C352" s="12" t="inlineStr">
        <is>
          <t>더바른컴퍼니</t>
        </is>
      </c>
      <c r="D352" s="136" t="inlineStr">
        <is>
          <t>771-81-03506</t>
        </is>
      </c>
      <c r="E352" s="141" t="inlineStr">
        <is>
          <t>[떡1위] 복숭아요거트크림떡 1box 개별포장 100%국산쌀</t>
        </is>
      </c>
      <c r="F352" s="142" t="n">
        <v>19</v>
      </c>
      <c r="G352" s="142" t="n">
        <v>225700</v>
      </c>
      <c r="H352" s="142" t="n">
        <v>40490</v>
      </c>
    </row>
    <row r="353" hidden="1" s="21">
      <c r="A353" s="8" t="inlineStr">
        <is>
          <t>롯데ON</t>
        </is>
      </c>
      <c r="B353" s="12" t="inlineStr">
        <is>
          <t>가공식품</t>
        </is>
      </c>
      <c r="C353" s="12" t="inlineStr">
        <is>
          <t>더바른컴퍼니</t>
        </is>
      </c>
      <c r="D353" s="136" t="inlineStr">
        <is>
          <t>771-81-03506</t>
        </is>
      </c>
      <c r="E353" s="141" t="inlineStr">
        <is>
          <t>[APP전용] 더바른 앙꼬절편 4종 1팩/2팩 (흰팥,쑥,흑임자,고구마)</t>
        </is>
      </c>
      <c r="F353" s="142" t="n">
        <v>5</v>
      </c>
      <c r="G353" s="142" t="n">
        <v>74500</v>
      </c>
      <c r="H353" s="142" t="n">
        <v>13970</v>
      </c>
    </row>
    <row r="354" hidden="1" s="21">
      <c r="A354" s="8" t="inlineStr">
        <is>
          <t>롯데ON</t>
        </is>
      </c>
      <c r="B354" s="12" t="inlineStr">
        <is>
          <t>가공식품</t>
        </is>
      </c>
      <c r="C354" s="12" t="inlineStr">
        <is>
          <t>더바른컴퍼니</t>
        </is>
      </c>
      <c r="D354" s="136" t="inlineStr">
        <is>
          <t>771-81-03506</t>
        </is>
      </c>
      <c r="E354" s="141" t="inlineStr">
        <is>
          <t>[떡 1위] 굳지않는 삼색꿀떡 1box 개별포장 100%국산쌀</t>
        </is>
      </c>
      <c r="F354" s="142" t="n">
        <v>61</v>
      </c>
      <c r="G354" s="142" t="n">
        <v>970400</v>
      </c>
      <c r="H354" s="142" t="n">
        <v>159350</v>
      </c>
    </row>
    <row r="355" hidden="1" s="21">
      <c r="A355" s="8" t="inlineStr">
        <is>
          <t>롯데ON</t>
        </is>
      </c>
      <c r="B355" s="12" t="inlineStr">
        <is>
          <t>가공식품</t>
        </is>
      </c>
      <c r="C355" s="12" t="inlineStr">
        <is>
          <t>더바른컴퍼니</t>
        </is>
      </c>
      <c r="D355" s="136" t="inlineStr">
        <is>
          <t>771-81-03506</t>
        </is>
      </c>
      <c r="E355" s="141" t="inlineStr">
        <is>
          <t>[떡1위] 저당 밥알찹쌀떡 1box 개별포장 100%국산쌀</t>
        </is>
      </c>
      <c r="F355" s="142" t="n">
        <v>5</v>
      </c>
      <c r="G355" s="142" t="n">
        <v>129500</v>
      </c>
      <c r="H355" s="142" t="n">
        <v>22800</v>
      </c>
    </row>
    <row r="356" hidden="1" s="21">
      <c r="A356" s="8" t="inlineStr">
        <is>
          <t>롯데ON</t>
        </is>
      </c>
      <c r="B356" s="12" t="inlineStr">
        <is>
          <t>가공식품</t>
        </is>
      </c>
      <c r="C356" s="12" t="inlineStr">
        <is>
          <t>더바른컴퍼니</t>
        </is>
      </c>
      <c r="D356" s="136" t="inlineStr">
        <is>
          <t>771-81-03506</t>
        </is>
      </c>
      <c r="E356" s="141" t="inlineStr">
        <is>
          <t>[떡1위] 딸기크림떡/밤크림떡 1box/2box 개별포장 100%국산쌀</t>
        </is>
      </c>
      <c r="F356" s="142" t="n">
        <v>4</v>
      </c>
      <c r="G356" s="142" t="n">
        <v>50200</v>
      </c>
      <c r="H356" s="142" t="n">
        <v>9000</v>
      </c>
    </row>
    <row r="357" hidden="1" s="21">
      <c r="A357" s="8" t="inlineStr">
        <is>
          <t>롯데ON</t>
        </is>
      </c>
      <c r="B357" s="12" t="inlineStr">
        <is>
          <t>가공식품</t>
        </is>
      </c>
      <c r="C357" s="12" t="inlineStr">
        <is>
          <t>더바른컴퍼니</t>
        </is>
      </c>
      <c r="D357" s="136" t="inlineStr">
        <is>
          <t>771-81-03506</t>
        </is>
      </c>
      <c r="E357" s="141" t="inlineStr">
        <is>
          <t>[떡 1위] 딸기크림떡 1box 개별포장 100%국산쌀</t>
        </is>
      </c>
      <c r="F357" s="142" t="n">
        <v>18</v>
      </c>
      <c r="G357" s="142" t="n">
        <v>270500</v>
      </c>
      <c r="H357" s="142" t="n">
        <v>48180</v>
      </c>
    </row>
    <row r="358" hidden="1" s="21">
      <c r="A358" s="8" t="inlineStr">
        <is>
          <t>롯데ON</t>
        </is>
      </c>
      <c r="B358" s="12" t="inlineStr">
        <is>
          <t>가공식품</t>
        </is>
      </c>
      <c r="C358" s="12" t="inlineStr">
        <is>
          <t>더바른컴퍼니</t>
        </is>
      </c>
      <c r="D358" s="136" t="inlineStr">
        <is>
          <t>771-81-03506</t>
        </is>
      </c>
      <c r="E358" s="141" t="inlineStr">
        <is>
          <t>팥/흑임자/고구마앙꼬절편 500G+500G</t>
        </is>
      </c>
      <c r="F358" s="142" t="n">
        <v>64</v>
      </c>
      <c r="G358" s="142" t="n">
        <v>873300</v>
      </c>
      <c r="H358" s="142" t="n">
        <v>148480</v>
      </c>
    </row>
    <row r="359" hidden="1" s="21">
      <c r="A359" s="8" t="inlineStr">
        <is>
          <t>롯데ON</t>
        </is>
      </c>
      <c r="B359" s="12" t="inlineStr">
        <is>
          <t>가공식품</t>
        </is>
      </c>
      <c r="C359" s="12" t="inlineStr">
        <is>
          <t>더바른컴퍼니</t>
        </is>
      </c>
      <c r="D359" s="136" t="inlineStr">
        <is>
          <t>771-81-03506</t>
        </is>
      </c>
      <c r="E359" s="141" t="inlineStr">
        <is>
          <t>[떡 1위] 자연해동 오색송편 1pack (추가 구매시 더 큰 할인)</t>
        </is>
      </c>
      <c r="F359" s="142" t="inlineStr">
        <is>
          <t>-</t>
        </is>
      </c>
      <c r="G359" s="142" t="inlineStr">
        <is>
          <t>-</t>
        </is>
      </c>
      <c r="H359" s="142" t="inlineStr">
        <is>
          <t>-</t>
        </is>
      </c>
    </row>
    <row r="360" hidden="1" s="21">
      <c r="A360" s="8" t="inlineStr">
        <is>
          <t>롯데ON</t>
        </is>
      </c>
      <c r="B360" s="12" t="inlineStr">
        <is>
          <t>가공식품</t>
        </is>
      </c>
      <c r="C360" s="12" t="inlineStr">
        <is>
          <t>더바른컴퍼니</t>
        </is>
      </c>
      <c r="D360" s="136" t="inlineStr">
        <is>
          <t>771-81-03506</t>
        </is>
      </c>
      <c r="E360" s="141" t="inlineStr">
        <is>
          <t>[떡 1위] 삼색가래떡 1kg 100%국산쌀</t>
        </is>
      </c>
      <c r="F360" s="142" t="n">
        <v>8</v>
      </c>
      <c r="G360" s="142" t="n">
        <v>128200</v>
      </c>
      <c r="H360" s="142" t="n">
        <v>21180</v>
      </c>
    </row>
    <row r="361" hidden="1" s="21">
      <c r="A361" s="8" t="inlineStr">
        <is>
          <t>롯데ON</t>
        </is>
      </c>
      <c r="B361" s="12" t="inlineStr">
        <is>
          <t>가공식품</t>
        </is>
      </c>
      <c r="C361" s="12" t="inlineStr">
        <is>
          <t>더바른컴퍼니</t>
        </is>
      </c>
      <c r="D361" s="136" t="inlineStr">
        <is>
          <t>771-81-03506</t>
        </is>
      </c>
      <c r="E361" s="141" t="inlineStr">
        <is>
          <t>[떡 1위] 영양찰떡 1box 개별포장 100%국산쌀</t>
        </is>
      </c>
      <c r="F361" s="142" t="n">
        <v>2</v>
      </c>
      <c r="G361" s="142" t="n">
        <v>35900</v>
      </c>
      <c r="H361" s="142" t="n">
        <v>6140</v>
      </c>
    </row>
    <row r="362" hidden="1" s="21">
      <c r="A362" s="8" t="inlineStr">
        <is>
          <t>롯데ON</t>
        </is>
      </c>
      <c r="B362" s="12" t="inlineStr">
        <is>
          <t>가공식품</t>
        </is>
      </c>
      <c r="C362" s="12" t="inlineStr">
        <is>
          <t>더바른컴퍼니</t>
        </is>
      </c>
      <c r="D362" s="136" t="inlineStr">
        <is>
          <t>771-81-03506</t>
        </is>
      </c>
      <c r="E362" s="141" t="inlineStr">
        <is>
          <t>[떡 1위] 우유꿀설기 1box 개별포장 100%국산쌀</t>
        </is>
      </c>
      <c r="F362" s="142" t="inlineStr">
        <is>
          <t>-</t>
        </is>
      </c>
      <c r="G362" s="142" t="inlineStr">
        <is>
          <t>-</t>
        </is>
      </c>
      <c r="H362" s="142" t="inlineStr">
        <is>
          <t>-</t>
        </is>
      </c>
    </row>
    <row r="363" hidden="1" s="21">
      <c r="A363" s="8" t="inlineStr">
        <is>
          <t>롯데ON</t>
        </is>
      </c>
      <c r="B363" s="12" t="inlineStr">
        <is>
          <t>가공식품</t>
        </is>
      </c>
      <c r="C363" s="12" t="inlineStr">
        <is>
          <t>더바른컴퍼니</t>
        </is>
      </c>
      <c r="D363" s="136" t="inlineStr">
        <is>
          <t>771-81-03506</t>
        </is>
      </c>
      <c r="E363" s="141" t="inlineStr">
        <is>
          <t>[떡 1위] 흑임자찹쌀떡 1box 100%국산쌀</t>
        </is>
      </c>
      <c r="F363" s="142" t="n">
        <v>4</v>
      </c>
      <c r="G363" s="142" t="n">
        <v>116400</v>
      </c>
      <c r="H363" s="142" t="n">
        <v>19530</v>
      </c>
    </row>
    <row r="364" hidden="1" s="21">
      <c r="A364" s="8" t="inlineStr">
        <is>
          <t>롯데ON</t>
        </is>
      </c>
      <c r="B364" s="12" t="inlineStr">
        <is>
          <t>가공식품</t>
        </is>
      </c>
      <c r="C364" s="12" t="inlineStr">
        <is>
          <t>더바른컴퍼니</t>
        </is>
      </c>
      <c r="D364" s="136" t="inlineStr">
        <is>
          <t>771-81-03506</t>
        </is>
      </c>
      <c r="E364" s="141" t="inlineStr">
        <is>
          <t>[떡 1위] 카스테라찹쌀떡 1box 100%국산쌀</t>
        </is>
      </c>
      <c r="F364" s="142" t="inlineStr">
        <is>
          <t>-</t>
        </is>
      </c>
      <c r="G364" s="142" t="inlineStr">
        <is>
          <t>-</t>
        </is>
      </c>
      <c r="H364" s="142" t="inlineStr">
        <is>
          <t>-</t>
        </is>
      </c>
    </row>
    <row r="365" hidden="1" s="21">
      <c r="A365" s="8" t="inlineStr">
        <is>
          <t>롯데ON</t>
        </is>
      </c>
      <c r="B365" s="12" t="inlineStr">
        <is>
          <t>가공식품</t>
        </is>
      </c>
      <c r="C365" s="12" t="inlineStr">
        <is>
          <t>더바른컴퍼니</t>
        </is>
      </c>
      <c r="D365" s="136" t="inlineStr">
        <is>
          <t>771-81-03506</t>
        </is>
      </c>
      <c r="E365" s="141" t="inlineStr">
        <is>
          <t>[떡 1위] 크림찹쌀떡 1box 100%국산쌀</t>
        </is>
      </c>
      <c r="F365" s="142" t="n">
        <v>7</v>
      </c>
      <c r="G365" s="142" t="n">
        <v>121800</v>
      </c>
      <c r="H365" s="142" t="n">
        <v>19460</v>
      </c>
    </row>
    <row r="366" hidden="1" s="21">
      <c r="A366" s="8" t="inlineStr">
        <is>
          <t>롯데ON</t>
        </is>
      </c>
      <c r="B366" s="12" t="inlineStr">
        <is>
          <t>가공식품</t>
        </is>
      </c>
      <c r="C366" s="12" t="inlineStr">
        <is>
          <t>더바른컴퍼니</t>
        </is>
      </c>
      <c r="D366" s="136" t="inlineStr">
        <is>
          <t>771-81-03506</t>
        </is>
      </c>
      <c r="E366" s="141" t="inlineStr">
        <is>
          <t>[떡 1위] 콩가루쑥인절미 1box 100%국산쌀</t>
        </is>
      </c>
      <c r="F366" s="142" t="n">
        <v>3</v>
      </c>
      <c r="G366" s="142" t="n">
        <v>61400</v>
      </c>
      <c r="H366" s="142" t="n">
        <v>10800</v>
      </c>
    </row>
    <row r="367" hidden="1" s="21">
      <c r="A367" s="8" t="inlineStr">
        <is>
          <t>롯데ON</t>
        </is>
      </c>
      <c r="B367" s="12" t="inlineStr">
        <is>
          <t>가공식품</t>
        </is>
      </c>
      <c r="C367" s="12" t="inlineStr">
        <is>
          <t>더바른컴퍼니</t>
        </is>
      </c>
      <c r="D367" s="136" t="inlineStr">
        <is>
          <t>771-81-03506</t>
        </is>
      </c>
      <c r="E367" s="141" t="inlineStr">
        <is>
          <t>[떡 1위 흑임자호박인절미 1box 100%국산쌀</t>
        </is>
      </c>
      <c r="F367" s="142" t="n">
        <v>4</v>
      </c>
      <c r="G367" s="142" t="n">
        <v>88000</v>
      </c>
      <c r="H367" s="142" t="n">
        <v>15440</v>
      </c>
    </row>
    <row r="368" hidden="1" s="21">
      <c r="A368" s="8" t="inlineStr">
        <is>
          <t>롯데ON</t>
        </is>
      </c>
      <c r="B368" s="12" t="inlineStr">
        <is>
          <t>가공식품</t>
        </is>
      </c>
      <c r="C368" s="12" t="inlineStr">
        <is>
          <t>더바른컴퍼니</t>
        </is>
      </c>
      <c r="D368" s="136" t="inlineStr">
        <is>
          <t>771-81-03506</t>
        </is>
      </c>
      <c r="E368" s="141" t="inlineStr">
        <is>
          <t>[떡1위] 카스테라호박인절미 1box 100%국산쌀</t>
        </is>
      </c>
      <c r="F368" s="142" t="n">
        <v>4</v>
      </c>
      <c r="G368" s="142" t="n">
        <v>78800</v>
      </c>
      <c r="H368" s="142" t="n">
        <v>13550</v>
      </c>
    </row>
    <row r="369" hidden="1" s="21">
      <c r="A369" s="8" t="inlineStr">
        <is>
          <t>롯데ON</t>
        </is>
      </c>
      <c r="B369" s="9" t="inlineStr">
        <is>
          <t>가공식품</t>
        </is>
      </c>
      <c r="C369" s="12" t="inlineStr">
        <is>
          <t>지리산피아골식품영농조합법인</t>
        </is>
      </c>
      <c r="D369" s="136" t="inlineStr">
        <is>
          <t>416-81-79884</t>
        </is>
      </c>
      <c r="E369" s="141" t="inlineStr">
        <is>
          <t>국산 농산물로 만든 프리미엄 산채주먹밥(고추장버전) 100gx5팩</t>
        </is>
      </c>
      <c r="F369" s="142" t="inlineStr">
        <is>
          <t>-</t>
        </is>
      </c>
      <c r="G369" s="142" t="inlineStr">
        <is>
          <t>-</t>
        </is>
      </c>
      <c r="H369" s="142" t="inlineStr">
        <is>
          <t>-</t>
        </is>
      </c>
    </row>
    <row r="370" hidden="1" s="21">
      <c r="A370" s="8" t="inlineStr">
        <is>
          <t>롯데ON</t>
        </is>
      </c>
      <c r="B370" s="9" t="inlineStr">
        <is>
          <t>가공식품</t>
        </is>
      </c>
      <c r="C370" s="12" t="inlineStr">
        <is>
          <t>지리산피아골식품영농조합법인</t>
        </is>
      </c>
      <c r="D370" s="136" t="inlineStr">
        <is>
          <t>416-81-79884</t>
        </is>
      </c>
      <c r="E370" s="141" t="inlineStr">
        <is>
          <t>국산 농산물로 만든 프리미엄 산채주먹밥(간장버전) 100gx5팩</t>
        </is>
      </c>
      <c r="F370" s="142" t="inlineStr">
        <is>
          <t>-</t>
        </is>
      </c>
      <c r="G370" s="142" t="inlineStr">
        <is>
          <t>-</t>
        </is>
      </c>
      <c r="H370" s="142" t="inlineStr">
        <is>
          <t>-</t>
        </is>
      </c>
    </row>
    <row r="371" hidden="1" s="21">
      <c r="A371" s="8" t="inlineStr">
        <is>
          <t>롯데ON</t>
        </is>
      </c>
      <c r="B371" s="9" t="inlineStr">
        <is>
          <t>가공식품</t>
        </is>
      </c>
      <c r="C371" s="12" t="inlineStr">
        <is>
          <t>지리산피아골식품영농조합법인</t>
        </is>
      </c>
      <c r="D371" s="136" t="inlineStr">
        <is>
          <t>416-81-79884</t>
        </is>
      </c>
      <c r="E371" s="141" t="inlineStr">
        <is>
          <t>산나물반찬 완제품 150gx5종세트 (고사리/취나물/부지깽이/곤드레/토란대)</t>
        </is>
      </c>
      <c r="F371" s="142" t="inlineStr">
        <is>
          <t>-</t>
        </is>
      </c>
      <c r="G371" s="142" t="inlineStr">
        <is>
          <t>-</t>
        </is>
      </c>
      <c r="H371" s="142" t="inlineStr">
        <is>
          <t>-</t>
        </is>
      </c>
    </row>
    <row r="372" hidden="1" s="21">
      <c r="A372" s="8" t="inlineStr">
        <is>
          <t>롯데ON</t>
        </is>
      </c>
      <c r="B372" s="9" t="inlineStr">
        <is>
          <t>가공식품</t>
        </is>
      </c>
      <c r="C372" s="12" t="inlineStr">
        <is>
          <t>지리산피아골식품영농조합법인</t>
        </is>
      </c>
      <c r="D372" s="136" t="inlineStr">
        <is>
          <t>416-81-79884</t>
        </is>
      </c>
      <c r="E372" s="141" t="inlineStr">
        <is>
          <t>국산두부 짜글이 200g 비빔장 덮밥소스</t>
        </is>
      </c>
      <c r="F372" s="142" t="inlineStr">
        <is>
          <t>-</t>
        </is>
      </c>
      <c r="G372" s="142" t="inlineStr">
        <is>
          <t>-</t>
        </is>
      </c>
      <c r="H372" s="142" t="inlineStr">
        <is>
          <t>-</t>
        </is>
      </c>
    </row>
    <row r="373" hidden="1" s="21">
      <c r="A373" s="8" t="inlineStr">
        <is>
          <t>롯데ON</t>
        </is>
      </c>
      <c r="B373" s="9" t="inlineStr">
        <is>
          <t>가공식품</t>
        </is>
      </c>
      <c r="C373" s="12" t="inlineStr">
        <is>
          <t>지리산피아골식품영농조합법인</t>
        </is>
      </c>
      <c r="D373" s="136" t="inlineStr">
        <is>
          <t>416-81-79884</t>
        </is>
      </c>
      <c r="E373" s="141" t="inlineStr">
        <is>
          <t>구수한 우거지 된장국 500gx5팩</t>
        </is>
      </c>
      <c r="F373" s="142" t="inlineStr">
        <is>
          <t>-</t>
        </is>
      </c>
      <c r="G373" s="142" t="inlineStr">
        <is>
          <t>-</t>
        </is>
      </c>
      <c r="H373" s="142" t="inlineStr">
        <is>
          <t>-</t>
        </is>
      </c>
    </row>
    <row r="374" hidden="1" s="21">
      <c r="A374" s="8" t="inlineStr">
        <is>
          <t>롯데ON</t>
        </is>
      </c>
      <c r="B374" s="9" t="inlineStr">
        <is>
          <t>가공식품</t>
        </is>
      </c>
      <c r="C374" s="12" t="inlineStr">
        <is>
          <t>지리산피아골식품영농조합법인</t>
        </is>
      </c>
      <c r="D374" s="136" t="inlineStr">
        <is>
          <t>416-81-79884</t>
        </is>
      </c>
      <c r="E374" s="141" t="inlineStr">
        <is>
          <t>구수한 우거지 된장국 500gx3팩</t>
        </is>
      </c>
      <c r="F374" s="142" t="inlineStr">
        <is>
          <t>-</t>
        </is>
      </c>
      <c r="G374" s="142" t="inlineStr">
        <is>
          <t>-</t>
        </is>
      </c>
      <c r="H374" s="142" t="inlineStr">
        <is>
          <t>-</t>
        </is>
      </c>
    </row>
    <row r="375" hidden="1" s="21">
      <c r="A375" s="8" t="inlineStr">
        <is>
          <t>롯데ON</t>
        </is>
      </c>
      <c r="B375" s="9" t="inlineStr">
        <is>
          <t>가공식품</t>
        </is>
      </c>
      <c r="C375" s="12" t="inlineStr">
        <is>
          <t>지리산피아골식품영농조합법인</t>
        </is>
      </c>
      <c r="D375" s="136" t="inlineStr">
        <is>
          <t>416-81-79884</t>
        </is>
      </c>
      <c r="E375" s="141" t="inlineStr">
        <is>
          <t>프리미엄 구수한 감칠맛 고로쇠 청국장찌개 450g x 5팩</t>
        </is>
      </c>
      <c r="F375" s="142" t="inlineStr">
        <is>
          <t>-</t>
        </is>
      </c>
      <c r="G375" s="142" t="inlineStr">
        <is>
          <t>-</t>
        </is>
      </c>
      <c r="H375" s="142" t="inlineStr">
        <is>
          <t>-</t>
        </is>
      </c>
    </row>
    <row r="376" hidden="1" s="21">
      <c r="A376" s="8" t="inlineStr">
        <is>
          <t>롯데ON</t>
        </is>
      </c>
      <c r="B376" s="9" t="inlineStr">
        <is>
          <t>가공식품</t>
        </is>
      </c>
      <c r="C376" s="12" t="inlineStr">
        <is>
          <t>지리산피아골식품영농조합법인</t>
        </is>
      </c>
      <c r="D376" s="136" t="inlineStr">
        <is>
          <t>416-81-79884</t>
        </is>
      </c>
      <c r="E376" s="141" t="inlineStr">
        <is>
          <t>프리미엄 구수한 감칠맛 고로쇠 청국장찌개 450g x 3팩</t>
        </is>
      </c>
      <c r="F376" s="142" t="inlineStr">
        <is>
          <t>-</t>
        </is>
      </c>
      <c r="G376" s="142" t="inlineStr">
        <is>
          <t>-</t>
        </is>
      </c>
      <c r="H376" s="142" t="inlineStr">
        <is>
          <t>-</t>
        </is>
      </c>
    </row>
    <row r="377" hidden="1" s="21">
      <c r="A377" s="8" t="inlineStr">
        <is>
          <t>롯데ON</t>
        </is>
      </c>
      <c r="B377" s="9" t="inlineStr">
        <is>
          <t>가공식품</t>
        </is>
      </c>
      <c r="C377" s="12" t="inlineStr">
        <is>
          <t>지리산피아골식품영농조합법인</t>
        </is>
      </c>
      <c r="D377" s="136" t="inlineStr">
        <is>
          <t>416-81-79884</t>
        </is>
      </c>
      <c r="E377" s="141" t="inlineStr">
        <is>
          <t>프리미엄 구수한 감칠맛 고로쇠 청국장찌개 450g</t>
        </is>
      </c>
      <c r="F377" s="142" t="inlineStr">
        <is>
          <t>-</t>
        </is>
      </c>
      <c r="G377" s="142" t="inlineStr">
        <is>
          <t>-</t>
        </is>
      </c>
      <c r="H377" s="142" t="inlineStr">
        <is>
          <t>-</t>
        </is>
      </c>
    </row>
    <row r="378" hidden="1" s="21">
      <c r="A378" s="8" t="inlineStr">
        <is>
          <t>롯데ON</t>
        </is>
      </c>
      <c r="B378" s="9" t="inlineStr">
        <is>
          <t>가공식품</t>
        </is>
      </c>
      <c r="C378" s="12" t="inlineStr">
        <is>
          <t>지리산피아골식품영농조합법인</t>
        </is>
      </c>
      <c r="D378" s="136" t="inlineStr">
        <is>
          <t>416-81-79884</t>
        </is>
      </c>
      <c r="E378" s="141" t="inlineStr">
        <is>
          <t>볶아먹는 산채비빔밥 밀키트 200g x 5팩</t>
        </is>
      </c>
      <c r="F378" s="142" t="inlineStr">
        <is>
          <t>-</t>
        </is>
      </c>
      <c r="G378" s="142" t="inlineStr">
        <is>
          <t>-</t>
        </is>
      </c>
      <c r="H378" s="142" t="inlineStr">
        <is>
          <t>-</t>
        </is>
      </c>
    </row>
    <row r="379" hidden="1" s="21">
      <c r="A379" s="8" t="inlineStr">
        <is>
          <t>롯데ON</t>
        </is>
      </c>
      <c r="B379" s="9" t="inlineStr">
        <is>
          <t>가공식품</t>
        </is>
      </c>
      <c r="C379" s="12" t="inlineStr">
        <is>
          <t>지리산피아골식품영농조합법인</t>
        </is>
      </c>
      <c r="D379" s="136" t="inlineStr">
        <is>
          <t>416-81-79884</t>
        </is>
      </c>
      <c r="E379" s="141" t="inlineStr">
        <is>
          <t>볶아먹는 산채비빔밥 밀키트 200g x 3팩</t>
        </is>
      </c>
      <c r="F379" s="142" t="inlineStr">
        <is>
          <t>-</t>
        </is>
      </c>
      <c r="G379" s="142" t="inlineStr">
        <is>
          <t>-</t>
        </is>
      </c>
      <c r="H379" s="142" t="inlineStr">
        <is>
          <t>-</t>
        </is>
      </c>
    </row>
    <row r="380" hidden="1" s="21">
      <c r="A380" s="8" t="inlineStr">
        <is>
          <t>롯데ON</t>
        </is>
      </c>
      <c r="B380" s="9" t="inlineStr">
        <is>
          <t>가공식품</t>
        </is>
      </c>
      <c r="C380" s="12" t="inlineStr">
        <is>
          <t>지리산피아골식품영농조합법인</t>
        </is>
      </c>
      <c r="D380" s="136" t="inlineStr">
        <is>
          <t>416-81-79884</t>
        </is>
      </c>
      <c r="E380" s="141" t="inlineStr">
        <is>
          <t>볶아먹는 산채비빔밥 밀키트 200g</t>
        </is>
      </c>
      <c r="F380" s="142" t="inlineStr">
        <is>
          <t>-</t>
        </is>
      </c>
      <c r="G380" s="142" t="inlineStr">
        <is>
          <t>-</t>
        </is>
      </c>
      <c r="H380" s="142" t="inlineStr">
        <is>
          <t>-</t>
        </is>
      </c>
    </row>
    <row r="381" hidden="1" s="21">
      <c r="A381" s="8" t="inlineStr">
        <is>
          <t>롯데ON</t>
        </is>
      </c>
      <c r="B381" s="9" t="inlineStr">
        <is>
          <t>가공식품</t>
        </is>
      </c>
      <c r="C381" s="12" t="inlineStr">
        <is>
          <t>지리산피아골식품영농조합법인</t>
        </is>
      </c>
      <c r="D381" s="136" t="inlineStr">
        <is>
          <t>416-81-79884</t>
        </is>
      </c>
      <c r="E381" s="141" t="inlineStr">
        <is>
          <t>초간편 3분나물 반찬 쿠킹박스 밀키트 데친곤드레 240g</t>
        </is>
      </c>
      <c r="F381" s="142" t="inlineStr">
        <is>
          <t>-</t>
        </is>
      </c>
      <c r="G381" s="142" t="inlineStr">
        <is>
          <t>-</t>
        </is>
      </c>
      <c r="H381" s="142" t="inlineStr">
        <is>
          <t>-</t>
        </is>
      </c>
    </row>
    <row r="382" hidden="1" s="21">
      <c r="A382" s="8" t="inlineStr">
        <is>
          <t>롯데ON</t>
        </is>
      </c>
      <c r="B382" s="9" t="inlineStr">
        <is>
          <t>가공식품</t>
        </is>
      </c>
      <c r="C382" s="12" t="inlineStr">
        <is>
          <t>지리산피아골식품영농조합법인</t>
        </is>
      </c>
      <c r="D382" s="136" t="inlineStr">
        <is>
          <t>416-81-79884</t>
        </is>
      </c>
      <c r="E382" s="141" t="inlineStr">
        <is>
          <t>고로쇠 시래기된장국 600g x 2팩</t>
        </is>
      </c>
      <c r="F382" s="142" t="inlineStr">
        <is>
          <t>-</t>
        </is>
      </c>
      <c r="G382" s="142" t="inlineStr">
        <is>
          <t>-</t>
        </is>
      </c>
      <c r="H382" s="142" t="inlineStr">
        <is>
          <t>-</t>
        </is>
      </c>
    </row>
    <row r="383" hidden="1" s="21">
      <c r="A383" s="8" t="inlineStr">
        <is>
          <t>롯데ON</t>
        </is>
      </c>
      <c r="B383" s="12" t="inlineStr">
        <is>
          <t>가공식품</t>
        </is>
      </c>
      <c r="C383" s="12" t="inlineStr">
        <is>
          <t>지리산피아골식품영농조합법인</t>
        </is>
      </c>
      <c r="D383" s="136" t="inlineStr">
        <is>
          <t>416-81-79884</t>
        </is>
      </c>
      <c r="E383" s="141" t="inlineStr">
        <is>
          <t>전통한식 프리미엄 고로쇠된장 3kg</t>
        </is>
      </c>
      <c r="F383" s="142" t="inlineStr">
        <is>
          <t>-</t>
        </is>
      </c>
      <c r="G383" s="142" t="inlineStr">
        <is>
          <t>-</t>
        </is>
      </c>
      <c r="H383" s="142" t="inlineStr">
        <is>
          <t>-</t>
        </is>
      </c>
    </row>
    <row r="384" hidden="1" s="21">
      <c r="A384" s="8" t="inlineStr">
        <is>
          <t>롯데ON</t>
        </is>
      </c>
      <c r="B384" s="12" t="inlineStr">
        <is>
          <t>가공식품</t>
        </is>
      </c>
      <c r="C384" s="12" t="inlineStr">
        <is>
          <t>지리산피아골식품영농조합법인</t>
        </is>
      </c>
      <c r="D384" s="136" t="inlineStr">
        <is>
          <t>416-81-79884</t>
        </is>
      </c>
      <c r="E384" s="141" t="inlineStr">
        <is>
          <t>냄새없이 구수한 무염 생청국장 200g x 3팩</t>
        </is>
      </c>
      <c r="F384" s="142" t="inlineStr">
        <is>
          <t>-</t>
        </is>
      </c>
      <c r="G384" s="142" t="inlineStr">
        <is>
          <t>-</t>
        </is>
      </c>
      <c r="H384" s="142" t="inlineStr">
        <is>
          <t>-</t>
        </is>
      </c>
    </row>
    <row r="385" hidden="1" s="21">
      <c r="A385" s="8" t="inlineStr">
        <is>
          <t>롯데ON</t>
        </is>
      </c>
      <c r="B385" s="9" t="inlineStr">
        <is>
          <t>가공식품</t>
        </is>
      </c>
      <c r="C385" s="12" t="inlineStr">
        <is>
          <t>지리산피아골식품영농조합법인</t>
        </is>
      </c>
      <c r="D385" s="136" t="inlineStr">
        <is>
          <t>416-81-79884</t>
        </is>
      </c>
      <c r="E385" s="141" t="inlineStr">
        <is>
          <t>초간편 3분나물 산나물반찬 밀키트 데친취나물 240g</t>
        </is>
      </c>
      <c r="F385" s="142" t="inlineStr">
        <is>
          <t>-</t>
        </is>
      </c>
      <c r="G385" s="142" t="inlineStr">
        <is>
          <t>-</t>
        </is>
      </c>
      <c r="H385" s="142" t="inlineStr">
        <is>
          <t>-</t>
        </is>
      </c>
    </row>
    <row r="386" hidden="1" s="21">
      <c r="A386" s="8" t="inlineStr">
        <is>
          <t>롯데ON</t>
        </is>
      </c>
      <c r="B386" s="9" t="inlineStr">
        <is>
          <t>가공식품</t>
        </is>
      </c>
      <c r="C386" s="12" t="inlineStr">
        <is>
          <t>지리산피아골식품영농조합법인</t>
        </is>
      </c>
      <c r="D386" s="136" t="inlineStr">
        <is>
          <t>416-81-79884</t>
        </is>
      </c>
      <c r="E386" s="141" t="inlineStr">
        <is>
          <t>초간편 3분나물 240gx4종(고사리/취나물/부지깽이/곤드레)</t>
        </is>
      </c>
      <c r="F386" s="142" t="inlineStr">
        <is>
          <t>-</t>
        </is>
      </c>
      <c r="G386" s="142" t="inlineStr">
        <is>
          <t>-</t>
        </is>
      </c>
      <c r="H386" s="142" t="inlineStr">
        <is>
          <t>-</t>
        </is>
      </c>
    </row>
    <row r="387" hidden="1" s="21">
      <c r="A387" s="8" t="inlineStr">
        <is>
          <t>롯데ON</t>
        </is>
      </c>
      <c r="B387" s="9" t="inlineStr">
        <is>
          <t>가공식품</t>
        </is>
      </c>
      <c r="C387" s="12" t="inlineStr">
        <is>
          <t>지리산피아골식품영농조합법인</t>
        </is>
      </c>
      <c r="D387" s="136" t="inlineStr">
        <is>
          <t>416-81-79884</t>
        </is>
      </c>
      <c r="E387" s="141" t="inlineStr">
        <is>
          <t>고로쇠 시래기된장국 600g x 3팩</t>
        </is>
      </c>
      <c r="F387" s="142" t="inlineStr">
        <is>
          <t>-</t>
        </is>
      </c>
      <c r="G387" s="142" t="inlineStr">
        <is>
          <t>-</t>
        </is>
      </c>
      <c r="H387" s="142" t="inlineStr">
        <is>
          <t>-</t>
        </is>
      </c>
    </row>
    <row r="388" hidden="1" s="21">
      <c r="A388" s="8" t="inlineStr">
        <is>
          <t>롯데ON</t>
        </is>
      </c>
      <c r="B388" s="9" t="inlineStr">
        <is>
          <t>가공식품</t>
        </is>
      </c>
      <c r="C388" s="12" t="inlineStr">
        <is>
          <t>지리산피아골식품영농조합법인</t>
        </is>
      </c>
      <c r="D388" s="136" t="inlineStr">
        <is>
          <t>416-81-79884</t>
        </is>
      </c>
      <c r="E388" s="141" t="inlineStr">
        <is>
          <t>아삭아삭 새콤달콤 매실장아찌 340g</t>
        </is>
      </c>
      <c r="F388" s="142" t="inlineStr">
        <is>
          <t>-</t>
        </is>
      </c>
      <c r="G388" s="142" t="inlineStr">
        <is>
          <t>-</t>
        </is>
      </c>
      <c r="H388" s="142" t="inlineStr">
        <is>
          <t>-</t>
        </is>
      </c>
    </row>
    <row r="389" hidden="1" s="21">
      <c r="A389" s="8" t="inlineStr">
        <is>
          <t>롯데ON</t>
        </is>
      </c>
      <c r="B389" s="12" t="inlineStr">
        <is>
          <t>가공식품</t>
        </is>
      </c>
      <c r="C389" s="12" t="inlineStr">
        <is>
          <t>지리산피아골식품영농조합법인</t>
        </is>
      </c>
      <c r="D389" s="136" t="inlineStr">
        <is>
          <t>416-81-79884</t>
        </is>
      </c>
      <c r="E389" s="141" t="inlineStr">
        <is>
          <t>튜브형 장류3종세트-고로쇠된장/찹쌀고추장/만능쌈장</t>
        </is>
      </c>
      <c r="F389" s="142" t="inlineStr">
        <is>
          <t>-</t>
        </is>
      </c>
      <c r="G389" s="142" t="inlineStr">
        <is>
          <t>-</t>
        </is>
      </c>
      <c r="H389" s="142" t="inlineStr">
        <is>
          <t>-</t>
        </is>
      </c>
    </row>
    <row r="390" hidden="1" s="21">
      <c r="A390" s="8" t="inlineStr">
        <is>
          <t>롯데ON</t>
        </is>
      </c>
      <c r="B390" s="12" t="inlineStr">
        <is>
          <t>가공식품</t>
        </is>
      </c>
      <c r="C390" s="12" t="inlineStr">
        <is>
          <t>지리산피아골식품영농조합법인</t>
        </is>
      </c>
      <c r="D390" s="136" t="inlineStr">
        <is>
          <t>416-81-79884</t>
        </is>
      </c>
      <c r="E390" s="141" t="inlineStr">
        <is>
          <t>매실 만능쌈장 1kg</t>
        </is>
      </c>
      <c r="F390" s="142" t="inlineStr">
        <is>
          <t>-</t>
        </is>
      </c>
      <c r="G390" s="142" t="inlineStr">
        <is>
          <t>-</t>
        </is>
      </c>
      <c r="H390" s="142" t="inlineStr">
        <is>
          <t>-</t>
        </is>
      </c>
    </row>
    <row r="391" hidden="1" s="21">
      <c r="A391" s="8" t="inlineStr">
        <is>
          <t>롯데ON</t>
        </is>
      </c>
      <c r="B391" s="12" t="inlineStr">
        <is>
          <t>가공식품</t>
        </is>
      </c>
      <c r="C391" s="12" t="inlineStr">
        <is>
          <t>지리산피아골식품영농조합법인</t>
        </is>
      </c>
      <c r="D391" s="136" t="inlineStr">
        <is>
          <t>416-81-79884</t>
        </is>
      </c>
      <c r="E391" s="141" t="inlineStr">
        <is>
          <t>매실 만능쌈장 500g</t>
        </is>
      </c>
      <c r="F391" s="142" t="inlineStr">
        <is>
          <t>-</t>
        </is>
      </c>
      <c r="G391" s="142" t="inlineStr">
        <is>
          <t>-</t>
        </is>
      </c>
      <c r="H391" s="142" t="inlineStr">
        <is>
          <t>-</t>
        </is>
      </c>
    </row>
    <row r="392" hidden="1" s="21">
      <c r="A392" s="8" t="inlineStr">
        <is>
          <t>롯데ON</t>
        </is>
      </c>
      <c r="B392" s="12" t="inlineStr">
        <is>
          <t>가공식품</t>
        </is>
      </c>
      <c r="C392" s="12" t="inlineStr">
        <is>
          <t>지리산피아골식품영농조합법인</t>
        </is>
      </c>
      <c r="D392" s="136" t="inlineStr">
        <is>
          <t>416-81-79884</t>
        </is>
      </c>
      <c r="E392" s="141" t="inlineStr">
        <is>
          <t>매실 만능쌈장 340g</t>
        </is>
      </c>
      <c r="F392" s="142" t="inlineStr">
        <is>
          <t>-</t>
        </is>
      </c>
      <c r="G392" s="142" t="inlineStr">
        <is>
          <t>-</t>
        </is>
      </c>
      <c r="H392" s="142" t="inlineStr">
        <is>
          <t>-</t>
        </is>
      </c>
    </row>
    <row r="393" hidden="1" s="21">
      <c r="A393" s="8" t="inlineStr">
        <is>
          <t>롯데ON</t>
        </is>
      </c>
      <c r="B393" s="12" t="inlineStr">
        <is>
          <t>가공식품</t>
        </is>
      </c>
      <c r="C393" s="12" t="inlineStr">
        <is>
          <t>지리산피아골식품영농조합법인</t>
        </is>
      </c>
      <c r="D393" s="136" t="inlineStr">
        <is>
          <t>416-81-79884</t>
        </is>
      </c>
      <c r="E393" s="141" t="inlineStr">
        <is>
          <t>캠핑 여행용 매실 만능쌈장 230g</t>
        </is>
      </c>
      <c r="F393" s="142" t="inlineStr">
        <is>
          <t>-</t>
        </is>
      </c>
      <c r="G393" s="142" t="inlineStr">
        <is>
          <t>-</t>
        </is>
      </c>
      <c r="H393" s="142" t="inlineStr">
        <is>
          <t>-</t>
        </is>
      </c>
    </row>
    <row r="394" hidden="1" s="21">
      <c r="A394" s="8" t="inlineStr">
        <is>
          <t>롯데ON</t>
        </is>
      </c>
      <c r="B394" s="12" t="inlineStr">
        <is>
          <t>가공식품</t>
        </is>
      </c>
      <c r="C394" s="12" t="inlineStr">
        <is>
          <t>지리산피아골식품영농조합법인</t>
        </is>
      </c>
      <c r="D394" s="136" t="inlineStr">
        <is>
          <t>416-81-79884</t>
        </is>
      </c>
      <c r="E394" s="141" t="inlineStr">
        <is>
          <t>전통한식 프리미엄 찹쌀고추장 340g</t>
        </is>
      </c>
      <c r="F394" s="142" t="inlineStr">
        <is>
          <t>-</t>
        </is>
      </c>
      <c r="G394" s="142" t="inlineStr">
        <is>
          <t>-</t>
        </is>
      </c>
      <c r="H394" s="142" t="inlineStr">
        <is>
          <t>-</t>
        </is>
      </c>
    </row>
    <row r="395" hidden="1" s="21">
      <c r="A395" s="8" t="inlineStr">
        <is>
          <t>롯데ON</t>
        </is>
      </c>
      <c r="B395" s="9" t="inlineStr">
        <is>
          <t>가공식품</t>
        </is>
      </c>
      <c r="C395" s="12" t="inlineStr">
        <is>
          <t>지리산피아골식품영농조합법인</t>
        </is>
      </c>
      <c r="D395" s="136" t="inlineStr">
        <is>
          <t>416-81-79884</t>
        </is>
      </c>
      <c r="E395" s="141" t="inlineStr">
        <is>
          <t>고로쇠 시래기된장국 600g x 5팩</t>
        </is>
      </c>
      <c r="F395" s="142" t="inlineStr">
        <is>
          <t>-</t>
        </is>
      </c>
      <c r="G395" s="142" t="inlineStr">
        <is>
          <t>-</t>
        </is>
      </c>
      <c r="H395" s="142" t="inlineStr">
        <is>
          <t>-</t>
        </is>
      </c>
    </row>
    <row r="396" hidden="1" s="21">
      <c r="A396" s="8" t="inlineStr">
        <is>
          <t>롯데ON</t>
        </is>
      </c>
      <c r="B396" s="12" t="inlineStr">
        <is>
          <t>가공식품</t>
        </is>
      </c>
      <c r="C396" s="12" t="inlineStr">
        <is>
          <t>지리산피아골식품영농조합법인</t>
        </is>
      </c>
      <c r="D396" s="136" t="inlineStr">
        <is>
          <t>416-81-79884</t>
        </is>
      </c>
      <c r="E396" s="141" t="inlineStr">
        <is>
          <t>전통한식 프리미엄 고로쇠된장 340g</t>
        </is>
      </c>
      <c r="F396" s="142" t="inlineStr">
        <is>
          <t>-</t>
        </is>
      </c>
      <c r="G396" s="142" t="inlineStr">
        <is>
          <t>-</t>
        </is>
      </c>
      <c r="H396" s="142" t="inlineStr">
        <is>
          <t>-</t>
        </is>
      </c>
    </row>
    <row r="397" hidden="1" s="21">
      <c r="A397" s="8" t="inlineStr">
        <is>
          <t>롯데ON</t>
        </is>
      </c>
      <c r="B397" s="12" t="inlineStr">
        <is>
          <t>가공식품</t>
        </is>
      </c>
      <c r="C397" s="12" t="inlineStr">
        <is>
          <t>지리산피아골식품영농조합법인</t>
        </is>
      </c>
      <c r="D397" s="136" t="inlineStr">
        <is>
          <t>416-81-79884</t>
        </is>
      </c>
      <c r="E397" s="141" t="inlineStr">
        <is>
          <t>피아골미선씨 캠핑 여행용 전통한식 고로쇠된장 230g</t>
        </is>
      </c>
      <c r="F397" s="142" t="inlineStr">
        <is>
          <t>-</t>
        </is>
      </c>
      <c r="G397" s="142" t="inlineStr">
        <is>
          <t>-</t>
        </is>
      </c>
      <c r="H397" s="142" t="inlineStr">
        <is>
          <t>-</t>
        </is>
      </c>
    </row>
    <row r="398" hidden="1" s="21">
      <c r="A398" s="8" t="inlineStr">
        <is>
          <t>롯데ON</t>
        </is>
      </c>
      <c r="B398" s="12" t="inlineStr">
        <is>
          <t>가공식품</t>
        </is>
      </c>
      <c r="C398" s="12" t="inlineStr">
        <is>
          <t>지리산피아골식품영농조합법인</t>
        </is>
      </c>
      <c r="D398" s="136" t="inlineStr">
        <is>
          <t>416-81-79884</t>
        </is>
      </c>
      <c r="E398" s="141" t="inlineStr">
        <is>
          <t>캠핑 여행용 찹쌀고추장 230g</t>
        </is>
      </c>
      <c r="F398" s="142" t="inlineStr">
        <is>
          <t>-</t>
        </is>
      </c>
      <c r="G398" s="142" t="inlineStr">
        <is>
          <t>-</t>
        </is>
      </c>
      <c r="H398" s="142" t="inlineStr">
        <is>
          <t>-</t>
        </is>
      </c>
    </row>
    <row r="399" hidden="1" s="21">
      <c r="A399" s="8" t="inlineStr">
        <is>
          <t>롯데ON</t>
        </is>
      </c>
      <c r="B399" s="9" t="inlineStr">
        <is>
          <t>가공식품</t>
        </is>
      </c>
      <c r="C399" s="12" t="inlineStr">
        <is>
          <t>지리산피아골식품영농조합법인</t>
        </is>
      </c>
      <c r="D399" s="136" t="inlineStr">
        <is>
          <t>416-81-79884</t>
        </is>
      </c>
      <c r="E399" s="141" t="inlineStr">
        <is>
          <t>초간편 3분나물 산나물반찬 밀키트 데친부지깽이 240g</t>
        </is>
      </c>
      <c r="F399" s="142" t="inlineStr">
        <is>
          <t>-</t>
        </is>
      </c>
      <c r="G399" s="142" t="inlineStr">
        <is>
          <t>-</t>
        </is>
      </c>
      <c r="H399" s="142" t="inlineStr">
        <is>
          <t>-</t>
        </is>
      </c>
    </row>
    <row r="400" hidden="1" s="21">
      <c r="A400" s="8" t="inlineStr">
        <is>
          <t>롯데ON</t>
        </is>
      </c>
      <c r="B400" s="9" t="inlineStr">
        <is>
          <t>가공식품</t>
        </is>
      </c>
      <c r="C400" s="12" t="inlineStr">
        <is>
          <t>지리산피아골식품영농조합법인</t>
        </is>
      </c>
      <c r="D400" s="136" t="inlineStr">
        <is>
          <t>416-81-79884</t>
        </is>
      </c>
      <c r="E400" s="141" t="inlineStr">
        <is>
          <t>초간편 3분나물 산나물반찬 밀키트 데친고사리 240g</t>
        </is>
      </c>
      <c r="F400" s="142" t="inlineStr">
        <is>
          <t>-</t>
        </is>
      </c>
      <c r="G400" s="142" t="inlineStr">
        <is>
          <t>-</t>
        </is>
      </c>
      <c r="H400" s="142" t="inlineStr">
        <is>
          <t>-</t>
        </is>
      </c>
    </row>
    <row r="401" hidden="1" s="21">
      <c r="A401" s="8" t="inlineStr">
        <is>
          <t>롯데ON</t>
        </is>
      </c>
      <c r="B401" s="12" t="inlineStr">
        <is>
          <t>가공식품</t>
        </is>
      </c>
      <c r="C401" s="12" t="inlineStr">
        <is>
          <t>지리산피아골식품영농조합법인</t>
        </is>
      </c>
      <c r="D401" s="136" t="inlineStr">
        <is>
          <t>416-81-79884</t>
        </is>
      </c>
      <c r="E401" s="141" t="inlineStr">
        <is>
          <t>프리미엄 선물세트 10호/장류4종 세트</t>
        </is>
      </c>
      <c r="F401" s="142" t="inlineStr">
        <is>
          <t>-</t>
        </is>
      </c>
      <c r="G401" s="142" t="inlineStr">
        <is>
          <t>-</t>
        </is>
      </c>
      <c r="H401" s="142" t="inlineStr">
        <is>
          <t>-</t>
        </is>
      </c>
    </row>
    <row r="402" hidden="1" s="21">
      <c r="A402" s="8" t="inlineStr">
        <is>
          <t>롯데ON</t>
        </is>
      </c>
      <c r="B402" s="12" t="inlineStr">
        <is>
          <t>가공식품</t>
        </is>
      </c>
      <c r="C402" s="12" t="inlineStr">
        <is>
          <t>지리산피아골식품영농조합법인</t>
        </is>
      </c>
      <c r="D402" s="136" t="inlineStr">
        <is>
          <t>416-81-79884</t>
        </is>
      </c>
      <c r="E402" s="141" t="inlineStr">
        <is>
          <t>프리미엄 선물세트 9호/장류3종(옻수저) 세트</t>
        </is>
      </c>
      <c r="F402" s="142" t="inlineStr">
        <is>
          <t>-</t>
        </is>
      </c>
      <c r="G402" s="142" t="inlineStr">
        <is>
          <t>-</t>
        </is>
      </c>
      <c r="H402" s="142" t="inlineStr">
        <is>
          <t>-</t>
        </is>
      </c>
    </row>
    <row r="403" hidden="1" s="21">
      <c r="A403" s="8" t="inlineStr">
        <is>
          <t>롯데ON</t>
        </is>
      </c>
      <c r="B403" s="12" t="inlineStr">
        <is>
          <t>가공식품</t>
        </is>
      </c>
      <c r="C403" s="12" t="inlineStr">
        <is>
          <t>지리산피아골식품영농조합법인</t>
        </is>
      </c>
      <c r="D403" s="136" t="inlineStr">
        <is>
          <t>416-81-79884</t>
        </is>
      </c>
      <c r="E403" s="141" t="inlineStr">
        <is>
          <t>프리미엄 선물세트 8호/장류3종 세트</t>
        </is>
      </c>
      <c r="F403" s="142" t="inlineStr">
        <is>
          <t>-</t>
        </is>
      </c>
      <c r="G403" s="142" t="inlineStr">
        <is>
          <t>-</t>
        </is>
      </c>
      <c r="H403" s="142" t="inlineStr">
        <is>
          <t>-</t>
        </is>
      </c>
    </row>
    <row r="404" hidden="1" s="21">
      <c r="A404" s="8" t="inlineStr">
        <is>
          <t>롯데ON</t>
        </is>
      </c>
      <c r="B404" s="12" t="inlineStr">
        <is>
          <t>가공식품</t>
        </is>
      </c>
      <c r="C404" s="12" t="inlineStr">
        <is>
          <t>지리산피아골식품영농조합법인</t>
        </is>
      </c>
      <c r="D404" s="136" t="inlineStr">
        <is>
          <t>416-81-79884</t>
        </is>
      </c>
      <c r="E404" s="141" t="inlineStr">
        <is>
          <t>프리미엄 선물세트 7호/장류3종(옻수저) 세트</t>
        </is>
      </c>
      <c r="F404" s="142" t="inlineStr">
        <is>
          <t>-</t>
        </is>
      </c>
      <c r="G404" s="142" t="inlineStr">
        <is>
          <t>-</t>
        </is>
      </c>
      <c r="H404" s="142" t="inlineStr">
        <is>
          <t>-</t>
        </is>
      </c>
    </row>
    <row r="405" hidden="1" s="21">
      <c r="A405" s="8" t="inlineStr">
        <is>
          <t>롯데ON</t>
        </is>
      </c>
      <c r="B405" s="12" t="inlineStr">
        <is>
          <t>가공식품</t>
        </is>
      </c>
      <c r="C405" s="12" t="inlineStr">
        <is>
          <t>지리산피아골식품영농조합법인</t>
        </is>
      </c>
      <c r="D405" s="136" t="inlineStr">
        <is>
          <t>416-81-79884</t>
        </is>
      </c>
      <c r="E405" s="141" t="inlineStr">
        <is>
          <t>프리미엄 선물세트 6호/장류3종(옻수저) 세트</t>
        </is>
      </c>
      <c r="F405" s="142" t="inlineStr">
        <is>
          <t>-</t>
        </is>
      </c>
      <c r="G405" s="142" t="inlineStr">
        <is>
          <t>-</t>
        </is>
      </c>
      <c r="H405" s="142" t="inlineStr">
        <is>
          <t>-</t>
        </is>
      </c>
    </row>
    <row r="406" hidden="1" s="21">
      <c r="A406" s="8" t="inlineStr">
        <is>
          <t>롯데ON</t>
        </is>
      </c>
      <c r="B406" s="12" t="inlineStr">
        <is>
          <t>가공식품</t>
        </is>
      </c>
      <c r="C406" s="12" t="inlineStr">
        <is>
          <t>지리산피아골식품영농조합법인</t>
        </is>
      </c>
      <c r="D406" s="136" t="inlineStr">
        <is>
          <t>416-81-79884</t>
        </is>
      </c>
      <c r="E406" s="141" t="inlineStr">
        <is>
          <t>프리미엄 선물세트 3호/장류4종 세트</t>
        </is>
      </c>
      <c r="F406" s="142" t="inlineStr">
        <is>
          <t>-</t>
        </is>
      </c>
      <c r="G406" s="142" t="inlineStr">
        <is>
          <t>-</t>
        </is>
      </c>
      <c r="H406" s="142" t="inlineStr">
        <is>
          <t>-</t>
        </is>
      </c>
    </row>
    <row r="407" hidden="1" s="21">
      <c r="A407" s="8" t="inlineStr">
        <is>
          <t>롯데ON</t>
        </is>
      </c>
      <c r="B407" s="12" t="inlineStr">
        <is>
          <t>가공식품</t>
        </is>
      </c>
      <c r="C407" s="12" t="inlineStr">
        <is>
          <t>지리산피아골식품영농조합법인</t>
        </is>
      </c>
      <c r="D407" s="136" t="inlineStr">
        <is>
          <t>416-81-79884</t>
        </is>
      </c>
      <c r="E407" s="141" t="inlineStr">
        <is>
          <t>프리미엄 선물세트 2호/장류3종(옻수저) 세트</t>
        </is>
      </c>
      <c r="F407" s="142" t="inlineStr">
        <is>
          <t>-</t>
        </is>
      </c>
      <c r="G407" s="142" t="inlineStr">
        <is>
          <t>-</t>
        </is>
      </c>
      <c r="H407" s="142" t="inlineStr">
        <is>
          <t>-</t>
        </is>
      </c>
    </row>
    <row r="408" hidden="1" s="21">
      <c r="A408" s="8" t="inlineStr">
        <is>
          <t>롯데ON</t>
        </is>
      </c>
      <c r="B408" s="12" t="inlineStr">
        <is>
          <t>가공식품</t>
        </is>
      </c>
      <c r="C408" s="12" t="inlineStr">
        <is>
          <t>지리산피아골식품영농조합법인</t>
        </is>
      </c>
      <c r="D408" s="136" t="inlineStr">
        <is>
          <t>416-81-79884</t>
        </is>
      </c>
      <c r="E408" s="141" t="inlineStr">
        <is>
          <t>프리미엄 선물세트 1호/장류3종(옻수저) 세트</t>
        </is>
      </c>
      <c r="F408" s="142" t="inlineStr">
        <is>
          <t>-</t>
        </is>
      </c>
      <c r="G408" s="142" t="inlineStr">
        <is>
          <t>-</t>
        </is>
      </c>
      <c r="H408" s="142" t="inlineStr">
        <is>
          <t>-</t>
        </is>
      </c>
    </row>
    <row r="409" hidden="1" s="21">
      <c r="A409" s="8" t="inlineStr">
        <is>
          <t>롯데ON</t>
        </is>
      </c>
      <c r="B409" s="12" t="inlineStr">
        <is>
          <t>가공식품</t>
        </is>
      </c>
      <c r="C409" s="12" t="inlineStr">
        <is>
          <t>지리산피아골식품영농조합법인</t>
        </is>
      </c>
      <c r="D409" s="136" t="inlineStr">
        <is>
          <t>416-81-79884</t>
        </is>
      </c>
      <c r="E409" s="141" t="inlineStr">
        <is>
          <t>냄새없이 구수한 무염 생청국장 200g x 5팩</t>
        </is>
      </c>
      <c r="F409" s="142" t="inlineStr">
        <is>
          <t>-</t>
        </is>
      </c>
      <c r="G409" s="142" t="inlineStr">
        <is>
          <t>-</t>
        </is>
      </c>
      <c r="H409" s="142" t="inlineStr">
        <is>
          <t>-</t>
        </is>
      </c>
    </row>
    <row r="410" hidden="1" s="21">
      <c r="A410" s="8" t="inlineStr">
        <is>
          <t>롯데ON</t>
        </is>
      </c>
      <c r="B410" s="9" t="inlineStr">
        <is>
          <t>가공식품</t>
        </is>
      </c>
      <c r="C410" s="12" t="inlineStr">
        <is>
          <t>지리산피아골식품영농조합법인</t>
        </is>
      </c>
      <c r="D410" s="136" t="inlineStr">
        <is>
          <t>416-81-79884</t>
        </is>
      </c>
      <c r="E410" s="141" t="inlineStr">
        <is>
          <t>아삭아삭 새콤달콤 매실장아찌 1kg</t>
        </is>
      </c>
      <c r="F410" s="142" t="inlineStr">
        <is>
          <t>-</t>
        </is>
      </c>
      <c r="G410" s="142" t="inlineStr">
        <is>
          <t>-</t>
        </is>
      </c>
      <c r="H410" s="142" t="inlineStr">
        <is>
          <t>-</t>
        </is>
      </c>
    </row>
    <row r="411" hidden="1" s="21">
      <c r="A411" s="8" t="inlineStr">
        <is>
          <t>롯데ON</t>
        </is>
      </c>
      <c r="B411" s="12" t="inlineStr">
        <is>
          <t>가공식품</t>
        </is>
      </c>
      <c r="C411" s="12" t="inlineStr">
        <is>
          <t>지리산피아골식품영농조합법인</t>
        </is>
      </c>
      <c r="D411" s="136" t="inlineStr">
        <is>
          <t>416-81-79884</t>
        </is>
      </c>
      <c r="E411" s="141" t="inlineStr">
        <is>
          <t>전통한식 프리미엄 찹쌀고추장 500g</t>
        </is>
      </c>
      <c r="F411" s="142" t="inlineStr">
        <is>
          <t>-</t>
        </is>
      </c>
      <c r="G411" s="142" t="inlineStr">
        <is>
          <t>-</t>
        </is>
      </c>
      <c r="H411" s="142" t="inlineStr">
        <is>
          <t>-</t>
        </is>
      </c>
    </row>
    <row r="412" hidden="1" s="21">
      <c r="A412" s="8" t="inlineStr">
        <is>
          <t>롯데ON</t>
        </is>
      </c>
      <c r="B412" s="12" t="inlineStr">
        <is>
          <t>가공식품</t>
        </is>
      </c>
      <c r="C412" s="12" t="inlineStr">
        <is>
          <t>지리산피아골식품영농조합법인</t>
        </is>
      </c>
      <c r="D412" s="136" t="inlineStr">
        <is>
          <t>416-81-79884</t>
        </is>
      </c>
      <c r="E412" s="141" t="inlineStr">
        <is>
          <t>전통한식 프리미엄 찹쌀고추장 1kg</t>
        </is>
      </c>
      <c r="F412" s="142" t="inlineStr">
        <is>
          <t>-</t>
        </is>
      </c>
      <c r="G412" s="142" t="inlineStr">
        <is>
          <t>-</t>
        </is>
      </c>
      <c r="H412" s="142" t="inlineStr">
        <is>
          <t>-</t>
        </is>
      </c>
    </row>
    <row r="413" hidden="1" s="21">
      <c r="A413" s="8" t="inlineStr">
        <is>
          <t>롯데ON</t>
        </is>
      </c>
      <c r="B413" s="12" t="inlineStr">
        <is>
          <t>가공식품</t>
        </is>
      </c>
      <c r="C413" s="12" t="inlineStr">
        <is>
          <t>지리산피아골식품영농조합법인</t>
        </is>
      </c>
      <c r="D413" s="136" t="inlineStr">
        <is>
          <t>416-81-79884</t>
        </is>
      </c>
      <c r="E413" s="141" t="inlineStr">
        <is>
          <t>전통한식 프리미엄 찹쌀고추장 2kg</t>
        </is>
      </c>
      <c r="F413" s="142" t="inlineStr">
        <is>
          <t>-</t>
        </is>
      </c>
      <c r="G413" s="142" t="inlineStr">
        <is>
          <t>-</t>
        </is>
      </c>
      <c r="H413" s="142" t="inlineStr">
        <is>
          <t>-</t>
        </is>
      </c>
    </row>
    <row r="414" hidden="1" s="21">
      <c r="A414" s="8" t="inlineStr">
        <is>
          <t>롯데ON</t>
        </is>
      </c>
      <c r="B414" s="9" t="inlineStr">
        <is>
          <t>가공식품</t>
        </is>
      </c>
      <c r="C414" s="12" t="inlineStr">
        <is>
          <t>지리산피아골식품영농조합법인</t>
        </is>
      </c>
      <c r="D414" s="136" t="inlineStr">
        <is>
          <t>416-81-79884</t>
        </is>
      </c>
      <c r="E414" s="141" t="inlineStr">
        <is>
          <t>아삭아삭 새콤달콤 매실장아찌 500g</t>
        </is>
      </c>
      <c r="F414" s="142" t="inlineStr">
        <is>
          <t>-</t>
        </is>
      </c>
      <c r="G414" s="142" t="inlineStr">
        <is>
          <t>-</t>
        </is>
      </c>
      <c r="H414" s="142" t="inlineStr">
        <is>
          <t>-</t>
        </is>
      </c>
    </row>
    <row r="415" hidden="1" s="21">
      <c r="A415" s="8" t="inlineStr">
        <is>
          <t>롯데ON</t>
        </is>
      </c>
      <c r="B415" s="12" t="inlineStr">
        <is>
          <t>가공식품</t>
        </is>
      </c>
      <c r="C415" s="12" t="inlineStr">
        <is>
          <t>지리산피아골식품영농조합법인</t>
        </is>
      </c>
      <c r="D415" s="136" t="inlineStr">
        <is>
          <t>416-81-79884</t>
        </is>
      </c>
      <c r="E415" s="141" t="inlineStr">
        <is>
          <t>전통한식 프리미엄 고로쇠간장 300ml</t>
        </is>
      </c>
      <c r="F415" s="142" t="inlineStr">
        <is>
          <t>-</t>
        </is>
      </c>
      <c r="G415" s="142" t="inlineStr">
        <is>
          <t>-</t>
        </is>
      </c>
      <c r="H415" s="142" t="inlineStr">
        <is>
          <t>-</t>
        </is>
      </c>
    </row>
    <row r="416" hidden="1" s="21">
      <c r="A416" s="8" t="inlineStr">
        <is>
          <t>롯데ON</t>
        </is>
      </c>
      <c r="B416" s="12" t="inlineStr">
        <is>
          <t>가공식품</t>
        </is>
      </c>
      <c r="C416" s="12" t="inlineStr">
        <is>
          <t>지리산피아골식품영농조합법인</t>
        </is>
      </c>
      <c r="D416" s="136" t="inlineStr">
        <is>
          <t>416-81-79884</t>
        </is>
      </c>
      <c r="E416" s="141" t="inlineStr">
        <is>
          <t>전통한식 프리미엄 고로쇠된장 500g</t>
        </is>
      </c>
      <c r="F416" s="142" t="inlineStr">
        <is>
          <t>-</t>
        </is>
      </c>
      <c r="G416" s="142" t="inlineStr">
        <is>
          <t>-</t>
        </is>
      </c>
      <c r="H416" s="142" t="inlineStr">
        <is>
          <t>-</t>
        </is>
      </c>
    </row>
    <row r="417" hidden="1" s="21">
      <c r="A417" s="8" t="inlineStr">
        <is>
          <t>롯데ON</t>
        </is>
      </c>
      <c r="B417" s="12" t="inlineStr">
        <is>
          <t>가공식품</t>
        </is>
      </c>
      <c r="C417" s="12" t="inlineStr">
        <is>
          <t>지리산피아골식품영농조합법인</t>
        </is>
      </c>
      <c r="D417" s="136" t="inlineStr">
        <is>
          <t>416-81-79884</t>
        </is>
      </c>
      <c r="E417" s="141" t="inlineStr">
        <is>
          <t>전통한식 프리미엄 고로쇠된장 950g</t>
        </is>
      </c>
      <c r="F417" s="142" t="inlineStr">
        <is>
          <t>-</t>
        </is>
      </c>
      <c r="G417" s="142" t="inlineStr">
        <is>
          <t>-</t>
        </is>
      </c>
      <c r="H417" s="142" t="inlineStr">
        <is>
          <t>-</t>
        </is>
      </c>
    </row>
    <row r="418" hidden="1" s="21">
      <c r="A418" s="8" t="inlineStr">
        <is>
          <t>롯데ON</t>
        </is>
      </c>
      <c r="B418" s="12" t="inlineStr">
        <is>
          <t>가공식품</t>
        </is>
      </c>
      <c r="C418" s="12" t="inlineStr">
        <is>
          <t>지리산피아골식품영농조합법인</t>
        </is>
      </c>
      <c r="D418" s="136" t="inlineStr">
        <is>
          <t>416-81-79884</t>
        </is>
      </c>
      <c r="E418" s="141" t="inlineStr">
        <is>
          <t>전통한식 프리미엄 고로쇠된장 2kg</t>
        </is>
      </c>
      <c r="F418" s="142" t="inlineStr">
        <is>
          <t>-</t>
        </is>
      </c>
      <c r="G418" s="142" t="inlineStr">
        <is>
          <t>-</t>
        </is>
      </c>
      <c r="H418" s="142" t="inlineStr">
        <is>
          <t>-</t>
        </is>
      </c>
    </row>
    <row r="419" hidden="1" s="21">
      <c r="A419" s="8" t="inlineStr">
        <is>
          <t>롯데ON</t>
        </is>
      </c>
      <c r="B419" s="9" t="inlineStr">
        <is>
          <t>농산물</t>
        </is>
      </c>
      <c r="C419" s="12" t="inlineStr">
        <is>
          <t>주식회사 농업회사법인 에상스팜</t>
        </is>
      </c>
      <c r="D419" s="136" t="inlineStr">
        <is>
          <t>516-88-01860</t>
        </is>
      </c>
      <c r="E419" s="141" t="inlineStr">
        <is>
          <t>[APP전용]에상스팜 유러피안 샐러드야채 모듬쌈 로메인 상추 버터헤드 바타비아 크리스탈 1kg</t>
        </is>
      </c>
      <c r="F419" s="142" t="n">
        <v>1999</v>
      </c>
      <c r="G419" s="142" t="n">
        <v>23281100</v>
      </c>
      <c r="H419" s="142" t="n">
        <v>4157060</v>
      </c>
    </row>
    <row r="420" hidden="1" s="21">
      <c r="A420" s="8" t="inlineStr">
        <is>
          <t>롯데ON</t>
        </is>
      </c>
      <c r="B420" s="9" t="inlineStr">
        <is>
          <t>농산물</t>
        </is>
      </c>
      <c r="C420" s="12" t="inlineStr">
        <is>
          <t>주식회사 농업회사법인 에상스팜</t>
        </is>
      </c>
      <c r="D420" s="136" t="inlineStr">
        <is>
          <t>516-88-01860</t>
        </is>
      </c>
      <c r="E420" s="141" t="inlineStr">
        <is>
          <t>유러피안 샐러드야채 모듬쌈 로메인 상추 버터헤드 바타비아 크리스탈 1kg</t>
        </is>
      </c>
      <c r="F420" s="142" t="inlineStr">
        <is>
          <t>-</t>
        </is>
      </c>
      <c r="G420" s="142" t="inlineStr">
        <is>
          <t>-</t>
        </is>
      </c>
      <c r="H420" s="142" t="inlineStr">
        <is>
          <t>-</t>
        </is>
      </c>
    </row>
    <row r="421" hidden="1" s="21">
      <c r="A421" s="8" t="inlineStr">
        <is>
          <t>롯데ON</t>
        </is>
      </c>
      <c r="B421" s="9" t="inlineStr">
        <is>
          <t>축산물</t>
        </is>
      </c>
      <c r="C421" s="12" t="inlineStr">
        <is>
          <t>주식회사 태범프레시</t>
        </is>
      </c>
      <c r="D421" s="136" t="inlineStr">
        <is>
          <t>832-86-02035</t>
        </is>
      </c>
      <c r="E421" s="141" t="inlineStr">
        <is>
          <t>[홍익상회] 춘천닭갈비 500g x 3팩 국내산닭고기 양념 순살</t>
        </is>
      </c>
      <c r="F421" s="142" t="inlineStr">
        <is>
          <t>-</t>
        </is>
      </c>
      <c r="G421" s="142" t="inlineStr">
        <is>
          <t>-</t>
        </is>
      </c>
      <c r="H421" s="142" t="inlineStr">
        <is>
          <t>-</t>
        </is>
      </c>
    </row>
    <row r="422" hidden="1" s="21">
      <c r="A422" s="8" t="inlineStr">
        <is>
          <t>롯데ON</t>
        </is>
      </c>
      <c r="B422" s="9" t="inlineStr">
        <is>
          <t>농산물</t>
        </is>
      </c>
      <c r="C422" s="12" t="inlineStr">
        <is>
          <t>싱싱보따리</t>
        </is>
      </c>
      <c r="D422" s="136" t="inlineStr">
        <is>
          <t>585-96-01916</t>
        </is>
      </c>
      <c r="E422" s="141" t="inlineStr">
        <is>
          <t>싱싱보따리 의성 햇마늘 통마늘 대서마늘 당일출고</t>
        </is>
      </c>
      <c r="F422" s="142" t="inlineStr">
        <is>
          <t>-</t>
        </is>
      </c>
      <c r="G422" s="142" t="inlineStr">
        <is>
          <t>-</t>
        </is>
      </c>
      <c r="H422" s="142" t="inlineStr">
        <is>
          <t>-</t>
        </is>
      </c>
    </row>
    <row r="423" hidden="1" s="21">
      <c r="A423" s="8" t="inlineStr">
        <is>
          <t>롯데ON</t>
        </is>
      </c>
      <c r="B423" s="9" t="inlineStr">
        <is>
          <t>농산물</t>
        </is>
      </c>
      <c r="C423" s="12" t="inlineStr">
        <is>
          <t>영동감협동조합</t>
        </is>
      </c>
      <c r="D423" s="136" t="inlineStr">
        <is>
          <t>302-81-25814</t>
        </is>
      </c>
      <c r="E423" s="141" t="inlineStr">
        <is>
          <t>수제채반곶감호두말이선물세트1kg</t>
        </is>
      </c>
      <c r="F423" s="142" t="n">
        <v>1</v>
      </c>
      <c r="G423" s="142" t="n">
        <v>57900</v>
      </c>
      <c r="H423" s="142" t="n">
        <v>10000</v>
      </c>
    </row>
    <row r="424" hidden="1" s="21">
      <c r="A424" s="8" t="inlineStr">
        <is>
          <t>롯데ON</t>
        </is>
      </c>
      <c r="B424" s="9" t="inlineStr">
        <is>
          <t>농산물</t>
        </is>
      </c>
      <c r="C424" s="12" t="inlineStr">
        <is>
          <t>영동감협동조합</t>
        </is>
      </c>
      <c r="D424" s="136" t="inlineStr">
        <is>
          <t>302-81-25814</t>
        </is>
      </c>
      <c r="E424" s="141" t="inlineStr">
        <is>
          <t>반건시곶감1.8kg(개당 60g내외 10과*3팩)</t>
        </is>
      </c>
      <c r="F424" s="142" t="n">
        <v>1</v>
      </c>
      <c r="G424" s="142" t="n">
        <v>43900</v>
      </c>
      <c r="H424" s="142" t="n">
        <v>8380</v>
      </c>
    </row>
    <row r="425" hidden="1" s="21">
      <c r="A425" s="8" t="inlineStr">
        <is>
          <t>롯데ON</t>
        </is>
      </c>
      <c r="B425" s="9" t="inlineStr">
        <is>
          <t>농산물</t>
        </is>
      </c>
      <c r="C425" s="12" t="inlineStr">
        <is>
          <t>영동감협동조합</t>
        </is>
      </c>
      <c r="D425" s="136" t="inlineStr">
        <is>
          <t>302-81-25814</t>
        </is>
      </c>
      <c r="E425" s="141" t="inlineStr">
        <is>
          <t>반건시선물세트2.6kg(75g 35과)</t>
        </is>
      </c>
      <c r="F425" s="142" t="inlineStr">
        <is>
          <t>-</t>
        </is>
      </c>
      <c r="G425" s="142" t="inlineStr">
        <is>
          <t>-</t>
        </is>
      </c>
      <c r="H425" s="142" t="inlineStr">
        <is>
          <t>-</t>
        </is>
      </c>
    </row>
    <row r="426" hidden="1" s="21">
      <c r="A426" s="8" t="inlineStr">
        <is>
          <t>롯데ON</t>
        </is>
      </c>
      <c r="B426" s="9" t="inlineStr">
        <is>
          <t>농산물</t>
        </is>
      </c>
      <c r="C426" s="12" t="inlineStr">
        <is>
          <t>영동감협동조합</t>
        </is>
      </c>
      <c r="D426" s="136" t="inlineStr">
        <is>
          <t>302-81-25814</t>
        </is>
      </c>
      <c r="E426" s="141" t="inlineStr">
        <is>
          <t>대봉반건시선물세트3.3kg(90g이상 35과)</t>
        </is>
      </c>
      <c r="F426" s="142" t="inlineStr">
        <is>
          <t>-</t>
        </is>
      </c>
      <c r="G426" s="142" t="inlineStr">
        <is>
          <t>-</t>
        </is>
      </c>
      <c r="H426" s="142" t="inlineStr">
        <is>
          <t>-</t>
        </is>
      </c>
    </row>
    <row r="427" hidden="1" s="21">
      <c r="A427" s="8" t="inlineStr">
        <is>
          <t>롯데ON</t>
        </is>
      </c>
      <c r="B427" s="9" t="inlineStr">
        <is>
          <t>농산물</t>
        </is>
      </c>
      <c r="C427" s="12" t="inlineStr">
        <is>
          <t>영동감협동조합</t>
        </is>
      </c>
      <c r="D427" s="136" t="inlineStr">
        <is>
          <t>302-81-25814</t>
        </is>
      </c>
      <c r="E427" s="141" t="inlineStr">
        <is>
          <t>대봉반건시선물세트4.5kg(150g이상 30과)</t>
        </is>
      </c>
      <c r="F427" s="142" t="inlineStr">
        <is>
          <t>-</t>
        </is>
      </c>
      <c r="G427" s="142" t="inlineStr">
        <is>
          <t>-</t>
        </is>
      </c>
      <c r="H427" s="142" t="inlineStr">
        <is>
          <t>-</t>
        </is>
      </c>
    </row>
    <row r="428" hidden="1" s="21">
      <c r="A428" s="8" t="inlineStr">
        <is>
          <t>롯데ON</t>
        </is>
      </c>
      <c r="B428" s="9" t="inlineStr">
        <is>
          <t>농산물</t>
        </is>
      </c>
      <c r="C428" s="12" t="inlineStr">
        <is>
          <t>영동감협동조합</t>
        </is>
      </c>
      <c r="D428" s="136" t="inlineStr">
        <is>
          <t>302-81-25814</t>
        </is>
      </c>
      <c r="E428" s="141" t="inlineStr">
        <is>
          <t>대봉실속반건시(500g*1팩)</t>
        </is>
      </c>
      <c r="F428" s="142" t="n">
        <v>1</v>
      </c>
      <c r="G428" s="142" t="n">
        <v>15000</v>
      </c>
      <c r="H428" s="142" t="n">
        <v>2790</v>
      </c>
    </row>
    <row r="429" hidden="1" s="21">
      <c r="A429" s="8" t="inlineStr">
        <is>
          <t>롯데ON</t>
        </is>
      </c>
      <c r="B429" s="9" t="inlineStr">
        <is>
          <t>농산물</t>
        </is>
      </c>
      <c r="C429" s="12" t="inlineStr">
        <is>
          <t>영동감협동조합</t>
        </is>
      </c>
      <c r="D429" s="136" t="inlineStr">
        <is>
          <t>302-81-25814</t>
        </is>
      </c>
      <c r="E429" s="141" t="inlineStr">
        <is>
          <t>반건시선물세트1.8kg(75g이상 24과)</t>
        </is>
      </c>
      <c r="F429" s="142" t="inlineStr">
        <is>
          <t>-</t>
        </is>
      </c>
      <c r="G429" s="142" t="inlineStr">
        <is>
          <t>-</t>
        </is>
      </c>
      <c r="H429" s="142" t="inlineStr">
        <is>
          <t>-</t>
        </is>
      </c>
    </row>
    <row r="430" hidden="1" s="21">
      <c r="A430" s="8" t="inlineStr">
        <is>
          <t>롯데ON</t>
        </is>
      </c>
      <c r="B430" s="9" t="inlineStr">
        <is>
          <t>농산물</t>
        </is>
      </c>
      <c r="C430" s="12" t="inlineStr">
        <is>
          <t>영동감협동조합</t>
        </is>
      </c>
      <c r="D430" s="136" t="inlineStr">
        <is>
          <t>302-81-25814</t>
        </is>
      </c>
      <c r="E430" s="141" t="inlineStr">
        <is>
          <t>반건시곶감선물세트30개입(개당50~60g 10과3팩)</t>
        </is>
      </c>
      <c r="F430" s="142" t="n">
        <v>5</v>
      </c>
      <c r="G430" s="142" t="n">
        <v>199500</v>
      </c>
      <c r="H430" s="142" t="n">
        <v>25160</v>
      </c>
    </row>
    <row r="431" hidden="1" s="21">
      <c r="A431" s="8" t="inlineStr">
        <is>
          <t>롯데ON</t>
        </is>
      </c>
      <c r="B431" s="9" t="inlineStr">
        <is>
          <t>농산물</t>
        </is>
      </c>
      <c r="C431" s="12" t="inlineStr">
        <is>
          <t>영동감협동조합</t>
        </is>
      </c>
      <c r="D431" s="136" t="inlineStr">
        <is>
          <t>302-81-25814</t>
        </is>
      </c>
      <c r="E431" s="141" t="inlineStr">
        <is>
          <t>대봉반건시선물세트3.6kg(120g이상 30과)</t>
        </is>
      </c>
      <c r="F431" s="142" t="inlineStr">
        <is>
          <t>-</t>
        </is>
      </c>
      <c r="G431" s="142" t="inlineStr">
        <is>
          <t>-</t>
        </is>
      </c>
      <c r="H431" s="142" t="inlineStr">
        <is>
          <t>-</t>
        </is>
      </c>
    </row>
    <row r="432" hidden="1" s="21">
      <c r="A432" s="8" t="inlineStr">
        <is>
          <t>롯데ON</t>
        </is>
      </c>
      <c r="B432" s="9" t="inlineStr">
        <is>
          <t>농산물</t>
        </is>
      </c>
      <c r="C432" s="12" t="inlineStr">
        <is>
          <t>영동감협동조합</t>
        </is>
      </c>
      <c r="D432" s="136" t="inlineStr">
        <is>
          <t>302-81-25814</t>
        </is>
      </c>
      <c r="E432" s="141" t="inlineStr">
        <is>
          <t>곶감호두말이선물세트1.5kg(반건시곶감1kg+호두말이500g)</t>
        </is>
      </c>
      <c r="F432" s="142" t="inlineStr">
        <is>
          <t>-</t>
        </is>
      </c>
      <c r="G432" s="142" t="inlineStr">
        <is>
          <t>-</t>
        </is>
      </c>
      <c r="H432" s="142" t="inlineStr">
        <is>
          <t>-</t>
        </is>
      </c>
    </row>
    <row r="433" hidden="1" s="21">
      <c r="A433" s="8" t="inlineStr">
        <is>
          <t>롯데ON</t>
        </is>
      </c>
      <c r="B433" s="9" t="inlineStr">
        <is>
          <t>농산물</t>
        </is>
      </c>
      <c r="C433" s="12" t="inlineStr">
        <is>
          <t>영농조합법인상주곶감유통사업단</t>
        </is>
      </c>
      <c r="D433" s="136" t="inlineStr">
        <is>
          <t>511-81-14298</t>
        </is>
      </c>
      <c r="E433" s="141" t="inlineStr">
        <is>
          <t>[온누리7%혜택]상주곶감 건시 개별포장 선물세트 1호</t>
        </is>
      </c>
      <c r="F433" s="142" t="inlineStr">
        <is>
          <t>-</t>
        </is>
      </c>
      <c r="G433" s="142" t="inlineStr">
        <is>
          <t>-</t>
        </is>
      </c>
      <c r="H433" s="142" t="inlineStr">
        <is>
          <t>-</t>
        </is>
      </c>
    </row>
    <row r="434" hidden="1" s="21">
      <c r="A434" s="8" t="inlineStr">
        <is>
          <t>롯데ON</t>
        </is>
      </c>
      <c r="B434" s="9" t="inlineStr">
        <is>
          <t>농산물</t>
        </is>
      </c>
      <c r="C434" s="12" t="inlineStr">
        <is>
          <t>영농조합법인상주곶감유통사업단</t>
        </is>
      </c>
      <c r="D434" s="136" t="inlineStr">
        <is>
          <t>511-81-14298</t>
        </is>
      </c>
      <c r="E434" s="141" t="inlineStr">
        <is>
          <t>[온누리7%혜택]상주삼백곶감 크림치즈호두말이2호(치즈호두말이3팩) 선물세트</t>
        </is>
      </c>
      <c r="F434" s="142" t="inlineStr">
        <is>
          <t>-</t>
        </is>
      </c>
      <c r="G434" s="142" t="inlineStr">
        <is>
          <t>-</t>
        </is>
      </c>
      <c r="H434" s="142" t="inlineStr">
        <is>
          <t>-</t>
        </is>
      </c>
    </row>
    <row r="435" hidden="1" s="21">
      <c r="A435" s="8" t="inlineStr">
        <is>
          <t>롯데ON</t>
        </is>
      </c>
      <c r="B435" s="9" t="inlineStr">
        <is>
          <t>농산물</t>
        </is>
      </c>
      <c r="C435" s="12" t="inlineStr">
        <is>
          <t>영농조합법인상주곶감유통사업단</t>
        </is>
      </c>
      <c r="D435" s="136" t="inlineStr">
        <is>
          <t>511-81-14298</t>
        </is>
      </c>
      <c r="E435" s="141" t="inlineStr">
        <is>
          <t>[온누리7%혜택]상주삼백곶감 실속포장 대봉감말랭이 1kg</t>
        </is>
      </c>
      <c r="F435" s="142" t="inlineStr">
        <is>
          <t>-</t>
        </is>
      </c>
      <c r="G435" s="142" t="inlineStr">
        <is>
          <t>-</t>
        </is>
      </c>
      <c r="H435" s="142" t="inlineStr">
        <is>
          <t>-</t>
        </is>
      </c>
    </row>
    <row r="436" hidden="1" s="21">
      <c r="A436" s="8" t="inlineStr">
        <is>
          <t>롯데ON</t>
        </is>
      </c>
      <c r="B436" s="9" t="inlineStr">
        <is>
          <t>농산물</t>
        </is>
      </c>
      <c r="C436" s="12" t="inlineStr">
        <is>
          <t>영농조합법인상주곶감유통사업단</t>
        </is>
      </c>
      <c r="D436" s="136" t="inlineStr">
        <is>
          <t>511-81-14298</t>
        </is>
      </c>
      <c r="E436" s="141" t="inlineStr">
        <is>
          <t>[온누리7%혜택]상주삼백곶감 가정용 실속곶감1kg대과</t>
        </is>
      </c>
      <c r="F436" s="142" t="inlineStr">
        <is>
          <t>-</t>
        </is>
      </c>
      <c r="G436" s="142" t="inlineStr">
        <is>
          <t>-</t>
        </is>
      </c>
      <c r="H436" s="142" t="inlineStr">
        <is>
          <t>-</t>
        </is>
      </c>
    </row>
    <row r="437" hidden="1" s="21">
      <c r="A437" s="8" t="inlineStr">
        <is>
          <t>롯데ON</t>
        </is>
      </c>
      <c r="B437" s="9" t="inlineStr">
        <is>
          <t>농산물</t>
        </is>
      </c>
      <c r="C437" s="12" t="inlineStr">
        <is>
          <t>영농조합법인상주곶감유통사업단</t>
        </is>
      </c>
      <c r="D437" s="136" t="inlineStr">
        <is>
          <t>511-81-14298</t>
        </is>
      </c>
      <c r="E437" s="141" t="inlineStr">
        <is>
          <t>[온누리7%혜택]상주삼백곶감 가정용 실속곶감1kg중과</t>
        </is>
      </c>
      <c r="F437" s="142" t="n">
        <v>3</v>
      </c>
      <c r="G437" s="142" t="n">
        <v>95700</v>
      </c>
      <c r="H437" s="142" t="n">
        <v>18180</v>
      </c>
    </row>
    <row r="438" hidden="1" s="21">
      <c r="A438" s="8" t="inlineStr">
        <is>
          <t>롯데ON</t>
        </is>
      </c>
      <c r="B438" s="9" t="inlineStr">
        <is>
          <t>농산물</t>
        </is>
      </c>
      <c r="C438" s="12" t="inlineStr">
        <is>
          <t>영농조합법인상주곶감유통사업단</t>
        </is>
      </c>
      <c r="D438" s="136" t="inlineStr">
        <is>
          <t>511-81-14298</t>
        </is>
      </c>
      <c r="E438" s="141" t="inlineStr">
        <is>
          <t>[온누리7%혜택]상주삼백곶감 가정용 실속곶감1kg소과</t>
        </is>
      </c>
      <c r="F438" s="142" t="n">
        <v>1</v>
      </c>
      <c r="G438" s="142" t="n">
        <v>29900</v>
      </c>
      <c r="H438" s="142" t="n">
        <v>5680</v>
      </c>
    </row>
    <row r="439" hidden="1" s="21">
      <c r="A439" s="8" t="inlineStr">
        <is>
          <t>롯데ON</t>
        </is>
      </c>
      <c r="B439" s="9" t="inlineStr">
        <is>
          <t>농산물</t>
        </is>
      </c>
      <c r="C439" s="12" t="inlineStr">
        <is>
          <t>영농조합법인상주곶감유통사업단</t>
        </is>
      </c>
      <c r="D439" s="136" t="inlineStr">
        <is>
          <t>511-81-14298</t>
        </is>
      </c>
      <c r="E439" s="141" t="inlineStr">
        <is>
          <t>[온누리7%혜택]상주삼백곶감 크림치즈호두말이1호 세트</t>
        </is>
      </c>
      <c r="F439" s="142" t="inlineStr">
        <is>
          <t>-</t>
        </is>
      </c>
      <c r="G439" s="142" t="inlineStr">
        <is>
          <t>-</t>
        </is>
      </c>
      <c r="H439" s="142" t="inlineStr">
        <is>
          <t>-</t>
        </is>
      </c>
    </row>
    <row r="440" hidden="1" s="21">
      <c r="A440" s="8" t="inlineStr">
        <is>
          <t>롯데ON</t>
        </is>
      </c>
      <c r="B440" s="9" t="inlineStr">
        <is>
          <t>농산물</t>
        </is>
      </c>
      <c r="C440" s="12" t="inlineStr">
        <is>
          <t>영농조합법인상주곶감유통사업단</t>
        </is>
      </c>
      <c r="D440" s="136" t="inlineStr">
        <is>
          <t>511-81-14298</t>
        </is>
      </c>
      <c r="E440" s="141" t="inlineStr">
        <is>
          <t>[온누리7%혜택]상주삼백곶감 반건시선물세트2.8kg(70g*40개)</t>
        </is>
      </c>
      <c r="F440" s="142" t="inlineStr">
        <is>
          <t>-</t>
        </is>
      </c>
      <c r="G440" s="142" t="inlineStr">
        <is>
          <t>-</t>
        </is>
      </c>
      <c r="H440" s="142" t="inlineStr">
        <is>
          <t>-</t>
        </is>
      </c>
    </row>
    <row r="441" hidden="1" s="21">
      <c r="A441" s="8" t="inlineStr">
        <is>
          <t>롯데ON</t>
        </is>
      </c>
      <c r="B441" s="9" t="inlineStr">
        <is>
          <t>농산물</t>
        </is>
      </c>
      <c r="C441" s="12" t="inlineStr">
        <is>
          <t>영농조합법인상주곶감유통사업단</t>
        </is>
      </c>
      <c r="D441" s="136" t="inlineStr">
        <is>
          <t>511-81-14298</t>
        </is>
      </c>
      <c r="E441" s="141" t="inlineStr">
        <is>
          <t>[온누리7%혜택]상주삼백곶감 반건시선물세트2.4kg(60g*40개)</t>
        </is>
      </c>
      <c r="F441" s="142" t="inlineStr">
        <is>
          <t>-</t>
        </is>
      </c>
      <c r="G441" s="142" t="inlineStr">
        <is>
          <t>-</t>
        </is>
      </c>
      <c r="H441" s="142" t="inlineStr">
        <is>
          <t>-</t>
        </is>
      </c>
    </row>
    <row r="442" hidden="1" s="21">
      <c r="A442" s="8" t="inlineStr">
        <is>
          <t>롯데ON</t>
        </is>
      </c>
      <c r="B442" s="9" t="inlineStr">
        <is>
          <t>농산물</t>
        </is>
      </c>
      <c r="C442" s="12" t="inlineStr">
        <is>
          <t>영농조합법인상주곶감유통사업단</t>
        </is>
      </c>
      <c r="D442" s="136" t="inlineStr">
        <is>
          <t>511-81-14298</t>
        </is>
      </c>
      <c r="E442" s="141" t="inlineStr">
        <is>
          <t>[온누리7%혜택]상주삼백곶감 상주삼백곶감 반건시선물세트1.2kg(60g*20개)</t>
        </is>
      </c>
      <c r="F442" s="142" t="inlineStr">
        <is>
          <t>-</t>
        </is>
      </c>
      <c r="G442" s="142" t="inlineStr">
        <is>
          <t>-</t>
        </is>
      </c>
      <c r="H442" s="142" t="inlineStr">
        <is>
          <t>-</t>
        </is>
      </c>
    </row>
    <row r="443" hidden="1" s="21">
      <c r="A443" s="8" t="inlineStr">
        <is>
          <t>롯데ON</t>
        </is>
      </c>
      <c r="B443" s="9" t="inlineStr">
        <is>
          <t>농산물</t>
        </is>
      </c>
      <c r="C443" s="12" t="inlineStr">
        <is>
          <t>영농조합법인상주곶감유통사업단</t>
        </is>
      </c>
      <c r="D443" s="136" t="inlineStr">
        <is>
          <t>511-81-14298</t>
        </is>
      </c>
      <c r="E443" s="141" t="inlineStr">
        <is>
          <t>[온누리7%혜택]상주삼백곶감 선물세트 반건시1.2kg(40g30개입)</t>
        </is>
      </c>
      <c r="F443" s="142" t="inlineStr">
        <is>
          <t>-</t>
        </is>
      </c>
      <c r="G443" s="142" t="inlineStr">
        <is>
          <t>-</t>
        </is>
      </c>
      <c r="H443" s="142" t="inlineStr">
        <is>
          <t>-</t>
        </is>
      </c>
    </row>
    <row r="444" hidden="1" s="21">
      <c r="A444" s="8" t="inlineStr">
        <is>
          <t>롯데ON</t>
        </is>
      </c>
      <c r="B444" s="9" t="inlineStr">
        <is>
          <t>농산물</t>
        </is>
      </c>
      <c r="C444" s="12" t="inlineStr">
        <is>
          <t>영농조합법인상주곶감유통사업단</t>
        </is>
      </c>
      <c r="D444" s="136" t="inlineStr">
        <is>
          <t>511-81-14298</t>
        </is>
      </c>
      <c r="E444" s="141" t="inlineStr">
        <is>
          <t>[온누리7%혜택]상주삼백곶감 상주삼백곶감 반건시선물세트1kg(50g*20개)</t>
        </is>
      </c>
      <c r="F444" s="142" t="inlineStr">
        <is>
          <t>-</t>
        </is>
      </c>
      <c r="G444" s="142" t="inlineStr">
        <is>
          <t>-</t>
        </is>
      </c>
      <c r="H444" s="142" t="inlineStr">
        <is>
          <t>-</t>
        </is>
      </c>
    </row>
    <row r="445" hidden="1" s="21">
      <c r="A445" s="8" t="inlineStr">
        <is>
          <t>롯데ON</t>
        </is>
      </c>
      <c r="B445" s="9" t="inlineStr">
        <is>
          <t>농산물</t>
        </is>
      </c>
      <c r="C445" s="12" t="inlineStr">
        <is>
          <t>영농조합법인상주곶감유통사업단</t>
        </is>
      </c>
      <c r="D445" s="136" t="inlineStr">
        <is>
          <t>511-81-14298</t>
        </is>
      </c>
      <c r="E445" s="141" t="inlineStr">
        <is>
          <t>[온누리7%혜택]실속 크림치즈호두말이1팩 270-300g</t>
        </is>
      </c>
      <c r="F445" s="142" t="inlineStr">
        <is>
          <t>-</t>
        </is>
      </c>
      <c r="G445" s="142" t="inlineStr">
        <is>
          <t>-</t>
        </is>
      </c>
      <c r="H445" s="142" t="inlineStr">
        <is>
          <t>-</t>
        </is>
      </c>
    </row>
    <row r="446" hidden="1" s="21">
      <c r="A446" s="8" t="inlineStr">
        <is>
          <t>롯데ON</t>
        </is>
      </c>
      <c r="B446" s="9" t="inlineStr">
        <is>
          <t>농산물</t>
        </is>
      </c>
      <c r="C446" s="12" t="inlineStr">
        <is>
          <t>영농조합법인상주곶감유통사업단</t>
        </is>
      </c>
      <c r="D446" s="136" t="inlineStr">
        <is>
          <t>511-81-14298</t>
        </is>
      </c>
      <c r="E446" s="141" t="inlineStr">
        <is>
          <t>[온누리7%혜택]상주삼백곶감 반건시선물세트2kg(50g*40개)</t>
        </is>
      </c>
      <c r="F446" s="142" t="inlineStr">
        <is>
          <t>-</t>
        </is>
      </c>
      <c r="G446" s="142" t="inlineStr">
        <is>
          <t>-</t>
        </is>
      </c>
      <c r="H446" s="142" t="inlineStr">
        <is>
          <t>-</t>
        </is>
      </c>
    </row>
    <row r="447" hidden="1" s="21">
      <c r="A447" s="8" t="inlineStr">
        <is>
          <t>롯데ON</t>
        </is>
      </c>
      <c r="B447" s="9" t="inlineStr">
        <is>
          <t>농산물</t>
        </is>
      </c>
      <c r="C447" s="12" t="inlineStr">
        <is>
          <t>영농조합법인상주곶감유통사업단</t>
        </is>
      </c>
      <c r="D447" s="136" t="inlineStr">
        <is>
          <t>511-81-14298</t>
        </is>
      </c>
      <c r="E447" s="141" t="inlineStr">
        <is>
          <t>[온누리7%혜택]상주삼백곶감 상주삼백곶감 반건시선물세트(40g*20개)</t>
        </is>
      </c>
      <c r="F447" s="142" t="inlineStr">
        <is>
          <t>-</t>
        </is>
      </c>
      <c r="G447" s="142" t="inlineStr">
        <is>
          <t>-</t>
        </is>
      </c>
      <c r="H447" s="142" t="inlineStr">
        <is>
          <t>-</t>
        </is>
      </c>
    </row>
    <row r="448" hidden="1" s="21">
      <c r="A448" s="8" t="inlineStr">
        <is>
          <t>롯데ON</t>
        </is>
      </c>
      <c r="B448" s="9" t="inlineStr">
        <is>
          <t>농산물</t>
        </is>
      </c>
      <c r="C448" s="12" t="inlineStr">
        <is>
          <t>영농조합법인상주곶감유통사업단</t>
        </is>
      </c>
      <c r="D448" s="136" t="inlineStr">
        <is>
          <t>511-81-14298</t>
        </is>
      </c>
      <c r="E448" s="141" t="inlineStr">
        <is>
          <t>[온누리7%혜택]상주삼백곶감 크림치즈호두말이3호(반건시2팩치즈호두말이1팩) 선물세트</t>
        </is>
      </c>
      <c r="F448" s="142" t="inlineStr">
        <is>
          <t>-</t>
        </is>
      </c>
      <c r="G448" s="142" t="inlineStr">
        <is>
          <t>-</t>
        </is>
      </c>
      <c r="H448" s="142" t="inlineStr">
        <is>
          <t>-</t>
        </is>
      </c>
    </row>
    <row r="449" hidden="1" s="21">
      <c r="A449" s="8" t="inlineStr">
        <is>
          <t>롯데ON</t>
        </is>
      </c>
      <c r="B449" s="9" t="inlineStr">
        <is>
          <t>농산물</t>
        </is>
      </c>
      <c r="C449" s="12" t="inlineStr">
        <is>
          <t>영농조합법인상주곶감유통사업단</t>
        </is>
      </c>
      <c r="D449" s="136" t="inlineStr">
        <is>
          <t>511-81-14298</t>
        </is>
      </c>
      <c r="E449" s="141" t="inlineStr">
        <is>
          <t>[온누리7%혜택]상주삼백곶감 상주곶감선물세트 1.5kg특품</t>
        </is>
      </c>
      <c r="F449" s="142" t="inlineStr">
        <is>
          <t>-</t>
        </is>
      </c>
      <c r="G449" s="142" t="inlineStr">
        <is>
          <t>-</t>
        </is>
      </c>
      <c r="H449" s="142" t="inlineStr">
        <is>
          <t>-</t>
        </is>
      </c>
    </row>
    <row r="450" hidden="1" s="21">
      <c r="A450" s="8" t="inlineStr">
        <is>
          <t>롯데ON</t>
        </is>
      </c>
      <c r="B450" s="9" t="inlineStr">
        <is>
          <t>농산물</t>
        </is>
      </c>
      <c r="C450" s="12" t="inlineStr">
        <is>
          <t>영농조합법인상주곶감유통사업단</t>
        </is>
      </c>
      <c r="D450" s="136" t="inlineStr">
        <is>
          <t>511-81-14298</t>
        </is>
      </c>
      <c r="E450" s="141" t="inlineStr">
        <is>
          <t>[온누리7%혜택]상주삼백곶감 상주곶감선물세트 1kg특품</t>
        </is>
      </c>
      <c r="F450" s="142" t="inlineStr">
        <is>
          <t>-</t>
        </is>
      </c>
      <c r="G450" s="142" t="inlineStr">
        <is>
          <t>-</t>
        </is>
      </c>
      <c r="H450" s="142" t="inlineStr">
        <is>
          <t>-</t>
        </is>
      </c>
    </row>
    <row r="451" hidden="1" s="21">
      <c r="A451" s="8" t="inlineStr">
        <is>
          <t>롯데ON</t>
        </is>
      </c>
      <c r="B451" s="9" t="inlineStr">
        <is>
          <t>농산물</t>
        </is>
      </c>
      <c r="C451" s="12" t="inlineStr">
        <is>
          <t>영농조합법인상주곶감유통사업단</t>
        </is>
      </c>
      <c r="D451" s="136" t="inlineStr">
        <is>
          <t>511-81-14298</t>
        </is>
      </c>
      <c r="E451" s="141" t="inlineStr">
        <is>
          <t>[온누리7%혜택]상주삼백곶감 명품 개별반건시 트레이40구(트레이 60g*40개입)</t>
        </is>
      </c>
      <c r="F451" s="142" t="inlineStr">
        <is>
          <t>-</t>
        </is>
      </c>
      <c r="G451" s="142" t="inlineStr">
        <is>
          <t>-</t>
        </is>
      </c>
      <c r="H451" s="142" t="inlineStr">
        <is>
          <t>-</t>
        </is>
      </c>
    </row>
    <row r="452" hidden="1" s="21">
      <c r="A452" s="8" t="inlineStr">
        <is>
          <t>롯데ON</t>
        </is>
      </c>
      <c r="B452" s="9" t="inlineStr">
        <is>
          <t>농산물</t>
        </is>
      </c>
      <c r="C452" s="12" t="inlineStr">
        <is>
          <t>영농조합법인상주곶감유통사업단</t>
        </is>
      </c>
      <c r="D452" s="136" t="inlineStr">
        <is>
          <t>511-81-14298</t>
        </is>
      </c>
      <c r="E452" s="141" t="inlineStr">
        <is>
          <t>[온누리7%혜택]상주삼백곶감 프리미엄 대봉왕특반건시트레이21구</t>
        </is>
      </c>
      <c r="F452" s="142" t="n">
        <v>2</v>
      </c>
      <c r="G452" s="142" t="n">
        <v>200000</v>
      </c>
      <c r="H452" s="142" t="n">
        <v>20000</v>
      </c>
    </row>
    <row r="453" hidden="1" s="21">
      <c r="A453" s="8" t="inlineStr">
        <is>
          <t>롯데ON</t>
        </is>
      </c>
      <c r="B453" s="9" t="inlineStr">
        <is>
          <t>농산물</t>
        </is>
      </c>
      <c r="C453" s="12" t="inlineStr">
        <is>
          <t>영농조합법인상주곶감유통사업단</t>
        </is>
      </c>
      <c r="D453" s="136" t="inlineStr">
        <is>
          <t>511-81-14298</t>
        </is>
      </c>
      <c r="E453" s="141" t="inlineStr">
        <is>
          <t>[온누리7%혜택]상주삼백곶감 프리미엄 왕특대봉반건시 개별반건시15구</t>
        </is>
      </c>
      <c r="F453" s="142" t="inlineStr">
        <is>
          <t>-</t>
        </is>
      </c>
      <c r="G453" s="142" t="inlineStr">
        <is>
          <t>-</t>
        </is>
      </c>
      <c r="H453" s="142" t="inlineStr">
        <is>
          <t>-</t>
        </is>
      </c>
    </row>
    <row r="454" hidden="1" s="21">
      <c r="A454" s="8" t="inlineStr">
        <is>
          <t>롯데ON</t>
        </is>
      </c>
      <c r="B454" s="9" t="inlineStr">
        <is>
          <t>농산물</t>
        </is>
      </c>
      <c r="C454" s="12" t="inlineStr">
        <is>
          <t>지리산농산</t>
        </is>
      </c>
      <c r="D454" s="136" t="inlineStr">
        <is>
          <t>613-92-05994</t>
        </is>
      </c>
      <c r="E454" s="141" t="inlineStr">
        <is>
          <t>[온누리7%혜택][지리산농산 공식인증점]지리산산청 가정용햇곶감 대용량/ 달콤촉촉 반건시500g</t>
        </is>
      </c>
      <c r="F454" s="142" t="inlineStr">
        <is>
          <t>-</t>
        </is>
      </c>
      <c r="G454" s="142" t="inlineStr">
        <is>
          <t>-</t>
        </is>
      </c>
      <c r="H454" s="142" t="inlineStr">
        <is>
          <t>-</t>
        </is>
      </c>
    </row>
    <row r="455" hidden="1" s="21">
      <c r="A455" s="8" t="inlineStr">
        <is>
          <t>롯데ON</t>
        </is>
      </c>
      <c r="B455" s="9" t="inlineStr">
        <is>
          <t>농산물</t>
        </is>
      </c>
      <c r="C455" s="12" t="inlineStr">
        <is>
          <t>지리산농산</t>
        </is>
      </c>
      <c r="D455" s="136" t="inlineStr">
        <is>
          <t>613-92-05994</t>
        </is>
      </c>
      <c r="E455" s="141" t="inlineStr">
        <is>
          <t>[온누리7%혜택][지리산농산 공식인증점]달콤쫀득 지리산산청 햇곶감 가정용 반접 50과 대용량</t>
        </is>
      </c>
      <c r="F455" s="142" t="inlineStr">
        <is>
          <t>-</t>
        </is>
      </c>
      <c r="G455" s="142" t="inlineStr">
        <is>
          <t>-</t>
        </is>
      </c>
      <c r="H455" s="142" t="inlineStr">
        <is>
          <t>-</t>
        </is>
      </c>
    </row>
    <row r="456" hidden="1" s="21">
      <c r="A456" s="8" t="inlineStr">
        <is>
          <t>롯데ON</t>
        </is>
      </c>
      <c r="B456" s="9" t="inlineStr">
        <is>
          <t>농산물</t>
        </is>
      </c>
      <c r="C456" s="12" t="inlineStr">
        <is>
          <t>지리산농산</t>
        </is>
      </c>
      <c r="D456" s="136" t="inlineStr">
        <is>
          <t>613-92-05994</t>
        </is>
      </c>
      <c r="E456" s="141" t="inlineStr">
        <is>
          <t>[온누리7%혜택][지리산농산공식인증점]산청고종시 쫀득이 햇곶감절편 500g</t>
        </is>
      </c>
      <c r="F456" s="142" t="inlineStr">
        <is>
          <t>-</t>
        </is>
      </c>
      <c r="G456" s="142" t="inlineStr">
        <is>
          <t>-</t>
        </is>
      </c>
      <c r="H456" s="142" t="inlineStr">
        <is>
          <t>-</t>
        </is>
      </c>
    </row>
    <row r="457" hidden="1" s="21">
      <c r="A457" s="8" t="inlineStr">
        <is>
          <t>롯데ON</t>
        </is>
      </c>
      <c r="B457" s="9" t="inlineStr">
        <is>
          <t>농산물</t>
        </is>
      </c>
      <c r="C457" s="12" t="inlineStr">
        <is>
          <t>지리산농산</t>
        </is>
      </c>
      <c r="D457" s="136" t="inlineStr">
        <is>
          <t>613-92-05994</t>
        </is>
      </c>
      <c r="E457" s="141" t="inlineStr">
        <is>
          <t>[온누리7%혜택][지리산농산 공식인증점] 지리산 산청 곶감특산품 상품전</t>
        </is>
      </c>
      <c r="F457" s="142" t="inlineStr">
        <is>
          <t>-</t>
        </is>
      </c>
      <c r="G457" s="142" t="inlineStr">
        <is>
          <t>-</t>
        </is>
      </c>
      <c r="H457" s="142" t="inlineStr">
        <is>
          <t>-</t>
        </is>
      </c>
    </row>
    <row r="458" hidden="1" s="21">
      <c r="A458" s="8" t="inlineStr">
        <is>
          <t>롯데ON</t>
        </is>
      </c>
      <c r="B458" s="12" t="inlineStr">
        <is>
          <t>가공식품</t>
        </is>
      </c>
      <c r="C458" s="12" t="inlineStr">
        <is>
          <t>지리산농산</t>
        </is>
      </c>
      <c r="D458" s="136" t="inlineStr">
        <is>
          <t>613-92-05994</t>
        </is>
      </c>
      <c r="E458" s="141" t="inlineStr">
        <is>
          <t>[온누리7%혜택][지리산농산 공식인증점] 지리산산청 100%자연산 사양벌꿀 상품전</t>
        </is>
      </c>
      <c r="F458" s="142" t="inlineStr">
        <is>
          <t>-</t>
        </is>
      </c>
      <c r="G458" s="142" t="inlineStr">
        <is>
          <t>-</t>
        </is>
      </c>
      <c r="H458" s="142" t="inlineStr">
        <is>
          <t>-</t>
        </is>
      </c>
    </row>
    <row r="459" hidden="1" s="21">
      <c r="A459" s="8" t="inlineStr">
        <is>
          <t>롯데ON</t>
        </is>
      </c>
      <c r="B459" s="12" t="inlineStr">
        <is>
          <t>가공식품</t>
        </is>
      </c>
      <c r="C459" s="12" t="inlineStr">
        <is>
          <t>지리산농산</t>
        </is>
      </c>
      <c r="D459" s="136" t="inlineStr">
        <is>
          <t>613-92-05994</t>
        </is>
      </c>
      <c r="E459" s="141" t="inlineStr">
        <is>
          <t>[온누리7%혜택][지리산농산 공식인증점] 지리산산청 100%자연산 아까시꽃 천연벌꿀 상품전</t>
        </is>
      </c>
      <c r="F459" s="142" t="inlineStr">
        <is>
          <t>-</t>
        </is>
      </c>
      <c r="G459" s="142" t="inlineStr">
        <is>
          <t>-</t>
        </is>
      </c>
      <c r="H459" s="142" t="inlineStr">
        <is>
          <t>-</t>
        </is>
      </c>
    </row>
    <row r="460" hidden="1" s="21">
      <c r="A460" s="8" t="inlineStr">
        <is>
          <t>롯데ON</t>
        </is>
      </c>
      <c r="B460" s="9" t="inlineStr">
        <is>
          <t>농산물</t>
        </is>
      </c>
      <c r="C460" s="12" t="inlineStr">
        <is>
          <t>지리산농산</t>
        </is>
      </c>
      <c r="D460" s="136" t="inlineStr">
        <is>
          <t>613-92-05994</t>
        </is>
      </c>
      <c r="E460" s="141" t="inlineStr">
        <is>
          <t>[온누리7%혜택]지리산 산청 특등급 햇고사리 600g(한근) 국내산 프리미엄 건고사리</t>
        </is>
      </c>
      <c r="F460" s="142" t="inlineStr">
        <is>
          <t>-</t>
        </is>
      </c>
      <c r="G460" s="142" t="inlineStr">
        <is>
          <t>-</t>
        </is>
      </c>
      <c r="H460" s="142" t="inlineStr">
        <is>
          <t>-</t>
        </is>
      </c>
    </row>
    <row r="461" hidden="1" s="21">
      <c r="A461" s="8" t="inlineStr">
        <is>
          <t>롯데ON</t>
        </is>
      </c>
      <c r="B461" s="9" t="inlineStr">
        <is>
          <t>농산물</t>
        </is>
      </c>
      <c r="C461" s="12" t="inlineStr">
        <is>
          <t>지리산농산</t>
        </is>
      </c>
      <c r="D461" s="136" t="inlineStr">
        <is>
          <t>613-92-05994</t>
        </is>
      </c>
      <c r="E461" s="141" t="inlineStr">
        <is>
          <t>[온누리7%혜택] 하동 북천 황토밭 무농약 햇 고구마(진율미 / 호풍미) 5kg</t>
        </is>
      </c>
      <c r="F461" s="142" t="inlineStr">
        <is>
          <t>-</t>
        </is>
      </c>
      <c r="G461" s="142" t="inlineStr">
        <is>
          <t>-</t>
        </is>
      </c>
      <c r="H461" s="142" t="inlineStr">
        <is>
          <t>-</t>
        </is>
      </c>
    </row>
    <row r="462" hidden="1" s="21">
      <c r="A462" s="8" t="inlineStr">
        <is>
          <t>롯데ON</t>
        </is>
      </c>
      <c r="B462" s="9" t="inlineStr">
        <is>
          <t>농산물</t>
        </is>
      </c>
      <c r="C462" s="12" t="inlineStr">
        <is>
          <t>농부아저씨</t>
        </is>
      </c>
      <c r="D462" s="136" t="inlineStr">
        <is>
          <t>725-97-02000</t>
        </is>
      </c>
      <c r="E462" s="141" t="inlineStr">
        <is>
          <t>고품질 특품 정량 로메인청상추 1kg/2kg</t>
        </is>
      </c>
      <c r="F462" s="142" t="n">
        <v>2255</v>
      </c>
      <c r="G462" s="142" t="n">
        <v>13975900</v>
      </c>
      <c r="H462" s="142" t="n">
        <v>2783730</v>
      </c>
    </row>
    <row r="463" hidden="1" s="21">
      <c r="A463" s="8" t="inlineStr">
        <is>
          <t>롯데ON</t>
        </is>
      </c>
      <c r="B463" s="9" t="inlineStr">
        <is>
          <t>농산물</t>
        </is>
      </c>
      <c r="C463" s="12" t="inlineStr">
        <is>
          <t>어반그린</t>
        </is>
      </c>
      <c r="D463" s="136" t="inlineStr">
        <is>
          <t>139-05-68827</t>
        </is>
      </c>
      <c r="E463" s="141" t="inlineStr">
        <is>
          <t>[무농약 GAP인증] 유러피안 샐러드 1kg 상추 (도시의푸른농장) 로메인 버터헤드 바타비아 바타아이스 프릴아이스</t>
        </is>
      </c>
      <c r="F463" s="142" t="n">
        <v>19</v>
      </c>
      <c r="G463" s="142" t="n">
        <v>254600</v>
      </c>
      <c r="H463" s="142" t="n">
        <v>47820</v>
      </c>
    </row>
    <row r="464" hidden="1" s="21">
      <c r="A464" s="8" t="inlineStr">
        <is>
          <t>롯데ON</t>
        </is>
      </c>
      <c r="B464" s="9" t="inlineStr">
        <is>
          <t>농산물</t>
        </is>
      </c>
      <c r="C464" s="12" t="inlineStr">
        <is>
          <t>농업법인 주식회사 드림라이스</t>
        </is>
      </c>
      <c r="D464" s="136" t="inlineStr">
        <is>
          <t>485-88-00795</t>
        </is>
      </c>
      <c r="E464" s="141" t="inlineStr">
        <is>
          <t>25년 햅쌀 드림 향진주 쌀 10kg 단일품종 당일도정</t>
        </is>
      </c>
      <c r="F464" s="142" t="n">
        <v>7</v>
      </c>
      <c r="G464" s="142" t="n">
        <v>268100</v>
      </c>
      <c r="H464" s="142" t="n">
        <v>52990</v>
      </c>
    </row>
    <row r="465" hidden="1" s="21">
      <c r="A465" s="8" t="inlineStr">
        <is>
          <t>롯데ON</t>
        </is>
      </c>
      <c r="B465" s="9" t="inlineStr">
        <is>
          <t>농산물</t>
        </is>
      </c>
      <c r="C465" s="12" t="inlineStr">
        <is>
          <t>농업법인 주식회사 드림라이스</t>
        </is>
      </c>
      <c r="D465" s="136" t="inlineStr">
        <is>
          <t>485-88-00795</t>
        </is>
      </c>
      <c r="E465" s="141" t="inlineStr">
        <is>
          <t>[하루세끼쌀]25년 햅쌀 옥구농협 예담채 십리향 10kg 상등급+당일도정+단일품종</t>
        </is>
      </c>
      <c r="F465" s="142" t="n">
        <v>716</v>
      </c>
      <c r="G465" s="142" t="n">
        <v>25815250</v>
      </c>
      <c r="H465" s="142" t="n">
        <v>5052290</v>
      </c>
    </row>
    <row r="466" hidden="1" s="21">
      <c r="A466" s="8" t="inlineStr">
        <is>
          <t>롯데ON</t>
        </is>
      </c>
      <c r="B466" s="9" t="inlineStr">
        <is>
          <t>농산물</t>
        </is>
      </c>
      <c r="C466" s="12" t="inlineStr">
        <is>
          <t>농업법인 주식회사 드림라이스</t>
        </is>
      </c>
      <c r="D466" s="136" t="inlineStr">
        <is>
          <t>485-88-00795</t>
        </is>
      </c>
      <c r="E466" s="141" t="inlineStr">
        <is>
          <t>25년 햅쌀 새청무 쌀 10kg 단일품종 당일도정</t>
        </is>
      </c>
      <c r="F466" s="142" t="inlineStr">
        <is>
          <t>-</t>
        </is>
      </c>
      <c r="G466" s="142" t="inlineStr">
        <is>
          <t>-</t>
        </is>
      </c>
      <c r="H466" s="142" t="inlineStr">
        <is>
          <t>-</t>
        </is>
      </c>
    </row>
    <row r="467" hidden="1" s="21">
      <c r="A467" s="8" t="inlineStr">
        <is>
          <t>롯데ON</t>
        </is>
      </c>
      <c r="B467" s="9" t="inlineStr">
        <is>
          <t>농산물</t>
        </is>
      </c>
      <c r="C467" s="12" t="inlineStr">
        <is>
          <t>농업법인 주식회사 드림라이스</t>
        </is>
      </c>
      <c r="D467" s="136" t="inlineStr">
        <is>
          <t>485-88-00795</t>
        </is>
      </c>
      <c r="E467" s="141" t="inlineStr">
        <is>
          <t>25년 햅쌀 프리미엄 경기미 10kg 당일도정</t>
        </is>
      </c>
      <c r="F467" s="142" t="inlineStr">
        <is>
          <t>-</t>
        </is>
      </c>
      <c r="G467" s="142" t="inlineStr">
        <is>
          <t>-</t>
        </is>
      </c>
      <c r="H467" s="142" t="inlineStr">
        <is>
          <t>-</t>
        </is>
      </c>
    </row>
    <row r="468" hidden="1" s="21">
      <c r="A468" s="8" t="inlineStr">
        <is>
          <t>롯데ON</t>
        </is>
      </c>
      <c r="B468" s="12" t="inlineStr">
        <is>
          <t>가공식품</t>
        </is>
      </c>
      <c r="C468" s="12" t="inlineStr">
        <is>
          <t>달구벌한과</t>
        </is>
      </c>
      <c r="D468" s="136" t="inlineStr">
        <is>
          <t>501-03-42256</t>
        </is>
      </c>
      <c r="E468" s="141" t="inlineStr">
        <is>
          <t>[온누리7%혜택]달구벌한과 찹쌀유과 (420g)</t>
        </is>
      </c>
      <c r="F468" s="142" t="n">
        <v>8</v>
      </c>
      <c r="G468" s="142" t="n">
        <v>167000</v>
      </c>
      <c r="H468" s="142" t="n">
        <v>28580</v>
      </c>
    </row>
    <row r="469" hidden="1" s="21">
      <c r="A469" s="8" t="inlineStr">
        <is>
          <t>롯데ON</t>
        </is>
      </c>
      <c r="B469" s="12" t="inlineStr">
        <is>
          <t>가공식품</t>
        </is>
      </c>
      <c r="C469" s="12" t="inlineStr">
        <is>
          <t>달구벌한과</t>
        </is>
      </c>
      <c r="D469" s="136" t="inlineStr">
        <is>
          <t>501-03-42256</t>
        </is>
      </c>
      <c r="E469" s="141" t="inlineStr">
        <is>
          <t>[온누리7%혜택]달구벌한과 찹쌀유과 2호 560g</t>
        </is>
      </c>
      <c r="F469" s="142" t="inlineStr">
        <is>
          <t>-</t>
        </is>
      </c>
      <c r="G469" s="142" t="inlineStr">
        <is>
          <t>-</t>
        </is>
      </c>
      <c r="H469" s="142" t="inlineStr">
        <is>
          <t>-</t>
        </is>
      </c>
    </row>
    <row r="470" hidden="1" s="21">
      <c r="A470" s="8" t="inlineStr">
        <is>
          <t>롯데ON</t>
        </is>
      </c>
      <c r="B470" s="12" t="inlineStr">
        <is>
          <t>가공식품</t>
        </is>
      </c>
      <c r="C470" s="12" t="inlineStr">
        <is>
          <t>달구벌한과</t>
        </is>
      </c>
      <c r="D470" s="136" t="inlineStr">
        <is>
          <t>501-03-42256</t>
        </is>
      </c>
      <c r="E470" s="141" t="inlineStr">
        <is>
          <t>[온누리7%혜택]달구벌 찹쌀유과 실속형 9봉 1.2kg</t>
        </is>
      </c>
      <c r="F470" s="142" t="inlineStr">
        <is>
          <t>-</t>
        </is>
      </c>
      <c r="G470" s="142" t="inlineStr">
        <is>
          <t>-</t>
        </is>
      </c>
      <c r="H470" s="142" t="inlineStr">
        <is>
          <t>-</t>
        </is>
      </c>
    </row>
    <row r="471" hidden="1" s="21">
      <c r="A471" s="8" t="inlineStr">
        <is>
          <t>롯데ON</t>
        </is>
      </c>
      <c r="B471" s="12" t="inlineStr">
        <is>
          <t>가공식품</t>
        </is>
      </c>
      <c r="C471" s="12" t="inlineStr">
        <is>
          <t>달구벌한과</t>
        </is>
      </c>
      <c r="D471" s="136" t="inlineStr">
        <is>
          <t>501-03-42256</t>
        </is>
      </c>
      <c r="E471" s="141" t="inlineStr">
        <is>
          <t>[온누리7%혜택]달구벌 대구유과</t>
        </is>
      </c>
      <c r="F471" s="142" t="n">
        <v>1</v>
      </c>
      <c r="G471" s="142" t="n">
        <v>15000</v>
      </c>
      <c r="H471" s="142" t="n">
        <v>2850</v>
      </c>
    </row>
    <row r="472" hidden="1" s="21">
      <c r="A472" s="8" t="inlineStr">
        <is>
          <t>롯데ON</t>
        </is>
      </c>
      <c r="B472" s="12" t="inlineStr">
        <is>
          <t>가공식품</t>
        </is>
      </c>
      <c r="C472" s="12" t="inlineStr">
        <is>
          <t>달구벌한과</t>
        </is>
      </c>
      <c r="D472" s="136" t="inlineStr">
        <is>
          <t>501-03-42256</t>
        </is>
      </c>
      <c r="E472" s="141" t="inlineStr">
        <is>
          <t>[온누리7%혜택]달구벌 대구유과 10+1</t>
        </is>
      </c>
      <c r="F472" s="142" t="inlineStr">
        <is>
          <t>-</t>
        </is>
      </c>
      <c r="G472" s="142" t="inlineStr">
        <is>
          <t>-</t>
        </is>
      </c>
      <c r="H472" s="142" t="inlineStr">
        <is>
          <t>-</t>
        </is>
      </c>
    </row>
    <row r="473" hidden="1" s="21">
      <c r="A473" s="8" t="inlineStr">
        <is>
          <t>롯데ON</t>
        </is>
      </c>
      <c r="B473" s="9" t="inlineStr">
        <is>
          <t>축산물</t>
        </is>
      </c>
      <c r="C473" s="12" t="inlineStr">
        <is>
          <t>청라</t>
        </is>
      </c>
      <c r="D473" s="136" t="inlineStr">
        <is>
          <t>499-51-00634</t>
        </is>
      </c>
      <c r="E473" s="141" t="inlineStr">
        <is>
          <t>청라상회 원적외선 구운계란 30구 60구 무항생제 맥반석계란 HACCP 햇썹 인증</t>
        </is>
      </c>
      <c r="F473" s="142" t="n">
        <v>125</v>
      </c>
      <c r="G473" s="142" t="n">
        <v>2653350</v>
      </c>
      <c r="H473" s="142" t="n">
        <v>379050</v>
      </c>
    </row>
    <row r="474" hidden="1" s="21">
      <c r="A474" s="8" t="inlineStr">
        <is>
          <t>롯데ON</t>
        </is>
      </c>
      <c r="B474" s="9" t="inlineStr">
        <is>
          <t>축산물</t>
        </is>
      </c>
      <c r="C474" s="12" t="inlineStr">
        <is>
          <t>청라</t>
        </is>
      </c>
      <c r="D474" s="136" t="inlineStr">
        <is>
          <t>499-51-00634</t>
        </is>
      </c>
      <c r="E474" s="141" t="inlineStr">
        <is>
          <t>청라상회 원적외선 구운계란 60구 무항생제 맥반석계란 HACCP 햇썹 인증</t>
        </is>
      </c>
      <c r="F474" s="142" t="n">
        <v>1</v>
      </c>
      <c r="G474" s="142" t="n">
        <v>36270</v>
      </c>
      <c r="H474" s="142" t="n">
        <v>6850</v>
      </c>
    </row>
    <row r="475" hidden="1" s="21">
      <c r="A475" s="8" t="inlineStr">
        <is>
          <t>롯데ON</t>
        </is>
      </c>
      <c r="B475" s="9" t="inlineStr">
        <is>
          <t>축산물</t>
        </is>
      </c>
      <c r="C475" s="12" t="inlineStr">
        <is>
          <t>청라</t>
        </is>
      </c>
      <c r="D475" s="136" t="inlineStr">
        <is>
          <t>499-51-00634</t>
        </is>
      </c>
      <c r="E475" s="141" t="inlineStr">
        <is>
          <t>청라상회 원적외선 구운계란 대란 60구 무항생제 맥반석계란 HACCP 햇썹 인증</t>
        </is>
      </c>
      <c r="F475" s="142" t="inlineStr">
        <is>
          <t>-</t>
        </is>
      </c>
      <c r="G475" s="142" t="inlineStr">
        <is>
          <t>-</t>
        </is>
      </c>
      <c r="H475" s="142" t="inlineStr">
        <is>
          <t>-</t>
        </is>
      </c>
    </row>
    <row r="476" hidden="1" s="21">
      <c r="A476" s="8" t="inlineStr">
        <is>
          <t>롯데ON</t>
        </is>
      </c>
      <c r="B476" s="9" t="inlineStr">
        <is>
          <t>축산물</t>
        </is>
      </c>
      <c r="C476" s="12" t="inlineStr">
        <is>
          <t>청라</t>
        </is>
      </c>
      <c r="D476" s="136" t="inlineStr">
        <is>
          <t>499-51-00634</t>
        </is>
      </c>
      <c r="E476" s="141" t="inlineStr">
        <is>
          <t>청라상회 무항생제 구운계란 맥반석계란 초란 30구 60구 HACCP 인증 안심포장</t>
        </is>
      </c>
      <c r="F476" s="142" t="inlineStr">
        <is>
          <t>-</t>
        </is>
      </c>
      <c r="G476" s="142" t="inlineStr">
        <is>
          <t>-</t>
        </is>
      </c>
      <c r="H476" s="142" t="inlineStr">
        <is>
          <t>-</t>
        </is>
      </c>
    </row>
    <row r="477" hidden="1" s="21">
      <c r="A477" s="8" t="inlineStr">
        <is>
          <t>롯데ON</t>
        </is>
      </c>
      <c r="B477" s="9" t="inlineStr">
        <is>
          <t>축산물</t>
        </is>
      </c>
      <c r="C477" s="12" t="inlineStr">
        <is>
          <t>청라</t>
        </is>
      </c>
      <c r="D477" s="136" t="inlineStr">
        <is>
          <t>499-51-00634</t>
        </is>
      </c>
      <c r="E477" s="141" t="inlineStr">
        <is>
          <t>청라상회 원적외선 구운계란 30구+30구 (총60구) 무항생제 맥반석계란 HACCP 햇썹 인증</t>
        </is>
      </c>
      <c r="F477" s="142" t="inlineStr">
        <is>
          <t>-</t>
        </is>
      </c>
      <c r="G477" s="142" t="inlineStr">
        <is>
          <t>-</t>
        </is>
      </c>
      <c r="H477" s="142" t="inlineStr">
        <is>
          <t>-</t>
        </is>
      </c>
    </row>
    <row r="478" hidden="1" s="21">
      <c r="A478" s="8" t="inlineStr">
        <is>
          <t>롯데ON</t>
        </is>
      </c>
      <c r="B478" s="9" t="inlineStr">
        <is>
          <t>축산물</t>
        </is>
      </c>
      <c r="C478" s="12" t="inlineStr">
        <is>
          <t>청라</t>
        </is>
      </c>
      <c r="D478" s="136" t="inlineStr">
        <is>
          <t>499-51-00634</t>
        </is>
      </c>
      <c r="E478" s="141" t="inlineStr">
        <is>
          <t>청라상회 원적외선 구운계란 30구 60구 무항생제 맥반석계란 HACCP 햇썹 인증</t>
        </is>
      </c>
      <c r="F478" s="142" t="inlineStr">
        <is>
          <t>-</t>
        </is>
      </c>
      <c r="G478" s="142" t="inlineStr">
        <is>
          <t>-</t>
        </is>
      </c>
      <c r="H478" s="142" t="inlineStr">
        <is>
          <t>-</t>
        </is>
      </c>
    </row>
    <row r="479" hidden="1" s="21">
      <c r="A479" s="8" t="inlineStr">
        <is>
          <t>롯데ON</t>
        </is>
      </c>
      <c r="B479" s="9" t="inlineStr">
        <is>
          <t>축산물</t>
        </is>
      </c>
      <c r="C479" s="12" t="inlineStr">
        <is>
          <t>청라</t>
        </is>
      </c>
      <c r="D479" s="136" t="inlineStr">
        <is>
          <t>499-51-00634</t>
        </is>
      </c>
      <c r="E479" s="141" t="inlineStr">
        <is>
          <t>청라상회 무항생제 맥반석 구운계란 초란 30구 60구 HACCP 인증 안심포장</t>
        </is>
      </c>
      <c r="F479" s="142" t="n">
        <v>1217</v>
      </c>
      <c r="G479" s="142" t="n">
        <v>39283440</v>
      </c>
      <c r="H479" s="142" t="n">
        <v>4663540</v>
      </c>
    </row>
    <row r="480" hidden="1" s="21">
      <c r="A480" s="8" t="inlineStr">
        <is>
          <t>롯데ON</t>
        </is>
      </c>
      <c r="B480" s="9" t="inlineStr">
        <is>
          <t>가공식품</t>
        </is>
      </c>
      <c r="C480" s="12" t="inlineStr">
        <is>
          <t>농업회사법인(주)서대산푸드</t>
        </is>
      </c>
      <c r="D480" s="136" t="inlineStr">
        <is>
          <t>602-88-01725</t>
        </is>
      </c>
      <c r="E480" s="141" t="inlineStr">
        <is>
          <t>산지직송 추부깻잎100% 당일제조 밥도둑500g 안매운 양념생깻잎 맛있게 매운실비깻잎김치</t>
        </is>
      </c>
      <c r="F480" s="142" t="n">
        <v>4</v>
      </c>
      <c r="G480" s="142" t="n">
        <v>60000</v>
      </c>
      <c r="H480" s="142" t="n">
        <v>11310</v>
      </c>
    </row>
    <row r="481" hidden="1" s="21">
      <c r="A481" s="8" t="inlineStr">
        <is>
          <t>롯데ON</t>
        </is>
      </c>
      <c r="B481" s="12" t="inlineStr">
        <is>
          <t>가공식품</t>
        </is>
      </c>
      <c r="C481" s="12" t="inlineStr">
        <is>
          <t>농업회사법인(주)서대산푸드</t>
        </is>
      </c>
      <c r="D481" s="136" t="inlineStr">
        <is>
          <t>602-88-01725</t>
        </is>
      </c>
      <c r="E481" s="141" t="inlineStr">
        <is>
          <t>깻잎통째로 넣은 깻잎현미찹쌀인절미 빙수 팥죽 콩고물</t>
        </is>
      </c>
      <c r="F481" s="142" t="n">
        <v>1</v>
      </c>
      <c r="G481" s="142" t="n">
        <v>19000</v>
      </c>
      <c r="H481" s="142" t="n">
        <v>3530</v>
      </c>
    </row>
    <row r="482" hidden="1" s="21">
      <c r="A482" s="8" t="inlineStr">
        <is>
          <t>롯데ON</t>
        </is>
      </c>
      <c r="B482" s="9" t="inlineStr">
        <is>
          <t>가공식품</t>
        </is>
      </c>
      <c r="C482" s="12" t="inlineStr">
        <is>
          <t>농업회사법인(주)서대산푸드</t>
        </is>
      </c>
      <c r="D482" s="136" t="inlineStr">
        <is>
          <t>602-88-01725</t>
        </is>
      </c>
      <c r="E482" s="141" t="inlineStr">
        <is>
          <t>산지직송 추부깻잎 100% 된장 깻잎장아찌 양념깻잎장아찌 수제장아찌 2종</t>
        </is>
      </c>
      <c r="F482" s="142" t="inlineStr">
        <is>
          <t>-</t>
        </is>
      </c>
      <c r="G482" s="142" t="inlineStr">
        <is>
          <t>-</t>
        </is>
      </c>
      <c r="H482" s="142" t="inlineStr">
        <is>
          <t>-</t>
        </is>
      </c>
    </row>
    <row r="483" hidden="1" s="21">
      <c r="A483" s="8" t="inlineStr">
        <is>
          <t>롯데ON</t>
        </is>
      </c>
      <c r="B483" s="12" t="inlineStr">
        <is>
          <t>가공식품</t>
        </is>
      </c>
      <c r="C483" s="12" t="inlineStr">
        <is>
          <t>농업회사법인(주)서대산푸드</t>
        </is>
      </c>
      <c r="D483" s="136" t="inlineStr">
        <is>
          <t>602-88-01725</t>
        </is>
      </c>
      <c r="E483" s="141" t="inlineStr">
        <is>
          <t>건강식 아침대용 우리쌀 깻잎통째로 넣은 현미쌀 깻잎가래떡</t>
        </is>
      </c>
      <c r="F483" s="142" t="inlineStr">
        <is>
          <t>-</t>
        </is>
      </c>
      <c r="G483" s="142" t="inlineStr">
        <is>
          <t>-</t>
        </is>
      </c>
      <c r="H483" s="142" t="inlineStr">
        <is>
          <t>-</t>
        </is>
      </c>
    </row>
    <row r="484" hidden="1" s="21">
      <c r="A484" s="8" t="inlineStr">
        <is>
          <t>롯데ON</t>
        </is>
      </c>
      <c r="B484" s="12" t="inlineStr">
        <is>
          <t>가공식품</t>
        </is>
      </c>
      <c r="C484" s="12" t="inlineStr">
        <is>
          <t>주식회사 대현상회 망미점</t>
        </is>
      </c>
      <c r="D484" s="136" t="inlineStr">
        <is>
          <t>817-85-01855</t>
        </is>
      </c>
      <c r="E484" s="141" t="inlineStr">
        <is>
          <t>[온누리7%혜택][부세페 최종가 6930원]55년전통 대현상회 국산 된장 간장 고추장 모음 / 백년가게가 만든 전통 장류</t>
        </is>
      </c>
      <c r="F484" s="142" t="n">
        <v>26</v>
      </c>
      <c r="G484" s="142" t="n">
        <v>436400</v>
      </c>
      <c r="H484" s="142" t="n">
        <v>84590</v>
      </c>
    </row>
    <row r="485" hidden="1" s="21">
      <c r="A485" s="8" t="inlineStr">
        <is>
          <t>롯데ON</t>
        </is>
      </c>
      <c r="B485" s="9" t="inlineStr">
        <is>
          <t>가공식품</t>
        </is>
      </c>
      <c r="C485" s="12" t="inlineStr">
        <is>
          <t>주식회사 대현상회 망미점</t>
        </is>
      </c>
      <c r="D485" s="136" t="inlineStr">
        <is>
          <t>817-85-01855</t>
        </is>
      </c>
      <c r="E485" s="141" t="inlineStr">
        <is>
          <t>[온누리7%혜택][부세페 최종가 3430원]55년전통 대현상회 국산 보리차 옥수수 둥굴레 우엉차 메밀차 돼지감자 작두콩 현미차</t>
        </is>
      </c>
      <c r="F485" s="142" t="n">
        <v>47</v>
      </c>
      <c r="G485" s="142" t="n">
        <v>391700</v>
      </c>
      <c r="H485" s="142" t="n">
        <v>75490</v>
      </c>
    </row>
    <row r="486" hidden="1" s="21">
      <c r="A486" s="8" t="inlineStr">
        <is>
          <t>롯데ON</t>
        </is>
      </c>
      <c r="B486" s="12" t="inlineStr">
        <is>
          <t>가공식품</t>
        </is>
      </c>
      <c r="C486" s="12" t="inlineStr">
        <is>
          <t>주식회사 대현상회 망미점</t>
        </is>
      </c>
      <c r="D486" s="136" t="inlineStr">
        <is>
          <t>817-85-01855</t>
        </is>
      </c>
      <c r="E486" s="141" t="inlineStr">
        <is>
          <t>대현상회 국산 볶은 참깨 검은깨 들깨가루</t>
        </is>
      </c>
      <c r="F486" s="142" t="inlineStr">
        <is>
          <t>-</t>
        </is>
      </c>
      <c r="G486" s="142" t="inlineStr">
        <is>
          <t>-</t>
        </is>
      </c>
      <c r="H486" s="142" t="inlineStr">
        <is>
          <t>-</t>
        </is>
      </c>
    </row>
    <row r="487" hidden="1" s="21">
      <c r="A487" s="8" t="inlineStr">
        <is>
          <t>롯데ON</t>
        </is>
      </c>
      <c r="B487" s="9" t="inlineStr">
        <is>
          <t>농산물</t>
        </is>
      </c>
      <c r="C487" s="12" t="inlineStr">
        <is>
          <t>나행상회</t>
        </is>
      </c>
      <c r="D487" s="136" t="inlineStr">
        <is>
          <t>605-38-29687</t>
        </is>
      </c>
      <c r="E487" s="141" t="inlineStr">
        <is>
          <t>26년 [강화섬] 강화특산품 고소하고 부드러운 찰보리쌀(2.5kg)</t>
        </is>
      </c>
      <c r="F487" s="142" t="inlineStr">
        <is>
          <t>-</t>
        </is>
      </c>
      <c r="G487" s="142" t="inlineStr">
        <is>
          <t>-</t>
        </is>
      </c>
      <c r="H487" s="142" t="inlineStr">
        <is>
          <t>-</t>
        </is>
      </c>
    </row>
    <row r="488" hidden="1" s="21">
      <c r="A488" s="8" t="inlineStr">
        <is>
          <t>롯데ON</t>
        </is>
      </c>
      <c r="B488" s="12" t="inlineStr">
        <is>
          <t>가공식품</t>
        </is>
      </c>
      <c r="C488" s="12" t="inlineStr">
        <is>
          <t>나행상회</t>
        </is>
      </c>
      <c r="D488" s="136" t="inlineStr">
        <is>
          <t>605-38-29687</t>
        </is>
      </c>
      <c r="E488" s="141" t="inlineStr">
        <is>
          <t>우리나라 대표 발효음식 청국장 (묵은지청국장+차돌박이 묵은지청국장)</t>
        </is>
      </c>
      <c r="F488" s="142" t="inlineStr">
        <is>
          <t>-</t>
        </is>
      </c>
      <c r="G488" s="142" t="inlineStr">
        <is>
          <t>-</t>
        </is>
      </c>
      <c r="H488" s="142" t="inlineStr">
        <is>
          <t>-</t>
        </is>
      </c>
    </row>
    <row r="489" hidden="1" s="21">
      <c r="A489" s="8" t="inlineStr">
        <is>
          <t>롯데ON</t>
        </is>
      </c>
      <c r="B489" s="9" t="inlineStr">
        <is>
          <t>농산물</t>
        </is>
      </c>
      <c r="C489" s="12" t="inlineStr">
        <is>
          <t>늘푸른</t>
        </is>
      </c>
      <c r="D489" s="136" t="inlineStr">
        <is>
          <t>485-94-01820</t>
        </is>
      </c>
      <c r="E489" s="141" t="inlineStr">
        <is>
          <t>[당일수확] 유기농 무농약 친환경 대추방울토마토 (2kg/5kg)</t>
        </is>
      </c>
      <c r="F489" s="142" t="n">
        <v>4</v>
      </c>
      <c r="G489" s="142" t="n">
        <v>42000</v>
      </c>
      <c r="H489" s="142" t="n">
        <v>7980</v>
      </c>
    </row>
    <row r="490" hidden="1" s="21">
      <c r="A490" s="8" t="inlineStr">
        <is>
          <t>롯데ON</t>
        </is>
      </c>
      <c r="B490" s="9" t="inlineStr">
        <is>
          <t>농산물</t>
        </is>
      </c>
      <c r="C490" s="12" t="inlineStr">
        <is>
          <t>늘푸른</t>
        </is>
      </c>
      <c r="D490" s="136" t="inlineStr">
        <is>
          <t>485-94-01820</t>
        </is>
      </c>
      <c r="E490" s="141" t="inlineStr">
        <is>
          <t>단단하고 예쁜 완숙토마토 (2kg/3kg)</t>
        </is>
      </c>
      <c r="F490" s="142" t="inlineStr">
        <is>
          <t>-</t>
        </is>
      </c>
      <c r="G490" s="142" t="inlineStr">
        <is>
          <t>-</t>
        </is>
      </c>
      <c r="H490" s="142" t="inlineStr">
        <is>
          <t>-</t>
        </is>
      </c>
    </row>
    <row r="491" hidden="1" s="21">
      <c r="A491" s="8" t="inlineStr">
        <is>
          <t>롯데ON</t>
        </is>
      </c>
      <c r="B491" s="9" t="inlineStr">
        <is>
          <t>축산물</t>
        </is>
      </c>
      <c r="C491" s="12" t="inlineStr">
        <is>
          <t>주식회사 영인에프앤에스</t>
        </is>
      </c>
      <c r="D491" s="136" t="inlineStr">
        <is>
          <t>847-88-01537</t>
        </is>
      </c>
      <c r="E491" s="141" t="inlineStr">
        <is>
          <t>삶은 돼지 소창 1kg</t>
        </is>
      </c>
      <c r="F491" s="142" t="n">
        <v>1</v>
      </c>
      <c r="G491" s="142" t="n">
        <v>7900</v>
      </c>
      <c r="H491" s="142" t="n">
        <v>1470</v>
      </c>
    </row>
    <row r="492" hidden="1" s="21">
      <c r="A492" s="8" t="inlineStr">
        <is>
          <t>롯데ON</t>
        </is>
      </c>
      <c r="B492" s="9" t="inlineStr">
        <is>
          <t>축산물</t>
        </is>
      </c>
      <c r="C492" s="12" t="inlineStr">
        <is>
          <t>주식회사 영인에프앤에스</t>
        </is>
      </c>
      <c r="D492" s="136" t="inlineStr">
        <is>
          <t>847-88-01537</t>
        </is>
      </c>
      <c r="E492" s="141" t="inlineStr">
        <is>
          <t>삶은 돼지 대창 1kg</t>
        </is>
      </c>
      <c r="F492" s="142" t="n">
        <v>7</v>
      </c>
      <c r="G492" s="142" t="n">
        <v>54500</v>
      </c>
      <c r="H492" s="142" t="n">
        <v>9440</v>
      </c>
    </row>
    <row r="493" hidden="1" s="21">
      <c r="A493" s="8" t="inlineStr">
        <is>
          <t>롯데ON</t>
        </is>
      </c>
      <c r="B493" s="9" t="inlineStr">
        <is>
          <t>축산물</t>
        </is>
      </c>
      <c r="C493" s="12" t="inlineStr">
        <is>
          <t>주식회사 영인에프앤에스</t>
        </is>
      </c>
      <c r="D493" s="136" t="inlineStr">
        <is>
          <t>847-88-01537</t>
        </is>
      </c>
      <c r="E493" s="141" t="inlineStr">
        <is>
          <t>삶은 돼지 오소리감투 1kg</t>
        </is>
      </c>
      <c r="F493" s="142" t="inlineStr">
        <is>
          <t>-</t>
        </is>
      </c>
      <c r="G493" s="142" t="inlineStr">
        <is>
          <t>-</t>
        </is>
      </c>
      <c r="H493" s="142" t="inlineStr">
        <is>
          <t>-</t>
        </is>
      </c>
    </row>
    <row r="494" hidden="1" s="21">
      <c r="A494" s="8" t="inlineStr">
        <is>
          <t>롯데ON</t>
        </is>
      </c>
      <c r="B494" s="9" t="inlineStr">
        <is>
          <t>축산물</t>
        </is>
      </c>
      <c r="C494" s="12" t="inlineStr">
        <is>
          <t>주식회사 영인에프앤에스</t>
        </is>
      </c>
      <c r="D494" s="136" t="inlineStr">
        <is>
          <t>847-88-01537</t>
        </is>
      </c>
      <c r="E494" s="141" t="inlineStr">
        <is>
          <t>삶은 돼지 허파 1kg</t>
        </is>
      </c>
      <c r="F494" s="142" t="n">
        <v>2</v>
      </c>
      <c r="G494" s="142" t="n">
        <v>29400</v>
      </c>
      <c r="H494" s="142" t="n">
        <v>5400</v>
      </c>
    </row>
    <row r="495" hidden="1" s="21">
      <c r="A495" s="8" t="inlineStr">
        <is>
          <t>롯데ON</t>
        </is>
      </c>
      <c r="B495" s="9" t="inlineStr">
        <is>
          <t>축산물</t>
        </is>
      </c>
      <c r="C495" s="12" t="inlineStr">
        <is>
          <t>주식회사 영인에프앤에스</t>
        </is>
      </c>
      <c r="D495" s="136" t="inlineStr">
        <is>
          <t>847-88-01537</t>
        </is>
      </c>
      <c r="E495" s="141" t="inlineStr">
        <is>
          <t>삶은 돼지머리 슬라이스 1kg</t>
        </is>
      </c>
      <c r="F495" s="142" t="n">
        <v>3</v>
      </c>
      <c r="G495" s="142" t="n">
        <v>41700</v>
      </c>
      <c r="H495" s="142" t="n">
        <v>7450</v>
      </c>
    </row>
    <row r="496" hidden="1" s="21">
      <c r="A496" s="8" t="inlineStr">
        <is>
          <t>롯데ON</t>
        </is>
      </c>
      <c r="B496" s="9" t="inlineStr">
        <is>
          <t>축산물</t>
        </is>
      </c>
      <c r="C496" s="12" t="inlineStr">
        <is>
          <t>주식회사 영인에프앤에스</t>
        </is>
      </c>
      <c r="D496" s="136" t="inlineStr">
        <is>
          <t>847-88-01537</t>
        </is>
      </c>
      <c r="E496" s="141" t="inlineStr">
        <is>
          <t>초신선 돼지머리 수육 500g + 소스포함</t>
        </is>
      </c>
      <c r="F496" s="142" t="n">
        <v>1</v>
      </c>
      <c r="G496" s="142" t="n">
        <v>22500</v>
      </c>
      <c r="H496" s="142" t="n">
        <v>4270</v>
      </c>
    </row>
    <row r="497" hidden="1" s="21">
      <c r="A497" s="8" t="inlineStr">
        <is>
          <t>롯데ON</t>
        </is>
      </c>
      <c r="B497" s="9" t="inlineStr">
        <is>
          <t>축산물</t>
        </is>
      </c>
      <c r="C497" s="12" t="inlineStr">
        <is>
          <t>주식회사 영인에프앤에스</t>
        </is>
      </c>
      <c r="D497" s="136" t="inlineStr">
        <is>
          <t>847-88-01537</t>
        </is>
      </c>
      <c r="E497" s="141" t="inlineStr">
        <is>
          <t>국내산 돼지 뒷고기 덜미살 꼬들목살 500g</t>
        </is>
      </c>
      <c r="F497" s="142" t="n">
        <v>1</v>
      </c>
      <c r="G497" s="142" t="n">
        <v>25800</v>
      </c>
      <c r="H497" s="142" t="n">
        <v>4760</v>
      </c>
    </row>
    <row r="498" hidden="1" s="21">
      <c r="A498" s="8" t="inlineStr">
        <is>
          <t>롯데ON</t>
        </is>
      </c>
      <c r="B498" s="9" t="inlineStr">
        <is>
          <t>축산물</t>
        </is>
      </c>
      <c r="C498" s="12" t="inlineStr">
        <is>
          <t>주식회사 영인에프앤에스</t>
        </is>
      </c>
      <c r="D498" s="136" t="inlineStr">
        <is>
          <t>847-88-01537</t>
        </is>
      </c>
      <c r="E498" s="141" t="inlineStr">
        <is>
          <t>국내산 돼지 뒷고기 모둠 500g</t>
        </is>
      </c>
      <c r="F498" s="142" t="inlineStr">
        <is>
          <t>-</t>
        </is>
      </c>
      <c r="G498" s="142" t="inlineStr">
        <is>
          <t>-</t>
        </is>
      </c>
      <c r="H498" s="142" t="inlineStr">
        <is>
          <t>-</t>
        </is>
      </c>
    </row>
    <row r="499" hidden="1" s="21">
      <c r="A499" s="8" t="inlineStr">
        <is>
          <t>롯데ON</t>
        </is>
      </c>
      <c r="B499" s="9" t="inlineStr">
        <is>
          <t>축산물</t>
        </is>
      </c>
      <c r="C499" s="12" t="inlineStr">
        <is>
          <t>주식회사 영인에프앤에스</t>
        </is>
      </c>
      <c r="D499" s="136" t="inlineStr">
        <is>
          <t>847-88-01537</t>
        </is>
      </c>
      <c r="E499" s="141" t="inlineStr">
        <is>
          <t>국내산 돼지 뒷고기 돈두롤 500g</t>
        </is>
      </c>
      <c r="F499" s="142" t="inlineStr">
        <is>
          <t>-</t>
        </is>
      </c>
      <c r="G499" s="142" t="inlineStr">
        <is>
          <t>-</t>
        </is>
      </c>
      <c r="H499" s="142" t="inlineStr">
        <is>
          <t>-</t>
        </is>
      </c>
    </row>
    <row r="500" hidden="1" s="21">
      <c r="A500" s="8" t="inlineStr">
        <is>
          <t>롯데ON</t>
        </is>
      </c>
      <c r="B500" s="9" t="inlineStr">
        <is>
          <t>축산물</t>
        </is>
      </c>
      <c r="C500" s="12" t="inlineStr">
        <is>
          <t>주식회사 영인에프앤에스</t>
        </is>
      </c>
      <c r="D500" s="136" t="inlineStr">
        <is>
          <t>847-88-01537</t>
        </is>
      </c>
      <c r="E500" s="141" t="inlineStr">
        <is>
          <t>국내산 돼지 뒷고기 돈두삼겹살 500g</t>
        </is>
      </c>
      <c r="F500" s="142" t="inlineStr">
        <is>
          <t>-</t>
        </is>
      </c>
      <c r="G500" s="142" t="inlineStr">
        <is>
          <t>-</t>
        </is>
      </c>
      <c r="H500" s="142" t="inlineStr">
        <is>
          <t>-</t>
        </is>
      </c>
    </row>
    <row r="501" hidden="1" s="21">
      <c r="A501" s="8" t="inlineStr">
        <is>
          <t>롯데ON</t>
        </is>
      </c>
      <c r="B501" s="9" t="inlineStr">
        <is>
          <t>축산물</t>
        </is>
      </c>
      <c r="C501" s="12" t="inlineStr">
        <is>
          <t>주식회사 영인에프앤에스</t>
        </is>
      </c>
      <c r="D501" s="136" t="inlineStr">
        <is>
          <t>847-88-01537</t>
        </is>
      </c>
      <c r="E501" s="141" t="inlineStr">
        <is>
          <t>행사특가/국내산 삶은 돼지 소창(쨈창)1kg+1kg</t>
        </is>
      </c>
      <c r="F501" s="142" t="inlineStr">
        <is>
          <t>-</t>
        </is>
      </c>
      <c r="G501" s="142" t="inlineStr">
        <is>
          <t>-</t>
        </is>
      </c>
      <c r="H501" s="142" t="inlineStr">
        <is>
          <t>-</t>
        </is>
      </c>
    </row>
    <row r="502" hidden="1" s="21">
      <c r="A502" s="8" t="inlineStr">
        <is>
          <t>롯데ON</t>
        </is>
      </c>
      <c r="B502" s="9" t="inlineStr">
        <is>
          <t>축산물</t>
        </is>
      </c>
      <c r="C502" s="12" t="inlineStr">
        <is>
          <t>주식회사 영인에프앤에스</t>
        </is>
      </c>
      <c r="D502" s="136" t="inlineStr">
        <is>
          <t>847-88-01537</t>
        </is>
      </c>
      <c r="E502" s="141" t="inlineStr">
        <is>
          <t>국내산 삶은 돼지 염통 1kg</t>
        </is>
      </c>
      <c r="F502" s="142" t="inlineStr">
        <is>
          <t>-</t>
        </is>
      </c>
      <c r="G502" s="142" t="inlineStr">
        <is>
          <t>-</t>
        </is>
      </c>
      <c r="H502" s="142" t="inlineStr">
        <is>
          <t>-</t>
        </is>
      </c>
    </row>
    <row r="503" hidden="1" s="21">
      <c r="A503" s="8" t="inlineStr">
        <is>
          <t>롯데ON</t>
        </is>
      </c>
      <c r="B503" s="12" t="inlineStr">
        <is>
          <t>가공식품</t>
        </is>
      </c>
      <c r="C503" s="12" t="inlineStr">
        <is>
          <t>농업회사법인 복내리는당산나무 주식회사</t>
        </is>
      </c>
      <c r="D503" s="136" t="inlineStr">
        <is>
          <t>431-86-01809</t>
        </is>
      </c>
      <c r="E503" s="141" t="inlineStr">
        <is>
          <t>다이어트 간식 한입크기 쌀과자 미니뻥튀기 오곡오곡 50g x 5봉</t>
        </is>
      </c>
      <c r="F503" s="142" t="inlineStr">
        <is>
          <t>-</t>
        </is>
      </c>
      <c r="G503" s="142" t="inlineStr">
        <is>
          <t>-</t>
        </is>
      </c>
      <c r="H503" s="142" t="inlineStr">
        <is>
          <t>-</t>
        </is>
      </c>
    </row>
    <row r="504" hidden="1" s="21">
      <c r="A504" s="8" t="inlineStr">
        <is>
          <t>롯데ON</t>
        </is>
      </c>
      <c r="B504" s="12" t="inlineStr">
        <is>
          <t>가공식품</t>
        </is>
      </c>
      <c r="C504" s="12" t="inlineStr">
        <is>
          <t>농업회사법인 복내리는당산나무 주식회사</t>
        </is>
      </c>
      <c r="D504" s="136" t="inlineStr">
        <is>
          <t>431-86-01809</t>
        </is>
      </c>
      <c r="E504" s="141" t="inlineStr">
        <is>
          <t>다이어트 간식 한입크기 쌀과자 미니뻥튀기 오곡오곡 50g x 15봉</t>
        </is>
      </c>
      <c r="F504" s="142" t="inlineStr">
        <is>
          <t>-</t>
        </is>
      </c>
      <c r="G504" s="142" t="inlineStr">
        <is>
          <t>-</t>
        </is>
      </c>
      <c r="H504" s="142" t="inlineStr">
        <is>
          <t>-</t>
        </is>
      </c>
    </row>
    <row r="505" hidden="1" s="21">
      <c r="A505" s="8" t="inlineStr">
        <is>
          <t>롯데ON</t>
        </is>
      </c>
      <c r="B505" s="12" t="inlineStr">
        <is>
          <t>가공식품</t>
        </is>
      </c>
      <c r="C505" s="12" t="inlineStr">
        <is>
          <t>농업회사법인 복내리는당산나무 주식회사</t>
        </is>
      </c>
      <c r="D505" s="136" t="inlineStr">
        <is>
          <t>431-86-01809</t>
        </is>
      </c>
      <c r="E505" s="141" t="inlineStr">
        <is>
          <t>HACCP 해썹인증 김과자 저염 수제 찹쌀 김부각 40g 3봉</t>
        </is>
      </c>
      <c r="F505" s="142" t="inlineStr">
        <is>
          <t>-</t>
        </is>
      </c>
      <c r="G505" s="142" t="inlineStr">
        <is>
          <t>-</t>
        </is>
      </c>
      <c r="H505" s="142" t="inlineStr">
        <is>
          <t>-</t>
        </is>
      </c>
    </row>
    <row r="506" hidden="1" s="21">
      <c r="A506" s="8" t="inlineStr">
        <is>
          <t>롯데ON</t>
        </is>
      </c>
      <c r="B506" s="12" t="inlineStr">
        <is>
          <t>가공식품</t>
        </is>
      </c>
      <c r="C506" s="12" t="inlineStr">
        <is>
          <t>농업회사법인 복내리는당산나무 주식회사</t>
        </is>
      </c>
      <c r="D506" s="136" t="inlineStr">
        <is>
          <t>431-86-01809</t>
        </is>
      </c>
      <c r="E506" s="141" t="inlineStr">
        <is>
          <t>HACCP 해썹인증 김과자 저염 수제 찹쌀 김부각 40g 10봉</t>
        </is>
      </c>
      <c r="F506" s="142" t="inlineStr">
        <is>
          <t>-</t>
        </is>
      </c>
      <c r="G506" s="142" t="inlineStr">
        <is>
          <t>-</t>
        </is>
      </c>
      <c r="H506" s="142" t="inlineStr">
        <is>
          <t>-</t>
        </is>
      </c>
    </row>
    <row r="507" hidden="1" s="21">
      <c r="A507" s="8" t="inlineStr">
        <is>
          <t>롯데ON</t>
        </is>
      </c>
      <c r="B507" s="12" t="inlineStr">
        <is>
          <t>가공식품</t>
        </is>
      </c>
      <c r="C507" s="12" t="inlineStr">
        <is>
          <t>농업회사법인 복내리는당산나무 주식회사</t>
        </is>
      </c>
      <c r="D507" s="136" t="inlineStr">
        <is>
          <t>431-86-01809</t>
        </is>
      </c>
      <c r="E507" s="141" t="inlineStr">
        <is>
          <t>HACCP 해썹인증 김과자 저염 수제 찹쌀 김부각 40g 10봉</t>
        </is>
      </c>
      <c r="F507" s="142" t="inlineStr">
        <is>
          <t>-</t>
        </is>
      </c>
      <c r="G507" s="142" t="inlineStr">
        <is>
          <t>-</t>
        </is>
      </c>
      <c r="H507" s="142" t="inlineStr">
        <is>
          <t>-</t>
        </is>
      </c>
    </row>
    <row r="508" hidden="1" s="21">
      <c r="A508" s="8" t="inlineStr">
        <is>
          <t>롯데ON</t>
        </is>
      </c>
      <c r="B508" s="12" t="inlineStr">
        <is>
          <t>가공식품</t>
        </is>
      </c>
      <c r="C508" s="12" t="inlineStr">
        <is>
          <t>농업회사법인 복내리는당산나무 주식회사</t>
        </is>
      </c>
      <c r="D508" s="136" t="inlineStr">
        <is>
          <t>431-86-01809</t>
        </is>
      </c>
      <c r="E508" s="141" t="inlineStr">
        <is>
          <t>HACCP 해썹인증 김과자 저염 수제 찹쌀 김부각 선물세트2호</t>
        </is>
      </c>
      <c r="F508" s="142" t="inlineStr">
        <is>
          <t>-</t>
        </is>
      </c>
      <c r="G508" s="142" t="inlineStr">
        <is>
          <t>-</t>
        </is>
      </c>
      <c r="H508" s="142" t="inlineStr">
        <is>
          <t>-</t>
        </is>
      </c>
    </row>
    <row r="509" hidden="1" s="21">
      <c r="A509" s="8" t="inlineStr">
        <is>
          <t>롯데ON</t>
        </is>
      </c>
      <c r="B509" s="12" t="inlineStr">
        <is>
          <t>가공식품</t>
        </is>
      </c>
      <c r="C509" s="12" t="inlineStr">
        <is>
          <t>농업회사법인 복내리는당산나무 주식회사</t>
        </is>
      </c>
      <c r="D509" s="136" t="inlineStr">
        <is>
          <t>431-86-01809</t>
        </is>
      </c>
      <c r="E509" s="141" t="inlineStr">
        <is>
          <t>HACCP 해썹인증 김과자 저염 수제 찹쌀 김부각 선물세트3호</t>
        </is>
      </c>
      <c r="F509" s="142" t="inlineStr">
        <is>
          <t>-</t>
        </is>
      </c>
      <c r="G509" s="142" t="inlineStr">
        <is>
          <t>-</t>
        </is>
      </c>
      <c r="H509" s="142" t="inlineStr">
        <is>
          <t>-</t>
        </is>
      </c>
    </row>
    <row r="510" hidden="1" s="21">
      <c r="A510" s="8" t="inlineStr">
        <is>
          <t>롯데ON</t>
        </is>
      </c>
      <c r="B510" s="12" t="inlineStr">
        <is>
          <t>가공식품</t>
        </is>
      </c>
      <c r="C510" s="12" t="inlineStr">
        <is>
          <t>농업회사법인 지리산별마루(유)</t>
        </is>
      </c>
      <c r="D510" s="136" t="inlineStr">
        <is>
          <t>676-81-00897</t>
        </is>
      </c>
      <c r="E510" s="141" t="inlineStr">
        <is>
          <t>숨톡 요구르트맛 30개입 1박스 도라지 맥문동 한방 아이 어린이 가족 캔디 비타민 사탕 건강간식</t>
        </is>
      </c>
      <c r="F510" s="142" t="n">
        <v>1</v>
      </c>
      <c r="G510" s="142" t="n">
        <v>30000</v>
      </c>
      <c r="H510" s="142" t="n">
        <v>5700</v>
      </c>
    </row>
    <row r="511" hidden="1" s="21">
      <c r="A511" s="8" t="inlineStr">
        <is>
          <t>롯데ON</t>
        </is>
      </c>
      <c r="B511" s="12" t="inlineStr">
        <is>
          <t>가공식품</t>
        </is>
      </c>
      <c r="C511" s="12" t="inlineStr">
        <is>
          <t>농업회사법인 지리산별마루(유)</t>
        </is>
      </c>
      <c r="D511" s="136" t="inlineStr">
        <is>
          <t>676-81-00897</t>
        </is>
      </c>
      <c r="E511" s="141" t="inlineStr">
        <is>
          <t>숨톡 포도맛 30개입 1박스 도라지 맥문동 한방 아이 어린이 가족 캔디 비타민 사탕 건강간식</t>
        </is>
      </c>
      <c r="F511" s="142" t="n">
        <v>1</v>
      </c>
      <c r="G511" s="142" t="n">
        <v>30000</v>
      </c>
      <c r="H511" s="142" t="n">
        <v>5700</v>
      </c>
    </row>
    <row r="512" hidden="1" s="21">
      <c r="A512" s="8" t="inlineStr">
        <is>
          <t>롯데ON</t>
        </is>
      </c>
      <c r="B512" s="9" t="inlineStr">
        <is>
          <t>가공식품</t>
        </is>
      </c>
      <c r="C512" s="12" t="inlineStr">
        <is>
          <t>농업회사법인 지리산별마루(유)</t>
        </is>
      </c>
      <c r="D512" s="136" t="inlineStr">
        <is>
          <t>676-81-00897</t>
        </is>
      </c>
      <c r="E512" s="141" t="inlineStr">
        <is>
          <t>지리산 별마루 차 선물세트 볶음차 도라지 우엉 무 세트 부모님 선물 답례품</t>
        </is>
      </c>
      <c r="F512" s="142" t="inlineStr">
        <is>
          <t>-</t>
        </is>
      </c>
      <c r="G512" s="142" t="inlineStr">
        <is>
          <t>-</t>
        </is>
      </c>
      <c r="H512" s="142" t="inlineStr">
        <is>
          <t>-</t>
        </is>
      </c>
    </row>
    <row r="513" hidden="1" s="21">
      <c r="A513" s="8" t="inlineStr">
        <is>
          <t>롯데ON</t>
        </is>
      </c>
      <c r="B513" s="9" t="inlineStr">
        <is>
          <t>가공식품</t>
        </is>
      </c>
      <c r="C513" s="12" t="inlineStr">
        <is>
          <t>농업회사법인 지리산별마루(유)</t>
        </is>
      </c>
      <c r="D513" s="136" t="inlineStr">
        <is>
          <t>676-81-00897</t>
        </is>
      </c>
      <c r="E513" s="141" t="inlineStr">
        <is>
          <t>양파즙 대추양파 자색양파 양파액기스 순수양파 껍질째 양파즙 건강즙</t>
        </is>
      </c>
      <c r="F513" s="142" t="inlineStr">
        <is>
          <t>-</t>
        </is>
      </c>
      <c r="G513" s="142" t="inlineStr">
        <is>
          <t>-</t>
        </is>
      </c>
      <c r="H513" s="142" t="inlineStr">
        <is>
          <t>-</t>
        </is>
      </c>
    </row>
    <row r="514" hidden="1" s="21">
      <c r="A514" s="8" t="inlineStr">
        <is>
          <t>롯데ON</t>
        </is>
      </c>
      <c r="B514" s="12" t="inlineStr">
        <is>
          <t>가공식품</t>
        </is>
      </c>
      <c r="C514" s="12" t="inlineStr">
        <is>
          <t>농업회사법인 지리산별마루(유)</t>
        </is>
      </c>
      <c r="D514" s="136" t="inlineStr">
        <is>
          <t>676-81-00897</t>
        </is>
      </c>
      <c r="E514" s="141" t="inlineStr">
        <is>
          <t>도라지배즙 100ml 30포 생생 진한 도라지 배 액기스 음료</t>
        </is>
      </c>
      <c r="F514" s="142" t="inlineStr">
        <is>
          <t>-</t>
        </is>
      </c>
      <c r="G514" s="142" t="inlineStr">
        <is>
          <t>-</t>
        </is>
      </c>
      <c r="H514" s="142" t="inlineStr">
        <is>
          <t>-</t>
        </is>
      </c>
    </row>
    <row r="515" hidden="1" s="21">
      <c r="A515" s="8" t="inlineStr">
        <is>
          <t>롯데ON</t>
        </is>
      </c>
      <c r="B515" s="12" t="inlineStr">
        <is>
          <t>가공식품</t>
        </is>
      </c>
      <c r="C515" s="12" t="inlineStr">
        <is>
          <t>농업회사법인 지리산별마루(유)</t>
        </is>
      </c>
      <c r="D515" s="136" t="inlineStr">
        <is>
          <t>676-81-00897</t>
        </is>
      </c>
      <c r="E515" s="141" t="inlineStr">
        <is>
          <t>[30%중복쿠폰] 도라지배청 400g 도라지 배 아기 조청 시럽 소스 간식</t>
        </is>
      </c>
      <c r="F515" s="142" t="inlineStr">
        <is>
          <t>-</t>
        </is>
      </c>
      <c r="G515" s="142" t="inlineStr">
        <is>
          <t>-</t>
        </is>
      </c>
      <c r="H515" s="142" t="inlineStr">
        <is>
          <t>-</t>
        </is>
      </c>
    </row>
    <row r="516" hidden="1" s="21">
      <c r="A516" s="8" t="inlineStr">
        <is>
          <t>롯데ON</t>
        </is>
      </c>
      <c r="B516" s="9" t="inlineStr">
        <is>
          <t>가공식품</t>
        </is>
      </c>
      <c r="C516" s="12" t="inlineStr">
        <is>
          <t>농업회사법인 지리산별마루(유)</t>
        </is>
      </c>
      <c r="D516" s="136" t="inlineStr">
        <is>
          <t>676-81-00897</t>
        </is>
      </c>
      <c r="E516" s="141" t="inlineStr">
        <is>
          <t>무우차100g 지리산 무우 무말랭이 볶은무 차</t>
        </is>
      </c>
      <c r="F516" s="142" t="n">
        <v>2</v>
      </c>
      <c r="G516" s="142" t="n">
        <v>20000</v>
      </c>
      <c r="H516" s="142" t="n">
        <v>3600</v>
      </c>
    </row>
    <row r="517" hidden="1" s="21">
      <c r="A517" s="8" t="inlineStr">
        <is>
          <t>롯데ON</t>
        </is>
      </c>
      <c r="B517" s="9" t="inlineStr">
        <is>
          <t>가공식품</t>
        </is>
      </c>
      <c r="C517" s="12" t="inlineStr">
        <is>
          <t>농업회사법인 지리산별마루(유)</t>
        </is>
      </c>
      <c r="D517" s="136" t="inlineStr">
        <is>
          <t>676-81-00897</t>
        </is>
      </c>
      <c r="E517" s="141" t="inlineStr">
        <is>
          <t>우엉차 150g 단품 지리산 우엉 말린우엉차 볶아만든 우엉 차</t>
        </is>
      </c>
      <c r="F517" s="142" t="n">
        <v>1</v>
      </c>
      <c r="G517" s="142" t="n">
        <v>15000</v>
      </c>
      <c r="H517" s="142" t="n">
        <v>2400</v>
      </c>
    </row>
    <row r="518" hidden="1" s="21">
      <c r="A518" s="8" t="inlineStr">
        <is>
          <t>롯데ON</t>
        </is>
      </c>
      <c r="B518" s="12" t="inlineStr">
        <is>
          <t>가공식품</t>
        </is>
      </c>
      <c r="C518" s="12" t="inlineStr">
        <is>
          <t>농업회사법인 지리산별마루(유)</t>
        </is>
      </c>
      <c r="D518" s="136" t="inlineStr">
        <is>
          <t>676-81-00897</t>
        </is>
      </c>
      <c r="E518" s="141" t="inlineStr">
        <is>
          <t>[20%중복쿠폰] 천왕봉 신의 약도라지정 도차리청 단품 400g 선물세트 선물 부모님선물 농축액 조청</t>
        </is>
      </c>
      <c r="F518" s="142" t="n">
        <v>2</v>
      </c>
      <c r="G518" s="142" t="n">
        <v>60000</v>
      </c>
      <c r="H518" s="142" t="n">
        <v>10000</v>
      </c>
    </row>
    <row r="519" hidden="1" s="21">
      <c r="A519" s="8" t="inlineStr">
        <is>
          <t>롯데ON</t>
        </is>
      </c>
      <c r="B519" s="12" t="inlineStr">
        <is>
          <t>가공식품</t>
        </is>
      </c>
      <c r="C519" s="12" t="inlineStr">
        <is>
          <t>농업회사법인 지리산별마루(유)</t>
        </is>
      </c>
      <c r="D519" s="136" t="inlineStr">
        <is>
          <t>676-81-00897</t>
        </is>
      </c>
      <c r="E519" s="141" t="inlineStr">
        <is>
          <t>더 건강한 도라지 진액 농축액 15ml 스틱 선물 실속</t>
        </is>
      </c>
      <c r="F519" s="142" t="n">
        <v>2</v>
      </c>
      <c r="G519" s="142" t="n">
        <v>140000</v>
      </c>
      <c r="H519" s="142" t="n">
        <v>20000</v>
      </c>
    </row>
    <row r="520" hidden="1" s="21">
      <c r="A520" s="8" t="inlineStr">
        <is>
          <t>롯데ON</t>
        </is>
      </c>
      <c r="B520" s="9" t="inlineStr">
        <is>
          <t>가공식품</t>
        </is>
      </c>
      <c r="C520" s="12" t="inlineStr">
        <is>
          <t>농진담</t>
        </is>
      </c>
      <c r="D520" s="136" t="inlineStr">
        <is>
          <t>847-12-02040</t>
        </is>
      </c>
      <c r="E520" s="141" t="inlineStr">
        <is>
          <t>프로즌 수제청 과일청 오미자청 1.5kg</t>
        </is>
      </c>
      <c r="F520" s="142" t="inlineStr">
        <is>
          <t>-</t>
        </is>
      </c>
      <c r="G520" s="142" t="inlineStr">
        <is>
          <t>-</t>
        </is>
      </c>
      <c r="H520" s="142" t="inlineStr">
        <is>
          <t>-</t>
        </is>
      </c>
    </row>
    <row r="521" hidden="1" s="21">
      <c r="A521" s="8" t="inlineStr">
        <is>
          <t>롯데ON</t>
        </is>
      </c>
      <c r="B521" s="9" t="inlineStr">
        <is>
          <t>가공식품</t>
        </is>
      </c>
      <c r="C521" s="12" t="inlineStr">
        <is>
          <t>농진담</t>
        </is>
      </c>
      <c r="D521" s="136" t="inlineStr">
        <is>
          <t>847-12-02040</t>
        </is>
      </c>
      <c r="E521" s="141" t="inlineStr">
        <is>
          <t>프로즌 수제청 과일청 냉동 청귤슬라이스청 1.5kg</t>
        </is>
      </c>
      <c r="F521" s="142" t="inlineStr">
        <is>
          <t>-</t>
        </is>
      </c>
      <c r="G521" s="142" t="inlineStr">
        <is>
          <t>-</t>
        </is>
      </c>
      <c r="H521" s="142" t="inlineStr">
        <is>
          <t>-</t>
        </is>
      </c>
    </row>
    <row r="522" hidden="1" s="21">
      <c r="A522" s="8" t="inlineStr">
        <is>
          <t>롯데ON</t>
        </is>
      </c>
      <c r="B522" s="9" t="inlineStr">
        <is>
          <t>가공식품</t>
        </is>
      </c>
      <c r="C522" s="12" t="inlineStr">
        <is>
          <t>농진담</t>
        </is>
      </c>
      <c r="D522" s="136" t="inlineStr">
        <is>
          <t>847-12-02040</t>
        </is>
      </c>
      <c r="E522" s="141" t="inlineStr">
        <is>
          <t>프로즌 수제청 과일청 냉동 자두복숭아청 1.5kg</t>
        </is>
      </c>
      <c r="F522" s="142" t="inlineStr">
        <is>
          <t>-</t>
        </is>
      </c>
      <c r="G522" s="142" t="inlineStr">
        <is>
          <t>-</t>
        </is>
      </c>
      <c r="H522" s="142" t="inlineStr">
        <is>
          <t>-</t>
        </is>
      </c>
    </row>
    <row r="523" hidden="1" s="21">
      <c r="A523" s="8" t="inlineStr">
        <is>
          <t>롯데ON</t>
        </is>
      </c>
      <c r="B523" s="9" t="inlineStr">
        <is>
          <t>가공식품</t>
        </is>
      </c>
      <c r="C523" s="12" t="inlineStr">
        <is>
          <t>농진담</t>
        </is>
      </c>
      <c r="D523" s="136" t="inlineStr">
        <is>
          <t>847-12-02040</t>
        </is>
      </c>
      <c r="E523" s="141" t="inlineStr">
        <is>
          <t>프로즌 수제청 냉동 배도라지대추생강청 1.5kg</t>
        </is>
      </c>
      <c r="F523" s="142" t="inlineStr">
        <is>
          <t>-</t>
        </is>
      </c>
      <c r="G523" s="142" t="inlineStr">
        <is>
          <t>-</t>
        </is>
      </c>
      <c r="H523" s="142" t="inlineStr">
        <is>
          <t>-</t>
        </is>
      </c>
    </row>
    <row r="524" hidden="1" s="21">
      <c r="A524" s="8" t="inlineStr">
        <is>
          <t>롯데ON</t>
        </is>
      </c>
      <c r="B524" s="9" t="inlineStr">
        <is>
          <t>가공식품</t>
        </is>
      </c>
      <c r="C524" s="12" t="inlineStr">
        <is>
          <t>농진담</t>
        </is>
      </c>
      <c r="D524" s="136" t="inlineStr">
        <is>
          <t>847-12-02040</t>
        </is>
      </c>
      <c r="E524" s="141" t="inlineStr">
        <is>
          <t>프로즌 수제청 과일청 냉동 청귤착즙청 1.5kg</t>
        </is>
      </c>
      <c r="F524" s="142" t="inlineStr">
        <is>
          <t>-</t>
        </is>
      </c>
      <c r="G524" s="142" t="inlineStr">
        <is>
          <t>-</t>
        </is>
      </c>
      <c r="H524" s="142" t="inlineStr">
        <is>
          <t>-</t>
        </is>
      </c>
    </row>
    <row r="525" hidden="1" s="21">
      <c r="A525" s="8" t="inlineStr">
        <is>
          <t>롯데ON</t>
        </is>
      </c>
      <c r="B525" s="9" t="inlineStr">
        <is>
          <t>가공식품</t>
        </is>
      </c>
      <c r="C525" s="12" t="inlineStr">
        <is>
          <t>농진담</t>
        </is>
      </c>
      <c r="D525" s="136" t="inlineStr">
        <is>
          <t>847-12-02040</t>
        </is>
      </c>
      <c r="E525" s="141" t="inlineStr">
        <is>
          <t>수제청 과일청 배도라지대추생강청 1kg 에이드 음료 차 대용량 카페 납품</t>
        </is>
      </c>
      <c r="F525" s="142" t="inlineStr">
        <is>
          <t>-</t>
        </is>
      </c>
      <c r="G525" s="142" t="inlineStr">
        <is>
          <t>-</t>
        </is>
      </c>
      <c r="H525" s="142" t="inlineStr">
        <is>
          <t>-</t>
        </is>
      </c>
    </row>
    <row r="526" hidden="1" s="21">
      <c r="A526" s="8" t="inlineStr">
        <is>
          <t>롯데ON</t>
        </is>
      </c>
      <c r="B526" s="9" t="inlineStr">
        <is>
          <t>가공식품</t>
        </is>
      </c>
      <c r="C526" s="12" t="inlineStr">
        <is>
          <t>농진담</t>
        </is>
      </c>
      <c r="D526" s="136" t="inlineStr">
        <is>
          <t>847-12-02040</t>
        </is>
      </c>
      <c r="E526" s="141" t="inlineStr">
        <is>
          <t>수제청 과일청 배생강착즙청 1kg 에이드 음료 차 대용량 카페 납품</t>
        </is>
      </c>
      <c r="F526" s="142" t="inlineStr">
        <is>
          <t>-</t>
        </is>
      </c>
      <c r="G526" s="142" t="inlineStr">
        <is>
          <t>-</t>
        </is>
      </c>
      <c r="H526" s="142" t="inlineStr">
        <is>
          <t>-</t>
        </is>
      </c>
    </row>
    <row r="527" hidden="1" s="21">
      <c r="A527" s="8" t="inlineStr">
        <is>
          <t>롯데ON</t>
        </is>
      </c>
      <c r="B527" s="9" t="inlineStr">
        <is>
          <t>가공식품</t>
        </is>
      </c>
      <c r="C527" s="12" t="inlineStr">
        <is>
          <t>농진담</t>
        </is>
      </c>
      <c r="D527" s="136" t="inlineStr">
        <is>
          <t>847-12-02040</t>
        </is>
      </c>
      <c r="E527" s="141" t="inlineStr">
        <is>
          <t>수제청 과일청 자두착즙청 1kg 에이드 음료 차 대용량 카페 납품</t>
        </is>
      </c>
      <c r="F527" s="142" t="inlineStr">
        <is>
          <t>-</t>
        </is>
      </c>
      <c r="G527" s="142" t="inlineStr">
        <is>
          <t>-</t>
        </is>
      </c>
      <c r="H527" s="142" t="inlineStr">
        <is>
          <t>-</t>
        </is>
      </c>
    </row>
    <row r="528" hidden="1" s="21">
      <c r="A528" s="8" t="inlineStr">
        <is>
          <t>롯데ON</t>
        </is>
      </c>
      <c r="B528" s="9" t="inlineStr">
        <is>
          <t>가공식품</t>
        </is>
      </c>
      <c r="C528" s="12" t="inlineStr">
        <is>
          <t>농진담</t>
        </is>
      </c>
      <c r="D528" s="136" t="inlineStr">
        <is>
          <t>847-12-02040</t>
        </is>
      </c>
      <c r="E528" s="141" t="inlineStr">
        <is>
          <t>수제청 과일청 유자청 1kg 에이드 음료 차 대용량 카페 납품</t>
        </is>
      </c>
      <c r="F528" s="142" t="inlineStr">
        <is>
          <t>-</t>
        </is>
      </c>
      <c r="G528" s="142" t="inlineStr">
        <is>
          <t>-</t>
        </is>
      </c>
      <c r="H528" s="142" t="inlineStr">
        <is>
          <t>-</t>
        </is>
      </c>
    </row>
    <row r="529" hidden="1" s="21">
      <c r="A529" s="8" t="inlineStr">
        <is>
          <t>롯데ON</t>
        </is>
      </c>
      <c r="B529" s="9" t="inlineStr">
        <is>
          <t>가공식품</t>
        </is>
      </c>
      <c r="C529" s="12" t="inlineStr">
        <is>
          <t>농진담</t>
        </is>
      </c>
      <c r="D529" s="136" t="inlineStr">
        <is>
          <t>847-12-02040</t>
        </is>
      </c>
      <c r="E529" s="141" t="inlineStr">
        <is>
          <t>수제청 과일청 오미자청 1kg 에이드 음료 차 대용량 카페 납품</t>
        </is>
      </c>
      <c r="F529" s="142" t="inlineStr">
        <is>
          <t>-</t>
        </is>
      </c>
      <c r="G529" s="142" t="inlineStr">
        <is>
          <t>-</t>
        </is>
      </c>
      <c r="H529" s="142" t="inlineStr">
        <is>
          <t>-</t>
        </is>
      </c>
    </row>
    <row r="530" hidden="1" s="21">
      <c r="A530" s="8" t="inlineStr">
        <is>
          <t>롯데ON</t>
        </is>
      </c>
      <c r="B530" s="9" t="inlineStr">
        <is>
          <t>가공식품</t>
        </is>
      </c>
      <c r="C530" s="12" t="inlineStr">
        <is>
          <t>농진담</t>
        </is>
      </c>
      <c r="D530" s="136" t="inlineStr">
        <is>
          <t>847-12-02040</t>
        </is>
      </c>
      <c r="E530" s="141" t="inlineStr">
        <is>
          <t>수제청 과일청 생강착즙청 1kg 에이드 음료 차 대용량 카페 납품</t>
        </is>
      </c>
      <c r="F530" s="142" t="inlineStr">
        <is>
          <t>-</t>
        </is>
      </c>
      <c r="G530" s="142" t="inlineStr">
        <is>
          <t>-</t>
        </is>
      </c>
      <c r="H530" s="142" t="inlineStr">
        <is>
          <t>-</t>
        </is>
      </c>
    </row>
    <row r="531" hidden="1" s="21">
      <c r="A531" s="8" t="inlineStr">
        <is>
          <t>롯데ON</t>
        </is>
      </c>
      <c r="B531" s="9" t="inlineStr">
        <is>
          <t>가공식품</t>
        </is>
      </c>
      <c r="C531" s="12" t="inlineStr">
        <is>
          <t>농진담</t>
        </is>
      </c>
      <c r="D531" s="136" t="inlineStr">
        <is>
          <t>847-12-02040</t>
        </is>
      </c>
      <c r="E531" s="141" t="inlineStr">
        <is>
          <t>수제청 과일청 매실청 1kg 에이드 음료 차 대용량 카페 납품</t>
        </is>
      </c>
      <c r="F531" s="142" t="inlineStr">
        <is>
          <t>-</t>
        </is>
      </c>
      <c r="G531" s="142" t="inlineStr">
        <is>
          <t>-</t>
        </is>
      </c>
      <c r="H531" s="142" t="inlineStr">
        <is>
          <t>-</t>
        </is>
      </c>
    </row>
    <row r="532" hidden="1" s="21">
      <c r="A532" s="8" t="inlineStr">
        <is>
          <t>롯데ON</t>
        </is>
      </c>
      <c r="B532" s="9" t="inlineStr">
        <is>
          <t>가공식품</t>
        </is>
      </c>
      <c r="C532" s="12" t="inlineStr">
        <is>
          <t>농진담</t>
        </is>
      </c>
      <c r="D532" s="136" t="inlineStr">
        <is>
          <t>847-12-02040</t>
        </is>
      </c>
      <c r="E532" s="141" t="inlineStr">
        <is>
          <t>수제청 과일청 감귤착즙청 1kg 에이드 음료 차 대용량 카페 납품</t>
        </is>
      </c>
      <c r="F532" s="142" t="inlineStr">
        <is>
          <t>-</t>
        </is>
      </c>
      <c r="G532" s="142" t="inlineStr">
        <is>
          <t>-</t>
        </is>
      </c>
      <c r="H532" s="142" t="inlineStr">
        <is>
          <t>-</t>
        </is>
      </c>
    </row>
    <row r="533" hidden="1" s="21">
      <c r="A533" s="8" t="inlineStr">
        <is>
          <t>롯데ON</t>
        </is>
      </c>
      <c r="B533" s="9" t="inlineStr">
        <is>
          <t>가공식품</t>
        </is>
      </c>
      <c r="C533" s="12" t="inlineStr">
        <is>
          <t>농진담</t>
        </is>
      </c>
      <c r="D533" s="136" t="inlineStr">
        <is>
          <t>847-12-02040</t>
        </is>
      </c>
      <c r="E533" s="141" t="inlineStr">
        <is>
          <t>수제청 과일청 감귤청 1kg 에이드 음료 차 대용량 카페 납품</t>
        </is>
      </c>
      <c r="F533" s="142" t="inlineStr">
        <is>
          <t>-</t>
        </is>
      </c>
      <c r="G533" s="142" t="inlineStr">
        <is>
          <t>-</t>
        </is>
      </c>
      <c r="H533" s="142" t="inlineStr">
        <is>
          <t>-</t>
        </is>
      </c>
    </row>
    <row r="534" hidden="1" s="21">
      <c r="A534" s="8" t="inlineStr">
        <is>
          <t>롯데ON</t>
        </is>
      </c>
      <c r="B534" s="9" t="inlineStr">
        <is>
          <t>가공식품</t>
        </is>
      </c>
      <c r="C534" s="12" t="inlineStr">
        <is>
          <t>농진담</t>
        </is>
      </c>
      <c r="D534" s="136" t="inlineStr">
        <is>
          <t>847-12-02040</t>
        </is>
      </c>
      <c r="E534" s="141" t="inlineStr">
        <is>
          <t>수제청 과일청 청귤착즙청 1kg 에이드 음료 차 대용량 카페 납품</t>
        </is>
      </c>
      <c r="F534" s="142" t="inlineStr">
        <is>
          <t>-</t>
        </is>
      </c>
      <c r="G534" s="142" t="inlineStr">
        <is>
          <t>-</t>
        </is>
      </c>
      <c r="H534" s="142" t="inlineStr">
        <is>
          <t>-</t>
        </is>
      </c>
    </row>
    <row r="535" hidden="1" s="21">
      <c r="A535" s="8" t="inlineStr">
        <is>
          <t>롯데ON</t>
        </is>
      </c>
      <c r="B535" s="9" t="inlineStr">
        <is>
          <t>가공식품</t>
        </is>
      </c>
      <c r="C535" s="12" t="inlineStr">
        <is>
          <t>농진담</t>
        </is>
      </c>
      <c r="D535" s="136" t="inlineStr">
        <is>
          <t>847-12-02040</t>
        </is>
      </c>
      <c r="E535" s="141" t="inlineStr">
        <is>
          <t>수제청 과일청 청귤청 1kg 에이드 음료 차 대용량 카페 납품</t>
        </is>
      </c>
      <c r="F535" s="142" t="inlineStr">
        <is>
          <t>-</t>
        </is>
      </c>
      <c r="G535" s="142" t="inlineStr">
        <is>
          <t>-</t>
        </is>
      </c>
      <c r="H535" s="142" t="inlineStr">
        <is>
          <t>-</t>
        </is>
      </c>
    </row>
    <row r="536" hidden="1" s="21">
      <c r="A536" s="8" t="inlineStr">
        <is>
          <t>롯데ON</t>
        </is>
      </c>
      <c r="B536" s="9" t="inlineStr">
        <is>
          <t>가공식품</t>
        </is>
      </c>
      <c r="C536" s="12" t="inlineStr">
        <is>
          <t>농진담</t>
        </is>
      </c>
      <c r="D536" s="136" t="inlineStr">
        <is>
          <t>847-12-02040</t>
        </is>
      </c>
      <c r="E536" s="141" t="inlineStr">
        <is>
          <t>수제청 과일청 샤인머스켓착즙청 1kg 에이드 음료 차 대용량 카페 납품</t>
        </is>
      </c>
      <c r="F536" s="142" t="inlineStr">
        <is>
          <t>-</t>
        </is>
      </c>
      <c r="G536" s="142" t="inlineStr">
        <is>
          <t>-</t>
        </is>
      </c>
      <c r="H536" s="142" t="inlineStr">
        <is>
          <t>-</t>
        </is>
      </c>
    </row>
    <row r="537" hidden="1" s="21">
      <c r="A537" s="8" t="inlineStr">
        <is>
          <t>롯데ON</t>
        </is>
      </c>
      <c r="B537" s="9" t="inlineStr">
        <is>
          <t>가공식품</t>
        </is>
      </c>
      <c r="C537" s="12" t="inlineStr">
        <is>
          <t>농진담</t>
        </is>
      </c>
      <c r="D537" s="136" t="inlineStr">
        <is>
          <t>847-12-02040</t>
        </is>
      </c>
      <c r="E537" s="141" t="inlineStr">
        <is>
          <t>수제청 과일청 샤인머스켓청 1kg 에이드 음료 차 대용량 카페 납품</t>
        </is>
      </c>
      <c r="F537" s="142" t="inlineStr">
        <is>
          <t>-</t>
        </is>
      </c>
      <c r="G537" s="142" t="inlineStr">
        <is>
          <t>-</t>
        </is>
      </c>
      <c r="H537" s="142" t="inlineStr">
        <is>
          <t>-</t>
        </is>
      </c>
    </row>
    <row r="538" hidden="1" s="21">
      <c r="A538" s="8" t="inlineStr">
        <is>
          <t>롯데ON</t>
        </is>
      </c>
      <c r="B538" s="9" t="inlineStr">
        <is>
          <t>가공식품</t>
        </is>
      </c>
      <c r="C538" s="12" t="inlineStr">
        <is>
          <t>농진담</t>
        </is>
      </c>
      <c r="D538" s="136" t="inlineStr">
        <is>
          <t>847-12-02040</t>
        </is>
      </c>
      <c r="E538" s="141" t="inlineStr">
        <is>
          <t>수제청 과일청 토마토바질청 1kg 에이드 음료 차 대용량 카페 납품</t>
        </is>
      </c>
      <c r="F538" s="142" t="inlineStr">
        <is>
          <t>-</t>
        </is>
      </c>
      <c r="G538" s="142" t="inlineStr">
        <is>
          <t>-</t>
        </is>
      </c>
      <c r="H538" s="142" t="inlineStr">
        <is>
          <t>-</t>
        </is>
      </c>
    </row>
    <row r="539" hidden="1" s="21">
      <c r="A539" s="8" t="inlineStr">
        <is>
          <t>롯데ON</t>
        </is>
      </c>
      <c r="B539" s="9" t="inlineStr">
        <is>
          <t>가공식품</t>
        </is>
      </c>
      <c r="C539" s="12" t="inlineStr">
        <is>
          <t>농진담</t>
        </is>
      </c>
      <c r="D539" s="136" t="inlineStr">
        <is>
          <t>847-12-02040</t>
        </is>
      </c>
      <c r="E539" s="141" t="inlineStr">
        <is>
          <t>수제청 과일청 자두복숭아청 1kg 에이드 음료 차 대용량 카페 납품</t>
        </is>
      </c>
      <c r="F539" s="142" t="inlineStr">
        <is>
          <t>-</t>
        </is>
      </c>
      <c r="G539" s="142" t="inlineStr">
        <is>
          <t>-</t>
        </is>
      </c>
      <c r="H539" s="142" t="inlineStr">
        <is>
          <t>-</t>
        </is>
      </c>
    </row>
    <row r="540" hidden="1" s="21">
      <c r="A540" s="8" t="inlineStr">
        <is>
          <t>롯데ON</t>
        </is>
      </c>
      <c r="B540" s="9" t="inlineStr">
        <is>
          <t>가공식품</t>
        </is>
      </c>
      <c r="C540" s="12" t="inlineStr">
        <is>
          <t>농진담</t>
        </is>
      </c>
      <c r="D540" s="136" t="inlineStr">
        <is>
          <t>847-12-02040</t>
        </is>
      </c>
      <c r="E540" s="141" t="inlineStr">
        <is>
          <t>수제청 과일청 자두착즙청 1200g 에이드 음료 차 답례품 선물</t>
        </is>
      </c>
      <c r="F540" s="142" t="inlineStr">
        <is>
          <t>-</t>
        </is>
      </c>
      <c r="G540" s="142" t="inlineStr">
        <is>
          <t>-</t>
        </is>
      </c>
      <c r="H540" s="142" t="inlineStr">
        <is>
          <t>-</t>
        </is>
      </c>
    </row>
    <row r="541" hidden="1" s="21">
      <c r="A541" s="8" t="inlineStr">
        <is>
          <t>롯데ON</t>
        </is>
      </c>
      <c r="B541" s="9" t="inlineStr">
        <is>
          <t>가공식품</t>
        </is>
      </c>
      <c r="C541" s="12" t="inlineStr">
        <is>
          <t>농진담</t>
        </is>
      </c>
      <c r="D541" s="136" t="inlineStr">
        <is>
          <t>847-12-02040</t>
        </is>
      </c>
      <c r="E541" s="141" t="inlineStr">
        <is>
          <t>수제청 과일청 생강착즙청 1200g 에이드 음료 차 답례품 선물</t>
        </is>
      </c>
      <c r="F541" s="142" t="inlineStr">
        <is>
          <t>-</t>
        </is>
      </c>
      <c r="G541" s="142" t="inlineStr">
        <is>
          <t>-</t>
        </is>
      </c>
      <c r="H541" s="142" t="inlineStr">
        <is>
          <t>-</t>
        </is>
      </c>
    </row>
    <row r="542" hidden="1" s="21">
      <c r="A542" s="8" t="inlineStr">
        <is>
          <t>롯데ON</t>
        </is>
      </c>
      <c r="B542" s="9" t="inlineStr">
        <is>
          <t>가공식품</t>
        </is>
      </c>
      <c r="C542" s="12" t="inlineStr">
        <is>
          <t>농진담</t>
        </is>
      </c>
      <c r="D542" s="136" t="inlineStr">
        <is>
          <t>847-12-02040</t>
        </is>
      </c>
      <c r="E542" s="141" t="inlineStr">
        <is>
          <t>수제청 과일청 토마토바질청 1000g 에이드 음료 차 답례품 선물</t>
        </is>
      </c>
      <c r="F542" s="142" t="inlineStr">
        <is>
          <t>-</t>
        </is>
      </c>
      <c r="G542" s="142" t="inlineStr">
        <is>
          <t>-</t>
        </is>
      </c>
      <c r="H542" s="142" t="inlineStr">
        <is>
          <t>-</t>
        </is>
      </c>
    </row>
    <row r="543" hidden="1" s="21">
      <c r="A543" s="8" t="inlineStr">
        <is>
          <t>롯데ON</t>
        </is>
      </c>
      <c r="B543" s="9" t="inlineStr">
        <is>
          <t>가공식품</t>
        </is>
      </c>
      <c r="C543" s="12" t="inlineStr">
        <is>
          <t>농진담</t>
        </is>
      </c>
      <c r="D543" s="136" t="inlineStr">
        <is>
          <t>847-12-02040</t>
        </is>
      </c>
      <c r="E543" s="141" t="inlineStr">
        <is>
          <t>수제청 과일청 유자청 1200g 에이드 음료 차 답례품 선물</t>
        </is>
      </c>
      <c r="F543" s="142" t="inlineStr">
        <is>
          <t>-</t>
        </is>
      </c>
      <c r="G543" s="142" t="inlineStr">
        <is>
          <t>-</t>
        </is>
      </c>
      <c r="H543" s="142" t="inlineStr">
        <is>
          <t>-</t>
        </is>
      </c>
    </row>
    <row r="544" hidden="1" s="21">
      <c r="A544" s="8" t="inlineStr">
        <is>
          <t>롯데ON</t>
        </is>
      </c>
      <c r="B544" s="9" t="inlineStr">
        <is>
          <t>가공식품</t>
        </is>
      </c>
      <c r="C544" s="12" t="inlineStr">
        <is>
          <t>농진담</t>
        </is>
      </c>
      <c r="D544" s="136" t="inlineStr">
        <is>
          <t>847-12-02040</t>
        </is>
      </c>
      <c r="E544" s="141" t="inlineStr">
        <is>
          <t>수제청 과일청 오미자청 1200g 에이드 음료 차 답례품 선물</t>
        </is>
      </c>
      <c r="F544" s="142" t="inlineStr">
        <is>
          <t>-</t>
        </is>
      </c>
      <c r="G544" s="142" t="inlineStr">
        <is>
          <t>-</t>
        </is>
      </c>
      <c r="H544" s="142" t="inlineStr">
        <is>
          <t>-</t>
        </is>
      </c>
    </row>
    <row r="545" hidden="1" s="21">
      <c r="A545" s="8" t="inlineStr">
        <is>
          <t>롯데ON</t>
        </is>
      </c>
      <c r="B545" s="9" t="inlineStr">
        <is>
          <t>가공식품</t>
        </is>
      </c>
      <c r="C545" s="12" t="inlineStr">
        <is>
          <t>농진담</t>
        </is>
      </c>
      <c r="D545" s="136" t="inlineStr">
        <is>
          <t>847-12-02040</t>
        </is>
      </c>
      <c r="E545" s="141" t="inlineStr">
        <is>
          <t>수제청 과일청 생강고 1000g 진저라떼 음료 생강차 답례품 선물</t>
        </is>
      </c>
      <c r="F545" s="142" t="inlineStr">
        <is>
          <t>-</t>
        </is>
      </c>
      <c r="G545" s="142" t="inlineStr">
        <is>
          <t>-</t>
        </is>
      </c>
      <c r="H545" s="142" t="inlineStr">
        <is>
          <t>-</t>
        </is>
      </c>
    </row>
    <row r="546" hidden="1" s="21">
      <c r="A546" s="8" t="inlineStr">
        <is>
          <t>롯데ON</t>
        </is>
      </c>
      <c r="B546" s="9" t="inlineStr">
        <is>
          <t>가공식품</t>
        </is>
      </c>
      <c r="C546" s="12" t="inlineStr">
        <is>
          <t>농진담</t>
        </is>
      </c>
      <c r="D546" s="136" t="inlineStr">
        <is>
          <t>847-12-02040</t>
        </is>
      </c>
      <c r="E546" s="141" t="inlineStr">
        <is>
          <t>수제청 과일청 배도라지대추생강청 1200g 생강차 음료 답례품 선물</t>
        </is>
      </c>
      <c r="F546" s="142" t="n">
        <v>1</v>
      </c>
      <c r="G546" s="142" t="n">
        <v>38800</v>
      </c>
      <c r="H546" s="142" t="n">
        <v>7210</v>
      </c>
    </row>
    <row r="547" hidden="1" s="21">
      <c r="A547" s="8" t="inlineStr">
        <is>
          <t>롯데ON</t>
        </is>
      </c>
      <c r="B547" s="9" t="inlineStr">
        <is>
          <t>가공식품</t>
        </is>
      </c>
      <c r="C547" s="12" t="inlineStr">
        <is>
          <t>농진담</t>
        </is>
      </c>
      <c r="D547" s="136" t="inlineStr">
        <is>
          <t>847-12-02040</t>
        </is>
      </c>
      <c r="E547" s="141" t="inlineStr">
        <is>
          <t>수제청 과일청 감귤청 1000g 에이드 음료 차 답례품 선물</t>
        </is>
      </c>
      <c r="F547" s="142" t="inlineStr">
        <is>
          <t>-</t>
        </is>
      </c>
      <c r="G547" s="142" t="inlineStr">
        <is>
          <t>-</t>
        </is>
      </c>
      <c r="H547" s="142" t="inlineStr">
        <is>
          <t>-</t>
        </is>
      </c>
    </row>
    <row r="548" hidden="1" s="21">
      <c r="A548" s="8" t="inlineStr">
        <is>
          <t>롯데ON</t>
        </is>
      </c>
      <c r="B548" s="9" t="inlineStr">
        <is>
          <t>가공식품</t>
        </is>
      </c>
      <c r="C548" s="12" t="inlineStr">
        <is>
          <t>농진담</t>
        </is>
      </c>
      <c r="D548" s="136" t="inlineStr">
        <is>
          <t>847-12-02040</t>
        </is>
      </c>
      <c r="E548" s="141" t="inlineStr">
        <is>
          <t>수제청 과일청 청귤청 1000g 풋귤 에이드 음료 차 답례품 선물</t>
        </is>
      </c>
      <c r="F548" s="142" t="inlineStr">
        <is>
          <t>-</t>
        </is>
      </c>
      <c r="G548" s="142" t="inlineStr">
        <is>
          <t>-</t>
        </is>
      </c>
      <c r="H548" s="142" t="inlineStr">
        <is>
          <t>-</t>
        </is>
      </c>
    </row>
    <row r="549" hidden="1" s="21">
      <c r="A549" s="8" t="inlineStr">
        <is>
          <t>롯데ON</t>
        </is>
      </c>
      <c r="B549" s="9" t="inlineStr">
        <is>
          <t>가공식품</t>
        </is>
      </c>
      <c r="C549" s="12" t="inlineStr">
        <is>
          <t>농진담</t>
        </is>
      </c>
      <c r="D549" s="136" t="inlineStr">
        <is>
          <t>847-12-02040</t>
        </is>
      </c>
      <c r="E549" s="141" t="inlineStr">
        <is>
          <t>수제청 과일청 자두복숭아청 1200g 에이드 음료 차 답례품 선물</t>
        </is>
      </c>
      <c r="F549" s="142" t="n">
        <v>1</v>
      </c>
      <c r="G549" s="142" t="n">
        <v>28500</v>
      </c>
      <c r="H549" s="142" t="n">
        <v>5350</v>
      </c>
    </row>
    <row r="550" hidden="1" s="21">
      <c r="A550" s="8" t="inlineStr">
        <is>
          <t>롯데ON</t>
        </is>
      </c>
      <c r="B550" s="9" t="inlineStr">
        <is>
          <t>가공식품</t>
        </is>
      </c>
      <c r="C550" s="12" t="inlineStr">
        <is>
          <t>농진담</t>
        </is>
      </c>
      <c r="D550" s="136" t="inlineStr">
        <is>
          <t>847-12-02040</t>
        </is>
      </c>
      <c r="E550" s="141" t="inlineStr">
        <is>
          <t>수제청 과일청 샤인머스켓청 1200g 에이드 음료 차 답례품 선물</t>
        </is>
      </c>
      <c r="F550" s="142" t="inlineStr">
        <is>
          <t>-</t>
        </is>
      </c>
      <c r="G550" s="142" t="inlineStr">
        <is>
          <t>-</t>
        </is>
      </c>
      <c r="H550" s="142" t="inlineStr">
        <is>
          <t>-</t>
        </is>
      </c>
    </row>
    <row r="551" hidden="1" s="21">
      <c r="A551" s="8" t="inlineStr">
        <is>
          <t>롯데ON</t>
        </is>
      </c>
      <c r="B551" s="9" t="inlineStr">
        <is>
          <t>가공식품</t>
        </is>
      </c>
      <c r="C551" s="12" t="inlineStr">
        <is>
          <t>농진담</t>
        </is>
      </c>
      <c r="D551" s="136" t="inlineStr">
        <is>
          <t>847-12-02040</t>
        </is>
      </c>
      <c r="E551" s="141" t="inlineStr">
        <is>
          <t>수제청 과일청 자두착즙청 800g 에이드 음료 차 답례품 선물</t>
        </is>
      </c>
      <c r="F551" s="142" t="inlineStr">
        <is>
          <t>-</t>
        </is>
      </c>
      <c r="G551" s="142" t="inlineStr">
        <is>
          <t>-</t>
        </is>
      </c>
      <c r="H551" s="142" t="inlineStr">
        <is>
          <t>-</t>
        </is>
      </c>
    </row>
    <row r="552" hidden="1" s="21">
      <c r="A552" s="8" t="inlineStr">
        <is>
          <t>롯데ON</t>
        </is>
      </c>
      <c r="B552" s="9" t="inlineStr">
        <is>
          <t>가공식품</t>
        </is>
      </c>
      <c r="C552" s="12" t="inlineStr">
        <is>
          <t>농진담</t>
        </is>
      </c>
      <c r="D552" s="136" t="inlineStr">
        <is>
          <t>847-12-02040</t>
        </is>
      </c>
      <c r="E552" s="141" t="inlineStr">
        <is>
          <t>수제청 과일청 생강착즙청 800g 에이드 음료 차 답례품 선물</t>
        </is>
      </c>
      <c r="F552" s="142" t="inlineStr">
        <is>
          <t>-</t>
        </is>
      </c>
      <c r="G552" s="142" t="inlineStr">
        <is>
          <t>-</t>
        </is>
      </c>
      <c r="H552" s="142" t="inlineStr">
        <is>
          <t>-</t>
        </is>
      </c>
    </row>
    <row r="553" hidden="1" s="21">
      <c r="A553" s="8" t="inlineStr">
        <is>
          <t>롯데ON</t>
        </is>
      </c>
      <c r="B553" s="9" t="inlineStr">
        <is>
          <t>가공식품</t>
        </is>
      </c>
      <c r="C553" s="12" t="inlineStr">
        <is>
          <t>농진담</t>
        </is>
      </c>
      <c r="D553" s="136" t="inlineStr">
        <is>
          <t>847-12-02040</t>
        </is>
      </c>
      <c r="E553" s="141" t="inlineStr">
        <is>
          <t>수제청 과일청 토마토바질청 700g 에이드 음료 차 답례품 선물</t>
        </is>
      </c>
      <c r="F553" s="142" t="inlineStr">
        <is>
          <t>-</t>
        </is>
      </c>
      <c r="G553" s="142" t="inlineStr">
        <is>
          <t>-</t>
        </is>
      </c>
      <c r="H553" s="142" t="inlineStr">
        <is>
          <t>-</t>
        </is>
      </c>
    </row>
    <row r="554" hidden="1" s="21">
      <c r="A554" s="8" t="inlineStr">
        <is>
          <t>롯데ON</t>
        </is>
      </c>
      <c r="B554" s="9" t="inlineStr">
        <is>
          <t>가공식품</t>
        </is>
      </c>
      <c r="C554" s="12" t="inlineStr">
        <is>
          <t>농진담</t>
        </is>
      </c>
      <c r="D554" s="136" t="inlineStr">
        <is>
          <t>847-12-02040</t>
        </is>
      </c>
      <c r="E554" s="141" t="inlineStr">
        <is>
          <t>수제청 과일청 유자청 800g 에이드 음료 차 답례품 선물</t>
        </is>
      </c>
      <c r="F554" s="142" t="inlineStr">
        <is>
          <t>-</t>
        </is>
      </c>
      <c r="G554" s="142" t="inlineStr">
        <is>
          <t>-</t>
        </is>
      </c>
      <c r="H554" s="142" t="inlineStr">
        <is>
          <t>-</t>
        </is>
      </c>
    </row>
    <row r="555" hidden="1" s="21">
      <c r="A555" s="8" t="inlineStr">
        <is>
          <t>롯데ON</t>
        </is>
      </c>
      <c r="B555" s="9" t="inlineStr">
        <is>
          <t>가공식품</t>
        </is>
      </c>
      <c r="C555" s="12" t="inlineStr">
        <is>
          <t>농진담</t>
        </is>
      </c>
      <c r="D555" s="136" t="inlineStr">
        <is>
          <t>847-12-02040</t>
        </is>
      </c>
      <c r="E555" s="141" t="inlineStr">
        <is>
          <t>수제청 과일청 오미자청 800g 에이드 음료 차 답례품 선물</t>
        </is>
      </c>
      <c r="F555" s="142" t="inlineStr">
        <is>
          <t>-</t>
        </is>
      </c>
      <c r="G555" s="142" t="inlineStr">
        <is>
          <t>-</t>
        </is>
      </c>
      <c r="H555" s="142" t="inlineStr">
        <is>
          <t>-</t>
        </is>
      </c>
    </row>
    <row r="556" hidden="1" s="21">
      <c r="A556" s="8" t="inlineStr">
        <is>
          <t>롯데ON</t>
        </is>
      </c>
      <c r="B556" s="9" t="inlineStr">
        <is>
          <t>가공식품</t>
        </is>
      </c>
      <c r="C556" s="12" t="inlineStr">
        <is>
          <t>농진담</t>
        </is>
      </c>
      <c r="D556" s="136" t="inlineStr">
        <is>
          <t>847-12-02040</t>
        </is>
      </c>
      <c r="E556" s="141" t="inlineStr">
        <is>
          <t>수제청 과일청 생강고 800g 에이드 음료 차 답례품 선물</t>
        </is>
      </c>
      <c r="F556" s="142" t="inlineStr">
        <is>
          <t>-</t>
        </is>
      </c>
      <c r="G556" s="142" t="inlineStr">
        <is>
          <t>-</t>
        </is>
      </c>
      <c r="H556" s="142" t="inlineStr">
        <is>
          <t>-</t>
        </is>
      </c>
    </row>
    <row r="557" hidden="1" s="21">
      <c r="A557" s="8" t="inlineStr">
        <is>
          <t>롯데ON</t>
        </is>
      </c>
      <c r="B557" s="9" t="inlineStr">
        <is>
          <t>가공식품</t>
        </is>
      </c>
      <c r="C557" s="12" t="inlineStr">
        <is>
          <t>농진담</t>
        </is>
      </c>
      <c r="D557" s="136" t="inlineStr">
        <is>
          <t>847-12-02040</t>
        </is>
      </c>
      <c r="E557" s="141" t="inlineStr">
        <is>
          <t>수제청 과일청 배도라지대추생강청 800g 생강차 음료 답례품 선물</t>
        </is>
      </c>
      <c r="F557" s="142" t="inlineStr">
        <is>
          <t>-</t>
        </is>
      </c>
      <c r="G557" s="142" t="inlineStr">
        <is>
          <t>-</t>
        </is>
      </c>
      <c r="H557" s="142" t="inlineStr">
        <is>
          <t>-</t>
        </is>
      </c>
    </row>
    <row r="558" hidden="1" s="21">
      <c r="A558" s="8" t="inlineStr">
        <is>
          <t>롯데ON</t>
        </is>
      </c>
      <c r="B558" s="9" t="inlineStr">
        <is>
          <t>가공식품</t>
        </is>
      </c>
      <c r="C558" s="12" t="inlineStr">
        <is>
          <t>농진담</t>
        </is>
      </c>
      <c r="D558" s="136" t="inlineStr">
        <is>
          <t>847-12-02040</t>
        </is>
      </c>
      <c r="E558" s="141" t="inlineStr">
        <is>
          <t>수제청 과일청 감귤청 700g 에이드 음료 차 답례품 선물</t>
        </is>
      </c>
      <c r="F558" s="142" t="inlineStr">
        <is>
          <t>-</t>
        </is>
      </c>
      <c r="G558" s="142" t="inlineStr">
        <is>
          <t>-</t>
        </is>
      </c>
      <c r="H558" s="142" t="inlineStr">
        <is>
          <t>-</t>
        </is>
      </c>
    </row>
    <row r="559" hidden="1" s="21">
      <c r="A559" s="8" t="inlineStr">
        <is>
          <t>롯데ON</t>
        </is>
      </c>
      <c r="B559" s="9" t="inlineStr">
        <is>
          <t>가공식품</t>
        </is>
      </c>
      <c r="C559" s="12" t="inlineStr">
        <is>
          <t>농진담</t>
        </is>
      </c>
      <c r="D559" s="136" t="inlineStr">
        <is>
          <t>847-12-02040</t>
        </is>
      </c>
      <c r="E559" s="141" t="inlineStr">
        <is>
          <t>수제청 과일청 청귤청 700g 풋귤 에이드 음료 차 답례품 선물</t>
        </is>
      </c>
      <c r="F559" s="142" t="inlineStr">
        <is>
          <t>-</t>
        </is>
      </c>
      <c r="G559" s="142" t="inlineStr">
        <is>
          <t>-</t>
        </is>
      </c>
      <c r="H559" s="142" t="inlineStr">
        <is>
          <t>-</t>
        </is>
      </c>
    </row>
    <row r="560" hidden="1" s="21">
      <c r="A560" s="8" t="inlineStr">
        <is>
          <t>롯데ON</t>
        </is>
      </c>
      <c r="B560" s="9" t="inlineStr">
        <is>
          <t>가공식품</t>
        </is>
      </c>
      <c r="C560" s="12" t="inlineStr">
        <is>
          <t>농진담</t>
        </is>
      </c>
      <c r="D560" s="136" t="inlineStr">
        <is>
          <t>847-12-02040</t>
        </is>
      </c>
      <c r="E560" s="141" t="inlineStr">
        <is>
          <t>수제청 과일청 자두복숭아청 800g 에이드 음료 차 답례품 선물</t>
        </is>
      </c>
      <c r="F560" s="142" t="inlineStr">
        <is>
          <t>-</t>
        </is>
      </c>
      <c r="G560" s="142" t="inlineStr">
        <is>
          <t>-</t>
        </is>
      </c>
      <c r="H560" s="142" t="inlineStr">
        <is>
          <t>-</t>
        </is>
      </c>
    </row>
    <row r="561" hidden="1" s="21">
      <c r="A561" s="8" t="inlineStr">
        <is>
          <t>롯데ON</t>
        </is>
      </c>
      <c r="B561" s="9" t="inlineStr">
        <is>
          <t>가공식품</t>
        </is>
      </c>
      <c r="C561" s="12" t="inlineStr">
        <is>
          <t>농진담</t>
        </is>
      </c>
      <c r="D561" s="136" t="inlineStr">
        <is>
          <t>847-12-02040</t>
        </is>
      </c>
      <c r="E561" s="141" t="inlineStr">
        <is>
          <t>수제청 과일청 샤인머스켓청 800g 에이드 음료 차 답례품 선물</t>
        </is>
      </c>
      <c r="F561" s="142" t="inlineStr">
        <is>
          <t>-</t>
        </is>
      </c>
      <c r="G561" s="142" t="inlineStr">
        <is>
          <t>-</t>
        </is>
      </c>
      <c r="H561" s="142" t="inlineStr">
        <is>
          <t>-</t>
        </is>
      </c>
    </row>
    <row r="562" hidden="1" s="21">
      <c r="A562" s="8" t="inlineStr">
        <is>
          <t>롯데ON</t>
        </is>
      </c>
      <c r="B562" s="9" t="inlineStr">
        <is>
          <t>가공식품</t>
        </is>
      </c>
      <c r="C562" s="12" t="inlineStr">
        <is>
          <t>농진담</t>
        </is>
      </c>
      <c r="D562" s="136" t="inlineStr">
        <is>
          <t>847-12-02040</t>
        </is>
      </c>
      <c r="E562" s="141" t="inlineStr">
        <is>
          <t>수제청 과일청 자두착즙청 600g 에이드 음료 차 답례품 선물</t>
        </is>
      </c>
      <c r="F562" s="142" t="n">
        <v>1</v>
      </c>
      <c r="G562" s="142" t="n">
        <v>14700</v>
      </c>
      <c r="H562" s="142" t="n">
        <v>2770</v>
      </c>
    </row>
    <row r="563" hidden="1" s="21">
      <c r="A563" s="8" t="inlineStr">
        <is>
          <t>롯데ON</t>
        </is>
      </c>
      <c r="B563" s="9" t="inlineStr">
        <is>
          <t>가공식품</t>
        </is>
      </c>
      <c r="C563" s="12" t="inlineStr">
        <is>
          <t>농진담</t>
        </is>
      </c>
      <c r="D563" s="136" t="inlineStr">
        <is>
          <t>847-12-02040</t>
        </is>
      </c>
      <c r="E563" s="141" t="inlineStr">
        <is>
          <t>수제청 과일청 생강착즙청 600g 에이드 음료 차 답례품 선물</t>
        </is>
      </c>
      <c r="F563" s="142" t="inlineStr">
        <is>
          <t>-</t>
        </is>
      </c>
      <c r="G563" s="142" t="inlineStr">
        <is>
          <t>-</t>
        </is>
      </c>
      <c r="H563" s="142" t="inlineStr">
        <is>
          <t>-</t>
        </is>
      </c>
    </row>
    <row r="564" hidden="1" s="21">
      <c r="A564" s="8" t="inlineStr">
        <is>
          <t>롯데ON</t>
        </is>
      </c>
      <c r="B564" s="9" t="inlineStr">
        <is>
          <t>가공식품</t>
        </is>
      </c>
      <c r="C564" s="12" t="inlineStr">
        <is>
          <t>농진담</t>
        </is>
      </c>
      <c r="D564" s="136" t="inlineStr">
        <is>
          <t>847-12-02040</t>
        </is>
      </c>
      <c r="E564" s="141" t="inlineStr">
        <is>
          <t>수제청 과일청 토마토바질청 500g 에이드 음료 차 답례품 선물</t>
        </is>
      </c>
      <c r="F564" s="142" t="inlineStr">
        <is>
          <t>-</t>
        </is>
      </c>
      <c r="G564" s="142" t="inlineStr">
        <is>
          <t>-</t>
        </is>
      </c>
      <c r="H564" s="142" t="inlineStr">
        <is>
          <t>-</t>
        </is>
      </c>
    </row>
    <row r="565" hidden="1" s="21">
      <c r="A565" s="8" t="inlineStr">
        <is>
          <t>롯데ON</t>
        </is>
      </c>
      <c r="B565" s="9" t="inlineStr">
        <is>
          <t>가공식품</t>
        </is>
      </c>
      <c r="C565" s="12" t="inlineStr">
        <is>
          <t>농진담</t>
        </is>
      </c>
      <c r="D565" s="136" t="inlineStr">
        <is>
          <t>847-12-02040</t>
        </is>
      </c>
      <c r="E565" s="141" t="inlineStr">
        <is>
          <t>수제청 과일청 유자청 600g 에이드 음료 차 답례품 선물</t>
        </is>
      </c>
      <c r="F565" s="142" t="inlineStr">
        <is>
          <t>-</t>
        </is>
      </c>
      <c r="G565" s="142" t="inlineStr">
        <is>
          <t>-</t>
        </is>
      </c>
      <c r="H565" s="142" t="inlineStr">
        <is>
          <t>-</t>
        </is>
      </c>
    </row>
    <row r="566" hidden="1" s="21">
      <c r="A566" s="8" t="inlineStr">
        <is>
          <t>롯데ON</t>
        </is>
      </c>
      <c r="B566" s="9" t="inlineStr">
        <is>
          <t>가공식품</t>
        </is>
      </c>
      <c r="C566" s="12" t="inlineStr">
        <is>
          <t>농진담</t>
        </is>
      </c>
      <c r="D566" s="136" t="inlineStr">
        <is>
          <t>847-12-02040</t>
        </is>
      </c>
      <c r="E566" s="141" t="inlineStr">
        <is>
          <t>수제청 과일청 오미자청 600g 에이드 음료 차 답례품 선물</t>
        </is>
      </c>
      <c r="F566" s="142" t="inlineStr">
        <is>
          <t>-</t>
        </is>
      </c>
      <c r="G566" s="142" t="inlineStr">
        <is>
          <t>-</t>
        </is>
      </c>
      <c r="H566" s="142" t="inlineStr">
        <is>
          <t>-</t>
        </is>
      </c>
    </row>
    <row r="567" hidden="1" s="21">
      <c r="A567" s="8" t="inlineStr">
        <is>
          <t>롯데ON</t>
        </is>
      </c>
      <c r="B567" s="9" t="inlineStr">
        <is>
          <t>가공식품</t>
        </is>
      </c>
      <c r="C567" s="12" t="inlineStr">
        <is>
          <t>농진담</t>
        </is>
      </c>
      <c r="D567" s="136" t="inlineStr">
        <is>
          <t>847-12-02040</t>
        </is>
      </c>
      <c r="E567" s="141" t="inlineStr">
        <is>
          <t>수제청 과일청 생강고 600g 에이드 음료 차 답례품 선물</t>
        </is>
      </c>
      <c r="F567" s="142" t="inlineStr">
        <is>
          <t>-</t>
        </is>
      </c>
      <c r="G567" s="142" t="inlineStr">
        <is>
          <t>-</t>
        </is>
      </c>
      <c r="H567" s="142" t="inlineStr">
        <is>
          <t>-</t>
        </is>
      </c>
    </row>
    <row r="568" hidden="1" s="21">
      <c r="A568" s="8" t="inlineStr">
        <is>
          <t>롯데ON</t>
        </is>
      </c>
      <c r="B568" s="9" t="inlineStr">
        <is>
          <t>가공식품</t>
        </is>
      </c>
      <c r="C568" s="12" t="inlineStr">
        <is>
          <t>농진담</t>
        </is>
      </c>
      <c r="D568" s="136" t="inlineStr">
        <is>
          <t>847-12-02040</t>
        </is>
      </c>
      <c r="E568" s="141" t="inlineStr">
        <is>
          <t>수제청 과일청 배도라지대추생강청 600g 에이드 음료 차 답례품 선물</t>
        </is>
      </c>
      <c r="F568" s="142" t="inlineStr">
        <is>
          <t>-</t>
        </is>
      </c>
      <c r="G568" s="142" t="inlineStr">
        <is>
          <t>-</t>
        </is>
      </c>
      <c r="H568" s="142" t="inlineStr">
        <is>
          <t>-</t>
        </is>
      </c>
    </row>
    <row r="569" hidden="1" s="21">
      <c r="A569" s="8" t="inlineStr">
        <is>
          <t>롯데ON</t>
        </is>
      </c>
      <c r="B569" s="9" t="inlineStr">
        <is>
          <t>가공식품</t>
        </is>
      </c>
      <c r="C569" s="12" t="inlineStr">
        <is>
          <t>농진담</t>
        </is>
      </c>
      <c r="D569" s="136" t="inlineStr">
        <is>
          <t>847-12-02040</t>
        </is>
      </c>
      <c r="E569" s="141" t="inlineStr">
        <is>
          <t>수제청 과일청 감귤청 600g 에이드 음료 차 답례품 선물</t>
        </is>
      </c>
      <c r="F569" s="142" t="inlineStr">
        <is>
          <t>-</t>
        </is>
      </c>
      <c r="G569" s="142" t="inlineStr">
        <is>
          <t>-</t>
        </is>
      </c>
      <c r="H569" s="142" t="inlineStr">
        <is>
          <t>-</t>
        </is>
      </c>
    </row>
    <row r="570" hidden="1" s="21">
      <c r="A570" s="8" t="inlineStr">
        <is>
          <t>롯데ON</t>
        </is>
      </c>
      <c r="B570" s="9" t="inlineStr">
        <is>
          <t>가공식품</t>
        </is>
      </c>
      <c r="C570" s="12" t="inlineStr">
        <is>
          <t>농진담</t>
        </is>
      </c>
      <c r="D570" s="136" t="inlineStr">
        <is>
          <t>847-12-02040</t>
        </is>
      </c>
      <c r="E570" s="141" t="inlineStr">
        <is>
          <t>수제청 과일청 청귤청 600g 풋귤 에이드 음료 차 답례품 선물</t>
        </is>
      </c>
      <c r="F570" s="142" t="inlineStr">
        <is>
          <t>-</t>
        </is>
      </c>
      <c r="G570" s="142" t="inlineStr">
        <is>
          <t>-</t>
        </is>
      </c>
      <c r="H570" s="142" t="inlineStr">
        <is>
          <t>-</t>
        </is>
      </c>
    </row>
    <row r="571" hidden="1" s="21">
      <c r="A571" s="8" t="inlineStr">
        <is>
          <t>롯데ON</t>
        </is>
      </c>
      <c r="B571" s="9" t="inlineStr">
        <is>
          <t>가공식품</t>
        </is>
      </c>
      <c r="C571" s="12" t="inlineStr">
        <is>
          <t>농진담</t>
        </is>
      </c>
      <c r="D571" s="136" t="inlineStr">
        <is>
          <t>847-12-02040</t>
        </is>
      </c>
      <c r="E571" s="141" t="inlineStr">
        <is>
          <t>수제청 과일청 자두복숭아청 600g 에이드 음료 차 답례품 선물</t>
        </is>
      </c>
      <c r="F571" s="142" t="inlineStr">
        <is>
          <t>-</t>
        </is>
      </c>
      <c r="G571" s="142" t="inlineStr">
        <is>
          <t>-</t>
        </is>
      </c>
      <c r="H571" s="142" t="inlineStr">
        <is>
          <t>-</t>
        </is>
      </c>
    </row>
    <row r="572" hidden="1" s="21">
      <c r="A572" s="8" t="inlineStr">
        <is>
          <t>롯데ON</t>
        </is>
      </c>
      <c r="B572" s="9" t="inlineStr">
        <is>
          <t>가공식품</t>
        </is>
      </c>
      <c r="C572" s="12" t="inlineStr">
        <is>
          <t>농진담</t>
        </is>
      </c>
      <c r="D572" s="136" t="inlineStr">
        <is>
          <t>847-12-02040</t>
        </is>
      </c>
      <c r="E572" s="141" t="inlineStr">
        <is>
          <t>수제청 과일청 샤인머스켓청 600g 에이드 음료 차 답례품 선물</t>
        </is>
      </c>
      <c r="F572" s="142" t="inlineStr">
        <is>
          <t>-</t>
        </is>
      </c>
      <c r="G572" s="142" t="inlineStr">
        <is>
          <t>-</t>
        </is>
      </c>
      <c r="H572" s="142" t="inlineStr">
        <is>
          <t>-</t>
        </is>
      </c>
    </row>
    <row r="573" hidden="1" s="21">
      <c r="A573" s="8" t="inlineStr">
        <is>
          <t>롯데ON</t>
        </is>
      </c>
      <c r="B573" s="9" t="inlineStr">
        <is>
          <t>가공식품</t>
        </is>
      </c>
      <c r="C573" s="12" t="inlineStr">
        <is>
          <t>농진담</t>
        </is>
      </c>
      <c r="D573" s="136" t="inlineStr">
        <is>
          <t>847-12-02040</t>
        </is>
      </c>
      <c r="E573" s="141" t="inlineStr">
        <is>
          <t>프리미엄 매실청 850g 콜드프레스 수제청 과일청 에이드 음료 답례품 선물 세트</t>
        </is>
      </c>
      <c r="F573" s="142" t="inlineStr">
        <is>
          <t>-</t>
        </is>
      </c>
      <c r="G573" s="142" t="inlineStr">
        <is>
          <t>-</t>
        </is>
      </c>
      <c r="H573" s="142" t="inlineStr">
        <is>
          <t>-</t>
        </is>
      </c>
    </row>
    <row r="574" hidden="1" s="21">
      <c r="A574" s="8" t="inlineStr">
        <is>
          <t>롯데ON</t>
        </is>
      </c>
      <c r="B574" s="9" t="inlineStr">
        <is>
          <t>가공식품</t>
        </is>
      </c>
      <c r="C574" s="12" t="inlineStr">
        <is>
          <t>농진담</t>
        </is>
      </c>
      <c r="D574" s="136" t="inlineStr">
        <is>
          <t>847-12-02040</t>
        </is>
      </c>
      <c r="E574" s="141" t="inlineStr">
        <is>
          <t>프리미엄 오미자청 850g 콜드프레스 수제청 과일청 에이드 음료 답례품 선물 세트</t>
        </is>
      </c>
      <c r="F574" s="142" t="inlineStr">
        <is>
          <t>-</t>
        </is>
      </c>
      <c r="G574" s="142" t="inlineStr">
        <is>
          <t>-</t>
        </is>
      </c>
      <c r="H574" s="142" t="inlineStr">
        <is>
          <t>-</t>
        </is>
      </c>
    </row>
    <row r="575" hidden="1" s="21">
      <c r="A575" s="8" t="inlineStr">
        <is>
          <t>롯데ON</t>
        </is>
      </c>
      <c r="B575" s="9" t="inlineStr">
        <is>
          <t>가공식품</t>
        </is>
      </c>
      <c r="C575" s="12" t="inlineStr">
        <is>
          <t>농진담</t>
        </is>
      </c>
      <c r="D575" s="136" t="inlineStr">
        <is>
          <t>847-12-02040</t>
        </is>
      </c>
      <c r="E575" s="141" t="inlineStr">
        <is>
          <t>프리미엄 배생강착즙청 850g 콜드프레스 수제청 과일청 에이드 음료 답례품 선물 세트</t>
        </is>
      </c>
      <c r="F575" s="142" t="inlineStr">
        <is>
          <t>-</t>
        </is>
      </c>
      <c r="G575" s="142" t="inlineStr">
        <is>
          <t>-</t>
        </is>
      </c>
      <c r="H575" s="142" t="inlineStr">
        <is>
          <t>-</t>
        </is>
      </c>
    </row>
    <row r="576" hidden="1" s="21">
      <c r="A576" s="8" t="inlineStr">
        <is>
          <t>롯데ON</t>
        </is>
      </c>
      <c r="B576" s="9" t="inlineStr">
        <is>
          <t>가공식품</t>
        </is>
      </c>
      <c r="C576" s="12" t="inlineStr">
        <is>
          <t>농진담</t>
        </is>
      </c>
      <c r="D576" s="136" t="inlineStr">
        <is>
          <t>847-12-02040</t>
        </is>
      </c>
      <c r="E576" s="141" t="inlineStr">
        <is>
          <t>프리미엄 감귤착즙청 850g 콜드프레스 수제청 과일청 에이드 음료 답례품 선물 세트</t>
        </is>
      </c>
      <c r="F576" s="142" t="inlineStr">
        <is>
          <t>-</t>
        </is>
      </c>
      <c r="G576" s="142" t="inlineStr">
        <is>
          <t>-</t>
        </is>
      </c>
      <c r="H576" s="142" t="inlineStr">
        <is>
          <t>-</t>
        </is>
      </c>
    </row>
    <row r="577" hidden="1" s="21">
      <c r="A577" s="8" t="inlineStr">
        <is>
          <t>롯데ON</t>
        </is>
      </c>
      <c r="B577" s="9" t="inlineStr">
        <is>
          <t>가공식품</t>
        </is>
      </c>
      <c r="C577" s="12" t="inlineStr">
        <is>
          <t>농진담</t>
        </is>
      </c>
      <c r="D577" s="136" t="inlineStr">
        <is>
          <t>847-12-02040</t>
        </is>
      </c>
      <c r="E577" s="141" t="inlineStr">
        <is>
          <t>프리미엄 청귤착즙청 850g 콜드프레스 수제청 과일청 에이드 음료 답례품 선물 세트</t>
        </is>
      </c>
      <c r="F577" s="142" t="inlineStr">
        <is>
          <t>-</t>
        </is>
      </c>
      <c r="G577" s="142" t="inlineStr">
        <is>
          <t>-</t>
        </is>
      </c>
      <c r="H577" s="142" t="inlineStr">
        <is>
          <t>-</t>
        </is>
      </c>
    </row>
    <row r="578" hidden="1" s="21">
      <c r="A578" s="8" t="inlineStr">
        <is>
          <t>롯데ON</t>
        </is>
      </c>
      <c r="B578" s="9" t="inlineStr">
        <is>
          <t>가공식품</t>
        </is>
      </c>
      <c r="C578" s="12" t="inlineStr">
        <is>
          <t>농진담</t>
        </is>
      </c>
      <c r="D578" s="136" t="inlineStr">
        <is>
          <t>847-12-02040</t>
        </is>
      </c>
      <c r="E578" s="141" t="inlineStr">
        <is>
          <t>프리미엄 매실청 650g 콜드프레스 수제청 과일청 에이드 음료 답례품 선물 세트</t>
        </is>
      </c>
      <c r="F578" s="142" t="inlineStr">
        <is>
          <t>-</t>
        </is>
      </c>
      <c r="G578" s="142" t="inlineStr">
        <is>
          <t>-</t>
        </is>
      </c>
      <c r="H578" s="142" t="inlineStr">
        <is>
          <t>-</t>
        </is>
      </c>
    </row>
    <row r="579" hidden="1" s="21">
      <c r="A579" s="8" t="inlineStr">
        <is>
          <t>롯데ON</t>
        </is>
      </c>
      <c r="B579" s="9" t="inlineStr">
        <is>
          <t>가공식품</t>
        </is>
      </c>
      <c r="C579" s="12" t="inlineStr">
        <is>
          <t>농진담</t>
        </is>
      </c>
      <c r="D579" s="136" t="inlineStr">
        <is>
          <t>847-12-02040</t>
        </is>
      </c>
      <c r="E579" s="141" t="inlineStr">
        <is>
          <t>프리미엄 오미자청 650g 콜드프레스 수제청 과일청 에이드 음료 답례품 선물 세트</t>
        </is>
      </c>
      <c r="F579" s="142" t="inlineStr">
        <is>
          <t>-</t>
        </is>
      </c>
      <c r="G579" s="142" t="inlineStr">
        <is>
          <t>-</t>
        </is>
      </c>
      <c r="H579" s="142" t="inlineStr">
        <is>
          <t>-</t>
        </is>
      </c>
    </row>
    <row r="580" hidden="1" s="21">
      <c r="A580" s="8" t="inlineStr">
        <is>
          <t>롯데ON</t>
        </is>
      </c>
      <c r="B580" s="9" t="inlineStr">
        <is>
          <t>가공식품</t>
        </is>
      </c>
      <c r="C580" s="12" t="inlineStr">
        <is>
          <t>농진담</t>
        </is>
      </c>
      <c r="D580" s="136" t="inlineStr">
        <is>
          <t>847-12-02040</t>
        </is>
      </c>
      <c r="E580" s="141" t="inlineStr">
        <is>
          <t>프리미엄 배생강착즙청 650g 콜드프레스 수제청 과일청 에이드 음료 답례품 선물 세트</t>
        </is>
      </c>
      <c r="F580" s="142" t="inlineStr">
        <is>
          <t>-</t>
        </is>
      </c>
      <c r="G580" s="142" t="inlineStr">
        <is>
          <t>-</t>
        </is>
      </c>
      <c r="H580" s="142" t="inlineStr">
        <is>
          <t>-</t>
        </is>
      </c>
    </row>
    <row r="581" hidden="1" s="21">
      <c r="A581" s="8" t="inlineStr">
        <is>
          <t>롯데ON</t>
        </is>
      </c>
      <c r="B581" s="9" t="inlineStr">
        <is>
          <t>가공식품</t>
        </is>
      </c>
      <c r="C581" s="12" t="inlineStr">
        <is>
          <t>농진담</t>
        </is>
      </c>
      <c r="D581" s="136" t="inlineStr">
        <is>
          <t>847-12-02040</t>
        </is>
      </c>
      <c r="E581" s="141" t="inlineStr">
        <is>
          <t>프리미엄 감귤착즙청 650g 콜드프레스 수제청 과일청 에이드 음료 답례품 선물 세트</t>
        </is>
      </c>
      <c r="F581" s="142" t="inlineStr">
        <is>
          <t>-</t>
        </is>
      </c>
      <c r="G581" s="142" t="inlineStr">
        <is>
          <t>-</t>
        </is>
      </c>
      <c r="H581" s="142" t="inlineStr">
        <is>
          <t>-</t>
        </is>
      </c>
    </row>
    <row r="582" hidden="1" s="21">
      <c r="A582" s="8" t="inlineStr">
        <is>
          <t>롯데ON</t>
        </is>
      </c>
      <c r="B582" s="9" t="inlineStr">
        <is>
          <t>가공식품</t>
        </is>
      </c>
      <c r="C582" s="12" t="inlineStr">
        <is>
          <t>농진담</t>
        </is>
      </c>
      <c r="D582" s="136" t="inlineStr">
        <is>
          <t>847-12-02040</t>
        </is>
      </c>
      <c r="E582" s="141" t="inlineStr">
        <is>
          <t>프리미엄 청귤착즙청 650g 콜드프레스 수제청 과일청 에이드 음료 답례품 선물 세트</t>
        </is>
      </c>
      <c r="F582" s="142" t="inlineStr">
        <is>
          <t>-</t>
        </is>
      </c>
      <c r="G582" s="142" t="inlineStr">
        <is>
          <t>-</t>
        </is>
      </c>
      <c r="H582" s="142" t="inlineStr">
        <is>
          <t>-</t>
        </is>
      </c>
    </row>
    <row r="583" hidden="1" s="21">
      <c r="A583" s="8" t="inlineStr">
        <is>
          <t>롯데ON</t>
        </is>
      </c>
      <c r="B583" s="9" t="inlineStr">
        <is>
          <t>가공식품</t>
        </is>
      </c>
      <c r="C583" s="12" t="inlineStr">
        <is>
          <t>농진담</t>
        </is>
      </c>
      <c r="D583" s="136" t="inlineStr">
        <is>
          <t>847-12-02040</t>
        </is>
      </c>
      <c r="E583" s="141" t="inlineStr">
        <is>
          <t>선물박스 수제청 과일청 배도라지대추생강청 600g 에이드 음료 차 답례품 명절 선물</t>
        </is>
      </c>
      <c r="F583" s="142" t="inlineStr">
        <is>
          <t>-</t>
        </is>
      </c>
      <c r="G583" s="142" t="inlineStr">
        <is>
          <t>-</t>
        </is>
      </c>
      <c r="H583" s="142" t="inlineStr">
        <is>
          <t>-</t>
        </is>
      </c>
    </row>
    <row r="584" hidden="1" s="21">
      <c r="A584" s="8" t="inlineStr">
        <is>
          <t>롯데ON</t>
        </is>
      </c>
      <c r="B584" s="9" t="inlineStr">
        <is>
          <t>가공식품</t>
        </is>
      </c>
      <c r="C584" s="12" t="inlineStr">
        <is>
          <t>농진담</t>
        </is>
      </c>
      <c r="D584" s="136" t="inlineStr">
        <is>
          <t>847-12-02040</t>
        </is>
      </c>
      <c r="E584" s="141" t="inlineStr">
        <is>
          <t>선물박스 수제청 과일청 유자청+배도라지대추생강청 600g 세트 에이드 음료 차 답례품 명절 선물</t>
        </is>
      </c>
      <c r="F584" s="142" t="inlineStr">
        <is>
          <t>-</t>
        </is>
      </c>
      <c r="G584" s="142" t="inlineStr">
        <is>
          <t>-</t>
        </is>
      </c>
      <c r="H584" s="142" t="inlineStr">
        <is>
          <t>-</t>
        </is>
      </c>
    </row>
    <row r="585" hidden="1" s="21">
      <c r="A585" s="8" t="inlineStr">
        <is>
          <t>롯데ON</t>
        </is>
      </c>
      <c r="B585" s="9" t="inlineStr">
        <is>
          <t>가공식품</t>
        </is>
      </c>
      <c r="C585" s="12" t="inlineStr">
        <is>
          <t>농진담</t>
        </is>
      </c>
      <c r="D585" s="136" t="inlineStr">
        <is>
          <t>847-12-02040</t>
        </is>
      </c>
      <c r="E585" s="141" t="inlineStr">
        <is>
          <t>선물박스 수제청 과일청 생강고+유자청 600g 세트 에이드 음료 차 답례품 명절 선물</t>
        </is>
      </c>
      <c r="F585" s="142" t="inlineStr">
        <is>
          <t>-</t>
        </is>
      </c>
      <c r="G585" s="142" t="inlineStr">
        <is>
          <t>-</t>
        </is>
      </c>
      <c r="H585" s="142" t="inlineStr">
        <is>
          <t>-</t>
        </is>
      </c>
    </row>
    <row r="586" hidden="1" s="21">
      <c r="A586" s="8" t="inlineStr">
        <is>
          <t>롯데ON</t>
        </is>
      </c>
      <c r="B586" s="12" t="inlineStr">
        <is>
          <t>가공식품</t>
        </is>
      </c>
      <c r="C586" s="12" t="inlineStr">
        <is>
          <t>주식회사 대현상회 망미점</t>
        </is>
      </c>
      <c r="D586" s="12" t="inlineStr">
        <is>
          <t>817-85-01855</t>
        </is>
      </c>
      <c r="E586" s="16" t="inlineStr">
        <is>
          <t>[온누리7%혜택]55년전통 대현상회 무첨가 국산 볶은 콩가루 500g / 무설탕 백년가게 방앗간</t>
        </is>
      </c>
      <c r="F586" s="142" t="n">
        <v>4</v>
      </c>
      <c r="G586" s="142" t="n">
        <v>49500</v>
      </c>
      <c r="H586" s="142" t="n">
        <v>9700</v>
      </c>
    </row>
    <row r="587" hidden="1" s="21">
      <c r="A587" s="8" t="inlineStr">
        <is>
          <t>롯데ON</t>
        </is>
      </c>
      <c r="B587" s="12" t="inlineStr">
        <is>
          <t>가공식품</t>
        </is>
      </c>
      <c r="C587" s="12" t="inlineStr">
        <is>
          <t>주식회사 대현상회 망미점</t>
        </is>
      </c>
      <c r="D587" s="12" t="inlineStr">
        <is>
          <t>817-85-01855</t>
        </is>
      </c>
      <c r="E587" s="16" t="inlineStr">
        <is>
          <t>[온누리7%혜택][부세페 최종가 6930원]55년전통 대현상회 무첨가 국산 볶은 검은콩가루 / 무설탕 백년가게 방앗간</t>
        </is>
      </c>
      <c r="F587" s="142" t="n">
        <v>8</v>
      </c>
      <c r="G587" s="142" t="n">
        <v>135200</v>
      </c>
      <c r="H587" s="142" t="n">
        <v>26330</v>
      </c>
    </row>
    <row r="588" hidden="1" s="21">
      <c r="A588" s="8" t="inlineStr">
        <is>
          <t>롯데ON</t>
        </is>
      </c>
      <c r="B588" s="12" t="inlineStr">
        <is>
          <t>가공식품</t>
        </is>
      </c>
      <c r="C588" s="12" t="inlineStr">
        <is>
          <t>주식회사 대현상회 망미점</t>
        </is>
      </c>
      <c r="D588" s="12" t="inlineStr">
        <is>
          <t>817-85-01855</t>
        </is>
      </c>
      <c r="E588" s="16" t="inlineStr">
        <is>
          <t>[온누리7%혜택]55년전통 대현상회 국산 햇 고춧가루 양념용 고운입자 땡초 고추씨 모음 / 백년가게</t>
        </is>
      </c>
      <c r="F588" s="142" t="n">
        <v>1</v>
      </c>
      <c r="G588" s="142" t="n">
        <v>26900</v>
      </c>
      <c r="H588" s="142" t="n">
        <v>5110</v>
      </c>
    </row>
    <row r="589" hidden="1" s="21">
      <c r="A589" s="8" t="inlineStr">
        <is>
          <t>롯데ON</t>
        </is>
      </c>
      <c r="B589" s="12" t="inlineStr">
        <is>
          <t>가공식품</t>
        </is>
      </c>
      <c r="C589" s="12" t="inlineStr">
        <is>
          <t>주식회사 대현상회 망미점</t>
        </is>
      </c>
      <c r="D589" s="12" t="inlineStr">
        <is>
          <t>817-85-01855</t>
        </is>
      </c>
      <c r="E589" s="16" t="inlineStr">
        <is>
          <t>[온누리7%혜택]55년전통 대현상회 저온압착 국산 참기름 들기름 350ml 선물세트 / HACCP 인증 백년가게 방앗간</t>
        </is>
      </c>
      <c r="F589" s="142" t="inlineStr">
        <is>
          <t>-</t>
        </is>
      </c>
      <c r="G589" s="142" t="inlineStr">
        <is>
          <t>-</t>
        </is>
      </c>
      <c r="H589" s="142" t="inlineStr">
        <is>
          <t>-</t>
        </is>
      </c>
    </row>
    <row r="590" hidden="1" s="21">
      <c r="A590" s="8" t="inlineStr">
        <is>
          <t>롯데ON</t>
        </is>
      </c>
      <c r="B590" s="12" t="inlineStr">
        <is>
          <t>가공식품</t>
        </is>
      </c>
      <c r="C590" s="12" t="inlineStr">
        <is>
          <t>주식회사 대현상회 망미점</t>
        </is>
      </c>
      <c r="D590" s="12" t="inlineStr">
        <is>
          <t>817-85-01855</t>
        </is>
      </c>
      <c r="E590" s="16" t="inlineStr">
        <is>
          <t>[온누리7%혜택]55년전통 대현상회 저온압착 국산 참기름 들기름 180ml 선물세트/ HACCP 인증 백년가게 방앗간</t>
        </is>
      </c>
      <c r="F590" s="142" t="n">
        <v>3</v>
      </c>
      <c r="G590" s="142" t="n">
        <v>149700</v>
      </c>
      <c r="H590" s="142" t="n">
        <v>28440</v>
      </c>
    </row>
    <row r="591" hidden="1" s="21">
      <c r="A591" s="8" t="inlineStr">
        <is>
          <t>롯데ON</t>
        </is>
      </c>
      <c r="B591" s="12" t="inlineStr">
        <is>
          <t>가공식품</t>
        </is>
      </c>
      <c r="C591" s="12" t="inlineStr">
        <is>
          <t>주식회사 대현상회 망미점</t>
        </is>
      </c>
      <c r="D591" s="12" t="inlineStr">
        <is>
          <t>817-85-01855</t>
        </is>
      </c>
      <c r="E591" s="16" t="inlineStr">
        <is>
          <t>[온누리7%혜택][부세페 최종가 14630원55년전통 대현상회 저온압착 국산 참기름 들기름 생들기름 180ml / HACCP 인증 백년가게 방앗</t>
        </is>
      </c>
      <c r="F591" s="142" t="n">
        <v>17</v>
      </c>
      <c r="G591" s="142" t="n">
        <v>399300</v>
      </c>
      <c r="H591" s="142" t="n">
        <v>74710</v>
      </c>
    </row>
    <row r="592" hidden="1" s="21">
      <c r="A592" s="8" t="inlineStr">
        <is>
          <t>롯데ON</t>
        </is>
      </c>
      <c r="B592" s="12" t="inlineStr">
        <is>
          <t>가공식품</t>
        </is>
      </c>
      <c r="C592" s="12" t="inlineStr">
        <is>
          <t>주식회사 대현상회 망미점</t>
        </is>
      </c>
      <c r="D592" s="12" t="inlineStr">
        <is>
          <t>817-85-01855</t>
        </is>
      </c>
      <c r="E592" s="16" t="inlineStr">
        <is>
          <t>[온누리7%혜택][부세페 최종가 21630원]55년전통 대현상회 저온압착 국산 참기름 들기름 생들기름 350ml / HACCP 인증 백년가게 방앗</t>
        </is>
      </c>
      <c r="F592" s="142" t="n">
        <v>34</v>
      </c>
      <c r="G592" s="142" t="n">
        <v>1427400</v>
      </c>
      <c r="H592" s="142" t="n">
        <v>247110</v>
      </c>
    </row>
    <row r="593" hidden="1" s="21">
      <c r="A593" s="8" t="inlineStr">
        <is>
          <t>롯데ON</t>
        </is>
      </c>
      <c r="B593" s="9" t="inlineStr">
        <is>
          <t>농산물</t>
        </is>
      </c>
      <c r="C593" s="12" t="inlineStr">
        <is>
          <t>파머레시피</t>
        </is>
      </c>
      <c r="D593" s="12" t="inlineStr">
        <is>
          <t>191-97-01154</t>
        </is>
      </c>
      <c r="E593" s="16" t="inlineStr">
        <is>
          <t>[라스트찬스][GAP청년농직송] 26년 국산 저장가능 햇양파 2kg 3kg 5kg 10kg</t>
        </is>
      </c>
      <c r="F593" s="142" t="n">
        <v>1</v>
      </c>
      <c r="G593" s="142" t="n">
        <v>8300</v>
      </c>
      <c r="H593" s="142" t="n">
        <v>1540</v>
      </c>
    </row>
    <row r="594" hidden="1" s="21">
      <c r="A594" s="8" t="inlineStr">
        <is>
          <t>롯데ON</t>
        </is>
      </c>
      <c r="B594" s="9" t="inlineStr">
        <is>
          <t>축산물</t>
        </is>
      </c>
      <c r="C594" s="12" t="inlineStr">
        <is>
          <t>주식회사 삼형제월드</t>
        </is>
      </c>
      <c r="D594" s="12" t="inlineStr">
        <is>
          <t>185-87-01669</t>
        </is>
      </c>
      <c r="E594" s="16" t="inlineStr">
        <is>
          <t>[딜크릿] 삼형제고기 1등급 한돈 찌개용 모듬 고기 냉장 2kg (1kg x 2팩)</t>
        </is>
      </c>
      <c r="F594" s="142" t="n">
        <v>1310</v>
      </c>
      <c r="G594" s="142" t="n">
        <v>35409000</v>
      </c>
      <c r="H594" s="142" t="n">
        <v>4691220</v>
      </c>
    </row>
    <row r="595" hidden="1" s="21">
      <c r="A595" s="8" t="inlineStr">
        <is>
          <t>롯데ON</t>
        </is>
      </c>
      <c r="B595" s="9" t="inlineStr">
        <is>
          <t>축산물</t>
        </is>
      </c>
      <c r="C595" s="12" t="inlineStr">
        <is>
          <t>주식회사 삼형제월드</t>
        </is>
      </c>
      <c r="D595" s="12" t="inlineStr">
        <is>
          <t>185-87-01669</t>
        </is>
      </c>
      <c r="E595" s="16" t="inlineStr">
        <is>
          <t>1등급 한돈 다짐육 대용량 냉장 1kg x 2팩</t>
        </is>
      </c>
      <c r="F595" s="142" t="n">
        <v>22</v>
      </c>
      <c r="G595" s="142" t="n">
        <v>493000</v>
      </c>
      <c r="H595" s="142" t="n">
        <v>65540</v>
      </c>
    </row>
    <row r="596" hidden="1" s="21">
      <c r="A596" s="8" t="inlineStr">
        <is>
          <t>롯데ON</t>
        </is>
      </c>
      <c r="B596" s="9" t="inlineStr">
        <is>
          <t>축산물</t>
        </is>
      </c>
      <c r="C596" s="12" t="inlineStr">
        <is>
          <t>주식회사 삼형제월드</t>
        </is>
      </c>
      <c r="D596" s="12" t="inlineStr">
        <is>
          <t>185-87-01669</t>
        </is>
      </c>
      <c r="E596" s="16" t="inlineStr">
        <is>
          <t>1등급 한돈 돼지 등뼈 감자탕용 대용량 3kg x 2팩</t>
        </is>
      </c>
      <c r="F596" s="142" t="n">
        <v>6</v>
      </c>
      <c r="G596" s="142" t="n">
        <v>223320</v>
      </c>
      <c r="H596" s="142" t="n">
        <v>29700</v>
      </c>
    </row>
    <row r="597" hidden="1" s="21">
      <c r="A597" s="8" t="inlineStr">
        <is>
          <t>롯데ON</t>
        </is>
      </c>
      <c r="B597" s="9" t="inlineStr">
        <is>
          <t>축산물</t>
        </is>
      </c>
      <c r="C597" s="12" t="inlineStr">
        <is>
          <t>주식회사 삼형제월드</t>
        </is>
      </c>
      <c r="D597" s="12" t="inlineStr">
        <is>
          <t>185-87-01669</t>
        </is>
      </c>
      <c r="E597" s="16" t="inlineStr">
        <is>
          <t>삼형제 1등급 한돈 돼지 사태 수육용 냉장 1kg</t>
        </is>
      </c>
      <c r="F597" s="142" t="inlineStr">
        <is>
          <t>-</t>
        </is>
      </c>
      <c r="G597" s="142" t="inlineStr">
        <is>
          <t>-</t>
        </is>
      </c>
      <c r="H597" s="142" t="inlineStr">
        <is>
          <t>-</t>
        </is>
      </c>
    </row>
    <row r="598" hidden="1" s="21">
      <c r="A598" s="8" t="inlineStr">
        <is>
          <t>롯데ON</t>
        </is>
      </c>
      <c r="B598" s="9" t="inlineStr">
        <is>
          <t>축산물</t>
        </is>
      </c>
      <c r="C598" s="12" t="inlineStr">
        <is>
          <t>주식회사 삼형제월드</t>
        </is>
      </c>
      <c r="D598" s="12" t="inlineStr">
        <is>
          <t>185-87-01669</t>
        </is>
      </c>
      <c r="E598" s="16" t="inlineStr">
        <is>
          <t>삼형제고기 한돈 간장 고추장 불고기 1kg (200g x 5팩)</t>
        </is>
      </c>
      <c r="F598" s="142" t="inlineStr">
        <is>
          <t>-</t>
        </is>
      </c>
      <c r="G598" s="142" t="inlineStr">
        <is>
          <t>-</t>
        </is>
      </c>
      <c r="H598" s="142" t="inlineStr">
        <is>
          <t>-</t>
        </is>
      </c>
    </row>
    <row r="599" hidden="1" s="21">
      <c r="A599" s="8" t="inlineStr">
        <is>
          <t>롯데ON</t>
        </is>
      </c>
      <c r="B599" s="9" t="inlineStr">
        <is>
          <t>축산물</t>
        </is>
      </c>
      <c r="C599" s="12" t="inlineStr">
        <is>
          <t>주식회사 삼형제월드</t>
        </is>
      </c>
      <c r="D599" s="12" t="inlineStr">
        <is>
          <t>185-87-01669</t>
        </is>
      </c>
      <c r="E599" s="16" t="inlineStr">
        <is>
          <t>1등급 한돈 돼지 뒷다리살 제육용 보쌈용 찌개용 냉장 1kg</t>
        </is>
      </c>
      <c r="F599" s="142" t="n">
        <v>2</v>
      </c>
      <c r="G599" s="142" t="inlineStr">
        <is>
          <t>-</t>
        </is>
      </c>
      <c r="H599" s="142" t="inlineStr">
        <is>
          <t>-</t>
        </is>
      </c>
    </row>
    <row r="600" hidden="1" s="21">
      <c r="A600" s="8" t="inlineStr">
        <is>
          <t>롯데ON</t>
        </is>
      </c>
      <c r="B600" s="9" t="inlineStr">
        <is>
          <t>축산물</t>
        </is>
      </c>
      <c r="C600" s="12" t="inlineStr">
        <is>
          <t>주식회사 삼형제월드</t>
        </is>
      </c>
      <c r="D600" s="12" t="inlineStr">
        <is>
          <t>185-87-01669</t>
        </is>
      </c>
      <c r="E600" s="16" t="inlineStr">
        <is>
          <t>1등급 국내산 한돈 삼겹살 1kg 구이용 제육용 보쌈용 찌개용</t>
        </is>
      </c>
      <c r="F600" s="142" t="inlineStr">
        <is>
          <t>-</t>
        </is>
      </c>
      <c r="G600" s="142" t="inlineStr">
        <is>
          <t>-</t>
        </is>
      </c>
      <c r="H600" s="142" t="inlineStr">
        <is>
          <t>-</t>
        </is>
      </c>
    </row>
    <row r="601" hidden="1" s="21">
      <c r="A601" s="8" t="inlineStr">
        <is>
          <t>롯데ON</t>
        </is>
      </c>
      <c r="B601" s="9" t="inlineStr">
        <is>
          <t>축산물</t>
        </is>
      </c>
      <c r="C601" s="12" t="inlineStr">
        <is>
          <t>주식회사 삼형제월드</t>
        </is>
      </c>
      <c r="D601" s="12" t="inlineStr">
        <is>
          <t>185-87-01669</t>
        </is>
      </c>
      <c r="E601" s="16" t="inlineStr">
        <is>
          <t>1등급 국내산 한돈 목살 1kg 구이용 제육용 보쌈용 찌개용</t>
        </is>
      </c>
      <c r="F601" s="142" t="n">
        <v>11</v>
      </c>
      <c r="G601" s="142" t="n">
        <v>132600</v>
      </c>
      <c r="H601" s="142" t="n">
        <v>18360</v>
      </c>
    </row>
    <row r="602" hidden="1" s="21">
      <c r="A602" s="8" t="inlineStr">
        <is>
          <t>롯데ON</t>
        </is>
      </c>
      <c r="B602" s="9" t="inlineStr">
        <is>
          <t>축산물</t>
        </is>
      </c>
      <c r="C602" s="12" t="inlineStr">
        <is>
          <t>주식회사 태범프레시</t>
        </is>
      </c>
      <c r="D602" s="12" t="inlineStr">
        <is>
          <t>832-86-02035</t>
        </is>
      </c>
      <c r="E602" s="16" t="inlineStr">
        <is>
          <t>[홍익상회] 춘천 홍익닭갈비 500g x 3팩 국내산 닭고기 양념 순살</t>
        </is>
      </c>
      <c r="F602" s="142" t="n">
        <v>73</v>
      </c>
      <c r="G602" s="142" t="n">
        <v>2552440</v>
      </c>
      <c r="H602" s="142" t="n">
        <v>410540</v>
      </c>
    </row>
    <row r="603" hidden="1" s="21">
      <c r="A603" s="8" t="inlineStr">
        <is>
          <t>롯데ON</t>
        </is>
      </c>
      <c r="B603" s="9" t="inlineStr">
        <is>
          <t>축산물</t>
        </is>
      </c>
      <c r="C603" s="12" t="inlineStr">
        <is>
          <t>유혜광생돈까스</t>
        </is>
      </c>
      <c r="D603" s="12" t="inlineStr">
        <is>
          <t>117-13-93791</t>
        </is>
      </c>
      <c r="E603" s="16" t="inlineStr">
        <is>
          <t>유혜광 수제통등심돈까스 16장(총8팩)(소스 별도구매)</t>
        </is>
      </c>
      <c r="F603" s="142" t="n">
        <v>936</v>
      </c>
      <c r="G603" s="142" t="n">
        <v>47358000</v>
      </c>
      <c r="H603" s="142" t="n">
        <v>5003480</v>
      </c>
    </row>
    <row r="604" hidden="1" s="21">
      <c r="A604" s="8" t="inlineStr">
        <is>
          <t>롯데ON</t>
        </is>
      </c>
      <c r="B604" s="9" t="inlineStr">
        <is>
          <t>농산물</t>
        </is>
      </c>
      <c r="C604" s="12" t="inlineStr">
        <is>
          <t>알동네</t>
        </is>
      </c>
      <c r="D604" s="12" t="inlineStr">
        <is>
          <t>765-95-00739</t>
        </is>
      </c>
      <c r="E604" s="16" t="inlineStr">
        <is>
          <t>[온세일]제주 하우스 감귤 4.5kg 로얄과 귤</t>
        </is>
      </c>
      <c r="F604" s="142" t="n">
        <v>10</v>
      </c>
      <c r="G604" s="142" t="n">
        <v>477000</v>
      </c>
      <c r="H604" s="142" t="n">
        <v>90820</v>
      </c>
    </row>
    <row r="605" hidden="1" s="21">
      <c r="A605" s="8" t="inlineStr">
        <is>
          <t>롯데ON</t>
        </is>
      </c>
      <c r="B605" s="9" t="inlineStr">
        <is>
          <t>농산물</t>
        </is>
      </c>
      <c r="C605" s="12" t="inlineStr">
        <is>
          <t>알동네</t>
        </is>
      </c>
      <c r="D605" s="12" t="inlineStr">
        <is>
          <t>765-95-00739</t>
        </is>
      </c>
      <c r="E605" s="16" t="inlineStr">
        <is>
          <t>[온세일]제주 하우스 감귤 4.5kg 프리미엄S과 귤</t>
        </is>
      </c>
      <c r="F605" s="142" t="inlineStr">
        <is>
          <t>-</t>
        </is>
      </c>
      <c r="G605" s="142" t="inlineStr">
        <is>
          <t>-</t>
        </is>
      </c>
      <c r="H605" s="142" t="inlineStr">
        <is>
          <t>-</t>
        </is>
      </c>
    </row>
    <row r="606" hidden="1" s="21">
      <c r="A606" s="8" t="inlineStr">
        <is>
          <t>롯데ON</t>
        </is>
      </c>
      <c r="B606" s="12" t="inlineStr">
        <is>
          <t>가공식품</t>
        </is>
      </c>
      <c r="C606" s="12" t="inlineStr">
        <is>
          <t>신선식품</t>
        </is>
      </c>
      <c r="D606" s="12" t="inlineStr">
        <is>
          <t>131-35-96215</t>
        </is>
      </c>
      <c r="E606" s="16" t="inlineStr">
        <is>
          <t>[온누리7%혜택]HACCP 국산 비건고춧가루 1kg (고운, 보통)</t>
        </is>
      </c>
      <c r="F606" s="142" t="n">
        <v>614</v>
      </c>
      <c r="G606" s="142" t="n">
        <v>17801000</v>
      </c>
      <c r="H606" s="142" t="n">
        <v>3266640</v>
      </c>
    </row>
    <row r="607" hidden="1" s="21">
      <c r="A607" s="8" t="inlineStr">
        <is>
          <t>롯데ON</t>
        </is>
      </c>
      <c r="B607" s="12" t="inlineStr">
        <is>
          <t>가공식품</t>
        </is>
      </c>
      <c r="C607" s="12" t="inlineStr">
        <is>
          <t>신선식품</t>
        </is>
      </c>
      <c r="D607" s="12" t="inlineStr">
        <is>
          <t>131-35-96215</t>
        </is>
      </c>
      <c r="E607" s="16" t="inlineStr">
        <is>
          <t>[온누리7%혜택]HACCP 국산 비건고춧가루 200g (고운, 보통)</t>
        </is>
      </c>
      <c r="F607" s="142" t="n">
        <v>13</v>
      </c>
      <c r="G607" s="142" t="n">
        <v>140400</v>
      </c>
      <c r="H607" s="142" t="n">
        <v>25000</v>
      </c>
    </row>
    <row r="608" hidden="1" s="21">
      <c r="A608" s="8" t="inlineStr">
        <is>
          <t>롯데ON</t>
        </is>
      </c>
      <c r="B608" s="12" t="inlineStr">
        <is>
          <t>가공식품</t>
        </is>
      </c>
      <c r="C608" s="12" t="inlineStr">
        <is>
          <t>신선식품</t>
        </is>
      </c>
      <c r="D608" s="12" t="inlineStr">
        <is>
          <t>131-35-96215</t>
        </is>
      </c>
      <c r="E608" s="16" t="inlineStr">
        <is>
          <t>[온누리7%혜택]내 몸에 좋은 국산 블랙미숫가루</t>
        </is>
      </c>
      <c r="F608" s="142" t="n">
        <v>52</v>
      </c>
      <c r="G608" s="142" t="n">
        <v>950100</v>
      </c>
      <c r="H608" s="142" t="n">
        <v>183070</v>
      </c>
    </row>
    <row r="609" hidden="1" s="21">
      <c r="A609" s="8" t="inlineStr">
        <is>
          <t>롯데ON</t>
        </is>
      </c>
      <c r="B609" s="9" t="inlineStr">
        <is>
          <t>농산물</t>
        </is>
      </c>
      <c r="C609" s="12" t="inlineStr">
        <is>
          <t>신선식품</t>
        </is>
      </c>
      <c r="D609" s="12" t="inlineStr">
        <is>
          <t>131-35-96215</t>
        </is>
      </c>
      <c r="E609" s="16" t="inlineStr">
        <is>
          <t>[온누리7%혜택]국산 저속노화잡곡 식단관리 예쁜 병 그대로 깔끔한 수납 방앗간아이</t>
        </is>
      </c>
      <c r="F609" s="142" t="n">
        <v>28</v>
      </c>
      <c r="G609" s="142" t="n">
        <v>573400</v>
      </c>
      <c r="H609" s="142" t="n">
        <v>106000</v>
      </c>
    </row>
    <row r="610" hidden="1" s="21">
      <c r="A610" s="8" t="inlineStr">
        <is>
          <t>롯데ON</t>
        </is>
      </c>
      <c r="B610" s="9" t="inlineStr">
        <is>
          <t>가공식품</t>
        </is>
      </c>
      <c r="C610" s="12" t="inlineStr">
        <is>
          <t>신선식품</t>
        </is>
      </c>
      <c r="D610" s="12" t="inlineStr">
        <is>
          <t>131-35-96215</t>
        </is>
      </c>
      <c r="E610" s="16" t="inlineStr">
        <is>
          <t>[온누리7%혜택]고소한 국산 볶은참깨 200g</t>
        </is>
      </c>
      <c r="F610" s="142" t="n">
        <v>15</v>
      </c>
      <c r="G610" s="142" t="n">
        <v>204800</v>
      </c>
      <c r="H610" s="142" t="n">
        <v>40120</v>
      </c>
    </row>
    <row r="611" hidden="1" s="21">
      <c r="A611" s="8" t="inlineStr">
        <is>
          <t>롯데ON</t>
        </is>
      </c>
      <c r="B611" s="12" t="inlineStr">
        <is>
          <t>가공식품</t>
        </is>
      </c>
      <c r="C611" s="12" t="inlineStr">
        <is>
          <t>신선식품</t>
        </is>
      </c>
      <c r="D611" s="12" t="inlineStr">
        <is>
          <t>131-35-96215</t>
        </is>
      </c>
      <c r="E611" s="16" t="inlineStr">
        <is>
          <t>[온누리7%혜택]HACCP 국산 비건고춧가루 100g (고운,보통)</t>
        </is>
      </c>
      <c r="F611" s="142" t="n">
        <v>2</v>
      </c>
      <c r="G611" s="142" t="n">
        <v>15800</v>
      </c>
      <c r="H611" s="142" t="n">
        <v>3100</v>
      </c>
    </row>
    <row r="612" hidden="1" s="21">
      <c r="A612" s="8" t="inlineStr">
        <is>
          <t>롯데ON</t>
        </is>
      </c>
      <c r="B612" s="12" t="inlineStr">
        <is>
          <t>가공식품</t>
        </is>
      </c>
      <c r="C612" s="12" t="inlineStr">
        <is>
          <t>신선식품</t>
        </is>
      </c>
      <c r="D612" s="12" t="inlineStr">
        <is>
          <t>131-35-96215</t>
        </is>
      </c>
      <c r="E612" s="16" t="inlineStr">
        <is>
          <t>[온누리7%혜택]좋은 국산 참깨로 짜는 방앗간아이 고소한 국산 참기름 180ml</t>
        </is>
      </c>
      <c r="F612" s="142" t="n">
        <v>4</v>
      </c>
      <c r="G612" s="142" t="n">
        <v>98500</v>
      </c>
      <c r="H612" s="142" t="n">
        <v>18860</v>
      </c>
    </row>
    <row r="613" hidden="1" s="21">
      <c r="A613" s="8" t="inlineStr">
        <is>
          <t>롯데ON</t>
        </is>
      </c>
      <c r="B613" s="9" t="inlineStr">
        <is>
          <t>가공식품</t>
        </is>
      </c>
      <c r="C613" s="12" t="inlineStr">
        <is>
          <t>신선식품</t>
        </is>
      </c>
      <c r="D613" s="12" t="inlineStr">
        <is>
          <t>131-35-96215</t>
        </is>
      </c>
      <c r="E613" s="16" t="inlineStr">
        <is>
          <t>[온누리7%혜택]내 몸에 좋은 볶은 옥수수차 300g</t>
        </is>
      </c>
      <c r="F613" s="142" t="inlineStr">
        <is>
          <t>-</t>
        </is>
      </c>
      <c r="G613" s="142" t="inlineStr">
        <is>
          <t>-</t>
        </is>
      </c>
      <c r="H613" s="142" t="inlineStr">
        <is>
          <t>-</t>
        </is>
      </c>
    </row>
    <row r="614" hidden="1" s="21">
      <c r="A614" s="8" t="inlineStr">
        <is>
          <t>롯데ON</t>
        </is>
      </c>
      <c r="B614" s="12" t="inlineStr">
        <is>
          <t>가공식품</t>
        </is>
      </c>
      <c r="C614" s="12" t="inlineStr">
        <is>
          <t>신선식품</t>
        </is>
      </c>
      <c r="D614" s="12" t="inlineStr">
        <is>
          <t>131-35-96215</t>
        </is>
      </c>
      <c r="E614" s="16" t="inlineStr">
        <is>
          <t>[온누리7%혜택]껍질 깐 고소한 국산 들깨가루 200g</t>
        </is>
      </c>
      <c r="F614" s="142" t="n">
        <v>12</v>
      </c>
      <c r="G614" s="142" t="n">
        <v>226500</v>
      </c>
      <c r="H614" s="142" t="n">
        <v>41640</v>
      </c>
    </row>
    <row r="615" hidden="1" s="21">
      <c r="A615" s="87" t="inlineStr">
        <is>
          <t>롯데ON</t>
        </is>
      </c>
      <c r="B615" s="88" t="inlineStr">
        <is>
          <t>가공식품</t>
        </is>
      </c>
      <c r="C615" s="88" t="inlineStr">
        <is>
          <t>신선식품</t>
        </is>
      </c>
      <c r="D615" s="88" t="inlineStr">
        <is>
          <t>131-35-96215</t>
        </is>
      </c>
      <c r="E615" s="16" t="inlineStr">
        <is>
          <t>[온누리7%혜택]내 몸에 좋은 국산 보리미숫가루 250g</t>
        </is>
      </c>
      <c r="F615" s="142" t="inlineStr">
        <is>
          <t>-</t>
        </is>
      </c>
      <c r="G615" s="142" t="inlineStr">
        <is>
          <t>-</t>
        </is>
      </c>
      <c r="H615" s="142" t="inlineStr">
        <is>
          <t>-</t>
        </is>
      </c>
    </row>
    <row r="616" hidden="1" s="21">
      <c r="A616" s="8" t="inlineStr">
        <is>
          <t>롯데ON</t>
        </is>
      </c>
      <c r="B616" s="9" t="inlineStr">
        <is>
          <t>축산물</t>
        </is>
      </c>
      <c r="C616" s="12" t="inlineStr">
        <is>
          <t>지향</t>
        </is>
      </c>
      <c r="D616" s="12" t="inlineStr">
        <is>
          <t>188-81-01220</t>
        </is>
      </c>
      <c r="E616" s="16" t="inlineStr">
        <is>
          <t>[APP전용] 바르온 삼계탕 1kg x 4팩</t>
        </is>
      </c>
      <c r="F616" s="142" t="n">
        <v>67</v>
      </c>
      <c r="G616" s="142" t="n">
        <v>1940600</v>
      </c>
      <c r="H616" s="142" t="n">
        <v>266060</v>
      </c>
    </row>
    <row r="617" hidden="1" s="21">
      <c r="A617" s="8" t="inlineStr">
        <is>
          <t>롯데ON</t>
        </is>
      </c>
      <c r="B617" s="9" t="inlineStr">
        <is>
          <t>축산물</t>
        </is>
      </c>
      <c r="C617" s="12" t="inlineStr">
        <is>
          <t>주식회사 태범프레시</t>
        </is>
      </c>
      <c r="D617" s="12" t="inlineStr">
        <is>
          <t>832-86-02035</t>
        </is>
      </c>
      <c r="E617" s="16" t="inlineStr">
        <is>
          <t>한돈스테이크 4장x1팩 오븐 직화 떡갈비 맛 함박 스테이크 너비아니</t>
        </is>
      </c>
      <c r="F617" s="142" t="n">
        <v>1</v>
      </c>
      <c r="G617" s="142" t="n">
        <v>29900</v>
      </c>
      <c r="H617" s="142" t="n">
        <v>5740</v>
      </c>
    </row>
    <row r="618" hidden="1" s="21">
      <c r="A618" s="8" t="inlineStr">
        <is>
          <t>롯데ON</t>
        </is>
      </c>
      <c r="B618" s="9" t="inlineStr">
        <is>
          <t>축산물</t>
        </is>
      </c>
      <c r="C618" s="12" t="inlineStr">
        <is>
          <t>주식회사 태범프레시</t>
        </is>
      </c>
      <c r="D618" s="12" t="inlineStr">
        <is>
          <t>832-86-02035</t>
        </is>
      </c>
      <c r="E618" s="16" t="inlineStr">
        <is>
          <t>홍익상회 양념 오리 불고기 고추장 주물럭 400g (2인분) x 3팩</t>
        </is>
      </c>
      <c r="F618" s="142" t="n">
        <v>2</v>
      </c>
      <c r="G618" s="142" t="n">
        <v>71800</v>
      </c>
      <c r="H618" s="142" t="n">
        <v>13340</v>
      </c>
    </row>
    <row r="619" hidden="1" s="21">
      <c r="A619" s="8" t="inlineStr">
        <is>
          <t>롯데ON</t>
        </is>
      </c>
      <c r="B619" s="9" t="inlineStr">
        <is>
          <t>농산물</t>
        </is>
      </c>
      <c r="C619" s="12" t="inlineStr">
        <is>
          <t>좋은세상협동조합</t>
        </is>
      </c>
      <c r="D619" s="12" t="inlineStr">
        <is>
          <t>416-81-92591</t>
        </is>
      </c>
      <c r="E619" s="16" t="inlineStr">
        <is>
          <t>25년 해남 햇 꿀 밤 고구마 2kg 3kg 5kg 베니하루카종</t>
        </is>
      </c>
      <c r="F619" s="142" t="inlineStr">
        <is>
          <t>-</t>
        </is>
      </c>
      <c r="G619" s="142" t="inlineStr">
        <is>
          <t>-</t>
        </is>
      </c>
      <c r="H619" s="142" t="inlineStr">
        <is>
          <t>-</t>
        </is>
      </c>
    </row>
    <row r="620" hidden="1" s="21">
      <c r="A620" s="8" t="inlineStr">
        <is>
          <t>롯데ON</t>
        </is>
      </c>
      <c r="B620" s="9" t="inlineStr">
        <is>
          <t>축산물</t>
        </is>
      </c>
      <c r="C620" s="12" t="inlineStr">
        <is>
          <t>지향</t>
        </is>
      </c>
      <c r="D620" s="12" t="inlineStr">
        <is>
          <t>188-81-01220</t>
        </is>
      </c>
      <c r="E620" s="16" t="inlineStr">
        <is>
          <t>바르온 삼계탕 1kg x 4팩</t>
        </is>
      </c>
      <c r="F620" s="142" t="n">
        <v>24</v>
      </c>
      <c r="G620" s="142" t="n">
        <v>753800</v>
      </c>
      <c r="H620" s="142" t="n">
        <v>104990</v>
      </c>
    </row>
    <row r="621" hidden="1" s="21">
      <c r="A621" s="8" t="inlineStr">
        <is>
          <t>롯데ON</t>
        </is>
      </c>
      <c r="B621" s="9" t="inlineStr">
        <is>
          <t>축산물</t>
        </is>
      </c>
      <c r="C621" s="12" t="inlineStr">
        <is>
          <t>지향</t>
        </is>
      </c>
      <c r="D621" s="12" t="inlineStr">
        <is>
          <t>188-81-01220</t>
        </is>
      </c>
      <c r="E621" s="16" t="inlineStr">
        <is>
          <t>곱창파는청년들 돼지국밥 500g x 5팩</t>
        </is>
      </c>
      <c r="F621" s="142" t="inlineStr">
        <is>
          <t>-</t>
        </is>
      </c>
      <c r="G621" s="142" t="inlineStr">
        <is>
          <t>-</t>
        </is>
      </c>
      <c r="H621" s="142" t="inlineStr">
        <is>
          <t>-</t>
        </is>
      </c>
    </row>
    <row r="622" hidden="1" s="21">
      <c r="A622" s="8" t="inlineStr">
        <is>
          <t>롯데ON</t>
        </is>
      </c>
      <c r="B622" s="9" t="inlineStr">
        <is>
          <t>가공식품</t>
        </is>
      </c>
      <c r="C622" s="12" t="inlineStr">
        <is>
          <t>지리산피아골식품영농조합법인</t>
        </is>
      </c>
      <c r="D622" s="12" t="inlineStr">
        <is>
          <t>416-81-79884</t>
        </is>
      </c>
      <c r="E622" s="16" t="inlineStr">
        <is>
          <t>[집밥상점][20% 쿠폰] 30년 지리산맛집 레시피 구수한 감칠맛 프리미엄 고로쇠 청국장찌개 450g*3팩/5팩</t>
        </is>
      </c>
      <c r="F622" s="142" t="n">
        <v>1</v>
      </c>
      <c r="G622" s="142" t="n">
        <v>38330</v>
      </c>
      <c r="H622" s="142" t="n">
        <v>4370</v>
      </c>
    </row>
    <row r="623" hidden="1" s="21">
      <c r="A623" s="8" t="inlineStr">
        <is>
          <t>롯데ON</t>
        </is>
      </c>
      <c r="B623" s="9" t="inlineStr">
        <is>
          <t>가공식품</t>
        </is>
      </c>
      <c r="C623" s="12" t="inlineStr">
        <is>
          <t>지리산피아골식품영농조합법인</t>
        </is>
      </c>
      <c r="D623" s="12" t="inlineStr">
        <is>
          <t>416-81-79884</t>
        </is>
      </c>
      <c r="E623" s="16" t="inlineStr">
        <is>
          <t>[집밥상점][20% 쿠폰] 30년 지리산맛집 레시피 볶아먹는 산채비빔밥 키트 200g*3/5팩</t>
        </is>
      </c>
      <c r="F623" s="142" t="inlineStr">
        <is>
          <t>-</t>
        </is>
      </c>
      <c r="G623" s="142" t="inlineStr">
        <is>
          <t>-</t>
        </is>
      </c>
      <c r="H623" s="142" t="inlineStr">
        <is>
          <t>-</t>
        </is>
      </c>
    </row>
    <row r="624" hidden="1" s="21">
      <c r="A624" s="8" t="inlineStr">
        <is>
          <t>롯데ON</t>
        </is>
      </c>
      <c r="B624" s="9" t="inlineStr">
        <is>
          <t>가공식품</t>
        </is>
      </c>
      <c r="C624" s="12" t="inlineStr">
        <is>
          <t>지리산피아골식품영농조합법인</t>
        </is>
      </c>
      <c r="D624" s="12" t="inlineStr">
        <is>
          <t>416-81-79884</t>
        </is>
      </c>
      <c r="E624" s="16" t="inlineStr">
        <is>
          <t>[집밥상점][20% 쿠폰] 고로쇠간장, 진하고 고소한 저염간장의 품미 프리미엄 전통 한식간장 300ml</t>
        </is>
      </c>
      <c r="F624" s="142" t="n">
        <v>1</v>
      </c>
      <c r="G624" s="142" t="n">
        <v>52500</v>
      </c>
      <c r="H624" s="142" t="n">
        <v>5450</v>
      </c>
    </row>
    <row r="625" hidden="1" s="21">
      <c r="A625" s="8" t="inlineStr">
        <is>
          <t>롯데ON</t>
        </is>
      </c>
      <c r="B625" s="9" t="inlineStr">
        <is>
          <t>가공식품</t>
        </is>
      </c>
      <c r="C625" s="12" t="inlineStr">
        <is>
          <t>지리산피아골식품영농조합법인</t>
        </is>
      </c>
      <c r="D625" s="12" t="inlineStr">
        <is>
          <t>416-81-79884</t>
        </is>
      </c>
      <c r="E625" s="16" t="inlineStr">
        <is>
          <t>[집밥상점][20% 쿠폰] 30년 지리산맛집 레시피 프리미엄 간편식 고로쇠시래기된장국 600g*3팩/5팩</t>
        </is>
      </c>
      <c r="F625" s="142" t="n">
        <v>6</v>
      </c>
      <c r="G625" s="142" t="n">
        <v>250980</v>
      </c>
      <c r="H625" s="142" t="n">
        <v>28590</v>
      </c>
    </row>
    <row r="626" hidden="1" s="21">
      <c r="A626" s="8" t="inlineStr">
        <is>
          <t>롯데ON</t>
        </is>
      </c>
      <c r="B626" s="9" t="inlineStr">
        <is>
          <t>가공식품</t>
        </is>
      </c>
      <c r="C626" s="12" t="inlineStr">
        <is>
          <t>지리산피아골식품영농조합법인</t>
        </is>
      </c>
      <c r="D626" s="12" t="inlineStr">
        <is>
          <t>416-81-79884</t>
        </is>
      </c>
      <c r="E626" s="16" t="inlineStr">
        <is>
          <t>[집밥상점][20% 쿠폰] 냄새없이 구수한 무염 생청국장 200g*3팩/5팩</t>
        </is>
      </c>
      <c r="F626" s="142" t="n">
        <v>3</v>
      </c>
      <c r="G626" s="142" t="n">
        <v>104400</v>
      </c>
      <c r="H626" s="142" t="n">
        <v>11890</v>
      </c>
    </row>
    <row r="627" hidden="1" s="21">
      <c r="A627" s="8" t="inlineStr">
        <is>
          <t>롯데ON</t>
        </is>
      </c>
      <c r="B627" s="9" t="inlineStr">
        <is>
          <t>가공식품</t>
        </is>
      </c>
      <c r="C627" s="12" t="inlineStr">
        <is>
          <t>지리산피아골식품영농조합법인</t>
        </is>
      </c>
      <c r="D627" s="12" t="inlineStr">
        <is>
          <t>416-81-79884</t>
        </is>
      </c>
      <c r="E627" s="16" t="inlineStr">
        <is>
          <t>[집밥상점][20% 쿠폰] 아삭아삭 새콤달콤 지리산 매실장아찌 340g/500g/1kg</t>
        </is>
      </c>
      <c r="F627" s="142" t="n">
        <v>20</v>
      </c>
      <c r="G627" s="142" t="n">
        <v>764100</v>
      </c>
      <c r="H627" s="142" t="n">
        <v>84320</v>
      </c>
    </row>
    <row r="628" hidden="1" s="21">
      <c r="A628" s="8" t="inlineStr">
        <is>
          <t>롯데ON</t>
        </is>
      </c>
      <c r="B628" s="9" t="inlineStr">
        <is>
          <t>가공식품</t>
        </is>
      </c>
      <c r="C628" s="12" t="inlineStr">
        <is>
          <t>지리산피아골식품영농조합법인</t>
        </is>
      </c>
      <c r="D628" s="12" t="inlineStr">
        <is>
          <t>416-81-79884</t>
        </is>
      </c>
      <c r="E628" s="16" t="inlineStr">
        <is>
          <t>[집밥상점][20% 쿠폰] 매실절임과 매실액이 함유돼 더욱 감칠맛이 나는 만능쌈장 230g/340g/500g/1kg</t>
        </is>
      </c>
      <c r="F628" s="142" t="inlineStr">
        <is>
          <t>-</t>
        </is>
      </c>
      <c r="G628" s="142" t="inlineStr">
        <is>
          <t>-</t>
        </is>
      </c>
      <c r="H628" s="142" t="inlineStr">
        <is>
          <t>-</t>
        </is>
      </c>
    </row>
    <row r="629" hidden="1" s="21">
      <c r="A629" s="8" t="inlineStr">
        <is>
          <t>롯데ON</t>
        </is>
      </c>
      <c r="B629" s="9" t="inlineStr">
        <is>
          <t>가공식품</t>
        </is>
      </c>
      <c r="C629" s="12" t="inlineStr">
        <is>
          <t>지리산피아골식품영농조합법인</t>
        </is>
      </c>
      <c r="D629" s="12" t="inlineStr">
        <is>
          <t>416-81-79884</t>
        </is>
      </c>
      <c r="E629" s="16" t="inlineStr">
        <is>
          <t>[집밥상점][20% 쿠폰] 매콤달콤 황금비율 프리미엄 찹쌀고추장 230g/340g/500g/1kg/2kg</t>
        </is>
      </c>
      <c r="F629" s="142" t="n">
        <v>5</v>
      </c>
      <c r="G629" s="142" t="n">
        <v>197910</v>
      </c>
      <c r="H629" s="142" t="n">
        <v>19900</v>
      </c>
    </row>
    <row r="630" hidden="1" s="21">
      <c r="A630" s="8" t="inlineStr">
        <is>
          <t>롯데ON</t>
        </is>
      </c>
      <c r="B630" s="9" t="inlineStr">
        <is>
          <t>가공식품</t>
        </is>
      </c>
      <c r="C630" s="12" t="inlineStr">
        <is>
          <t>지리산피아골식품영농조합법인</t>
        </is>
      </c>
      <c r="D630" s="12" t="inlineStr">
        <is>
          <t>416-81-79884</t>
        </is>
      </c>
      <c r="E630" s="16" t="inlineStr">
        <is>
          <t>[집밥상점][20% 쿠폰] 고로쇠된장 구수한 감칠맛이 나는 프리미엄 전통된장 230g/340g/500g/950g/2kg</t>
        </is>
      </c>
      <c r="F630" s="142" t="n">
        <v>1</v>
      </c>
      <c r="G630" s="142" t="n">
        <v>41530</v>
      </c>
      <c r="H630" s="142" t="n">
        <v>4730</v>
      </c>
    </row>
    <row r="631" hidden="1" s="21">
      <c r="A631" s="8" t="inlineStr">
        <is>
          <t>롯데ON</t>
        </is>
      </c>
      <c r="B631" s="9" t="inlineStr">
        <is>
          <t>가공식품</t>
        </is>
      </c>
      <c r="C631" s="12" t="inlineStr">
        <is>
          <t>농업회사법인(주)서대산푸드</t>
        </is>
      </c>
      <c r="D631" s="12" t="inlineStr">
        <is>
          <t>602-88-01725</t>
        </is>
      </c>
      <c r="E631" s="16" t="inlineStr">
        <is>
          <t>[집밥상점]추부깻잎100% 당일제조 밥도둑 양념생깻잎김치 매운실비생깻잎김치 500g/1kg</t>
        </is>
      </c>
      <c r="F631" s="142" t="n">
        <v>18</v>
      </c>
      <c r="G631" s="142" t="n">
        <v>536520</v>
      </c>
      <c r="H631" s="142" t="n">
        <v>61940</v>
      </c>
    </row>
    <row r="632" hidden="1" s="21">
      <c r="A632" s="8" t="inlineStr">
        <is>
          <t>롯데ON</t>
        </is>
      </c>
      <c r="B632" s="9" t="inlineStr">
        <is>
          <t>가공식품</t>
        </is>
      </c>
      <c r="C632" s="12" t="inlineStr">
        <is>
          <t>농업회사법인(주)서대산푸드</t>
        </is>
      </c>
      <c r="D632" s="12" t="inlineStr">
        <is>
          <t>602-88-01725</t>
        </is>
      </c>
      <c r="E632" s="16" t="inlineStr">
        <is>
          <t>[집밥상점]추부깻잎 100% 된장깻잎장아찌 양념깻잎장아찌 500g/1kg</t>
        </is>
      </c>
      <c r="F632" s="142" t="n">
        <v>18</v>
      </c>
      <c r="G632" s="142" t="n">
        <v>689760</v>
      </c>
      <c r="H632" s="142" t="n">
        <v>81350</v>
      </c>
    </row>
    <row r="633" hidden="1" s="21">
      <c r="A633" s="8" t="inlineStr">
        <is>
          <t>롯데ON</t>
        </is>
      </c>
      <c r="B633" s="9" t="inlineStr">
        <is>
          <t>가공식품</t>
        </is>
      </c>
      <c r="C633" s="12" t="inlineStr">
        <is>
          <t>농업회사법인(주)서대산푸드</t>
        </is>
      </c>
      <c r="D633" s="12" t="inlineStr">
        <is>
          <t>602-88-01725</t>
        </is>
      </c>
      <c r="E633" s="16" t="inlineStr">
        <is>
          <t>[집밥상점]우리쌀과 추부깻잎으로 만든 깻잎현미 가래떡 떡국떡 500g/1kg</t>
        </is>
      </c>
      <c r="F633" s="142" t="n">
        <v>3</v>
      </c>
      <c r="G633" s="142" t="n">
        <v>76640</v>
      </c>
      <c r="H633" s="142" t="n">
        <v>8860</v>
      </c>
    </row>
    <row r="634" hidden="1" s="21">
      <c r="A634" s="8" t="inlineStr">
        <is>
          <t>롯데ON</t>
        </is>
      </c>
      <c r="B634" s="9" t="inlineStr">
        <is>
          <t>가공식품</t>
        </is>
      </c>
      <c r="C634" s="12" t="inlineStr">
        <is>
          <t>농업회사법인(주)서대산푸드</t>
        </is>
      </c>
      <c r="D634" s="12" t="inlineStr">
        <is>
          <t>602-88-01725</t>
        </is>
      </c>
      <c r="E634" s="16" t="inlineStr">
        <is>
          <t>집밥상점]추부깻잎 통째로 넣은 깻잎현미인절미 500g/1kg</t>
        </is>
      </c>
      <c r="F634" s="142" t="n">
        <v>3</v>
      </c>
      <c r="G634" s="142" t="n">
        <v>83000</v>
      </c>
      <c r="H634" s="142" t="n">
        <v>9650</v>
      </c>
    </row>
    <row r="635" hidden="1" s="21">
      <c r="A635" s="8" t="inlineStr">
        <is>
          <t>롯데ON</t>
        </is>
      </c>
      <c r="B635" s="9" t="inlineStr">
        <is>
          <t>축산물</t>
        </is>
      </c>
      <c r="C635" s="12" t="inlineStr">
        <is>
          <t>주식회사 태범프레시</t>
        </is>
      </c>
      <c r="D635" s="12" t="inlineStr">
        <is>
          <t>832-86-02035</t>
        </is>
      </c>
      <c r="E635" s="16" t="inlineStr">
        <is>
          <t>[APP전용][홍익상회] 춘천 국내산 홍익 순살 닭갈비 500g x 5팩/3팩</t>
        </is>
      </c>
      <c r="F635" s="142" t="n">
        <v>4</v>
      </c>
      <c r="G635" s="142" t="n">
        <v>308550</v>
      </c>
      <c r="H635" s="142" t="n">
        <v>36820</v>
      </c>
    </row>
    <row r="636" hidden="1" s="21">
      <c r="A636" s="8" t="inlineStr">
        <is>
          <t>롯데ON</t>
        </is>
      </c>
      <c r="B636" s="9" t="inlineStr">
        <is>
          <t>축산물</t>
        </is>
      </c>
      <c r="C636" s="12" t="inlineStr">
        <is>
          <t>주식회사 태범프레시</t>
        </is>
      </c>
      <c r="D636" s="12" t="inlineStr">
        <is>
          <t>832-86-02035</t>
        </is>
      </c>
      <c r="E636" s="16" t="inlineStr">
        <is>
          <t>[홍익상회] 춘천 국내산 홍익 순살 닭갈비 500g x 5팩/3팩</t>
        </is>
      </c>
      <c r="F636" s="142" t="inlineStr">
        <is>
          <t>-</t>
        </is>
      </c>
      <c r="G636" s="142" t="inlineStr">
        <is>
          <t>-</t>
        </is>
      </c>
      <c r="H636" s="142" t="inlineStr">
        <is>
          <t>-</t>
        </is>
      </c>
    </row>
    <row r="637" hidden="1" s="21">
      <c r="A637" s="8" t="inlineStr">
        <is>
          <t>롯데ON</t>
        </is>
      </c>
      <c r="B637" s="9" t="inlineStr">
        <is>
          <t>농산물</t>
        </is>
      </c>
      <c r="C637" s="12" t="inlineStr">
        <is>
          <t>좋은세상협동조합</t>
        </is>
      </c>
      <c r="D637" s="12" t="inlineStr">
        <is>
          <t>416-81-92591</t>
        </is>
      </c>
      <c r="E637" s="16" t="inlineStr">
        <is>
          <t>25년 해남 햇 호박고구마 2kg 외 3/5kg</t>
        </is>
      </c>
      <c r="F637" s="142" t="inlineStr">
        <is>
          <t>-</t>
        </is>
      </c>
      <c r="G637" s="142" t="inlineStr">
        <is>
          <t>-</t>
        </is>
      </c>
      <c r="H637" s="142" t="inlineStr">
        <is>
          <t>-</t>
        </is>
      </c>
    </row>
    <row r="638" hidden="1" s="21">
      <c r="A638" s="8" t="inlineStr">
        <is>
          <t>롯데ON</t>
        </is>
      </c>
      <c r="B638" s="9" t="inlineStr">
        <is>
          <t>농산물</t>
        </is>
      </c>
      <c r="C638" s="12" t="inlineStr">
        <is>
          <t>파머레시피</t>
        </is>
      </c>
      <c r="D638" s="12" t="inlineStr">
        <is>
          <t>191-97-01154</t>
        </is>
      </c>
      <c r="E638" s="16" t="inlineStr">
        <is>
          <t>[집밥상점][청년농부산지직송]찰지고 맛있는 삼광쌀 삼광미 25년산 백미 햅쌀 2kg 5kg</t>
        </is>
      </c>
      <c r="F638" s="142" t="n">
        <v>196</v>
      </c>
      <c r="G638" s="142" t="n">
        <v>10726050</v>
      </c>
      <c r="H638" s="142" t="n">
        <v>1098300</v>
      </c>
    </row>
    <row r="639" hidden="1" s="21">
      <c r="A639" s="8" t="inlineStr">
        <is>
          <t>롯데ON</t>
        </is>
      </c>
      <c r="B639" s="9" t="inlineStr">
        <is>
          <t>가공식품</t>
        </is>
      </c>
      <c r="C639" s="12" t="inlineStr">
        <is>
          <t>파머레시피</t>
        </is>
      </c>
      <c r="D639" s="12" t="inlineStr">
        <is>
          <t>191-97-01154</t>
        </is>
      </c>
      <c r="E639" s="16" t="inlineStr">
        <is>
          <t>[집밥상점][GAP청년농부산지직송]국산 건마늘 안 튀긴 건조 마늘칩 250g 400g</t>
        </is>
      </c>
      <c r="F639" s="142" t="n">
        <v>28</v>
      </c>
      <c r="G639" s="142" t="n">
        <v>988480</v>
      </c>
      <c r="H639" s="142" t="n">
        <v>99440</v>
      </c>
    </row>
    <row r="640" hidden="1" s="21">
      <c r="A640" s="8" t="inlineStr">
        <is>
          <t>롯데ON</t>
        </is>
      </c>
      <c r="B640" s="9" t="inlineStr">
        <is>
          <t>농산물</t>
        </is>
      </c>
      <c r="C640" s="12" t="inlineStr">
        <is>
          <t>파머레시피</t>
        </is>
      </c>
      <c r="D640" s="12" t="inlineStr">
        <is>
          <t>191-97-01154</t>
        </is>
      </c>
      <c r="E640" s="16" t="inlineStr">
        <is>
          <t>[집밥상점][GAP청년농부산지직송] 26년 국내산 고령 대서 햇마늘 통마늘 3kg 5kg</t>
        </is>
      </c>
      <c r="F640" s="142" t="n">
        <v>29</v>
      </c>
      <c r="G640" s="142" t="n">
        <v>1051220</v>
      </c>
      <c r="H640" s="142" t="n">
        <v>118530</v>
      </c>
    </row>
    <row r="641" hidden="1" s="21">
      <c r="A641" s="8" t="inlineStr">
        <is>
          <t>롯데ON</t>
        </is>
      </c>
      <c r="B641" s="9" t="inlineStr">
        <is>
          <t>농산물</t>
        </is>
      </c>
      <c r="C641" s="12" t="inlineStr">
        <is>
          <t>파머레시피</t>
        </is>
      </c>
      <c r="D641" s="12" t="inlineStr">
        <is>
          <t>191-97-01154</t>
        </is>
      </c>
      <c r="E641" s="16" t="inlineStr">
        <is>
          <t>[집밥상점][GAP청년농부산지직송] 26년 국내산 고령 햇양파 2kg 3kg 5kg 10kg</t>
        </is>
      </c>
      <c r="F641" s="142" t="n">
        <v>11</v>
      </c>
      <c r="G641" s="142" t="n">
        <v>137980</v>
      </c>
      <c r="H641" s="142" t="n">
        <v>15160</v>
      </c>
    </row>
    <row r="642" hidden="1" s="21">
      <c r="A642" s="8" t="inlineStr">
        <is>
          <t>롯데ON</t>
        </is>
      </c>
      <c r="B642" s="9" t="inlineStr">
        <is>
          <t>농산물</t>
        </is>
      </c>
      <c r="C642" s="12" t="inlineStr">
        <is>
          <t>상주아람곶감영농조합법인</t>
        </is>
      </c>
      <c r="D642" s="12" t="inlineStr">
        <is>
          <t>606-88-00470</t>
        </is>
      </c>
      <c r="E642" s="16" t="inlineStr">
        <is>
          <t>[온누리7%혜택]상주곶감 선물세트 3호</t>
        </is>
      </c>
      <c r="F642" s="142" t="inlineStr">
        <is>
          <t>-</t>
        </is>
      </c>
      <c r="G642" s="142" t="inlineStr">
        <is>
          <t>-</t>
        </is>
      </c>
      <c r="H642" s="142" t="inlineStr">
        <is>
          <t>-</t>
        </is>
      </c>
    </row>
    <row r="643" hidden="1" s="21">
      <c r="A643" s="8" t="inlineStr">
        <is>
          <t>롯데ON</t>
        </is>
      </c>
      <c r="B643" s="9" t="inlineStr">
        <is>
          <t>농산물</t>
        </is>
      </c>
      <c r="C643" s="12" t="inlineStr">
        <is>
          <t>상주아람곶감영농조합법인</t>
        </is>
      </c>
      <c r="D643" s="12" t="inlineStr">
        <is>
          <t>606-88-00470</t>
        </is>
      </c>
      <c r="E643" s="16" t="inlineStr">
        <is>
          <t>[온누리7%혜택]상주곶감 선물세트 반건시 실속형</t>
        </is>
      </c>
      <c r="F643" s="142" t="n">
        <v>3</v>
      </c>
      <c r="G643" s="142" t="n">
        <v>114000</v>
      </c>
      <c r="H643" s="142" t="n">
        <v>21660</v>
      </c>
    </row>
    <row r="644" hidden="1" s="21">
      <c r="A644" s="8" t="inlineStr">
        <is>
          <t>롯데ON</t>
        </is>
      </c>
      <c r="B644" s="9" t="inlineStr">
        <is>
          <t>농산물</t>
        </is>
      </c>
      <c r="C644" s="12" t="inlineStr">
        <is>
          <t>상주아람곶감영농조합법인</t>
        </is>
      </c>
      <c r="D644" s="12" t="inlineStr">
        <is>
          <t>606-88-00470</t>
        </is>
      </c>
      <c r="E644" s="16" t="inlineStr">
        <is>
          <t>[온세일]상주곶감 세트 1호 단체 기업 명절선물세트</t>
        </is>
      </c>
      <c r="F644" s="142" t="inlineStr">
        <is>
          <t>-</t>
        </is>
      </c>
      <c r="G644" s="142" t="inlineStr">
        <is>
          <t>-</t>
        </is>
      </c>
      <c r="H644" s="142" t="inlineStr">
        <is>
          <t>-</t>
        </is>
      </c>
    </row>
    <row r="645" hidden="1" s="21">
      <c r="A645" s="8" t="inlineStr">
        <is>
          <t>롯데ON</t>
        </is>
      </c>
      <c r="B645" s="9" t="inlineStr">
        <is>
          <t>농산물</t>
        </is>
      </c>
      <c r="C645" s="12" t="inlineStr">
        <is>
          <t>상주아람곶감영농조합법인</t>
        </is>
      </c>
      <c r="D645" s="12" t="inlineStr">
        <is>
          <t>606-88-00470</t>
        </is>
      </c>
      <c r="E645" s="16" t="inlineStr">
        <is>
          <t>[온세일]상주곶감 선물세트 3호 명절선물세트</t>
        </is>
      </c>
      <c r="F645" s="142" t="inlineStr">
        <is>
          <t>-</t>
        </is>
      </c>
      <c r="G645" s="142" t="inlineStr">
        <is>
          <t>-</t>
        </is>
      </c>
      <c r="H645" s="142" t="inlineStr">
        <is>
          <t>-</t>
        </is>
      </c>
    </row>
    <row r="646" hidden="1" s="21">
      <c r="A646" s="8" t="inlineStr">
        <is>
          <t>롯데ON</t>
        </is>
      </c>
      <c r="B646" s="9" t="inlineStr">
        <is>
          <t>농산물</t>
        </is>
      </c>
      <c r="C646" s="12" t="inlineStr">
        <is>
          <t>상주아람곶감영농조합법인</t>
        </is>
      </c>
      <c r="D646" s="12" t="inlineStr">
        <is>
          <t>606-88-00470</t>
        </is>
      </c>
      <c r="E646" s="16" t="inlineStr">
        <is>
          <t>[온세일]상주곶감 반건시 선물세트 60g 20개 [1.2kg] 고급 단체 선물세트</t>
        </is>
      </c>
      <c r="F646" s="142" t="inlineStr">
        <is>
          <t>-</t>
        </is>
      </c>
      <c r="G646" s="142" t="inlineStr">
        <is>
          <t>-</t>
        </is>
      </c>
      <c r="H646" s="142" t="inlineStr">
        <is>
          <t>-</t>
        </is>
      </c>
    </row>
    <row r="647" hidden="1" s="21">
      <c r="A647" s="8" t="inlineStr">
        <is>
          <t>롯데ON</t>
        </is>
      </c>
      <c r="B647" s="9" t="inlineStr">
        <is>
          <t>농산물</t>
        </is>
      </c>
      <c r="C647" s="12" t="inlineStr">
        <is>
          <t>상주아람곶감영농조합법인</t>
        </is>
      </c>
      <c r="D647" s="12" t="inlineStr">
        <is>
          <t>606-88-00470</t>
        </is>
      </c>
      <c r="E647" s="16" t="inlineStr">
        <is>
          <t>[온세일]상주곶감 반건시 선물세트(50g 30개)</t>
        </is>
      </c>
      <c r="F647" s="142" t="inlineStr">
        <is>
          <t>-</t>
        </is>
      </c>
      <c r="G647" s="142" t="inlineStr">
        <is>
          <t>-</t>
        </is>
      </c>
      <c r="H647" s="142" t="inlineStr">
        <is>
          <t>-</t>
        </is>
      </c>
    </row>
    <row r="648" hidden="1" s="21">
      <c r="A648" s="8" t="inlineStr">
        <is>
          <t>롯데ON</t>
        </is>
      </c>
      <c r="B648" s="9" t="inlineStr">
        <is>
          <t>농산물</t>
        </is>
      </c>
      <c r="C648" s="12" t="inlineStr">
        <is>
          <t>상주아람곶감영농조합법인</t>
        </is>
      </c>
      <c r="D648" s="12" t="inlineStr">
        <is>
          <t>606-88-00470</t>
        </is>
      </c>
      <c r="E648" s="16" t="inlineStr">
        <is>
          <t>[온세일]상주곶감 반건시 선물세트(50g 20개)</t>
        </is>
      </c>
      <c r="F648" s="142" t="inlineStr">
        <is>
          <t>-</t>
        </is>
      </c>
      <c r="G648" s="142" t="inlineStr">
        <is>
          <t>-</t>
        </is>
      </c>
      <c r="H648" s="142" t="inlineStr">
        <is>
          <t>-</t>
        </is>
      </c>
    </row>
    <row r="649" hidden="1" s="21">
      <c r="A649" s="8" t="inlineStr">
        <is>
          <t>롯데ON</t>
        </is>
      </c>
      <c r="B649" s="9" t="inlineStr">
        <is>
          <t>농산물</t>
        </is>
      </c>
      <c r="C649" s="12" t="inlineStr">
        <is>
          <t>상주아람곶감영농조합법인</t>
        </is>
      </c>
      <c r="D649" s="12" t="inlineStr">
        <is>
          <t>606-88-00470</t>
        </is>
      </c>
      <c r="E649" s="16" t="inlineStr">
        <is>
          <t>[온세일]실속형 대봉 감말랭이 1kg</t>
        </is>
      </c>
      <c r="F649" s="142" t="inlineStr">
        <is>
          <t>-</t>
        </is>
      </c>
      <c r="G649" s="142" t="inlineStr">
        <is>
          <t>-</t>
        </is>
      </c>
      <c r="H649" s="142" t="inlineStr">
        <is>
          <t>-</t>
        </is>
      </c>
    </row>
    <row r="650" hidden="1" s="21">
      <c r="A650" s="8" t="inlineStr">
        <is>
          <t>롯데ON</t>
        </is>
      </c>
      <c r="B650" s="9" t="inlineStr">
        <is>
          <t>농산물</t>
        </is>
      </c>
      <c r="C650" s="12" t="inlineStr">
        <is>
          <t>상주아람곶감영농조합법인</t>
        </is>
      </c>
      <c r="D650" s="12" t="inlineStr">
        <is>
          <t>606-88-00470</t>
        </is>
      </c>
      <c r="E650" s="16" t="inlineStr">
        <is>
          <t>[온세일]상주 반건시 곶감 가정용 선물세트</t>
        </is>
      </c>
      <c r="F650" s="142" t="n">
        <v>1</v>
      </c>
      <c r="G650" s="142" t="n">
        <v>58000</v>
      </c>
      <c r="H650" s="142" t="n">
        <v>10000</v>
      </c>
    </row>
    <row r="651" hidden="1" s="21">
      <c r="A651" s="8" t="inlineStr">
        <is>
          <t>롯데ON</t>
        </is>
      </c>
      <c r="B651" s="9" t="inlineStr">
        <is>
          <t>농산물</t>
        </is>
      </c>
      <c r="C651" s="12" t="inlineStr">
        <is>
          <t>상주아람곶감영농조합법인</t>
        </is>
      </c>
      <c r="D651" s="12" t="inlineStr">
        <is>
          <t>606-88-00470</t>
        </is>
      </c>
      <c r="E651" s="16" t="inlineStr">
        <is>
          <t>[온세일]상주 대봉반건시곶감 선물세트 특90~140g</t>
        </is>
      </c>
      <c r="F651" s="142" t="inlineStr">
        <is>
          <t>-</t>
        </is>
      </c>
      <c r="G651" s="142" t="inlineStr">
        <is>
          <t>-</t>
        </is>
      </c>
      <c r="H651" s="142" t="inlineStr">
        <is>
          <t>-</t>
        </is>
      </c>
    </row>
    <row r="652" hidden="1" customFormat="1" s="72">
      <c r="A652" s="82" t="inlineStr">
        <is>
          <t>롯데ON</t>
        </is>
      </c>
      <c r="B652" s="89" t="inlineStr">
        <is>
          <t>농산물</t>
        </is>
      </c>
      <c r="C652" s="73" t="inlineStr">
        <is>
          <t>상주아람곶감영농조합법인</t>
        </is>
      </c>
      <c r="D652" s="73" t="inlineStr">
        <is>
          <t>606-88-00470</t>
        </is>
      </c>
      <c r="E652" s="90" t="inlineStr">
        <is>
          <t>[온세일]상주아람곶감 감말랭이 인기상품 기획전</t>
        </is>
      </c>
      <c r="F652" s="143" t="inlineStr">
        <is>
          <t>-</t>
        </is>
      </c>
      <c r="G652" s="143" t="inlineStr">
        <is>
          <t>-</t>
        </is>
      </c>
      <c r="H652" s="143" t="inlineStr">
        <is>
          <t>-</t>
        </is>
      </c>
    </row>
    <row r="653" hidden="1" s="21">
      <c r="A653" s="12" t="inlineStr">
        <is>
          <t>오아시스</t>
        </is>
      </c>
      <c r="B653" s="13" t="inlineStr">
        <is>
          <t>농산물</t>
        </is>
      </c>
      <c r="C653" s="13" t="inlineStr">
        <is>
          <t>농업회사법인 디에스푸즈 주식회사</t>
        </is>
      </c>
      <c r="D653" s="136" t="inlineStr">
        <is>
          <t>119-88-01766</t>
        </is>
      </c>
      <c r="E653" s="17" t="inlineStr">
        <is>
          <t>[소백산희여골] GAP *희여골못난이사과(부사) (1.5kg * 1개)</t>
        </is>
      </c>
      <c r="F653" s="144" t="n">
        <v>14292</v>
      </c>
      <c r="G653" s="144" t="n">
        <v>188386880</v>
      </c>
      <c r="H653" s="144" t="n">
        <v>1271104</v>
      </c>
    </row>
    <row r="654" hidden="1" s="21">
      <c r="A654" s="12" t="inlineStr">
        <is>
          <t>오아시스</t>
        </is>
      </c>
      <c r="B654" s="13" t="inlineStr">
        <is>
          <t>농산물</t>
        </is>
      </c>
      <c r="C654" s="13" t="inlineStr">
        <is>
          <t>농업회사법인 디에스푸즈 주식회사</t>
        </is>
      </c>
      <c r="D654" s="136" t="inlineStr">
        <is>
          <t>119-88-01766</t>
        </is>
      </c>
      <c r="E654" s="17" t="inlineStr">
        <is>
          <t>[소백산희여골]GAP 사과(부사) 1.5Kg (1.5kg내외/5-7입 * 1개)</t>
        </is>
      </c>
      <c r="F654" s="144" t="n">
        <v>1310</v>
      </c>
      <c r="G654" s="144" t="n">
        <v>24703200</v>
      </c>
      <c r="H654" s="144" t="n">
        <v>149151</v>
      </c>
    </row>
    <row r="655" hidden="1" s="21">
      <c r="A655" s="12" t="inlineStr">
        <is>
          <t>오아시스</t>
        </is>
      </c>
      <c r="B655" s="13" t="inlineStr">
        <is>
          <t>농산물</t>
        </is>
      </c>
      <c r="C655" s="13" t="inlineStr">
        <is>
          <t>농업회사법인 디에스푸즈 주식회사</t>
        </is>
      </c>
      <c r="D655" s="136" t="inlineStr">
        <is>
          <t>119-88-01766</t>
        </is>
      </c>
      <c r="E655" s="17" t="inlineStr">
        <is>
          <t>[선별사과]GAP소백산 희여골 저탄소 부사사과 1.4kg (6입/팩 * 1개)</t>
        </is>
      </c>
      <c r="F655" s="144" t="n">
        <v>3582</v>
      </c>
      <c r="G655" s="144" t="n">
        <v>60161670</v>
      </c>
      <c r="H655" s="144" t="n">
        <v>605736</v>
      </c>
    </row>
    <row r="656" hidden="1" s="21">
      <c r="A656" s="12" t="inlineStr">
        <is>
          <t>오아시스</t>
        </is>
      </c>
      <c r="B656" s="13" t="inlineStr">
        <is>
          <t>가공식품</t>
        </is>
      </c>
      <c r="C656" s="13" t="inlineStr">
        <is>
          <t>명품수제프레시하우스</t>
        </is>
      </c>
      <c r="D656" s="136" t="inlineStr">
        <is>
          <t>141-06-23534</t>
        </is>
      </c>
      <c r="E656" s="17" t="inlineStr">
        <is>
          <t>보리굴림만두 (410g)</t>
        </is>
      </c>
      <c r="F656" s="144" t="n">
        <v>59</v>
      </c>
      <c r="G656" s="144" t="n">
        <v>737500</v>
      </c>
      <c r="H656" s="144" t="n">
        <v>79676</v>
      </c>
    </row>
    <row r="657" hidden="1" s="21">
      <c r="A657" s="12" t="inlineStr">
        <is>
          <t>오아시스</t>
        </is>
      </c>
      <c r="B657" s="12" t="inlineStr">
        <is>
          <t>축산물</t>
        </is>
      </c>
      <c r="C657" s="12" t="inlineStr">
        <is>
          <t>명품수제프레시하우스</t>
        </is>
      </c>
      <c r="D657" s="136" t="inlineStr">
        <is>
          <t>141-06-23534</t>
        </is>
      </c>
      <c r="E657" s="17" t="inlineStr">
        <is>
          <t>보리떡갈비 500g (8장)</t>
        </is>
      </c>
      <c r="F657" s="144" t="n">
        <v>24</v>
      </c>
      <c r="G657" s="144" t="n">
        <v>340800</v>
      </c>
      <c r="H657" s="144" t="n">
        <v>49744</v>
      </c>
    </row>
    <row r="658" hidden="1" s="21">
      <c r="A658" s="12" t="inlineStr">
        <is>
          <t>오아시스</t>
        </is>
      </c>
      <c r="B658" s="13" t="inlineStr">
        <is>
          <t>가공식품</t>
        </is>
      </c>
      <c r="C658" s="13" t="inlineStr">
        <is>
          <t>노고단식품</t>
        </is>
      </c>
      <c r="D658" s="136" t="inlineStr">
        <is>
          <t>407-05-49397</t>
        </is>
      </c>
      <c r="E658" s="17" t="inlineStr">
        <is>
          <t>순수 서리태콩물(1L)</t>
        </is>
      </c>
      <c r="F658" s="144" t="n">
        <v>11026</v>
      </c>
      <c r="G658" s="144" t="n">
        <v>64901840</v>
      </c>
      <c r="H658" s="144" t="n">
        <v>711655</v>
      </c>
    </row>
    <row r="659" hidden="1" s="21">
      <c r="A659" s="12" t="inlineStr">
        <is>
          <t>오아시스</t>
        </is>
      </c>
      <c r="B659" s="13" t="inlineStr">
        <is>
          <t>가공식품</t>
        </is>
      </c>
      <c r="C659" s="13" t="inlineStr">
        <is>
          <t>노고단식품</t>
        </is>
      </c>
      <c r="D659" s="136" t="inlineStr">
        <is>
          <t>407-05-49397</t>
        </is>
      </c>
      <c r="E659" s="17" t="inlineStr">
        <is>
          <t>고소한 흑임자 콩국물(1L) (2개)</t>
        </is>
      </c>
      <c r="F659" s="144" t="n">
        <v>11302</v>
      </c>
      <c r="G659" s="144" t="n">
        <v>52299100</v>
      </c>
      <c r="H659" s="144" t="n">
        <v>708110</v>
      </c>
    </row>
    <row r="660" hidden="1" s="21">
      <c r="A660" s="12" t="inlineStr">
        <is>
          <t>오아시스</t>
        </is>
      </c>
      <c r="B660" s="13" t="inlineStr">
        <is>
          <t>가공식품</t>
        </is>
      </c>
      <c r="C660" s="13" t="inlineStr">
        <is>
          <t>노고단식품</t>
        </is>
      </c>
      <c r="D660" s="136" t="inlineStr">
        <is>
          <t>407-05-49397</t>
        </is>
      </c>
      <c r="E660" s="17" t="inlineStr">
        <is>
          <t>고소한 순수콩물(1L)</t>
        </is>
      </c>
      <c r="F660" s="144" t="n">
        <v>10571</v>
      </c>
      <c r="G660" s="144" t="n">
        <v>42417200</v>
      </c>
      <c r="H660" s="144" t="n">
        <v>560200</v>
      </c>
    </row>
    <row r="661" hidden="1" s="21">
      <c r="A661" s="12" t="inlineStr">
        <is>
          <t>오아시스</t>
        </is>
      </c>
      <c r="B661" s="13" t="inlineStr">
        <is>
          <t>가공식품</t>
        </is>
      </c>
      <c r="C661" s="13" t="inlineStr">
        <is>
          <t>노고단식품</t>
        </is>
      </c>
      <c r="D661" s="136" t="inlineStr">
        <is>
          <t>407-05-49397</t>
        </is>
      </c>
      <c r="E661" s="17" t="inlineStr">
        <is>
          <t>우무묵(340g)</t>
        </is>
      </c>
      <c r="F661" s="144" t="n">
        <v>2689</v>
      </c>
      <c r="G661" s="144" t="n">
        <v>5907000</v>
      </c>
      <c r="H661" s="144" t="n">
        <v>64236</v>
      </c>
    </row>
    <row r="662" hidden="1" s="21">
      <c r="A662" s="12" t="inlineStr">
        <is>
          <t>오아시스</t>
        </is>
      </c>
      <c r="B662" s="13" t="inlineStr">
        <is>
          <t>가공식품</t>
        </is>
      </c>
      <c r="C662" s="13" t="inlineStr">
        <is>
          <t>노고단식품</t>
        </is>
      </c>
      <c r="D662" s="136" t="inlineStr">
        <is>
          <t>407-05-49397</t>
        </is>
      </c>
      <c r="E662" s="17" t="inlineStr">
        <is>
          <t>비트청포묵(300g)</t>
        </is>
      </c>
      <c r="F662" s="144" t="n">
        <v>621</v>
      </c>
      <c r="G662" s="144" t="n">
        <v>2916700</v>
      </c>
      <c r="H662" s="144" t="n">
        <v>29760</v>
      </c>
    </row>
    <row r="663" hidden="1" s="21">
      <c r="A663" s="12" t="inlineStr">
        <is>
          <t>오아시스</t>
        </is>
      </c>
      <c r="B663" s="13" t="inlineStr">
        <is>
          <t>가공식품</t>
        </is>
      </c>
      <c r="C663" s="13" t="inlineStr">
        <is>
          <t>노고단식품</t>
        </is>
      </c>
      <c r="D663" s="136" t="inlineStr">
        <is>
          <t>407-05-49397</t>
        </is>
      </c>
      <c r="E663" s="17" t="inlineStr">
        <is>
          <t>치자청포묵(300g)</t>
        </is>
      </c>
      <c r="F663" s="144" t="n">
        <v>562</v>
      </c>
      <c r="G663" s="144" t="n">
        <v>2607800</v>
      </c>
      <c r="H663" s="144" t="n">
        <v>21440</v>
      </c>
    </row>
    <row r="664" hidden="1" s="21">
      <c r="A664" s="12" t="inlineStr">
        <is>
          <t>오아시스</t>
        </is>
      </c>
      <c r="B664" s="13" t="inlineStr">
        <is>
          <t>축산물</t>
        </is>
      </c>
      <c r="C664" s="13" t="inlineStr">
        <is>
          <t>케이에프지</t>
        </is>
      </c>
      <c r="D664" s="136" t="inlineStr">
        <is>
          <t>120-86-08936</t>
        </is>
      </c>
      <c r="E664" s="17" t="inlineStr">
        <is>
          <t>한돈 제육볶음 (650g X 1개)</t>
        </is>
      </c>
      <c r="F664" s="144" t="n">
        <v>4759</v>
      </c>
      <c r="G664" s="144" t="n">
        <v>46426900</v>
      </c>
      <c r="H664" s="144" t="n">
        <v>749940</v>
      </c>
    </row>
    <row r="665" hidden="1" s="21">
      <c r="A665" s="12" t="inlineStr">
        <is>
          <t>오아시스</t>
        </is>
      </c>
      <c r="B665" s="13" t="inlineStr">
        <is>
          <t>축산물</t>
        </is>
      </c>
      <c r="C665" s="13" t="inlineStr">
        <is>
          <t>케이에프지</t>
        </is>
      </c>
      <c r="D665" s="136" t="inlineStr">
        <is>
          <t>120-86-08936</t>
        </is>
      </c>
      <c r="E665" s="17" t="inlineStr">
        <is>
          <t>한돈 칼집 양념구이 (650g X 1개)</t>
        </is>
      </c>
      <c r="F665" s="144" t="n">
        <v>2552</v>
      </c>
      <c r="G665" s="144" t="n">
        <v>30197000</v>
      </c>
      <c r="H665" s="144" t="n">
        <v>490780</v>
      </c>
    </row>
    <row r="666" hidden="1" s="21">
      <c r="A666" s="12" t="inlineStr">
        <is>
          <t>오아시스</t>
        </is>
      </c>
      <c r="B666" s="13" t="inlineStr">
        <is>
          <t>축산물</t>
        </is>
      </c>
      <c r="C666" s="13" t="inlineStr">
        <is>
          <t>케이에프지</t>
        </is>
      </c>
      <c r="D666" s="136" t="inlineStr">
        <is>
          <t>120-86-08936</t>
        </is>
      </c>
      <c r="E666" s="17" t="inlineStr">
        <is>
          <t>한돈 성북동식 돼지불백 (650g X 1개)</t>
        </is>
      </c>
      <c r="F666" s="144" t="n">
        <v>2247</v>
      </c>
      <c r="G666" s="144" t="n">
        <v>21744400</v>
      </c>
      <c r="H666" s="144" t="n">
        <v>555270</v>
      </c>
    </row>
    <row r="667" hidden="1" s="21">
      <c r="A667" s="12" t="inlineStr">
        <is>
          <t>오아시스</t>
        </is>
      </c>
      <c r="B667" s="13" t="inlineStr">
        <is>
          <t>축산물</t>
        </is>
      </c>
      <c r="C667" s="13" t="inlineStr">
        <is>
          <t>케이에프지</t>
        </is>
      </c>
      <c r="D667" s="136" t="inlineStr">
        <is>
          <t>120-86-08936</t>
        </is>
      </c>
      <c r="E667" s="17" t="inlineStr">
        <is>
          <t>서울식 한우 불고기 밀키트 (800g X 1개)</t>
        </is>
      </c>
      <c r="F667" s="144" t="n">
        <v>883</v>
      </c>
      <c r="G667" s="144" t="n">
        <v>15422600</v>
      </c>
      <c r="H667" s="144" t="n">
        <v>271750</v>
      </c>
    </row>
    <row r="668" hidden="1" s="21">
      <c r="A668" s="12" t="inlineStr">
        <is>
          <t>오아시스</t>
        </is>
      </c>
      <c r="B668" s="13" t="inlineStr">
        <is>
          <t>농산물</t>
        </is>
      </c>
      <c r="C668" s="13" t="inlineStr">
        <is>
          <t>행복예감곶감 영농조합법인</t>
        </is>
      </c>
      <c r="D668" s="136" t="inlineStr">
        <is>
          <t>511-81-21260</t>
        </is>
      </c>
      <c r="E668" s="17" t="inlineStr">
        <is>
          <t>GAP 아이스홍시(6입/총 420g이상)</t>
        </is>
      </c>
      <c r="F668" s="144" t="n">
        <v>3118</v>
      </c>
      <c r="G668" s="144" t="n">
        <v>16939700</v>
      </c>
      <c r="H668" s="144" t="n">
        <v>1323514</v>
      </c>
    </row>
    <row r="669" hidden="1" s="21">
      <c r="A669" s="12" t="inlineStr">
        <is>
          <t>오아시스</t>
        </is>
      </c>
      <c r="B669" s="13" t="inlineStr">
        <is>
          <t>가공식품</t>
        </is>
      </c>
      <c r="C669" s="13" t="inlineStr">
        <is>
          <t>주식회사 토종마을</t>
        </is>
      </c>
      <c r="D669" s="136" t="inlineStr">
        <is>
          <t>204-86-28088</t>
        </is>
      </c>
      <c r="E669" s="17" t="inlineStr">
        <is>
          <t>[토종마을]국산 진도 구기자 300g</t>
        </is>
      </c>
      <c r="F669" s="144" t="n">
        <v>18</v>
      </c>
      <c r="G669" s="144" t="n">
        <v>702000</v>
      </c>
      <c r="H669" s="144" t="n">
        <v>90870</v>
      </c>
    </row>
    <row r="670" hidden="1" s="21">
      <c r="A670" s="12" t="inlineStr">
        <is>
          <t>오아시스</t>
        </is>
      </c>
      <c r="B670" s="13" t="inlineStr">
        <is>
          <t>가공식품</t>
        </is>
      </c>
      <c r="C670" s="13" t="inlineStr">
        <is>
          <t>주식회사 토종마을</t>
        </is>
      </c>
      <c r="D670" s="136" t="inlineStr">
        <is>
          <t>204-86-28088</t>
        </is>
      </c>
      <c r="E670" s="17" t="inlineStr">
        <is>
          <t>[토종마을]국산 오미자 300g</t>
        </is>
      </c>
      <c r="F670" s="144" t="n">
        <v>38</v>
      </c>
      <c r="G670" s="144" t="n">
        <v>722000</v>
      </c>
      <c r="H670" s="144" t="n">
        <v>86352</v>
      </c>
    </row>
    <row r="671" hidden="1" s="21">
      <c r="A671" s="12" t="inlineStr">
        <is>
          <t>오아시스</t>
        </is>
      </c>
      <c r="B671" s="13" t="inlineStr">
        <is>
          <t>가공식품</t>
        </is>
      </c>
      <c r="C671" s="13" t="inlineStr">
        <is>
          <t>주식회사 토종마을</t>
        </is>
      </c>
      <c r="D671" s="136" t="inlineStr">
        <is>
          <t>204-86-28088</t>
        </is>
      </c>
      <c r="E671" s="17" t="inlineStr">
        <is>
          <t>[토종마을]국산 고운쑥분말 250g</t>
        </is>
      </c>
      <c r="F671" s="144" t="n">
        <v>21</v>
      </c>
      <c r="G671" s="144" t="n">
        <v>231000</v>
      </c>
      <c r="H671" s="144" t="n">
        <v>33200</v>
      </c>
    </row>
    <row r="672" hidden="1" s="21">
      <c r="A672" s="12" t="inlineStr">
        <is>
          <t>오아시스</t>
        </is>
      </c>
      <c r="B672" s="13" t="inlineStr">
        <is>
          <t>가공식품</t>
        </is>
      </c>
      <c r="C672" s="13" t="inlineStr">
        <is>
          <t>주식회사 토종마을</t>
        </is>
      </c>
      <c r="D672" s="136" t="inlineStr">
        <is>
          <t>204-86-28088</t>
        </is>
      </c>
      <c r="E672" s="17" t="inlineStr">
        <is>
          <t>[요리앤가루]HACCP인증 국산 마늘분말 100g(국산 천연조미료)</t>
        </is>
      </c>
      <c r="F672" s="144" t="n">
        <v>12</v>
      </c>
      <c r="G672" s="144" t="n">
        <v>54000</v>
      </c>
      <c r="H672" s="144" t="n">
        <v>10800</v>
      </c>
    </row>
    <row r="673" hidden="1" s="21">
      <c r="A673" s="12" t="inlineStr">
        <is>
          <t>오아시스</t>
        </is>
      </c>
      <c r="B673" s="13" t="inlineStr">
        <is>
          <t>가공식품</t>
        </is>
      </c>
      <c r="C673" s="13" t="inlineStr">
        <is>
          <t>주식회사 토종마을</t>
        </is>
      </c>
      <c r="D673" s="136" t="inlineStr">
        <is>
          <t>204-86-28088</t>
        </is>
      </c>
      <c r="E673" s="17" t="inlineStr">
        <is>
          <t>[토종마을]HACCP인증 국산 유기농 양배추환 200g</t>
        </is>
      </c>
      <c r="F673" s="144" t="n">
        <v>4</v>
      </c>
      <c r="G673" s="144" t="n">
        <v>50000</v>
      </c>
      <c r="H673" s="144" t="n">
        <v>10000</v>
      </c>
    </row>
    <row r="674" hidden="1" s="21">
      <c r="A674" s="12" t="inlineStr">
        <is>
          <t>오아시스</t>
        </is>
      </c>
      <c r="B674" s="13" t="inlineStr">
        <is>
          <t>가공식품</t>
        </is>
      </c>
      <c r="C674" s="13" t="inlineStr">
        <is>
          <t>주식회사 토종마을</t>
        </is>
      </c>
      <c r="D674" s="136" t="inlineStr">
        <is>
          <t>204-86-28088</t>
        </is>
      </c>
      <c r="E674" s="17" t="inlineStr">
        <is>
          <t>토종마을 HACCP인증 국산 유기농 양배추분말 100g</t>
        </is>
      </c>
      <c r="F674" s="144" t="n">
        <v>4</v>
      </c>
      <c r="G674" s="144" t="n">
        <v>31600</v>
      </c>
      <c r="H674" s="144" t="n">
        <v>3160</v>
      </c>
    </row>
    <row r="675" hidden="1" s="21">
      <c r="A675" s="12" t="inlineStr">
        <is>
          <t>오아시스</t>
        </is>
      </c>
      <c r="B675" s="13" t="inlineStr">
        <is>
          <t>가공식품</t>
        </is>
      </c>
      <c r="C675" s="13" t="inlineStr">
        <is>
          <t>주식회사 토종마을</t>
        </is>
      </c>
      <c r="D675" s="136" t="inlineStr">
        <is>
          <t>204-86-28088</t>
        </is>
      </c>
      <c r="E675" s="17" t="inlineStr">
        <is>
          <t>[요리앤가루]HACCP인증 국산 표고버섯분말 70g(국산 천연조미료)</t>
        </is>
      </c>
      <c r="F675" s="144" t="n">
        <v>17</v>
      </c>
      <c r="G675" s="144" t="n">
        <v>93500</v>
      </c>
      <c r="H675" s="144" t="n">
        <v>15400</v>
      </c>
    </row>
    <row r="676" hidden="1" s="21">
      <c r="A676" s="12" t="inlineStr">
        <is>
          <t>오아시스</t>
        </is>
      </c>
      <c r="B676" s="13" t="inlineStr">
        <is>
          <t>가공식품</t>
        </is>
      </c>
      <c r="C676" s="13" t="inlineStr">
        <is>
          <t>주식회사 토종마을</t>
        </is>
      </c>
      <c r="D676" s="136" t="inlineStr">
        <is>
          <t>204-86-28088</t>
        </is>
      </c>
      <c r="E676" s="17" t="inlineStr">
        <is>
          <t>[요리앤가루]국산 청국장가루 600g (냄새적은 청국장가루)</t>
        </is>
      </c>
      <c r="F676" s="144" t="n">
        <v>24</v>
      </c>
      <c r="G676" s="144" t="n">
        <v>276000</v>
      </c>
      <c r="H676" s="144" t="n">
        <v>43700</v>
      </c>
    </row>
    <row r="677" hidden="1" s="21">
      <c r="A677" s="12" t="inlineStr">
        <is>
          <t>오아시스</t>
        </is>
      </c>
      <c r="B677" s="13" t="inlineStr">
        <is>
          <t>가공식품</t>
        </is>
      </c>
      <c r="C677" s="13" t="inlineStr">
        <is>
          <t>주식회사 토종마을</t>
        </is>
      </c>
      <c r="D677" s="136" t="inlineStr">
        <is>
          <t>204-86-28088</t>
        </is>
      </c>
      <c r="E677" s="17" t="inlineStr">
        <is>
          <t>[요리앤가루]도토리묵만들기 500g (국산 도토리가루)</t>
        </is>
      </c>
      <c r="F677" s="144" t="n">
        <v>13</v>
      </c>
      <c r="G677" s="144" t="n">
        <v>260000</v>
      </c>
      <c r="H677" s="144" t="n">
        <v>46289</v>
      </c>
    </row>
    <row r="678" hidden="1" s="21">
      <c r="A678" s="12" t="inlineStr">
        <is>
          <t>오아시스</t>
        </is>
      </c>
      <c r="B678" s="13" t="inlineStr">
        <is>
          <t>가공식품</t>
        </is>
      </c>
      <c r="C678" s="13" t="inlineStr">
        <is>
          <t>주식회사 토종마을</t>
        </is>
      </c>
      <c r="D678" s="136" t="inlineStr">
        <is>
          <t>204-86-28088</t>
        </is>
      </c>
      <c r="E678" s="17" t="inlineStr">
        <is>
          <t>[토종마을]HACCP인증 국산 유기농 강황가루 120g_진도산 유기농 강황_진도강황</t>
        </is>
      </c>
      <c r="F678" s="144" t="n">
        <v>11</v>
      </c>
      <c r="G678" s="144" t="n">
        <v>165000</v>
      </c>
      <c r="H678" s="144" t="n">
        <v>17778</v>
      </c>
    </row>
    <row r="679" hidden="1" s="21">
      <c r="A679" s="12" t="inlineStr">
        <is>
          <t>오아시스</t>
        </is>
      </c>
      <c r="B679" s="13" t="inlineStr">
        <is>
          <t>농산물</t>
        </is>
      </c>
      <c r="C679" s="13" t="inlineStr">
        <is>
          <t>농업회사법인 주식회사 팔농</t>
        </is>
      </c>
      <c r="D679" s="136" t="inlineStr">
        <is>
          <t>797-88-03152</t>
        </is>
      </c>
      <c r="E679" s="17" t="inlineStr">
        <is>
          <t>애플랩 경북 세척사과 소과 2kg</t>
        </is>
      </c>
      <c r="F679" s="144" t="n">
        <v>11</v>
      </c>
      <c r="G679" s="144" t="n">
        <v>174900</v>
      </c>
      <c r="H679" s="144" t="n">
        <v>19080</v>
      </c>
    </row>
    <row r="680" hidden="1" s="21">
      <c r="A680" s="12" t="inlineStr">
        <is>
          <t>오아시스</t>
        </is>
      </c>
      <c r="B680" s="13" t="inlineStr">
        <is>
          <t>농산물</t>
        </is>
      </c>
      <c r="C680" s="13" t="inlineStr">
        <is>
          <t>농업회사법인 주식회사 팔농</t>
        </is>
      </c>
      <c r="D680" s="136" t="inlineStr">
        <is>
          <t>797-88-03152</t>
        </is>
      </c>
      <c r="E680" s="17" t="inlineStr">
        <is>
          <t>애플랩 경북 세척사과 중소과 2kg 10과내외</t>
        </is>
      </c>
      <c r="F680" s="144" t="n">
        <v>3</v>
      </c>
      <c r="G680" s="144" t="n">
        <v>53700</v>
      </c>
      <c r="H680" s="144" t="n">
        <v>10740</v>
      </c>
    </row>
    <row r="681" hidden="1" s="21">
      <c r="A681" s="12" t="inlineStr">
        <is>
          <t>오아시스</t>
        </is>
      </c>
      <c r="B681" s="12" t="inlineStr">
        <is>
          <t>축산물</t>
        </is>
      </c>
      <c r="C681" s="13" t="inlineStr">
        <is>
          <t>농업회사법인 주식회사 팔농</t>
        </is>
      </c>
      <c r="D681" s="136" t="inlineStr">
        <is>
          <t>797-88-03152</t>
        </is>
      </c>
      <c r="E681" s="17" t="inlineStr">
        <is>
          <t>안동한우양반곱창 한우곱창 200gX2팩 (400g)</t>
        </is>
      </c>
      <c r="F681" s="144" t="n">
        <v>16</v>
      </c>
      <c r="G681" s="144" t="n">
        <v>508800</v>
      </c>
      <c r="H681" s="144" t="n">
        <v>92680</v>
      </c>
    </row>
    <row r="682" hidden="1" s="21">
      <c r="A682" s="12" t="inlineStr">
        <is>
          <t>오아시스</t>
        </is>
      </c>
      <c r="B682" s="12" t="inlineStr">
        <is>
          <t>축산물</t>
        </is>
      </c>
      <c r="C682" s="13" t="inlineStr">
        <is>
          <t>농업회사법인 주식회사 팔농</t>
        </is>
      </c>
      <c r="D682" s="136" t="inlineStr">
        <is>
          <t>797-88-03152</t>
        </is>
      </c>
      <c r="E682" s="17" t="inlineStr">
        <is>
          <t>안동한우양반곱창 한우곱창200g+한우대창200g 2종세트</t>
        </is>
      </c>
      <c r="F682" s="144" t="n">
        <v>2</v>
      </c>
      <c r="G682" s="144" t="n">
        <v>59600</v>
      </c>
      <c r="H682" s="144" t="n">
        <v>11920</v>
      </c>
    </row>
    <row r="683" hidden="1" s="21">
      <c r="A683" s="12" t="inlineStr">
        <is>
          <t>오아시스</t>
        </is>
      </c>
      <c r="B683" s="12" t="inlineStr">
        <is>
          <t>축산물</t>
        </is>
      </c>
      <c r="C683" s="13" t="inlineStr">
        <is>
          <t>농업회사법인 주식회사 팔농</t>
        </is>
      </c>
      <c r="D683" s="136" t="inlineStr">
        <is>
          <t>797-88-03152</t>
        </is>
      </c>
      <c r="E683" s="17" t="inlineStr">
        <is>
          <t>안동한우양반곱창 한우곱창200g+한우막창200g 2종세트</t>
        </is>
      </c>
      <c r="F683" s="144" t="n">
        <v>4</v>
      </c>
      <c r="G683" s="144" t="n">
        <v>115200</v>
      </c>
      <c r="H683" s="144" t="n">
        <v>22653</v>
      </c>
    </row>
    <row r="684" hidden="1" s="21">
      <c r="A684" s="12" t="inlineStr">
        <is>
          <t>오아시스</t>
        </is>
      </c>
      <c r="B684" s="12" t="inlineStr">
        <is>
          <t>축산물</t>
        </is>
      </c>
      <c r="C684" s="13" t="inlineStr">
        <is>
          <t>농업회사법인 주식회사 팔농</t>
        </is>
      </c>
      <c r="D684" s="136" t="inlineStr">
        <is>
          <t>797-88-03152</t>
        </is>
      </c>
      <c r="E684" s="17" t="inlineStr">
        <is>
          <t>안동한우양반곱창 한우곱창200g+한우염통200g 2종세트</t>
        </is>
      </c>
      <c r="F684" s="144" t="n">
        <v>1</v>
      </c>
      <c r="G684" s="144" t="n">
        <v>24800</v>
      </c>
      <c r="H684" s="144" t="n">
        <v>4627</v>
      </c>
    </row>
    <row r="685" hidden="1" s="21">
      <c r="A685" s="12" t="inlineStr">
        <is>
          <t>오아시스</t>
        </is>
      </c>
      <c r="B685" s="12" t="inlineStr">
        <is>
          <t>농산물</t>
        </is>
      </c>
      <c r="C685" s="12" t="inlineStr">
        <is>
          <t>조은 영농조합법인</t>
        </is>
      </c>
      <c r="D685" s="136" t="inlineStr">
        <is>
          <t>135-81-57787</t>
        </is>
      </c>
      <c r="E685" s="17" t="inlineStr">
        <is>
          <t>국내산 청경채 (200g)</t>
        </is>
      </c>
      <c r="F685" s="144" t="n">
        <v>4312</v>
      </c>
      <c r="G685" s="144" t="n">
        <v>6766100</v>
      </c>
      <c r="H685" s="144" t="n">
        <v>87840</v>
      </c>
    </row>
    <row r="686" hidden="1" s="21">
      <c r="A686" s="12" t="inlineStr">
        <is>
          <t>오아시스</t>
        </is>
      </c>
      <c r="B686" s="12" t="inlineStr">
        <is>
          <t>농산물</t>
        </is>
      </c>
      <c r="C686" s="12" t="inlineStr">
        <is>
          <t>조은 영농조합법인</t>
        </is>
      </c>
      <c r="D686" s="136" t="inlineStr">
        <is>
          <t>135-81-57787</t>
        </is>
      </c>
      <c r="E686" s="17" t="inlineStr">
        <is>
          <t>국내산 깐쪽파 (150g)</t>
        </is>
      </c>
      <c r="F686" s="144" t="n">
        <v>10180</v>
      </c>
      <c r="G686" s="144" t="n">
        <v>40468520</v>
      </c>
      <c r="H686" s="144" t="n">
        <v>536740</v>
      </c>
    </row>
    <row r="687" hidden="1" s="21">
      <c r="A687" s="12" t="inlineStr">
        <is>
          <t>오아시스</t>
        </is>
      </c>
      <c r="B687" s="12" t="inlineStr">
        <is>
          <t>농산물</t>
        </is>
      </c>
      <c r="C687" s="12" t="inlineStr">
        <is>
          <t>조은 영농조합법인</t>
        </is>
      </c>
      <c r="D687" s="136" t="inlineStr">
        <is>
          <t>135-81-57787</t>
        </is>
      </c>
      <c r="E687" s="17" t="inlineStr">
        <is>
          <t>국내산 스틱샐러리 (150g)</t>
        </is>
      </c>
      <c r="F687" s="144" t="n">
        <v>9147</v>
      </c>
      <c r="G687" s="144" t="n">
        <v>13130990</v>
      </c>
      <c r="H687" s="144" t="n">
        <v>191208</v>
      </c>
    </row>
    <row r="688" hidden="1" s="21">
      <c r="A688" s="12" t="inlineStr">
        <is>
          <t>오아시스</t>
        </is>
      </c>
      <c r="B688" s="12" t="inlineStr">
        <is>
          <t>농산물</t>
        </is>
      </c>
      <c r="C688" s="12" t="inlineStr">
        <is>
          <t>조은 영농조합법인</t>
        </is>
      </c>
      <c r="D688" s="136" t="inlineStr">
        <is>
          <t>135-81-57787</t>
        </is>
      </c>
      <c r="E688" s="17" t="inlineStr">
        <is>
          <t>전골용 채소와 버섯 (470g내외/팩)</t>
        </is>
      </c>
      <c r="F688" s="144" t="n">
        <v>4793</v>
      </c>
      <c r="G688" s="144" t="n">
        <v>23475900</v>
      </c>
      <c r="H688" s="144" t="n">
        <v>737000</v>
      </c>
    </row>
    <row r="689" hidden="1" s="21">
      <c r="A689" s="12" t="inlineStr">
        <is>
          <t>오아시스</t>
        </is>
      </c>
      <c r="B689" s="12" t="inlineStr">
        <is>
          <t>농산물</t>
        </is>
      </c>
      <c r="C689" s="12" t="inlineStr">
        <is>
          <t>조은 영농조합법인</t>
        </is>
      </c>
      <c r="D689" s="136" t="inlineStr">
        <is>
          <t>135-81-57787</t>
        </is>
      </c>
      <c r="E689" s="17" t="inlineStr">
        <is>
          <t>국내산 샐러리 (600g)</t>
        </is>
      </c>
      <c r="F689" s="144" t="inlineStr">
        <is>
          <t>-</t>
        </is>
      </c>
      <c r="G689" s="144" t="inlineStr">
        <is>
          <t>-</t>
        </is>
      </c>
      <c r="H689" s="144" t="inlineStr">
        <is>
          <t>-</t>
        </is>
      </c>
    </row>
    <row r="690" hidden="1" s="21">
      <c r="A690" s="12" t="inlineStr">
        <is>
          <t>오아시스</t>
        </is>
      </c>
      <c r="B690" s="12" t="inlineStr">
        <is>
          <t>농산물</t>
        </is>
      </c>
      <c r="C690" s="12" t="inlineStr">
        <is>
          <t>조은 영농조합법인</t>
        </is>
      </c>
      <c r="D690" s="136" t="inlineStr">
        <is>
          <t>135-81-57787</t>
        </is>
      </c>
      <c r="E690" s="17" t="inlineStr">
        <is>
          <t>GAP 상추와 깻잎(130g/봉)</t>
        </is>
      </c>
      <c r="F690" s="144" t="inlineStr">
        <is>
          <t>-</t>
        </is>
      </c>
      <c r="G690" s="144" t="inlineStr">
        <is>
          <t>-</t>
        </is>
      </c>
      <c r="H690" s="144" t="inlineStr">
        <is>
          <t>-</t>
        </is>
      </c>
    </row>
    <row r="691" hidden="1" s="21">
      <c r="A691" s="12" t="inlineStr">
        <is>
          <t>오아시스</t>
        </is>
      </c>
      <c r="B691" s="12" t="inlineStr">
        <is>
          <t>농산물</t>
        </is>
      </c>
      <c r="C691" s="12" t="inlineStr">
        <is>
          <t>조은 영농조합법인</t>
        </is>
      </c>
      <c r="D691" s="136" t="inlineStr">
        <is>
          <t>135-81-57787</t>
        </is>
      </c>
      <c r="E691" s="17" t="inlineStr">
        <is>
          <t>국산 미나리 (200g)</t>
        </is>
      </c>
      <c r="F691" s="144" t="n">
        <v>4315</v>
      </c>
      <c r="G691" s="144" t="n">
        <v>10536850</v>
      </c>
      <c r="H691" s="144" t="n">
        <v>182976</v>
      </c>
    </row>
    <row r="692" hidden="1" s="21">
      <c r="A692" s="12" t="inlineStr">
        <is>
          <t>오아시스</t>
        </is>
      </c>
      <c r="B692" s="12" t="inlineStr">
        <is>
          <t>농산물</t>
        </is>
      </c>
      <c r="C692" s="12" t="inlineStr">
        <is>
          <t>조은 영농조합법인</t>
        </is>
      </c>
      <c r="D692" s="136" t="inlineStr">
        <is>
          <t>135-81-57787</t>
        </is>
      </c>
      <c r="E692" s="17" t="inlineStr">
        <is>
          <t>GAP 모둠쌈 (350g/팩)</t>
        </is>
      </c>
      <c r="F692" s="144" t="n">
        <v>646</v>
      </c>
      <c r="G692" s="144" t="n">
        <v>3030160</v>
      </c>
      <c r="H692" s="144" t="n">
        <v>126064</v>
      </c>
    </row>
    <row r="693" hidden="1" s="21">
      <c r="A693" s="12" t="inlineStr">
        <is>
          <t>오아시스</t>
        </is>
      </c>
      <c r="B693" s="12" t="inlineStr">
        <is>
          <t>농산물</t>
        </is>
      </c>
      <c r="C693" s="12" t="inlineStr">
        <is>
          <t>조은 영농조합법인</t>
        </is>
      </c>
      <c r="D693" s="136" t="inlineStr">
        <is>
          <t>135-81-57787</t>
        </is>
      </c>
      <c r="E693" s="17" t="inlineStr">
        <is>
          <t>무농약 혼합 목이버섯 (200g)</t>
        </is>
      </c>
      <c r="F693" s="144" t="n">
        <v>2705</v>
      </c>
      <c r="G693" s="144" t="n">
        <v>10913370</v>
      </c>
      <c r="H693" s="144" t="n">
        <v>184506</v>
      </c>
    </row>
    <row r="694" hidden="1" s="21">
      <c r="A694" s="12" t="inlineStr">
        <is>
          <t>오아시스</t>
        </is>
      </c>
      <c r="B694" s="12" t="inlineStr">
        <is>
          <t>농산물</t>
        </is>
      </c>
      <c r="C694" s="12" t="inlineStr">
        <is>
          <t>조은 영농조합법인</t>
        </is>
      </c>
      <c r="D694" s="136" t="inlineStr">
        <is>
          <t>135-81-57787</t>
        </is>
      </c>
      <c r="E694" s="17" t="inlineStr">
        <is>
          <t>국내산 적겨자(80g)</t>
        </is>
      </c>
      <c r="F694" s="144" t="inlineStr">
        <is>
          <t>-</t>
        </is>
      </c>
      <c r="G694" s="144" t="inlineStr">
        <is>
          <t>-</t>
        </is>
      </c>
      <c r="H694" s="144" t="inlineStr">
        <is>
          <t>-</t>
        </is>
      </c>
    </row>
    <row r="695" hidden="1" s="21">
      <c r="A695" s="12" t="inlineStr">
        <is>
          <t>오아시스</t>
        </is>
      </c>
      <c r="B695" s="12" t="inlineStr">
        <is>
          <t>농산물</t>
        </is>
      </c>
      <c r="C695" s="12" t="inlineStr">
        <is>
          <t>조은 영농조합법인</t>
        </is>
      </c>
      <c r="D695" s="136" t="inlineStr">
        <is>
          <t>135-81-57787</t>
        </is>
      </c>
      <c r="E695" s="17" t="inlineStr">
        <is>
          <t>GAP 국내산 깻잎 (30g)</t>
        </is>
      </c>
      <c r="F695" s="144" t="inlineStr">
        <is>
          <t>-</t>
        </is>
      </c>
      <c r="G695" s="144" t="inlineStr">
        <is>
          <t>-</t>
        </is>
      </c>
      <c r="H695" s="144" t="inlineStr">
        <is>
          <t>-</t>
        </is>
      </c>
    </row>
    <row r="696" hidden="1" s="21">
      <c r="A696" s="12" t="inlineStr">
        <is>
          <t>오아시스</t>
        </is>
      </c>
      <c r="B696" s="12" t="inlineStr">
        <is>
          <t>농산물</t>
        </is>
      </c>
      <c r="C696" s="12" t="inlineStr">
        <is>
          <t>조은 영농조합법인</t>
        </is>
      </c>
      <c r="D696" s="136" t="inlineStr">
        <is>
          <t>135-81-57787</t>
        </is>
      </c>
      <c r="E696" s="17" t="inlineStr">
        <is>
          <t>GAP 아삭이 상추 (150g/봉)</t>
        </is>
      </c>
      <c r="F696" s="144" t="n">
        <v>1451</v>
      </c>
      <c r="G696" s="144" t="n">
        <v>3545680</v>
      </c>
      <c r="H696" s="144" t="inlineStr">
        <is>
          <t>-</t>
        </is>
      </c>
    </row>
    <row r="697" hidden="1" s="21">
      <c r="A697" s="12" t="inlineStr">
        <is>
          <t>오아시스</t>
        </is>
      </c>
      <c r="B697" s="12" t="inlineStr">
        <is>
          <t>농산물</t>
        </is>
      </c>
      <c r="C697" s="12" t="inlineStr">
        <is>
          <t>조은 영농조합법인</t>
        </is>
      </c>
      <c r="D697" s="136" t="inlineStr">
        <is>
          <t>135-81-57787</t>
        </is>
      </c>
      <c r="E697" s="17" t="inlineStr">
        <is>
          <t>[농할 20%쿠폰] 국산 적양배추 (1/2통, 400g내외)</t>
        </is>
      </c>
      <c r="F697" s="144" t="n">
        <v>1511</v>
      </c>
      <c r="G697" s="144" t="n">
        <v>2955250</v>
      </c>
      <c r="H697" s="144" t="inlineStr">
        <is>
          <t>-</t>
        </is>
      </c>
    </row>
    <row r="698" hidden="1" s="21">
      <c r="A698" s="12" t="inlineStr">
        <is>
          <t>오아시스</t>
        </is>
      </c>
      <c r="B698" s="12" t="inlineStr">
        <is>
          <t>농산물</t>
        </is>
      </c>
      <c r="C698" s="12" t="inlineStr">
        <is>
          <t>조은 영농조합법인</t>
        </is>
      </c>
      <c r="D698" s="136" t="inlineStr">
        <is>
          <t>135-81-57787</t>
        </is>
      </c>
      <c r="E698" s="17" t="inlineStr">
        <is>
          <t>국내산 절단 대파 (500g)</t>
        </is>
      </c>
      <c r="F698" s="144" t="n">
        <v>17672</v>
      </c>
      <c r="G698" s="144" t="n">
        <v>51436090</v>
      </c>
      <c r="H698" s="144" t="inlineStr">
        <is>
          <t>-</t>
        </is>
      </c>
    </row>
    <row r="699" hidden="1" s="21">
      <c r="A699" s="12" t="inlineStr">
        <is>
          <t>오아시스</t>
        </is>
      </c>
      <c r="B699" s="12" t="inlineStr">
        <is>
          <t>농산물</t>
        </is>
      </c>
      <c r="C699" s="12" t="inlineStr">
        <is>
          <t>조은 영농조합법인</t>
        </is>
      </c>
      <c r="D699" s="136" t="inlineStr">
        <is>
          <t>135-81-57787</t>
        </is>
      </c>
      <c r="E699" s="17" t="inlineStr">
        <is>
          <t>국내산 흙대파 (500g)</t>
        </is>
      </c>
      <c r="F699" s="144" t="inlineStr">
        <is>
          <t>-</t>
        </is>
      </c>
      <c r="G699" s="144" t="inlineStr">
        <is>
          <t>-</t>
        </is>
      </c>
      <c r="H699" s="144" t="inlineStr">
        <is>
          <t>-</t>
        </is>
      </c>
    </row>
    <row r="700" hidden="1" s="21">
      <c r="A700" s="12" t="inlineStr">
        <is>
          <t>오아시스</t>
        </is>
      </c>
      <c r="B700" s="12" t="inlineStr">
        <is>
          <t>농산물</t>
        </is>
      </c>
      <c r="C700" s="12" t="inlineStr">
        <is>
          <t>조은 영농조합법인</t>
        </is>
      </c>
      <c r="D700" s="136" t="inlineStr">
        <is>
          <t>135-81-57787</t>
        </is>
      </c>
      <c r="E700" s="17" t="inlineStr">
        <is>
          <t>국내산 1/2 양배추 (500g 내외)</t>
        </is>
      </c>
      <c r="F700" s="144" t="n">
        <v>5871</v>
      </c>
      <c r="G700" s="144" t="n">
        <v>9506060</v>
      </c>
      <c r="H700" s="144" t="inlineStr">
        <is>
          <t>-</t>
        </is>
      </c>
    </row>
    <row r="701" hidden="1" s="21">
      <c r="A701" s="12" t="inlineStr">
        <is>
          <t>오아시스</t>
        </is>
      </c>
      <c r="B701" s="12" t="inlineStr">
        <is>
          <t>농산물</t>
        </is>
      </c>
      <c r="C701" s="12" t="inlineStr">
        <is>
          <t>조은 영농조합법인</t>
        </is>
      </c>
      <c r="D701" s="136" t="inlineStr">
        <is>
          <t>135-81-57787</t>
        </is>
      </c>
      <c r="E701" s="17" t="inlineStr">
        <is>
          <t>국내산 양배추 (1통, 1kg 이상)</t>
        </is>
      </c>
      <c r="F701" s="144" t="inlineStr">
        <is>
          <t>-</t>
        </is>
      </c>
      <c r="G701" s="144" t="inlineStr">
        <is>
          <t>-</t>
        </is>
      </c>
      <c r="H701" s="144" t="inlineStr">
        <is>
          <t>-</t>
        </is>
      </c>
    </row>
    <row r="702" hidden="1" s="21">
      <c r="A702" s="12" t="inlineStr">
        <is>
          <t>오아시스</t>
        </is>
      </c>
      <c r="B702" s="12" t="inlineStr">
        <is>
          <t>농산물</t>
        </is>
      </c>
      <c r="C702" s="12" t="inlineStr">
        <is>
          <t>맑은샘농업회사법인(주)</t>
        </is>
      </c>
      <c r="D702" s="136" t="inlineStr">
        <is>
          <t>131-86-09478</t>
        </is>
      </c>
      <c r="E702" s="17" t="inlineStr">
        <is>
          <t>국내산 깐마늘 (100g)</t>
        </is>
      </c>
      <c r="F702" s="144" t="n">
        <v>24776</v>
      </c>
      <c r="G702" s="144" t="n">
        <v>45628630</v>
      </c>
      <c r="H702" s="144" t="n">
        <v>137841</v>
      </c>
    </row>
    <row r="703" hidden="1" s="21">
      <c r="A703" s="12" t="inlineStr">
        <is>
          <t>오아시스</t>
        </is>
      </c>
      <c r="B703" s="12" t="inlineStr">
        <is>
          <t>농산물</t>
        </is>
      </c>
      <c r="C703" s="12" t="inlineStr">
        <is>
          <t>맑은샘농업회사법인(주)</t>
        </is>
      </c>
      <c r="D703" s="136" t="inlineStr">
        <is>
          <t>131-86-09478</t>
        </is>
      </c>
      <c r="E703" s="17" t="inlineStr">
        <is>
          <t>국내산 당근 (1kg, 상~특)</t>
        </is>
      </c>
      <c r="F703" s="144" t="n">
        <v>5997</v>
      </c>
      <c r="G703" s="144" t="n">
        <v>21350480</v>
      </c>
      <c r="H703" s="144" t="n">
        <v>91872</v>
      </c>
    </row>
    <row r="704" hidden="1" s="21">
      <c r="A704" s="12" t="inlineStr">
        <is>
          <t>오아시스</t>
        </is>
      </c>
      <c r="B704" s="12" t="inlineStr">
        <is>
          <t>농산물</t>
        </is>
      </c>
      <c r="C704" s="12" t="inlineStr">
        <is>
          <t>맑은샘농업회사법인(주)</t>
        </is>
      </c>
      <c r="D704" s="136" t="inlineStr">
        <is>
          <t>131-86-09478</t>
        </is>
      </c>
      <c r="E704" s="17" t="inlineStr">
        <is>
          <t>빨강 파프리카 (1개, 150g 내외)</t>
        </is>
      </c>
      <c r="F704" s="144" t="n">
        <v>6297</v>
      </c>
      <c r="G704" s="144" t="n">
        <v>10219000</v>
      </c>
      <c r="H704" s="144" t="n">
        <v>52800</v>
      </c>
    </row>
    <row r="705" hidden="1" s="21">
      <c r="A705" s="12" t="inlineStr">
        <is>
          <t>오아시스</t>
        </is>
      </c>
      <c r="B705" s="12" t="inlineStr">
        <is>
          <t>농산물</t>
        </is>
      </c>
      <c r="C705" s="12" t="inlineStr">
        <is>
          <t>맑은샘농업회사법인(주)</t>
        </is>
      </c>
      <c r="D705" s="136" t="inlineStr">
        <is>
          <t>131-86-09478</t>
        </is>
      </c>
      <c r="E705" s="17" t="inlineStr">
        <is>
          <t>노랑 파프리카 (1개, 150g 내외)</t>
        </is>
      </c>
      <c r="F705" s="144" t="n">
        <v>5973</v>
      </c>
      <c r="G705" s="144" t="n">
        <v>9648310</v>
      </c>
      <c r="H705" s="144" t="n">
        <v>41526</v>
      </c>
    </row>
    <row r="706" hidden="1" s="21">
      <c r="A706" s="12" t="inlineStr">
        <is>
          <t>오아시스</t>
        </is>
      </c>
      <c r="B706" s="12" t="inlineStr">
        <is>
          <t>농산물</t>
        </is>
      </c>
      <c r="C706" s="12" t="inlineStr">
        <is>
          <t>맑은샘농업회사법인(주)</t>
        </is>
      </c>
      <c r="D706" s="136" t="inlineStr">
        <is>
          <t>131-86-09478</t>
        </is>
      </c>
      <c r="E706" s="17" t="inlineStr">
        <is>
          <t>국내산 와일드 루꼴라 50g</t>
        </is>
      </c>
      <c r="F706" s="144" t="n">
        <v>5007</v>
      </c>
      <c r="G706" s="144" t="n">
        <v>10681830</v>
      </c>
      <c r="H706" s="144" t="n">
        <v>57678</v>
      </c>
    </row>
    <row r="707" hidden="1" s="21">
      <c r="A707" s="12" t="inlineStr">
        <is>
          <t>오아시스</t>
        </is>
      </c>
      <c r="B707" s="12" t="inlineStr">
        <is>
          <t>농산물</t>
        </is>
      </c>
      <c r="C707" s="12" t="inlineStr">
        <is>
          <t>맑은샘농업회사법인(주)</t>
        </is>
      </c>
      <c r="D707" s="136" t="inlineStr">
        <is>
          <t>131-86-09478</t>
        </is>
      </c>
      <c r="E707" s="17" t="inlineStr">
        <is>
          <t>국내산 시금치 (200g)</t>
        </is>
      </c>
      <c r="F707" s="144" t="n">
        <v>4682</v>
      </c>
      <c r="G707" s="144" t="n">
        <v>12033080</v>
      </c>
      <c r="H707" s="144" t="n">
        <v>90354</v>
      </c>
    </row>
    <row r="708" hidden="1" s="21">
      <c r="A708" s="12" t="inlineStr">
        <is>
          <t>오아시스</t>
        </is>
      </c>
      <c r="B708" s="12" t="inlineStr">
        <is>
          <t>농산물</t>
        </is>
      </c>
      <c r="C708" s="12" t="inlineStr">
        <is>
          <t>맑은샘농업회사법인(주)</t>
        </is>
      </c>
      <c r="D708" s="136" t="inlineStr">
        <is>
          <t>131-86-09478</t>
        </is>
      </c>
      <c r="E708" s="17" t="inlineStr">
        <is>
          <t>국내산 빨강+노랑 파프리카 (300g 내외)</t>
        </is>
      </c>
      <c r="F708" s="144" t="n">
        <v>8858</v>
      </c>
      <c r="G708" s="144" t="n">
        <v>27773230</v>
      </c>
      <c r="H708" s="144" t="n">
        <v>72632</v>
      </c>
    </row>
    <row r="709" hidden="1" s="21">
      <c r="A709" s="12" t="inlineStr">
        <is>
          <t>오아시스</t>
        </is>
      </c>
      <c r="B709" s="12" t="inlineStr">
        <is>
          <t>농산물</t>
        </is>
      </c>
      <c r="C709" s="12" t="inlineStr">
        <is>
          <t>맑은샘농업회사법인(주)</t>
        </is>
      </c>
      <c r="D709" s="136" t="inlineStr">
        <is>
          <t>131-86-09478</t>
        </is>
      </c>
      <c r="E709" s="17" t="inlineStr">
        <is>
          <t>국내산 아삭 샐러드 (100g)</t>
        </is>
      </c>
      <c r="F709" s="144" t="n">
        <v>2092</v>
      </c>
      <c r="G709" s="144" t="n">
        <v>5255870</v>
      </c>
      <c r="H709" s="144" t="n">
        <v>12450</v>
      </c>
    </row>
    <row r="710" hidden="1" s="21">
      <c r="A710" s="12" t="inlineStr">
        <is>
          <t>오아시스</t>
        </is>
      </c>
      <c r="B710" s="12" t="inlineStr">
        <is>
          <t>농산물</t>
        </is>
      </c>
      <c r="C710" s="12" t="inlineStr">
        <is>
          <t>맑은샘농업회사법인(주)</t>
        </is>
      </c>
      <c r="D710" s="136" t="inlineStr">
        <is>
          <t>131-86-09478</t>
        </is>
      </c>
      <c r="E710" s="17" t="inlineStr">
        <is>
          <t>국내산 어린잎 샐러드 (100g)</t>
        </is>
      </c>
      <c r="F710" s="144" t="n">
        <v>3129</v>
      </c>
      <c r="G710" s="144" t="n">
        <v>7931780</v>
      </c>
      <c r="H710" s="144" t="n">
        <v>27120</v>
      </c>
    </row>
    <row r="711" hidden="1" s="21">
      <c r="A711" s="12" t="inlineStr">
        <is>
          <t>오아시스</t>
        </is>
      </c>
      <c r="B711" s="12" t="inlineStr">
        <is>
          <t>농산물</t>
        </is>
      </c>
      <c r="C711" s="12" t="inlineStr">
        <is>
          <t>맑은샘농업회사법인(주)</t>
        </is>
      </c>
      <c r="D711" s="136" t="inlineStr">
        <is>
          <t>131-86-09478</t>
        </is>
      </c>
      <c r="E711" s="17" t="inlineStr">
        <is>
          <t>국내산 파프리카 샐러드 (100g)</t>
        </is>
      </c>
      <c r="F711" s="144" t="n">
        <v>1983</v>
      </c>
      <c r="G711" s="144" t="n">
        <v>4898450</v>
      </c>
      <c r="H711" s="144" t="n">
        <v>9570</v>
      </c>
    </row>
    <row r="712" hidden="1" s="21">
      <c r="A712" s="12" t="inlineStr">
        <is>
          <t>오아시스</t>
        </is>
      </c>
      <c r="B712" s="12" t="inlineStr">
        <is>
          <t>농산물</t>
        </is>
      </c>
      <c r="C712" s="12" t="inlineStr">
        <is>
          <t>맑은샘농업회사법인(주)</t>
        </is>
      </c>
      <c r="D712" s="136" t="inlineStr">
        <is>
          <t>131-86-09478</t>
        </is>
      </c>
      <c r="E712" s="17" t="inlineStr">
        <is>
          <t>국내산 비타민 샐러드 (100g)</t>
        </is>
      </c>
      <c r="F712" s="144" t="n">
        <v>2861</v>
      </c>
      <c r="G712" s="144" t="n">
        <v>7263320</v>
      </c>
      <c r="H712" s="144" t="n">
        <v>25204</v>
      </c>
    </row>
    <row r="713" hidden="1" s="21">
      <c r="A713" s="12" t="inlineStr">
        <is>
          <t>오아시스</t>
        </is>
      </c>
      <c r="B713" s="12" t="inlineStr">
        <is>
          <t>농산물</t>
        </is>
      </c>
      <c r="C713" s="12" t="inlineStr">
        <is>
          <t>맑은샘농업회사법인(주)</t>
        </is>
      </c>
      <c r="D713" s="136" t="inlineStr">
        <is>
          <t>131-86-09478</t>
        </is>
      </c>
      <c r="E713" s="17" t="inlineStr">
        <is>
          <t>국내산 루꼴라 샐러드 (100g)</t>
        </is>
      </c>
      <c r="F713" s="144" t="n">
        <v>5972</v>
      </c>
      <c r="G713" s="144" t="n">
        <v>15160780</v>
      </c>
      <c r="H713" s="144" t="n">
        <v>44702</v>
      </c>
    </row>
    <row r="714" hidden="1" s="21">
      <c r="A714" s="12" t="inlineStr">
        <is>
          <t>오아시스</t>
        </is>
      </c>
      <c r="B714" s="12" t="inlineStr">
        <is>
          <t>농산물</t>
        </is>
      </c>
      <c r="C714" s="12" t="inlineStr">
        <is>
          <t>맑은샘농업회사법인(주)</t>
        </is>
      </c>
      <c r="D714" s="136" t="inlineStr">
        <is>
          <t>131-86-09478</t>
        </is>
      </c>
      <c r="E714" s="17" t="inlineStr">
        <is>
          <t>국내산 브로콜리(1입)</t>
        </is>
      </c>
      <c r="F714" s="144" t="n">
        <v>11465</v>
      </c>
      <c r="G714" s="144" t="n">
        <v>36662640</v>
      </c>
      <c r="H714" s="144" t="n">
        <v>101626</v>
      </c>
    </row>
    <row r="715" hidden="1" s="21">
      <c r="A715" s="12" t="inlineStr">
        <is>
          <t>오아시스</t>
        </is>
      </c>
      <c r="B715" s="12" t="inlineStr">
        <is>
          <t>농산물</t>
        </is>
      </c>
      <c r="C715" s="12" t="inlineStr">
        <is>
          <t>맑은샘농업회사법인(주)</t>
        </is>
      </c>
      <c r="D715" s="136" t="inlineStr">
        <is>
          <t>131-86-09478</t>
        </is>
      </c>
      <c r="E715" s="17" t="inlineStr">
        <is>
          <t>국내산 깻잎 (40g 또는 30장 내외)</t>
        </is>
      </c>
      <c r="F715" s="144" t="n">
        <v>18769</v>
      </c>
      <c r="G715" s="144" t="n">
        <v>24488390</v>
      </c>
      <c r="H715" s="144" t="n">
        <v>96180</v>
      </c>
    </row>
    <row r="716" hidden="1" s="21">
      <c r="A716" s="12" t="inlineStr">
        <is>
          <t>오아시스</t>
        </is>
      </c>
      <c r="B716" s="12" t="inlineStr">
        <is>
          <t>가공식품</t>
        </is>
      </c>
      <c r="C716" s="12" t="inlineStr">
        <is>
          <t>열두달</t>
        </is>
      </c>
      <c r="D716" s="136" t="inlineStr">
        <is>
          <t>622-81-28184</t>
        </is>
      </c>
      <c r="E716" s="17" t="inlineStr">
        <is>
          <t>착즙 생강청(300g)</t>
        </is>
      </c>
      <c r="F716" s="144" t="n">
        <v>227</v>
      </c>
      <c r="G716" s="144" t="n">
        <v>3495800</v>
      </c>
      <c r="H716" s="144" t="n">
        <v>375760</v>
      </c>
    </row>
    <row r="717" hidden="1" s="21">
      <c r="A717" s="12" t="inlineStr">
        <is>
          <t>오아시스</t>
        </is>
      </c>
      <c r="B717" s="12" t="inlineStr">
        <is>
          <t>가공식품</t>
        </is>
      </c>
      <c r="C717" s="12" t="inlineStr">
        <is>
          <t>열두달</t>
        </is>
      </c>
      <c r="D717" s="136" t="inlineStr">
        <is>
          <t>622-81-28184</t>
        </is>
      </c>
      <c r="E717" s="17" t="inlineStr">
        <is>
          <t>[열두달] 제주 유기농 청귤청</t>
        </is>
      </c>
      <c r="F717" s="144" t="n">
        <v>5</v>
      </c>
      <c r="G717" s="144" t="n">
        <v>100820</v>
      </c>
      <c r="H717" s="144" t="n">
        <v>17176</v>
      </c>
    </row>
    <row r="718" hidden="1" s="21">
      <c r="A718" s="12" t="inlineStr">
        <is>
          <t>오아시스</t>
        </is>
      </c>
      <c r="B718" s="12" t="inlineStr">
        <is>
          <t>가공식품</t>
        </is>
      </c>
      <c r="C718" s="12" t="inlineStr">
        <is>
          <t>열두달</t>
        </is>
      </c>
      <c r="D718" s="136" t="inlineStr">
        <is>
          <t>622-81-28184</t>
        </is>
      </c>
      <c r="E718" s="17" t="inlineStr">
        <is>
          <t>[열두달] 제로 생강청</t>
        </is>
      </c>
      <c r="F718" s="144" t="inlineStr">
        <is>
          <t>-</t>
        </is>
      </c>
      <c r="G718" s="144" t="inlineStr">
        <is>
          <t>-</t>
        </is>
      </c>
      <c r="H718" s="144" t="inlineStr">
        <is>
          <t>-</t>
        </is>
      </c>
    </row>
    <row r="719" hidden="1" s="21">
      <c r="A719" s="12" t="inlineStr">
        <is>
          <t>오아시스</t>
        </is>
      </c>
      <c r="B719" s="12" t="inlineStr">
        <is>
          <t>가공식품</t>
        </is>
      </c>
      <c r="C719" s="12" t="inlineStr">
        <is>
          <t>열두달</t>
        </is>
      </c>
      <c r="D719" s="136" t="inlineStr">
        <is>
          <t>622-81-28184</t>
        </is>
      </c>
      <c r="E719" s="17" t="inlineStr">
        <is>
          <t>[열두달]1초 레몬수</t>
        </is>
      </c>
      <c r="F719" s="144" t="n">
        <v>4</v>
      </c>
      <c r="G719" s="144" t="n">
        <v>92000</v>
      </c>
      <c r="H719" s="144" t="n">
        <v>18400</v>
      </c>
    </row>
    <row r="720" hidden="1" s="21">
      <c r="A720" s="12" t="inlineStr">
        <is>
          <t>오아시스</t>
        </is>
      </c>
      <c r="B720" s="12" t="inlineStr">
        <is>
          <t>가공식품</t>
        </is>
      </c>
      <c r="C720" s="12" t="inlineStr">
        <is>
          <t>열두달</t>
        </is>
      </c>
      <c r="D720" s="136" t="inlineStr">
        <is>
          <t>622-81-28184</t>
        </is>
      </c>
      <c r="E720" s="17" t="inlineStr">
        <is>
          <t>[열두달] 제주 무농약 레몬으로 만든 레몬청</t>
        </is>
      </c>
      <c r="F720" s="144" t="n">
        <v>1</v>
      </c>
      <c r="G720" s="144" t="n">
        <v>22000</v>
      </c>
      <c r="H720" s="144" t="n">
        <v>4400</v>
      </c>
    </row>
    <row r="721" hidden="1" s="21">
      <c r="A721" s="12" t="inlineStr">
        <is>
          <t>오아시스</t>
        </is>
      </c>
      <c r="B721" s="12" t="inlineStr">
        <is>
          <t>가공식품</t>
        </is>
      </c>
      <c r="C721" s="12" t="inlineStr">
        <is>
          <t>행복우리식품영농조합법인</t>
        </is>
      </c>
      <c r="D721" s="136" t="inlineStr">
        <is>
          <t>307-81-28140</t>
        </is>
      </c>
      <c r="E721" s="17" t="inlineStr">
        <is>
          <t>농부의 딸 현미 누룽지</t>
        </is>
      </c>
      <c r="F721" s="144" t="n">
        <v>1</v>
      </c>
      <c r="G721" s="144" t="n">
        <v>12900</v>
      </c>
      <c r="H721" s="144" t="n">
        <v>2580</v>
      </c>
    </row>
    <row r="722" hidden="1" s="21">
      <c r="A722" s="12" t="inlineStr">
        <is>
          <t>오아시스</t>
        </is>
      </c>
      <c r="B722" s="12" t="inlineStr">
        <is>
          <t>가공식품</t>
        </is>
      </c>
      <c r="C722" s="12" t="inlineStr">
        <is>
          <t>행복우리식품영농조합법인</t>
        </is>
      </c>
      <c r="D722" s="136" t="inlineStr">
        <is>
          <t>307-81-28140</t>
        </is>
      </c>
      <c r="E722" s="17" t="inlineStr">
        <is>
          <t>유기농 쌀누룽지 250g*2</t>
        </is>
      </c>
      <c r="F722" s="144" t="n">
        <v>4</v>
      </c>
      <c r="G722" s="144" t="n">
        <v>51600</v>
      </c>
      <c r="H722" s="144" t="n">
        <v>2580</v>
      </c>
    </row>
    <row r="723" hidden="1" s="21">
      <c r="A723" s="12" t="inlineStr">
        <is>
          <t>오아시스</t>
        </is>
      </c>
      <c r="B723" s="12" t="inlineStr">
        <is>
          <t>가공식품</t>
        </is>
      </c>
      <c r="C723" s="12" t="inlineStr">
        <is>
          <t>행복우리식품영농조합법인</t>
        </is>
      </c>
      <c r="D723" s="136" t="inlineStr">
        <is>
          <t>307-81-28140</t>
        </is>
      </c>
      <c r="E723" s="17" t="inlineStr">
        <is>
          <t>프리미엄 현미마죽(30gx20스틱)</t>
        </is>
      </c>
      <c r="F723" s="144" t="n">
        <v>397</v>
      </c>
      <c r="G723" s="144" t="n">
        <v>5283400</v>
      </c>
      <c r="H723" s="144" t="n">
        <v>574854</v>
      </c>
    </row>
    <row r="724" hidden="1" s="21">
      <c r="A724" s="12" t="inlineStr">
        <is>
          <t>오아시스</t>
        </is>
      </c>
      <c r="B724" s="12" t="inlineStr">
        <is>
          <t>가공식품</t>
        </is>
      </c>
      <c r="C724" s="12" t="inlineStr">
        <is>
          <t>행복우리식품영농조합법인</t>
        </is>
      </c>
      <c r="D724" s="136" t="inlineStr">
        <is>
          <t>307-81-28140</t>
        </is>
      </c>
      <c r="E724" s="17" t="inlineStr">
        <is>
          <t>조청 쌀강정 150g</t>
        </is>
      </c>
      <c r="F724" s="144" t="n">
        <v>6</v>
      </c>
      <c r="G724" s="144" t="n">
        <v>39800</v>
      </c>
      <c r="H724" s="144" t="inlineStr">
        <is>
          <t>-</t>
        </is>
      </c>
    </row>
    <row r="725" hidden="1" s="21">
      <c r="A725" s="12" t="inlineStr">
        <is>
          <t>오아시스</t>
        </is>
      </c>
      <c r="B725" s="12" t="inlineStr">
        <is>
          <t>가공식품</t>
        </is>
      </c>
      <c r="C725" s="12" t="inlineStr">
        <is>
          <t>행복우리식품영농조합법인</t>
        </is>
      </c>
      <c r="D725" s="136" t="inlineStr">
        <is>
          <t>307-81-28140</t>
        </is>
      </c>
      <c r="E725" s="17" t="inlineStr">
        <is>
          <t>조청 현미강정 150g</t>
        </is>
      </c>
      <c r="F725" s="144" t="n">
        <v>4</v>
      </c>
      <c r="G725" s="144" t="n">
        <v>26000</v>
      </c>
      <c r="H725" s="144" t="n">
        <v>5044</v>
      </c>
    </row>
    <row r="726" hidden="1" s="21">
      <c r="A726" s="12" t="inlineStr">
        <is>
          <t>오아시스</t>
        </is>
      </c>
      <c r="B726" s="12" t="inlineStr">
        <is>
          <t>가공식품</t>
        </is>
      </c>
      <c r="C726" s="12" t="inlineStr">
        <is>
          <t>행복우리식품영농조합법인</t>
        </is>
      </c>
      <c r="D726" s="136" t="inlineStr">
        <is>
          <t>307-81-28140</t>
        </is>
      </c>
      <c r="E726" s="17" t="inlineStr">
        <is>
          <t>조청 쌀보리강정 150g</t>
        </is>
      </c>
      <c r="F726" s="144" t="n">
        <v>10</v>
      </c>
      <c r="G726" s="144" t="n">
        <v>67000</v>
      </c>
      <c r="H726" s="144" t="n">
        <v>12916</v>
      </c>
    </row>
    <row r="727" hidden="1" s="21">
      <c r="A727" s="12" t="inlineStr">
        <is>
          <t>오아시스</t>
        </is>
      </c>
      <c r="B727" s="12" t="inlineStr">
        <is>
          <t>가공식품</t>
        </is>
      </c>
      <c r="C727" s="12" t="inlineStr">
        <is>
          <t>행복우리식품영농조합법인</t>
        </is>
      </c>
      <c r="D727" s="136" t="inlineStr">
        <is>
          <t>307-81-28140</t>
        </is>
      </c>
      <c r="E727" s="17" t="inlineStr">
        <is>
          <t>발아현미 미숫가루</t>
        </is>
      </c>
      <c r="F727" s="144" t="inlineStr">
        <is>
          <t>-</t>
        </is>
      </c>
      <c r="G727" s="144" t="inlineStr">
        <is>
          <t>-</t>
        </is>
      </c>
      <c r="H727" s="144" t="inlineStr">
        <is>
          <t>-</t>
        </is>
      </c>
    </row>
    <row r="728" hidden="1" s="21">
      <c r="A728" s="12" t="inlineStr">
        <is>
          <t>오아시스</t>
        </is>
      </c>
      <c r="B728" s="12" t="inlineStr">
        <is>
          <t>가공식품</t>
        </is>
      </c>
      <c r="C728" s="12" t="inlineStr">
        <is>
          <t>행복우리식품영농조합법인</t>
        </is>
      </c>
      <c r="D728" s="136" t="inlineStr">
        <is>
          <t>307-81-28140</t>
        </is>
      </c>
      <c r="E728" s="17" t="inlineStr">
        <is>
          <t>현미 양배추죽(30gx20스틱)</t>
        </is>
      </c>
      <c r="F728" s="144" t="n">
        <v>509</v>
      </c>
      <c r="G728" s="144" t="n">
        <v>6787100</v>
      </c>
      <c r="H728" s="144" t="n">
        <v>675506</v>
      </c>
    </row>
    <row r="729" hidden="1" s="21">
      <c r="A729" s="12" t="inlineStr">
        <is>
          <t>오아시스</t>
        </is>
      </c>
      <c r="B729" s="12" t="inlineStr">
        <is>
          <t>가공식품</t>
        </is>
      </c>
      <c r="C729" s="12" t="inlineStr">
        <is>
          <t>행복우리식품영농조합법인</t>
        </is>
      </c>
      <c r="D729" s="136" t="inlineStr">
        <is>
          <t>307-81-28140</t>
        </is>
      </c>
      <c r="E729" s="17" t="inlineStr">
        <is>
          <t>볶은 보리</t>
        </is>
      </c>
      <c r="F729" s="144" t="inlineStr">
        <is>
          <t>-</t>
        </is>
      </c>
      <c r="G729" s="144" t="inlineStr">
        <is>
          <t>-</t>
        </is>
      </c>
      <c r="H729" s="144" t="inlineStr">
        <is>
          <t>-</t>
        </is>
      </c>
    </row>
    <row r="730" hidden="1" s="21">
      <c r="A730" s="12" t="inlineStr">
        <is>
          <t>오아시스</t>
        </is>
      </c>
      <c r="B730" s="12" t="inlineStr">
        <is>
          <t>가공식품</t>
        </is>
      </c>
      <c r="C730" s="12" t="inlineStr">
        <is>
          <t>행복우리식품영농조합법인</t>
        </is>
      </c>
      <c r="D730" s="136" t="inlineStr">
        <is>
          <t>307-81-28140</t>
        </is>
      </c>
      <c r="E730" s="17" t="inlineStr">
        <is>
          <t>볶은 옥수수</t>
        </is>
      </c>
      <c r="F730" s="144" t="n">
        <v>1</v>
      </c>
      <c r="G730" s="144" t="n">
        <v>7400</v>
      </c>
      <c r="H730" s="144" t="inlineStr">
        <is>
          <t>-</t>
        </is>
      </c>
    </row>
    <row r="731" hidden="1" s="21">
      <c r="A731" s="12" t="inlineStr">
        <is>
          <t>오아시스</t>
        </is>
      </c>
      <c r="B731" s="12" t="inlineStr">
        <is>
          <t>가공식품</t>
        </is>
      </c>
      <c r="C731" s="12" t="inlineStr">
        <is>
          <t>씨튼장애인직업재활센터(씨튼베이커리)</t>
        </is>
      </c>
      <c r="D731" s="136" t="inlineStr">
        <is>
          <t>409-82-16307</t>
        </is>
      </c>
      <c r="E731" s="17" t="inlineStr">
        <is>
          <t>[2봉묶음] 유기농 현미스낵 5종</t>
        </is>
      </c>
      <c r="F731" s="144" t="n">
        <v>3016</v>
      </c>
      <c r="G731" s="144" t="n">
        <v>8892400</v>
      </c>
      <c r="H731" s="144" t="n">
        <v>501767</v>
      </c>
    </row>
    <row r="732" hidden="1" s="21">
      <c r="A732" s="12" t="inlineStr">
        <is>
          <t>오아시스</t>
        </is>
      </c>
      <c r="B732" s="12" t="inlineStr">
        <is>
          <t>가공식품</t>
        </is>
      </c>
      <c r="C732" s="12" t="inlineStr">
        <is>
          <t>씨튼장애인직업재활센터(씨튼베이커리)</t>
        </is>
      </c>
      <c r="D732" s="136" t="inlineStr">
        <is>
          <t>409-82-16307</t>
        </is>
      </c>
      <c r="E732" s="17" t="inlineStr">
        <is>
          <t>유기농 현미시리얼 3종 240G [초코/해달별/채소]</t>
        </is>
      </c>
      <c r="F732" s="144" t="n">
        <v>4706</v>
      </c>
      <c r="G732" s="144" t="n">
        <v>34447400</v>
      </c>
      <c r="H732" s="144" t="n">
        <v>2186911</v>
      </c>
    </row>
    <row r="733" hidden="1" s="21">
      <c r="A733" s="12" t="inlineStr">
        <is>
          <t>오아시스</t>
        </is>
      </c>
      <c r="B733" s="12" t="inlineStr">
        <is>
          <t>가공식품</t>
        </is>
      </c>
      <c r="C733" s="12" t="inlineStr">
        <is>
          <t>씨튼장애인직업재활센터(씨튼베이커리)</t>
        </is>
      </c>
      <c r="D733" s="136" t="inlineStr">
        <is>
          <t>409-82-16307</t>
        </is>
      </c>
      <c r="E733" s="17" t="inlineStr">
        <is>
          <t>[개당 2,900]우리밀로 만든 마늘빵 과자 (70g x 3개)</t>
        </is>
      </c>
      <c r="F733" s="144" t="n">
        <v>2455</v>
      </c>
      <c r="G733" s="144" t="n">
        <v>8551100</v>
      </c>
      <c r="H733" s="144" t="n">
        <v>395531</v>
      </c>
    </row>
    <row r="734" hidden="1" s="21">
      <c r="A734" s="12" t="inlineStr">
        <is>
          <t>오아시스</t>
        </is>
      </c>
      <c r="B734" s="12" t="inlineStr">
        <is>
          <t>농산물</t>
        </is>
      </c>
      <c r="C734" s="12" t="inlineStr">
        <is>
          <t>명품남매농장</t>
        </is>
      </c>
      <c r="D734" s="136" t="inlineStr">
        <is>
          <t>807-95-01634</t>
        </is>
      </c>
      <c r="E734" s="17" t="inlineStr">
        <is>
          <t>명품남매농장 GAP 샤인머스켓 150g 1차농산물 세척 후 드세요</t>
        </is>
      </c>
      <c r="F734" s="144" t="inlineStr">
        <is>
          <t>-</t>
        </is>
      </c>
      <c r="G734" s="144" t="inlineStr">
        <is>
          <t>-</t>
        </is>
      </c>
      <c r="H734" s="144" t="inlineStr">
        <is>
          <t>-</t>
        </is>
      </c>
    </row>
    <row r="735" hidden="1" s="21">
      <c r="A735" s="12" t="inlineStr">
        <is>
          <t>오아시스</t>
        </is>
      </c>
      <c r="B735" s="12" t="inlineStr">
        <is>
          <t>농산물</t>
        </is>
      </c>
      <c r="C735" s="12" t="inlineStr">
        <is>
          <t>명품남매농장</t>
        </is>
      </c>
      <c r="D735" s="136" t="inlineStr">
        <is>
          <t>807-95-01634</t>
        </is>
      </c>
      <c r="E735" s="17" t="inlineStr">
        <is>
          <t>명품남매농장 GAP 건샤인머스켓 300g 1차농산물 세척 후 드세요</t>
        </is>
      </c>
      <c r="F735" s="144" t="inlineStr">
        <is>
          <t>-</t>
        </is>
      </c>
      <c r="G735" s="144" t="inlineStr">
        <is>
          <t>-</t>
        </is>
      </c>
      <c r="H735" s="144" t="inlineStr">
        <is>
          <t>-</t>
        </is>
      </c>
    </row>
    <row r="736" hidden="1" s="21">
      <c r="A736" s="12" t="inlineStr">
        <is>
          <t>오아시스</t>
        </is>
      </c>
      <c r="B736" s="12" t="inlineStr">
        <is>
          <t>농산물</t>
        </is>
      </c>
      <c r="C736" s="12" t="inlineStr">
        <is>
          <t>명품남매농장</t>
        </is>
      </c>
      <c r="D736" s="136" t="inlineStr">
        <is>
          <t>807-95-01634</t>
        </is>
      </c>
      <c r="E736" s="17" t="inlineStr">
        <is>
          <t>명품남매농장 GAP 건샤인머스켓 450g 1차농산물 세척 후 드세요</t>
        </is>
      </c>
      <c r="F736" s="144" t="inlineStr">
        <is>
          <t>-</t>
        </is>
      </c>
      <c r="G736" s="144" t="inlineStr">
        <is>
          <t>-</t>
        </is>
      </c>
      <c r="H736" s="144" t="inlineStr">
        <is>
          <t>-</t>
        </is>
      </c>
    </row>
    <row r="737" hidden="1" s="21">
      <c r="A737" s="12" t="inlineStr">
        <is>
          <t>오아시스</t>
        </is>
      </c>
      <c r="B737" s="12" t="inlineStr">
        <is>
          <t>농산물</t>
        </is>
      </c>
      <c r="C737" s="12" t="inlineStr">
        <is>
          <t>명품남매농장</t>
        </is>
      </c>
      <c r="D737" s="136" t="inlineStr">
        <is>
          <t>807-95-01634</t>
        </is>
      </c>
      <c r="E737" s="17" t="inlineStr">
        <is>
          <t>명품남매농장 GAP 건샤인머스켓 600g 1차농산물 세척 후 드세요</t>
        </is>
      </c>
      <c r="F737" s="144" t="n">
        <v>1</v>
      </c>
      <c r="G737" s="144" t="n">
        <v>27000</v>
      </c>
      <c r="H737" s="144" t="n">
        <v>5400</v>
      </c>
    </row>
    <row r="738" hidden="1" s="21">
      <c r="A738" s="12" t="inlineStr">
        <is>
          <t>오아시스</t>
        </is>
      </c>
      <c r="B738" s="12" t="inlineStr">
        <is>
          <t>농산물</t>
        </is>
      </c>
      <c r="C738" s="12" t="inlineStr">
        <is>
          <t>명품남매농장</t>
        </is>
      </c>
      <c r="D738" s="136" t="inlineStr">
        <is>
          <t>807-95-01634</t>
        </is>
      </c>
      <c r="E738" s="17" t="inlineStr">
        <is>
          <t>명품남매농장 GAP 건샤인머스켓 750g 1차농산물 세척 후 드세요</t>
        </is>
      </c>
      <c r="F738" s="144" t="inlineStr">
        <is>
          <t>-</t>
        </is>
      </c>
      <c r="G738" s="144" t="inlineStr">
        <is>
          <t>-</t>
        </is>
      </c>
      <c r="H738" s="144" t="inlineStr">
        <is>
          <t>-</t>
        </is>
      </c>
    </row>
    <row r="739" hidden="1" s="21">
      <c r="A739" s="12" t="inlineStr">
        <is>
          <t>오아시스</t>
        </is>
      </c>
      <c r="B739" s="12" t="inlineStr">
        <is>
          <t>농산물</t>
        </is>
      </c>
      <c r="C739" s="12" t="inlineStr">
        <is>
          <t>명품남매농장</t>
        </is>
      </c>
      <c r="D739" s="136" t="inlineStr">
        <is>
          <t>807-95-01634</t>
        </is>
      </c>
      <c r="E739" s="17" t="inlineStr">
        <is>
          <t>명품남매농장 GAP 건샤인머스캣 900g 1차농산물 세척 후 드세요</t>
        </is>
      </c>
      <c r="F739" s="144" t="inlineStr">
        <is>
          <t>-</t>
        </is>
      </c>
      <c r="G739" s="144" t="inlineStr">
        <is>
          <t>-</t>
        </is>
      </c>
      <c r="H739" s="144" t="inlineStr">
        <is>
          <t>-</t>
        </is>
      </c>
    </row>
    <row r="740" hidden="1" s="21">
      <c r="A740" s="8" t="inlineStr">
        <is>
          <t>온누리마켓</t>
        </is>
      </c>
      <c r="B740" s="9" t="inlineStr">
        <is>
          <t>농산물</t>
        </is>
      </c>
      <c r="C740" s="9" t="inlineStr">
        <is>
          <t>농업회사법인 철원미곡 주식회사</t>
        </is>
      </c>
      <c r="D740" s="134" t="inlineStr">
        <is>
          <t>127-81-93991</t>
        </is>
      </c>
      <c r="E740" s="8" t="inlineStr">
        <is>
          <t>[2025년산] 햅쌀 철원오대쌀 10kg 철원미곡</t>
        </is>
      </c>
      <c r="F740" s="140" t="n">
        <v>583</v>
      </c>
      <c r="G740" s="140" t="n">
        <v>29832500</v>
      </c>
      <c r="H740" s="140" t="n">
        <v>4757703</v>
      </c>
    </row>
    <row r="741" hidden="1" s="21">
      <c r="A741" s="8" t="inlineStr">
        <is>
          <t>온누리마켓</t>
        </is>
      </c>
      <c r="B741" s="9" t="inlineStr">
        <is>
          <t>농산물</t>
        </is>
      </c>
      <c r="C741" s="9" t="inlineStr">
        <is>
          <t>(합자)황산벌농업회사</t>
        </is>
      </c>
      <c r="D741" s="134" t="inlineStr">
        <is>
          <t>308-81-11910</t>
        </is>
      </c>
      <c r="E741" s="8" t="inlineStr">
        <is>
          <t>삼광 육군병장쌀 10kg</t>
        </is>
      </c>
      <c r="F741" s="140" t="n">
        <v>531</v>
      </c>
      <c r="G741" s="140" t="n">
        <v>22703100</v>
      </c>
      <c r="H741" s="140" t="n">
        <v>4073774</v>
      </c>
    </row>
    <row r="742" hidden="1" s="21">
      <c r="A742" s="8" t="inlineStr">
        <is>
          <t>온누리마켓</t>
        </is>
      </c>
      <c r="B742" s="9" t="inlineStr">
        <is>
          <t>농산물</t>
        </is>
      </c>
      <c r="C742" s="9" t="inlineStr">
        <is>
          <t>농업회사법인 주식회사 담아</t>
        </is>
      </c>
      <c r="D742" s="134" t="inlineStr">
        <is>
          <t>511-81-25311</t>
        </is>
      </c>
      <c r="E742" s="8" t="inlineStr">
        <is>
          <t>김의준고구마 2025년 무농약 세척 꿀고구마 3kg/5kg</t>
        </is>
      </c>
      <c r="F742" s="140" t="n">
        <v>434</v>
      </c>
      <c r="G742" s="140" t="n">
        <v>9625100</v>
      </c>
      <c r="H742" s="140" t="n">
        <v>1129304</v>
      </c>
    </row>
    <row r="743" hidden="1" s="21">
      <c r="A743" s="8" t="inlineStr">
        <is>
          <t>온누리마켓</t>
        </is>
      </c>
      <c r="B743" s="9" t="inlineStr">
        <is>
          <t>농산물</t>
        </is>
      </c>
      <c r="C743" s="9" t="inlineStr">
        <is>
          <t>농업회사법인 주식회사 정인</t>
        </is>
      </c>
      <c r="D743" s="134" t="inlineStr">
        <is>
          <t>769-88-03123</t>
        </is>
      </c>
      <c r="E743" s="8" t="inlineStr">
        <is>
          <t>25년 당도선별 아삭 달콤 사과 경북 저탄소 12brix이상</t>
        </is>
      </c>
      <c r="F743" s="140" t="n">
        <v>429</v>
      </c>
      <c r="G743" s="140" t="n">
        <v>13230000</v>
      </c>
      <c r="H743" s="140" t="n">
        <v>2123130</v>
      </c>
    </row>
    <row r="744" hidden="1" s="21">
      <c r="A744" s="8" t="inlineStr">
        <is>
          <t>온누리마켓</t>
        </is>
      </c>
      <c r="B744" s="9" t="inlineStr">
        <is>
          <t>농산물</t>
        </is>
      </c>
      <c r="C744" s="9" t="inlineStr">
        <is>
          <t>농업회사법인 우듬지팜주식회사</t>
        </is>
      </c>
      <c r="D744" s="134" t="inlineStr">
        <is>
          <t>308-82-08921</t>
        </is>
      </c>
      <c r="E744" s="8" t="inlineStr">
        <is>
          <t>GAP인증 당일수확 무농약 샐러드 쌈채소 3~5종 믹스 800g/1kg 스마트팜 재배 샐러드 쌈채소</t>
        </is>
      </c>
      <c r="F744" s="140" t="n">
        <v>202</v>
      </c>
      <c r="G744" s="140" t="n">
        <v>2546000</v>
      </c>
      <c r="H744" s="140" t="n">
        <v>288388</v>
      </c>
    </row>
    <row r="745" hidden="1" s="21">
      <c r="A745" s="8" t="inlineStr">
        <is>
          <t>온누리마켓</t>
        </is>
      </c>
      <c r="B745" s="9" t="inlineStr">
        <is>
          <t>농산물</t>
        </is>
      </c>
      <c r="C745" s="9" t="inlineStr">
        <is>
          <t>농업회사법인 주식회사 정인</t>
        </is>
      </c>
      <c r="D745" s="134" t="inlineStr">
        <is>
          <t>769-88-03123</t>
        </is>
      </c>
      <c r="E745" s="8" t="inlineStr">
        <is>
          <t>경북 제철 햇자두 1kg/2kg 과즙풍부 당일수확 산지직송</t>
        </is>
      </c>
      <c r="F745" s="140" t="n">
        <v>136</v>
      </c>
      <c r="G745" s="140" t="n">
        <v>2932300</v>
      </c>
      <c r="H745" s="140" t="n">
        <v>375618</v>
      </c>
    </row>
    <row r="746" hidden="1" s="21">
      <c r="A746" s="8" t="inlineStr">
        <is>
          <t>온누리마켓</t>
        </is>
      </c>
      <c r="B746" s="9" t="inlineStr">
        <is>
          <t>농산물</t>
        </is>
      </c>
      <c r="C746" s="9" t="inlineStr">
        <is>
          <t>농업회사법인 주식회사 정인</t>
        </is>
      </c>
      <c r="D746" s="134" t="inlineStr">
        <is>
          <t>769-88-03123</t>
        </is>
      </c>
      <c r="E746" s="8" t="inlineStr">
        <is>
          <t>껍질째 먹는 고당도 세척사과 2kg/3kg/5kg/10kg 경북 사과</t>
        </is>
      </c>
      <c r="F746" s="140" t="n">
        <v>48</v>
      </c>
      <c r="G746" s="140" t="n">
        <v>1696200</v>
      </c>
      <c r="H746" s="140" t="n">
        <v>254958</v>
      </c>
    </row>
    <row r="747" hidden="1" s="21">
      <c r="A747" s="8" t="inlineStr">
        <is>
          <t>온누리마켓</t>
        </is>
      </c>
      <c r="B747" s="9" t="inlineStr">
        <is>
          <t>농산물</t>
        </is>
      </c>
      <c r="C747" s="9" t="inlineStr">
        <is>
          <t>농업회사법인 철원미곡 주식회사</t>
        </is>
      </c>
      <c r="D747" s="134" t="inlineStr">
        <is>
          <t>127-81-93991</t>
        </is>
      </c>
      <c r="E747" s="8" t="inlineStr">
        <is>
          <t>[철원미곡] 2025년 햅쌀 오대현미 10kg</t>
        </is>
      </c>
      <c r="F747" s="140" t="n">
        <v>16</v>
      </c>
      <c r="G747" s="140" t="n">
        <v>816000</v>
      </c>
      <c r="H747" s="140" t="n">
        <v>125530</v>
      </c>
    </row>
    <row r="748" hidden="1" s="21">
      <c r="A748" s="8" t="inlineStr">
        <is>
          <t>온누리마켓</t>
        </is>
      </c>
      <c r="B748" s="9" t="inlineStr">
        <is>
          <t>농산물</t>
        </is>
      </c>
      <c r="C748" s="9" t="inlineStr">
        <is>
          <t>농업회사법인 철원미곡 주식회사</t>
        </is>
      </c>
      <c r="D748" s="134" t="inlineStr">
        <is>
          <t>127-81-93991</t>
        </is>
      </c>
      <c r="E748" s="8" t="inlineStr">
        <is>
          <t>[철원미곡] 2025년산 햅쌀 철원오대쌀 4kg</t>
        </is>
      </c>
      <c r="F748" s="140" t="n">
        <v>31</v>
      </c>
      <c r="G748" s="140" t="n">
        <v>823000</v>
      </c>
      <c r="H748" s="140" t="n">
        <v>114600</v>
      </c>
    </row>
    <row r="749" hidden="1" s="21">
      <c r="A749" s="8" t="inlineStr">
        <is>
          <t>온누리마켓</t>
        </is>
      </c>
      <c r="B749" s="9" t="inlineStr">
        <is>
          <t>가공식품</t>
        </is>
      </c>
      <c r="C749" s="9" t="inlineStr">
        <is>
          <t>두레영농조합법인</t>
        </is>
      </c>
      <c r="D749" s="134" t="inlineStr">
        <is>
          <t>404-81-43909</t>
        </is>
      </c>
      <c r="E749" s="8" t="inlineStr">
        <is>
          <t>[콩여울] 청정고창 저온압착 참기름 165ml/260ml</t>
        </is>
      </c>
      <c r="F749" s="140" t="n">
        <v>28</v>
      </c>
      <c r="G749" s="140" t="n">
        <v>1083000</v>
      </c>
      <c r="H749" s="140" t="n">
        <v>168164</v>
      </c>
    </row>
    <row r="750" hidden="1" s="21">
      <c r="A750" s="8" t="inlineStr">
        <is>
          <t>온누리마켓</t>
        </is>
      </c>
      <c r="B750" s="9" t="inlineStr">
        <is>
          <t>가공식품</t>
        </is>
      </c>
      <c r="C750" s="9" t="inlineStr">
        <is>
          <t>두레영농조합법인</t>
        </is>
      </c>
      <c r="D750" s="134" t="inlineStr">
        <is>
          <t>404-81-43909</t>
        </is>
      </c>
      <c r="E750" s="8" t="inlineStr">
        <is>
          <t>[콩여울] 직접채밀 1+등급 천연벌꿀 아카시아꿀 300g/600g/2.4kg</t>
        </is>
      </c>
      <c r="F750" s="140" t="n">
        <v>28</v>
      </c>
      <c r="G750" s="140" t="n">
        <v>918100</v>
      </c>
      <c r="H750" s="140" t="n">
        <v>153220</v>
      </c>
    </row>
    <row r="751" hidden="1" s="21">
      <c r="A751" s="8" t="inlineStr">
        <is>
          <t>온누리마켓</t>
        </is>
      </c>
      <c r="B751" s="9" t="inlineStr">
        <is>
          <t>가공식품</t>
        </is>
      </c>
      <c r="C751" s="9" t="inlineStr">
        <is>
          <t>두레영농조합법인</t>
        </is>
      </c>
      <c r="D751" s="134" t="inlineStr">
        <is>
          <t>404-81-43909</t>
        </is>
      </c>
      <c r="E751" s="8" t="inlineStr">
        <is>
          <t>[콩여울] 고창예찬6호 참기름260ml+들기름260ml+볶은참깨120g</t>
        </is>
      </c>
      <c r="F751" s="140" t="n">
        <v>8</v>
      </c>
      <c r="G751" s="140" t="n">
        <v>559200</v>
      </c>
      <c r="H751" s="140" t="n">
        <v>69718</v>
      </c>
    </row>
    <row r="752" hidden="1" s="21">
      <c r="A752" s="8" t="inlineStr">
        <is>
          <t>온누리마켓</t>
        </is>
      </c>
      <c r="B752" s="9" t="inlineStr">
        <is>
          <t>가공식품</t>
        </is>
      </c>
      <c r="C752" s="9" t="inlineStr">
        <is>
          <t>그린푸드</t>
        </is>
      </c>
      <c r="D752" s="134" t="inlineStr">
        <is>
          <t>638-68-00222</t>
        </is>
      </c>
      <c r="E752" s="8" t="inlineStr">
        <is>
          <t>모시떡 영광모싯잎 모시송편 통동부 20개</t>
        </is>
      </c>
      <c r="F752" s="140" t="n">
        <v>101</v>
      </c>
      <c r="G752" s="140" t="n">
        <v>1482000</v>
      </c>
      <c r="H752" s="140" t="n">
        <v>216643</v>
      </c>
    </row>
    <row r="753" hidden="1" s="21">
      <c r="A753" s="8" t="inlineStr">
        <is>
          <t>온누리마켓</t>
        </is>
      </c>
      <c r="B753" s="9" t="inlineStr">
        <is>
          <t>가공식품</t>
        </is>
      </c>
      <c r="C753" s="9" t="inlineStr">
        <is>
          <t>(주)왕의산농원소담바리농업회사법인</t>
        </is>
      </c>
      <c r="D753" s="134" t="inlineStr">
        <is>
          <t>575-87-02008</t>
        </is>
      </c>
      <c r="E753" s="8" t="inlineStr">
        <is>
          <t>쑥 인절미 12개입 맛있는 쑥떡 찰떡 햇쑥인절미 맛집</t>
        </is>
      </c>
      <c r="F753" s="140" t="n">
        <v>9</v>
      </c>
      <c r="G753" s="140" t="n">
        <v>342100</v>
      </c>
      <c r="H753" s="140" t="n">
        <v>41960</v>
      </c>
    </row>
    <row r="754" hidden="1" s="21">
      <c r="A754" s="8" t="inlineStr">
        <is>
          <t>온누리마켓</t>
        </is>
      </c>
      <c r="B754" s="9" t="inlineStr">
        <is>
          <t>가공식품</t>
        </is>
      </c>
      <c r="C754" s="9" t="inlineStr">
        <is>
          <t>두레영농조합법인</t>
        </is>
      </c>
      <c r="D754" s="134" t="inlineStr">
        <is>
          <t>404-81-43909</t>
        </is>
      </c>
      <c r="E754" s="8" t="inlineStr">
        <is>
          <t>[콩여울] 청정고창 저온압착 들기름 165ml/260ml</t>
        </is>
      </c>
      <c r="F754" s="140" t="n">
        <v>32</v>
      </c>
      <c r="G754" s="140" t="n">
        <v>1016800</v>
      </c>
      <c r="H754" s="140" t="n">
        <v>130107</v>
      </c>
    </row>
    <row r="755" hidden="1" s="21">
      <c r="A755" s="8" t="inlineStr">
        <is>
          <t>온누리마켓</t>
        </is>
      </c>
      <c r="B755" s="9" t="inlineStr">
        <is>
          <t>농산물</t>
        </is>
      </c>
      <c r="C755" s="9" t="inlineStr">
        <is>
          <t>신사리마을</t>
        </is>
      </c>
      <c r="D755" s="134" t="inlineStr">
        <is>
          <t>183-95-00048</t>
        </is>
      </c>
      <c r="E755" s="8" t="inlineStr">
        <is>
          <t>영양산나믈(건곤드레, 건취나물, 건고사리)</t>
        </is>
      </c>
      <c r="F755" s="140" t="n">
        <v>34</v>
      </c>
      <c r="G755" s="140" t="n">
        <v>533000</v>
      </c>
      <c r="H755" s="140" t="n">
        <v>82120</v>
      </c>
    </row>
    <row r="756" hidden="1" s="21">
      <c r="A756" s="8" t="inlineStr">
        <is>
          <t>온누리마켓</t>
        </is>
      </c>
      <c r="B756" s="9" t="inlineStr">
        <is>
          <t>농산물</t>
        </is>
      </c>
      <c r="C756" s="9" t="inlineStr">
        <is>
          <t>농업회사법인 철원미곡 주식회사</t>
        </is>
      </c>
      <c r="D756" s="134" t="inlineStr">
        <is>
          <t>127-81-93991</t>
        </is>
      </c>
      <c r="E756" s="8" t="inlineStr">
        <is>
          <t>[철원미곡] 2025년 햅쌀 찹쌀 10kg</t>
        </is>
      </c>
      <c r="F756" s="140" t="n">
        <v>8</v>
      </c>
      <c r="G756" s="140" t="n">
        <v>509400</v>
      </c>
      <c r="H756" s="140" t="n">
        <v>69895</v>
      </c>
    </row>
    <row r="757" hidden="1" s="21">
      <c r="A757" s="8" t="inlineStr">
        <is>
          <t>온누리마켓</t>
        </is>
      </c>
      <c r="B757" s="9" t="inlineStr">
        <is>
          <t>가공식품</t>
        </is>
      </c>
      <c r="C757" s="9" t="inlineStr">
        <is>
          <t>두레영농조합법인</t>
        </is>
      </c>
      <c r="D757" s="134" t="inlineStr">
        <is>
          <t>404-81-43909</t>
        </is>
      </c>
      <c r="E757" s="8" t="inlineStr">
        <is>
          <t>[콩여울] 직접채밀 순수 천연벌꿀 야생화꿀 300g/600g</t>
        </is>
      </c>
      <c r="F757" s="140" t="n">
        <v>8</v>
      </c>
      <c r="G757" s="140" t="n">
        <v>260400</v>
      </c>
      <c r="H757" s="140" t="n">
        <v>37701</v>
      </c>
    </row>
    <row r="758" hidden="1" s="21">
      <c r="A758" s="8" t="inlineStr">
        <is>
          <t>온누리마켓</t>
        </is>
      </c>
      <c r="B758" s="9" t="inlineStr">
        <is>
          <t>가공식품</t>
        </is>
      </c>
      <c r="C758" s="9" t="inlineStr">
        <is>
          <t>까망 주식회사</t>
        </is>
      </c>
      <c r="D758" s="134" t="inlineStr">
        <is>
          <t>440-81-03112</t>
        </is>
      </c>
      <c r="E758" s="8" t="inlineStr">
        <is>
          <t>[까망목장] 요하트 수제 쫀득 그릭요거트 플레인 식사대용 고단백 고칼슘 무가당 500g</t>
        </is>
      </c>
      <c r="F758" s="140" t="n">
        <v>15</v>
      </c>
      <c r="G758" s="140" t="n">
        <v>264000</v>
      </c>
      <c r="H758" s="140" t="n">
        <v>27600</v>
      </c>
    </row>
    <row r="759" hidden="1" s="21">
      <c r="A759" s="8" t="inlineStr">
        <is>
          <t>온누리마켓</t>
        </is>
      </c>
      <c r="B759" s="9" t="inlineStr">
        <is>
          <t>농산물</t>
        </is>
      </c>
      <c r="C759" s="9" t="inlineStr">
        <is>
          <t>농업회사법인 주식회사 고인돌</t>
        </is>
      </c>
      <c r="D759" s="134" t="inlineStr">
        <is>
          <t>234-81-04990</t>
        </is>
      </c>
      <c r="E759" s="8" t="inlineStr">
        <is>
          <t>25년 [산지직송] 국내산 검정쌀 찰흑미 (500g/1kg/3kg/5kg)</t>
        </is>
      </c>
      <c r="F759" s="140" t="n">
        <v>29</v>
      </c>
      <c r="G759" s="140" t="n">
        <v>374100</v>
      </c>
      <c r="H759" s="140" t="n">
        <v>47920</v>
      </c>
    </row>
    <row r="760" hidden="1" s="21">
      <c r="A760" s="8" t="inlineStr">
        <is>
          <t>온누리마켓</t>
        </is>
      </c>
      <c r="B760" s="9" t="inlineStr">
        <is>
          <t>가공식품</t>
        </is>
      </c>
      <c r="C760" s="9" t="inlineStr">
        <is>
          <t>두레영농조합법인</t>
        </is>
      </c>
      <c r="D760" s="134" t="inlineStr">
        <is>
          <t>404-81-43909</t>
        </is>
      </c>
      <c r="E760" s="8" t="inlineStr">
        <is>
          <t>[콩여울] 직접채밀 순수 천연벌꿀 밤꿀 300g/600g</t>
        </is>
      </c>
      <c r="F760" s="140" t="n">
        <v>7</v>
      </c>
      <c r="G760" s="140" t="n">
        <v>178500</v>
      </c>
      <c r="H760" s="140" t="n">
        <v>25500</v>
      </c>
    </row>
    <row r="761" hidden="1" s="21">
      <c r="A761" s="8" t="inlineStr">
        <is>
          <t>온누리마켓</t>
        </is>
      </c>
      <c r="B761" s="9" t="inlineStr">
        <is>
          <t>농산물</t>
        </is>
      </c>
      <c r="C761" s="9" t="inlineStr">
        <is>
          <t>우가네농장</t>
        </is>
      </c>
      <c r="D761" s="134" t="inlineStr">
        <is>
          <t>512-05-48837</t>
        </is>
      </c>
      <c r="E761" s="8" t="inlineStr">
        <is>
          <t>25년 건고추 국내산 세척 건고추 1근(600g) 순한맛/보통맛/매운맛</t>
        </is>
      </c>
      <c r="F761" s="140" t="n">
        <v>22</v>
      </c>
      <c r="G761" s="140" t="n">
        <v>1087000</v>
      </c>
      <c r="H761" s="140" t="n">
        <v>129320</v>
      </c>
    </row>
    <row r="762" hidden="1" s="21">
      <c r="A762" s="8" t="inlineStr">
        <is>
          <t>온누리마켓</t>
        </is>
      </c>
      <c r="B762" s="9" t="inlineStr">
        <is>
          <t>가공식품</t>
        </is>
      </c>
      <c r="C762" s="9" t="inlineStr">
        <is>
          <t>그린푸드</t>
        </is>
      </c>
      <c r="D762" s="134" t="inlineStr">
        <is>
          <t>638-68-00222</t>
        </is>
      </c>
      <c r="E762" s="8" t="inlineStr">
        <is>
          <t>모시떡 영광모싯잎 모시송편 기피 20개</t>
        </is>
      </c>
      <c r="F762" s="140" t="n">
        <v>11</v>
      </c>
      <c r="G762" s="140" t="n">
        <v>156000</v>
      </c>
      <c r="H762" s="140" t="n">
        <v>23400</v>
      </c>
    </row>
    <row r="763" hidden="1" s="21">
      <c r="A763" s="8" t="inlineStr">
        <is>
          <t>온누리마켓</t>
        </is>
      </c>
      <c r="B763" s="9" t="inlineStr">
        <is>
          <t>농산물</t>
        </is>
      </c>
      <c r="C763" s="9" t="inlineStr">
        <is>
          <t>할배장터</t>
        </is>
      </c>
      <c r="D763" s="134" t="inlineStr">
        <is>
          <t>221-92-02444</t>
        </is>
      </c>
      <c r="E763" s="8" t="inlineStr">
        <is>
          <t>국내산 25년 영주 봉화 3년근 약도라지</t>
        </is>
      </c>
      <c r="F763" s="140" t="n">
        <v>17</v>
      </c>
      <c r="G763" s="140" t="n">
        <v>418000</v>
      </c>
      <c r="H763" s="140" t="n">
        <v>58680</v>
      </c>
    </row>
    <row r="764" hidden="1" s="21">
      <c r="A764" s="8" t="inlineStr">
        <is>
          <t>온누리마켓</t>
        </is>
      </c>
      <c r="B764" s="9" t="inlineStr">
        <is>
          <t>농산물</t>
        </is>
      </c>
      <c r="C764" s="9" t="inlineStr">
        <is>
          <t>할매장터</t>
        </is>
      </c>
      <c r="D764" s="134" t="inlineStr">
        <is>
          <t>652-76-00368</t>
        </is>
      </c>
      <c r="E764" s="8" t="inlineStr">
        <is>
          <t>국내산 영주 봉화 흙생강 세척생강 (알뜰/특품) 1kg</t>
        </is>
      </c>
      <c r="F764" s="140" t="n">
        <v>37</v>
      </c>
      <c r="G764" s="140" t="n">
        <v>551300</v>
      </c>
      <c r="H764" s="140" t="n">
        <v>80180</v>
      </c>
    </row>
    <row r="765" hidden="1" s="21">
      <c r="A765" s="8" t="inlineStr">
        <is>
          <t>온누리마켓</t>
        </is>
      </c>
      <c r="B765" s="9" t="inlineStr">
        <is>
          <t>농산물</t>
        </is>
      </c>
      <c r="C765" s="9" t="inlineStr">
        <is>
          <t>신사리마을</t>
        </is>
      </c>
      <c r="D765" s="134" t="inlineStr">
        <is>
          <t>183-95-00048</t>
        </is>
      </c>
      <c r="E765" s="8" t="inlineStr">
        <is>
          <t>착한송이버섯 800g</t>
        </is>
      </c>
      <c r="F765" s="140" t="n">
        <v>4</v>
      </c>
      <c r="G765" s="140" t="n">
        <v>205000</v>
      </c>
      <c r="H765" s="140" t="n">
        <v>25000</v>
      </c>
    </row>
    <row r="766" hidden="1" s="21">
      <c r="A766" s="8" t="inlineStr">
        <is>
          <t>온누리마켓</t>
        </is>
      </c>
      <c r="B766" s="9" t="inlineStr">
        <is>
          <t>가공식품</t>
        </is>
      </c>
      <c r="C766" s="9" t="inlineStr">
        <is>
          <t>지애(至愛)</t>
        </is>
      </c>
      <c r="D766" s="134" t="inlineStr">
        <is>
          <t>105-21-32350</t>
        </is>
      </c>
      <c r="E766" s="8" t="inlineStr">
        <is>
          <t>논산농부의 수제 생강청 280g / 460g 생강진액</t>
        </is>
      </c>
      <c r="F766" s="140" t="n">
        <v>8</v>
      </c>
      <c r="G766" s="140" t="n">
        <v>198200</v>
      </c>
      <c r="H766" s="140" t="n">
        <v>36019</v>
      </c>
    </row>
    <row r="767" hidden="1" s="21">
      <c r="A767" s="8" t="inlineStr">
        <is>
          <t>온누리마켓</t>
        </is>
      </c>
      <c r="B767" s="9" t="inlineStr">
        <is>
          <t>가공식품</t>
        </is>
      </c>
      <c r="C767" s="9" t="inlineStr">
        <is>
          <t>그린푸드</t>
        </is>
      </c>
      <c r="D767" s="134" t="inlineStr">
        <is>
          <t>638-68-00222</t>
        </is>
      </c>
      <c r="E767" s="8" t="inlineStr">
        <is>
          <t>모시떡 영광모싯잎 모시송편 흑임자 20개</t>
        </is>
      </c>
      <c r="F767" s="140" t="n">
        <v>11</v>
      </c>
      <c r="G767" s="140" t="n">
        <v>169000</v>
      </c>
      <c r="H767" s="140" t="n">
        <v>31200</v>
      </c>
    </row>
    <row r="768" hidden="1" s="21">
      <c r="A768" s="8" t="inlineStr">
        <is>
          <t>온누리마켓</t>
        </is>
      </c>
      <c r="B768" s="9" t="inlineStr">
        <is>
          <t>가공식품</t>
        </is>
      </c>
      <c r="C768" s="9" t="inlineStr">
        <is>
          <t>지애(至愛)</t>
        </is>
      </c>
      <c r="D768" s="134" t="inlineStr">
        <is>
          <t>105-21-32350</t>
        </is>
      </c>
      <c r="E768" s="8" t="inlineStr">
        <is>
          <t>논산농부의 수제 레몬생강청 700g</t>
        </is>
      </c>
      <c r="F768" s="140" t="n">
        <v>9</v>
      </c>
      <c r="G768" s="140" t="n">
        <v>248100</v>
      </c>
      <c r="H768" s="140" t="n">
        <v>33080</v>
      </c>
    </row>
    <row r="769" hidden="1" s="21">
      <c r="A769" s="8" t="inlineStr">
        <is>
          <t>온누리마켓</t>
        </is>
      </c>
      <c r="B769" s="9" t="inlineStr">
        <is>
          <t>농산물</t>
        </is>
      </c>
      <c r="C769" s="9" t="inlineStr">
        <is>
          <t>농업회사법인 주식회사 고인돌</t>
        </is>
      </c>
      <c r="D769" s="134" t="inlineStr">
        <is>
          <t>234-81-04990</t>
        </is>
      </c>
      <c r="E769" s="8" t="inlineStr">
        <is>
          <t>블랙푸드 잡곡 국내산 서리태 (500g/1kg/2kg/4kg)</t>
        </is>
      </c>
      <c r="F769" s="140" t="n">
        <v>22</v>
      </c>
      <c r="G769" s="140" t="n">
        <v>412900</v>
      </c>
      <c r="H769" s="140" t="n">
        <v>50572</v>
      </c>
    </row>
    <row r="770" hidden="1" s="21">
      <c r="A770" s="8" t="inlineStr">
        <is>
          <t>온누리마켓</t>
        </is>
      </c>
      <c r="B770" s="9" t="inlineStr">
        <is>
          <t>가공식품</t>
        </is>
      </c>
      <c r="C770" s="9" t="inlineStr">
        <is>
          <t>두레영농조합법인</t>
        </is>
      </c>
      <c r="D770" s="134" t="inlineStr">
        <is>
          <t>404-81-43909</t>
        </is>
      </c>
      <c r="E770" s="8" t="inlineStr">
        <is>
          <t>[콩여울] 고창예찬1호 참기름+들기름+생들기름 165ml</t>
        </is>
      </c>
      <c r="F770" s="140" t="n">
        <v>1</v>
      </c>
      <c r="G770" s="140" t="n">
        <v>58900</v>
      </c>
      <c r="H770" s="140" t="n">
        <v>10000</v>
      </c>
    </row>
    <row r="771" hidden="1" s="21">
      <c r="A771" s="8" t="inlineStr">
        <is>
          <t>온누리마켓</t>
        </is>
      </c>
      <c r="B771" s="9" t="inlineStr">
        <is>
          <t>농산물</t>
        </is>
      </c>
      <c r="C771" s="9" t="inlineStr">
        <is>
          <t>농업회사법인 철원미곡 주식회사</t>
        </is>
      </c>
      <c r="D771" s="134" t="inlineStr">
        <is>
          <t>127-81-93991</t>
        </is>
      </c>
      <c r="E771" s="8" t="inlineStr">
        <is>
          <t>[철원미곡] 2025년 햅쌀 찰현미 10kg</t>
        </is>
      </c>
      <c r="F771" s="140" t="n">
        <v>3</v>
      </c>
      <c r="G771" s="140" t="n">
        <v>169800</v>
      </c>
      <c r="H771" s="140" t="n">
        <v>30000</v>
      </c>
    </row>
    <row r="772" hidden="1" s="21">
      <c r="A772" s="8" t="inlineStr">
        <is>
          <t>온누리마켓</t>
        </is>
      </c>
      <c r="B772" s="9" t="inlineStr">
        <is>
          <t>가공식품</t>
        </is>
      </c>
      <c r="C772" s="9" t="inlineStr">
        <is>
          <t>두레영농조합법인</t>
        </is>
      </c>
      <c r="D772" s="134" t="inlineStr">
        <is>
          <t>404-81-43909</t>
        </is>
      </c>
      <c r="E772" s="8" t="inlineStr">
        <is>
          <t>[콩여울] 고창예찬2호 참기름+들기름+재래식간장 165ml</t>
        </is>
      </c>
      <c r="F772" s="140" t="n">
        <v>1</v>
      </c>
      <c r="G772" s="140" t="n">
        <v>47900</v>
      </c>
      <c r="H772" s="140" t="n">
        <v>9580</v>
      </c>
    </row>
    <row r="773" hidden="1" s="21">
      <c r="A773" s="8" t="inlineStr">
        <is>
          <t>온누리마켓</t>
        </is>
      </c>
      <c r="B773" s="9" t="inlineStr">
        <is>
          <t>가공식품</t>
        </is>
      </c>
      <c r="C773" s="9" t="inlineStr">
        <is>
          <t>두레영농조합법인</t>
        </is>
      </c>
      <c r="D773" s="134" t="inlineStr">
        <is>
          <t>404-81-43909</t>
        </is>
      </c>
      <c r="E773" s="8" t="inlineStr">
        <is>
          <t>[콩여울] 청정고창 저온압착 생들기름 165ml/260ml</t>
        </is>
      </c>
      <c r="F773" s="140" t="n">
        <v>4</v>
      </c>
      <c r="G773" s="140" t="n">
        <v>103400</v>
      </c>
      <c r="H773" s="140" t="n">
        <v>15773</v>
      </c>
    </row>
    <row r="774" hidden="1" s="21">
      <c r="A774" s="8" t="inlineStr">
        <is>
          <t>온누리마켓</t>
        </is>
      </c>
      <c r="B774" s="9" t="inlineStr">
        <is>
          <t>가공식품</t>
        </is>
      </c>
      <c r="C774" s="9" t="inlineStr">
        <is>
          <t>두레영농조합법인</t>
        </is>
      </c>
      <c r="D774" s="134" t="inlineStr">
        <is>
          <t>404-81-43909</t>
        </is>
      </c>
      <c r="E774" s="8" t="inlineStr">
        <is>
          <t>[콩여울] 정담고을1호 참기름+들기름 165ml</t>
        </is>
      </c>
      <c r="F774" s="140" t="n">
        <v>2</v>
      </c>
      <c r="G774" s="140" t="n">
        <v>85800</v>
      </c>
      <c r="H774" s="140" t="n">
        <v>17160</v>
      </c>
    </row>
    <row r="775" hidden="1" s="21">
      <c r="A775" s="8" t="inlineStr">
        <is>
          <t>온누리마켓</t>
        </is>
      </c>
      <c r="B775" s="9" t="inlineStr">
        <is>
          <t>가공식품</t>
        </is>
      </c>
      <c r="C775" s="9" t="inlineStr">
        <is>
          <t>두레영농조합법인</t>
        </is>
      </c>
      <c r="D775" s="134" t="inlineStr">
        <is>
          <t>404-81-43909</t>
        </is>
      </c>
      <c r="E775" s="8" t="inlineStr">
        <is>
          <t>[콩여울] 정담고을2호 생들기름+생들기름 165ml</t>
        </is>
      </c>
      <c r="F775" s="140" t="n">
        <v>1</v>
      </c>
      <c r="G775" s="140" t="n">
        <v>40900</v>
      </c>
      <c r="H775" s="140" t="n">
        <v>8180</v>
      </c>
    </row>
    <row r="776" hidden="1" s="21">
      <c r="A776" s="8" t="inlineStr">
        <is>
          <t>온누리마켓</t>
        </is>
      </c>
      <c r="B776" s="9" t="inlineStr">
        <is>
          <t>가공식품</t>
        </is>
      </c>
      <c r="C776" s="9" t="inlineStr">
        <is>
          <t>농업회사법인(주)씨앤씨정</t>
        </is>
      </c>
      <c r="D776" s="134" t="inlineStr">
        <is>
          <t>178-87-00546</t>
        </is>
      </c>
      <c r="E776" s="8" t="inlineStr">
        <is>
          <t>우리쌀로만든 쫀득한 떡볶이떡 200g 5개</t>
        </is>
      </c>
      <c r="F776" s="140" t="n">
        <v>20</v>
      </c>
      <c r="G776" s="140" t="n">
        <v>165300</v>
      </c>
      <c r="H776" s="140" t="n">
        <v>20408</v>
      </c>
    </row>
    <row r="777" hidden="1" s="21">
      <c r="A777" s="8" t="inlineStr">
        <is>
          <t>온누리마켓</t>
        </is>
      </c>
      <c r="B777" s="9" t="inlineStr">
        <is>
          <t>가공식품</t>
        </is>
      </c>
      <c r="C777" s="9" t="inlineStr">
        <is>
          <t>지애(至愛)</t>
        </is>
      </c>
      <c r="D777" s="134" t="inlineStr">
        <is>
          <t>105-21-32350</t>
        </is>
      </c>
      <c r="E777" s="8" t="inlineStr">
        <is>
          <t>논산농부의 수제 양파청양장아찌 580g(병)</t>
        </is>
      </c>
      <c r="F777" s="140" t="n">
        <v>10</v>
      </c>
      <c r="G777" s="140" t="n">
        <v>166600</v>
      </c>
      <c r="H777" s="140" t="n">
        <v>13720</v>
      </c>
    </row>
    <row r="778" hidden="1" s="21">
      <c r="A778" s="8" t="inlineStr">
        <is>
          <t>온누리마켓</t>
        </is>
      </c>
      <c r="B778" s="9" t="inlineStr">
        <is>
          <t>가공식품</t>
        </is>
      </c>
      <c r="C778" s="9" t="inlineStr">
        <is>
          <t>그린푸드</t>
        </is>
      </c>
      <c r="D778" s="134" t="inlineStr">
        <is>
          <t>638-68-00222</t>
        </is>
      </c>
      <c r="E778" s="8" t="inlineStr">
        <is>
          <t>직접수확한 쑥으로 만든 쑥떡 쑥개떡 1kg</t>
        </is>
      </c>
      <c r="F778" s="140" t="n">
        <v>15</v>
      </c>
      <c r="G778" s="140" t="n">
        <v>247000</v>
      </c>
      <c r="H778" s="140" t="n">
        <v>36400</v>
      </c>
    </row>
    <row r="779" hidden="1" s="21">
      <c r="A779" s="8" t="inlineStr">
        <is>
          <t>온누리마켓</t>
        </is>
      </c>
      <c r="B779" s="9" t="inlineStr">
        <is>
          <t>가공식품</t>
        </is>
      </c>
      <c r="C779" s="9" t="inlineStr">
        <is>
          <t>지애(至愛)</t>
        </is>
      </c>
      <c r="D779" s="134" t="inlineStr">
        <is>
          <t>105-21-32350</t>
        </is>
      </c>
      <c r="E779" s="8" t="inlineStr">
        <is>
          <t>논산농부의 수제 눈꽃딸기청 600g / 1100g</t>
        </is>
      </c>
      <c r="F779" s="140" t="n">
        <v>21</v>
      </c>
      <c r="G779" s="140" t="n">
        <v>591500</v>
      </c>
      <c r="H779" s="140" t="n">
        <v>78324</v>
      </c>
    </row>
    <row r="780" hidden="1" s="21">
      <c r="A780" s="8" t="inlineStr">
        <is>
          <t>온누리마켓</t>
        </is>
      </c>
      <c r="B780" s="9" t="inlineStr">
        <is>
          <t>가공식품</t>
        </is>
      </c>
      <c r="C780" s="9" t="inlineStr">
        <is>
          <t>부엉이네오솔길</t>
        </is>
      </c>
      <c r="D780" s="134" t="inlineStr">
        <is>
          <t>218-37-00631</t>
        </is>
      </c>
      <c r="E780" s="8" t="inlineStr">
        <is>
          <t>에코프리베 쓰지않은 여주차 티백 1.5g x (10ea / 20ea / 60ea) 저온 다회 덖음차 국내 특허 [ECOFRIBAE]</t>
        </is>
      </c>
      <c r="F780" s="140" t="n">
        <v>4</v>
      </c>
      <c r="G780" s="140" t="n">
        <v>106400</v>
      </c>
      <c r="H780" s="140" t="n">
        <v>10280</v>
      </c>
    </row>
    <row r="781" hidden="1" s="21">
      <c r="A781" s="8" t="inlineStr">
        <is>
          <t>온누리마켓</t>
        </is>
      </c>
      <c r="B781" s="9" t="inlineStr">
        <is>
          <t>가공식품</t>
        </is>
      </c>
      <c r="C781" s="9" t="inlineStr">
        <is>
          <t>지애(至愛)</t>
        </is>
      </c>
      <c r="D781" s="134" t="inlineStr">
        <is>
          <t>105-21-32350</t>
        </is>
      </c>
      <c r="E781" s="8" t="inlineStr">
        <is>
          <t>논산농부의 수제 오이장아찌 300g (팩포장)</t>
        </is>
      </c>
      <c r="F781" s="140" t="n">
        <v>4</v>
      </c>
      <c r="G781" s="140" t="n">
        <v>80000</v>
      </c>
      <c r="H781" s="140" t="n">
        <v>13440</v>
      </c>
    </row>
    <row r="782" hidden="1" s="21">
      <c r="A782" s="8" t="inlineStr">
        <is>
          <t>온누리마켓</t>
        </is>
      </c>
      <c r="B782" s="9" t="inlineStr">
        <is>
          <t>농산물</t>
        </is>
      </c>
      <c r="C782" s="9" t="inlineStr">
        <is>
          <t>농업회사법인 주식회사 고인돌</t>
        </is>
      </c>
      <c r="D782" s="134" t="inlineStr">
        <is>
          <t>234-81-04990</t>
        </is>
      </c>
      <c r="E782" s="8" t="inlineStr">
        <is>
          <t>25년 [산지직송] 국내산 블랙푸드 흑보리(500g/1kg/4kg/5kg)</t>
        </is>
      </c>
      <c r="F782" s="140" t="n">
        <v>5</v>
      </c>
      <c r="G782" s="140" t="n">
        <v>93500</v>
      </c>
      <c r="H782" s="140" t="n">
        <v>15947</v>
      </c>
    </row>
    <row r="783" hidden="1" s="21">
      <c r="A783" s="8" t="inlineStr">
        <is>
          <t>온누리마켓</t>
        </is>
      </c>
      <c r="B783" s="9" t="inlineStr">
        <is>
          <t>가공식품</t>
        </is>
      </c>
      <c r="C783" s="9" t="inlineStr">
        <is>
          <t>지애(至愛)</t>
        </is>
      </c>
      <c r="D783" s="134" t="inlineStr">
        <is>
          <t>105-21-32350</t>
        </is>
      </c>
      <c r="E783" s="8" t="inlineStr">
        <is>
          <t>논산농부의 수제 모듬 야채피클 580g(병) / 1kg(팩)</t>
        </is>
      </c>
      <c r="F783" s="140" t="n">
        <v>5</v>
      </c>
      <c r="G783" s="140" t="n">
        <v>80000</v>
      </c>
      <c r="H783" s="140" t="n">
        <v>11996</v>
      </c>
    </row>
    <row r="784" hidden="1" s="21">
      <c r="A784" s="8" t="inlineStr">
        <is>
          <t>온누리마켓</t>
        </is>
      </c>
      <c r="B784" s="9" t="inlineStr">
        <is>
          <t>가공식품</t>
        </is>
      </c>
      <c r="C784" s="9" t="inlineStr">
        <is>
          <t>부엉이네오솔길</t>
        </is>
      </c>
      <c r="D784" s="134" t="inlineStr">
        <is>
          <t>218-37-00631</t>
        </is>
      </c>
      <c r="E784" s="8" t="inlineStr">
        <is>
          <t>에코프리베 어린이 홍삼 작두콩차 티백 30g (1.5gx20ea) 저온 다회 덖음차 [ECOFRIBAE]</t>
        </is>
      </c>
      <c r="F784" s="140" t="n">
        <v>1</v>
      </c>
      <c r="G784" s="140" t="n">
        <v>19900</v>
      </c>
      <c r="H784" s="140" t="n">
        <v>3980</v>
      </c>
    </row>
    <row r="785" hidden="1" s="21">
      <c r="A785" s="8" t="inlineStr">
        <is>
          <t>온누리마켓</t>
        </is>
      </c>
      <c r="B785" s="9" t="inlineStr">
        <is>
          <t>가공식품</t>
        </is>
      </c>
      <c r="C785" s="9" t="inlineStr">
        <is>
          <t>지애(至愛)</t>
        </is>
      </c>
      <c r="D785" s="134" t="inlineStr">
        <is>
          <t>105-21-32350</t>
        </is>
      </c>
      <c r="E785" s="8" t="inlineStr">
        <is>
          <t>논산농부의 수제 유자청 700g</t>
        </is>
      </c>
      <c r="F785" s="140" t="n">
        <v>5</v>
      </c>
      <c r="G785" s="140" t="n">
        <v>89500</v>
      </c>
      <c r="H785" s="140" t="n">
        <v>14320</v>
      </c>
    </row>
    <row r="786" hidden="1" s="21">
      <c r="A786" s="8" t="inlineStr">
        <is>
          <t>온누리마켓</t>
        </is>
      </c>
      <c r="B786" s="9" t="inlineStr">
        <is>
          <t>가공식품</t>
        </is>
      </c>
      <c r="C786" s="9" t="inlineStr">
        <is>
          <t>부엉이네오솔길</t>
        </is>
      </c>
      <c r="D786" s="134" t="inlineStr">
        <is>
          <t>218-37-00631</t>
        </is>
      </c>
      <c r="E786" s="8" t="inlineStr">
        <is>
          <t>에코프리베 호박 팥차 티백 1.5g x (10ea / 20ea) 저온 다회 덖음차 [ECOFRIBAE]</t>
        </is>
      </c>
      <c r="F786" s="140" t="n">
        <v>13</v>
      </c>
      <c r="G786" s="140" t="n">
        <v>262500</v>
      </c>
      <c r="H786" s="140" t="n">
        <v>38540</v>
      </c>
    </row>
    <row r="787" hidden="1" s="21">
      <c r="A787" s="8" t="inlineStr">
        <is>
          <t>온누리마켓</t>
        </is>
      </c>
      <c r="B787" s="9" t="inlineStr">
        <is>
          <t>가공식품</t>
        </is>
      </c>
      <c r="C787" s="9" t="inlineStr">
        <is>
          <t>지애(至愛)</t>
        </is>
      </c>
      <c r="D787" s="134" t="inlineStr">
        <is>
          <t>105-21-32350</t>
        </is>
      </c>
      <c r="E787" s="8" t="inlineStr">
        <is>
          <t>논산농부의 수제 마늘종장아찌 580g(병)</t>
        </is>
      </c>
      <c r="F787" s="140" t="n">
        <v>1</v>
      </c>
      <c r="G787" s="140" t="n">
        <v>15900</v>
      </c>
      <c r="H787" s="140" t="n">
        <v>3180</v>
      </c>
    </row>
    <row r="788" hidden="1" s="21">
      <c r="A788" s="8" t="inlineStr">
        <is>
          <t>온누리마켓</t>
        </is>
      </c>
      <c r="B788" s="9" t="inlineStr">
        <is>
          <t>가공식품</t>
        </is>
      </c>
      <c r="C788" s="9" t="inlineStr">
        <is>
          <t>지애(至愛)</t>
        </is>
      </c>
      <c r="D788" s="134" t="inlineStr">
        <is>
          <t>105-21-32350</t>
        </is>
      </c>
      <c r="E788" s="8" t="inlineStr">
        <is>
          <t>논산농부의 수제 청양고추장아찌 300g(팩) x 2ea / 580g(병)</t>
        </is>
      </c>
      <c r="F788" s="140" t="n">
        <v>1</v>
      </c>
      <c r="G788" s="140" t="n">
        <v>15700</v>
      </c>
      <c r="H788" s="140" t="n">
        <v>3140</v>
      </c>
    </row>
    <row r="789" hidden="1" s="21">
      <c r="A789" s="8" t="inlineStr">
        <is>
          <t>온누리마켓</t>
        </is>
      </c>
      <c r="B789" s="9" t="inlineStr">
        <is>
          <t>가공식품</t>
        </is>
      </c>
      <c r="C789" s="9" t="inlineStr">
        <is>
          <t>부엉이네오솔길</t>
        </is>
      </c>
      <c r="D789" s="134" t="inlineStr">
        <is>
          <t>218-37-00631</t>
        </is>
      </c>
      <c r="E789" s="8" t="inlineStr">
        <is>
          <t>에코프리베 작두콩차 티백 1.5g x (10ea / 20ea / 60ea) 저온 다회 덖음차 [ECOFRIBAE]</t>
        </is>
      </c>
      <c r="F789" s="140" t="n">
        <v>2</v>
      </c>
      <c r="G789" s="140" t="n">
        <v>31000</v>
      </c>
      <c r="H789" s="140" t="n">
        <v>3100</v>
      </c>
    </row>
    <row r="790" hidden="1" s="21">
      <c r="A790" s="8" t="inlineStr">
        <is>
          <t>온누리마켓</t>
        </is>
      </c>
      <c r="B790" s="9" t="inlineStr">
        <is>
          <t>가공식품</t>
        </is>
      </c>
      <c r="C790" s="9" t="inlineStr">
        <is>
          <t>지애(至愛)</t>
        </is>
      </c>
      <c r="D790" s="134" t="inlineStr">
        <is>
          <t>105-21-32350</t>
        </is>
      </c>
      <c r="E790" s="8" t="inlineStr">
        <is>
          <t>논산농부의 수제 오이장아찌무침 170g (팩포장) x 2ea 오이지무침 오이지</t>
        </is>
      </c>
      <c r="F790" s="140" t="n">
        <v>2</v>
      </c>
      <c r="G790" s="140" t="n">
        <v>31000</v>
      </c>
      <c r="H790" s="140" t="n">
        <v>3100</v>
      </c>
    </row>
    <row r="791" hidden="1" s="21">
      <c r="A791" s="8" t="inlineStr">
        <is>
          <t>온누리마켓</t>
        </is>
      </c>
      <c r="B791" s="9" t="inlineStr">
        <is>
          <t>가공식품</t>
        </is>
      </c>
      <c r="C791" s="9" t="inlineStr">
        <is>
          <t>그린푸드</t>
        </is>
      </c>
      <c r="D791" s="134" t="inlineStr">
        <is>
          <t>638-68-00222</t>
        </is>
      </c>
      <c r="E791" s="8" t="inlineStr">
        <is>
          <t>직접 수확한 쑥으로 만든 쑥떡 쑥인절미 1kg</t>
        </is>
      </c>
      <c r="F791" s="140" t="n">
        <v>10</v>
      </c>
      <c r="G791" s="140" t="n">
        <v>143000</v>
      </c>
      <c r="H791" s="140" t="n">
        <v>20800</v>
      </c>
    </row>
    <row r="792" hidden="1" s="21">
      <c r="A792" s="8" t="inlineStr">
        <is>
          <t>온누리마켓</t>
        </is>
      </c>
      <c r="B792" s="9" t="inlineStr">
        <is>
          <t>가공식품</t>
        </is>
      </c>
      <c r="C792" s="9" t="inlineStr">
        <is>
          <t>지애(至愛)</t>
        </is>
      </c>
      <c r="D792" s="134" t="inlineStr">
        <is>
          <t>105-21-32350</t>
        </is>
      </c>
      <c r="E792" s="8" t="inlineStr">
        <is>
          <t>논산농부의 수제 애기오이피클 580g(병) / 1kg(팩)</t>
        </is>
      </c>
      <c r="F792" s="140" t="n">
        <v>8</v>
      </c>
      <c r="G792" s="140" t="n">
        <v>115000</v>
      </c>
      <c r="H792" s="140" t="n">
        <v>15609</v>
      </c>
    </row>
    <row r="793" hidden="1" s="21">
      <c r="A793" s="8" t="inlineStr">
        <is>
          <t>온누리마켓</t>
        </is>
      </c>
      <c r="B793" s="9" t="inlineStr">
        <is>
          <t>농산물</t>
        </is>
      </c>
      <c r="C793" s="9" t="inlineStr">
        <is>
          <t>농업회사법인 주식회사 고인돌</t>
        </is>
      </c>
      <c r="D793" s="134" t="inlineStr">
        <is>
          <t>234-81-04990</t>
        </is>
      </c>
      <c r="E793" s="8" t="inlineStr">
        <is>
          <t>영양만점 잡곡 강화섬 국내산 대두 백태콩 메주콩 (600g/1kg/5kg/10kg)</t>
        </is>
      </c>
      <c r="F793" s="140" t="n">
        <v>4</v>
      </c>
      <c r="G793" s="140" t="n">
        <v>54600</v>
      </c>
      <c r="H793" s="140" t="n">
        <v>6160</v>
      </c>
    </row>
    <row r="794" hidden="1" s="21">
      <c r="A794" s="8" t="inlineStr">
        <is>
          <t>온누리마켓</t>
        </is>
      </c>
      <c r="B794" s="9" t="inlineStr">
        <is>
          <t>농산물</t>
        </is>
      </c>
      <c r="C794" s="9" t="inlineStr">
        <is>
          <t>농업회사법인 주식회사 고인돌</t>
        </is>
      </c>
      <c r="D794" s="134" t="inlineStr">
        <is>
          <t>234-81-04990</t>
        </is>
      </c>
      <c r="E794" s="8" t="inlineStr">
        <is>
          <t>산지출고 [25년] 국내산 늘보리쌀 (500g/1kg/4kg/5kg)</t>
        </is>
      </c>
      <c r="F794" s="140" t="n">
        <v>4</v>
      </c>
      <c r="G794" s="140" t="n">
        <v>50500</v>
      </c>
      <c r="H794" s="140" t="n">
        <v>5360</v>
      </c>
    </row>
    <row r="795" hidden="1" s="21">
      <c r="A795" s="8" t="inlineStr">
        <is>
          <t>온누리마켓</t>
        </is>
      </c>
      <c r="B795" s="9" t="inlineStr">
        <is>
          <t>가공식품</t>
        </is>
      </c>
      <c r="C795" s="9" t="inlineStr">
        <is>
          <t>그린푸드</t>
        </is>
      </c>
      <c r="D795" s="134" t="inlineStr">
        <is>
          <t>638-68-00222</t>
        </is>
      </c>
      <c r="E795" s="8" t="inlineStr">
        <is>
          <t>모시떡 영광모싯잎 모시송편 3가지맛 60개</t>
        </is>
      </c>
      <c r="F795" s="140" t="n">
        <v>1</v>
      </c>
      <c r="G795" s="140" t="n">
        <v>37000</v>
      </c>
      <c r="H795" s="140" t="n">
        <v>7400</v>
      </c>
    </row>
    <row r="796" hidden="1" s="21">
      <c r="A796" s="8" t="inlineStr">
        <is>
          <t>온누리마켓</t>
        </is>
      </c>
      <c r="B796" s="9" t="inlineStr">
        <is>
          <t>가공식품</t>
        </is>
      </c>
      <c r="C796" s="9" t="inlineStr">
        <is>
          <t>그린푸드</t>
        </is>
      </c>
      <c r="D796" s="134" t="inlineStr">
        <is>
          <t>638-68-00222</t>
        </is>
      </c>
      <c r="E796" s="8" t="inlineStr">
        <is>
          <t>직접 수확한 쑥으로 만든 쑥떡 쑥송편 20개</t>
        </is>
      </c>
      <c r="F796" s="140" t="n">
        <v>1</v>
      </c>
      <c r="G796" s="140" t="n">
        <v>13000</v>
      </c>
      <c r="H796" s="140" t="inlineStr">
        <is>
          <t>-</t>
        </is>
      </c>
    </row>
    <row r="797" hidden="1" s="21">
      <c r="A797" s="8" t="inlineStr">
        <is>
          <t>온누리마켓</t>
        </is>
      </c>
      <c r="B797" s="9" t="inlineStr">
        <is>
          <t>가공식품</t>
        </is>
      </c>
      <c r="C797" s="9" t="inlineStr">
        <is>
          <t>까망 주식회사</t>
        </is>
      </c>
      <c r="D797" s="134" t="inlineStr">
        <is>
          <t>440-81-03112</t>
        </is>
      </c>
      <c r="E797" s="8" t="inlineStr">
        <is>
          <t>[까망목장]요하트 수제쫀득 그릭요거트 플레인 고단백/칼슘 무가당 500g</t>
        </is>
      </c>
      <c r="F797" s="140" t="n">
        <v>60</v>
      </c>
      <c r="G797" s="140" t="n">
        <v>979000</v>
      </c>
      <c r="H797" s="140" t="n">
        <v>143000</v>
      </c>
    </row>
    <row r="798" hidden="1" s="21">
      <c r="A798" s="8" t="inlineStr">
        <is>
          <t>온누리마켓</t>
        </is>
      </c>
      <c r="B798" s="9" t="inlineStr">
        <is>
          <t>농산물</t>
        </is>
      </c>
      <c r="C798" s="9" t="inlineStr">
        <is>
          <t>농업회사법인 주식회사 고인돌</t>
        </is>
      </c>
      <c r="D798" s="134" t="inlineStr">
        <is>
          <t>234-81-04990</t>
        </is>
      </c>
      <c r="E798" s="8" t="inlineStr">
        <is>
          <t>25년[산지직송] 국내산 찰보리쌀 (500g/1kg/2kg/3kg/4kg)</t>
        </is>
      </c>
      <c r="F798" s="140" t="n">
        <v>3</v>
      </c>
      <c r="G798" s="140" t="n">
        <v>44000</v>
      </c>
      <c r="H798" s="140" t="n">
        <v>5240</v>
      </c>
    </row>
    <row r="799" hidden="1" s="21">
      <c r="A799" s="8" t="inlineStr">
        <is>
          <t>온누리마켓</t>
        </is>
      </c>
      <c r="B799" s="9" t="inlineStr">
        <is>
          <t>가공식품</t>
        </is>
      </c>
      <c r="C799" s="9" t="inlineStr">
        <is>
          <t>두레영농조합법인</t>
        </is>
      </c>
      <c r="D799" s="134" t="inlineStr">
        <is>
          <t>404-81-43909</t>
        </is>
      </c>
      <c r="E799" s="8" t="inlineStr">
        <is>
          <t>[콩여울] 직접채밀 순수 천연벌꿀 아카시아꿀 밤꿀 야생화꿀 선물세트 300mlx3ea</t>
        </is>
      </c>
      <c r="F799" s="140" t="n">
        <v>7</v>
      </c>
      <c r="G799" s="140" t="n">
        <v>269500</v>
      </c>
      <c r="H799" s="140" t="n">
        <v>50600</v>
      </c>
    </row>
    <row r="800" hidden="1" s="21">
      <c r="A800" s="8" t="inlineStr">
        <is>
          <t>온누리마켓</t>
        </is>
      </c>
      <c r="B800" s="9" t="inlineStr">
        <is>
          <t>가공식품</t>
        </is>
      </c>
      <c r="C800" s="9" t="inlineStr">
        <is>
          <t>두레영농조합법인</t>
        </is>
      </c>
      <c r="D800" s="134" t="inlineStr">
        <is>
          <t>404-81-43909</t>
        </is>
      </c>
      <c r="E800" s="8" t="inlineStr">
        <is>
          <t>[콩여울] 정담고을4호 생들기름260ml+아카시아꿀350g</t>
        </is>
      </c>
      <c r="F800" s="140" t="n">
        <v>1</v>
      </c>
      <c r="G800" s="140" t="n">
        <v>41900</v>
      </c>
      <c r="H800" s="140" t="n">
        <v>8380</v>
      </c>
    </row>
    <row r="801" hidden="1" s="21">
      <c r="A801" s="8" t="inlineStr">
        <is>
          <t>온누리마켓</t>
        </is>
      </c>
      <c r="B801" s="9" t="inlineStr">
        <is>
          <t>가공식품</t>
        </is>
      </c>
      <c r="C801" s="9" t="inlineStr">
        <is>
          <t>두레영농조합법인</t>
        </is>
      </c>
      <c r="D801" s="134" t="inlineStr">
        <is>
          <t>404-81-43909</t>
        </is>
      </c>
      <c r="E801" s="8" t="inlineStr">
        <is>
          <t>[콩여울] 정담고을3호 참기름+들기름 260ml</t>
        </is>
      </c>
      <c r="F801" s="140" t="n">
        <v>2</v>
      </c>
      <c r="G801" s="140" t="n">
        <v>119800</v>
      </c>
      <c r="H801" s="140" t="n">
        <v>20000</v>
      </c>
    </row>
    <row r="802" hidden="1" s="21">
      <c r="A802" s="8" t="inlineStr">
        <is>
          <t>온누리마켓</t>
        </is>
      </c>
      <c r="B802" s="9" t="inlineStr">
        <is>
          <t>가공식품</t>
        </is>
      </c>
      <c r="C802" s="9" t="inlineStr">
        <is>
          <t>두레영농조합법인</t>
        </is>
      </c>
      <c r="D802" s="134" t="inlineStr">
        <is>
          <t>404-81-43909</t>
        </is>
      </c>
      <c r="E802" s="8" t="inlineStr">
        <is>
          <t>[콩여울] 정담고을5호 재래식간장260ml+볶은참깨120g</t>
        </is>
      </c>
      <c r="F802" s="140" t="n">
        <v>1</v>
      </c>
      <c r="G802" s="140" t="n">
        <v>37900</v>
      </c>
      <c r="H802" s="140" t="n">
        <v>7580</v>
      </c>
    </row>
    <row r="803" hidden="1" s="21">
      <c r="A803" s="8" t="inlineStr">
        <is>
          <t>온누리마켓</t>
        </is>
      </c>
      <c r="B803" s="9" t="inlineStr">
        <is>
          <t>가공식품</t>
        </is>
      </c>
      <c r="C803" s="9" t="inlineStr">
        <is>
          <t>부엉이네오솔길</t>
        </is>
      </c>
      <c r="D803" s="134" t="inlineStr">
        <is>
          <t>218-37-00631</t>
        </is>
      </c>
      <c r="E803" s="8" t="inlineStr">
        <is>
          <t>에코프리베 프리미엄차 3종선물세트 30ea (작두콩/여주/호박팥/은행/비트) 저온 다회 덖음차 국내특허포함</t>
        </is>
      </c>
      <c r="F803" s="140" t="n">
        <v>1</v>
      </c>
      <c r="G803" s="140" t="n">
        <v>28500</v>
      </c>
      <c r="H803" s="140" t="n">
        <v>5337</v>
      </c>
    </row>
    <row r="804" hidden="1" s="21">
      <c r="A804" s="8" t="inlineStr">
        <is>
          <t>온누리마켓</t>
        </is>
      </c>
      <c r="B804" s="9" t="inlineStr">
        <is>
          <t>가공식품</t>
        </is>
      </c>
      <c r="C804" s="9" t="inlineStr">
        <is>
          <t>부엉이네오솔길</t>
        </is>
      </c>
      <c r="D804" s="134" t="inlineStr">
        <is>
          <t>218-37-00631</t>
        </is>
      </c>
      <c r="E804" s="8" t="inlineStr">
        <is>
          <t>에코프리베 돼지감자차(뚱딴지차) 티백 30g (1.5gx20ea) 저온 다회 덖음차 [ECOFRIBAE]</t>
        </is>
      </c>
      <c r="F804" s="140" t="n">
        <v>1</v>
      </c>
      <c r="G804" s="140" t="n">
        <v>23900</v>
      </c>
      <c r="H804" s="140" t="n">
        <v>4780</v>
      </c>
    </row>
    <row r="805" hidden="1" s="21">
      <c r="A805" s="8" t="inlineStr">
        <is>
          <t>온누리마켓</t>
        </is>
      </c>
      <c r="B805" s="9" t="inlineStr">
        <is>
          <t>농산물</t>
        </is>
      </c>
      <c r="C805" s="9" t="inlineStr">
        <is>
          <t>신사리마을</t>
        </is>
      </c>
      <c r="D805" s="134" t="inlineStr">
        <is>
          <t>183-95-00048</t>
        </is>
      </c>
      <c r="E805" s="8" t="inlineStr">
        <is>
          <t>흑목이건버섯 170g</t>
        </is>
      </c>
      <c r="F805" s="140" t="n">
        <v>2</v>
      </c>
      <c r="G805" s="140" t="n">
        <v>43000</v>
      </c>
      <c r="H805" s="140" t="n">
        <v>8600</v>
      </c>
    </row>
    <row r="806" hidden="1" s="21">
      <c r="A806" s="8" t="inlineStr">
        <is>
          <t>온누리마켓</t>
        </is>
      </c>
      <c r="B806" s="9" t="inlineStr">
        <is>
          <t>농산물</t>
        </is>
      </c>
      <c r="C806" s="9" t="inlineStr">
        <is>
          <t>영농조합법인 농담</t>
        </is>
      </c>
      <c r="D806" s="134" t="inlineStr">
        <is>
          <t>613-81-51809</t>
        </is>
      </c>
      <c r="E806" s="8" t="inlineStr">
        <is>
          <t>촉촉 쫄깃 하동 대봉 감말랭이 500g/1kg</t>
        </is>
      </c>
      <c r="F806" s="140" t="n">
        <v>4</v>
      </c>
      <c r="G806" s="140" t="n">
        <v>100600</v>
      </c>
      <c r="H806" s="140" t="n">
        <v>13140</v>
      </c>
    </row>
    <row r="807" hidden="1" s="21">
      <c r="A807" s="8" t="inlineStr">
        <is>
          <t>온누리마켓</t>
        </is>
      </c>
      <c r="B807" s="9" t="inlineStr">
        <is>
          <t>가공식품</t>
        </is>
      </c>
      <c r="C807" s="9" t="inlineStr">
        <is>
          <t>지애(至愛)</t>
        </is>
      </c>
      <c r="D807" s="134" t="inlineStr">
        <is>
          <t>105-21-32350</t>
        </is>
      </c>
      <c r="E807" s="8" t="inlineStr">
        <is>
          <t>논산농부의 수제 갈아만든 유자청 430g / 700g</t>
        </is>
      </c>
      <c r="F807" s="140" t="n">
        <v>3</v>
      </c>
      <c r="G807" s="140" t="n">
        <v>53700</v>
      </c>
      <c r="H807" s="140" t="n">
        <v>10740</v>
      </c>
    </row>
    <row r="808" hidden="1" s="21">
      <c r="A808" s="8" t="inlineStr">
        <is>
          <t>온누리마켓</t>
        </is>
      </c>
      <c r="B808" s="9" t="inlineStr">
        <is>
          <t>가공식품</t>
        </is>
      </c>
      <c r="C808" s="9" t="inlineStr">
        <is>
          <t>지애(至愛)</t>
        </is>
      </c>
      <c r="D808" s="134" t="inlineStr">
        <is>
          <t>105-21-32350</t>
        </is>
      </c>
      <c r="E808" s="8" t="inlineStr">
        <is>
          <t>논산농부의 수제 양파만장아찌 580g(병)</t>
        </is>
      </c>
      <c r="F808" s="140" t="n">
        <v>3</v>
      </c>
      <c r="G808" s="140" t="n">
        <v>36000</v>
      </c>
      <c r="H808" s="140" t="n">
        <v>4800</v>
      </c>
    </row>
    <row r="809" hidden="1" s="21">
      <c r="A809" s="8" t="inlineStr">
        <is>
          <t>온누리마켓</t>
        </is>
      </c>
      <c r="B809" s="9" t="inlineStr">
        <is>
          <t>가공식품</t>
        </is>
      </c>
      <c r="C809" s="9" t="inlineStr">
        <is>
          <t>지애(至愛)</t>
        </is>
      </c>
      <c r="D809" s="134" t="inlineStr">
        <is>
          <t>105-21-32350</t>
        </is>
      </c>
      <c r="E809" s="8" t="inlineStr">
        <is>
          <t>논산농부의 수제 제주레몬청 700g</t>
        </is>
      </c>
      <c r="F809" s="140" t="n">
        <v>1</v>
      </c>
      <c r="G809" s="140" t="n">
        <v>20900</v>
      </c>
      <c r="H809" s="140" t="n">
        <v>2302</v>
      </c>
    </row>
    <row r="810" hidden="1" s="21">
      <c r="A810" s="8" t="inlineStr">
        <is>
          <t>온누리마켓</t>
        </is>
      </c>
      <c r="B810" s="9" t="inlineStr">
        <is>
          <t>농산물</t>
        </is>
      </c>
      <c r="C810" s="9" t="inlineStr">
        <is>
          <t>진천블루베리농장(팜)</t>
        </is>
      </c>
      <c r="D810" s="134" t="inlineStr">
        <is>
          <t>301-92-21674</t>
        </is>
      </c>
      <c r="E810" s="8" t="inlineStr">
        <is>
          <t>무농약 저탄소 블루베리 농장 500g/1kg</t>
        </is>
      </c>
      <c r="F810" s="140" t="n">
        <v>4</v>
      </c>
      <c r="G810" s="140" t="n">
        <v>123400</v>
      </c>
      <c r="H810" s="140" t="n">
        <v>19700</v>
      </c>
    </row>
    <row r="811" hidden="1" s="21">
      <c r="A811" s="91" t="inlineStr">
        <is>
          <t>농가살리기</t>
        </is>
      </c>
      <c r="B811" s="92" t="inlineStr">
        <is>
          <t>가공식품</t>
        </is>
      </c>
      <c r="C811" s="92" t="inlineStr">
        <is>
          <t>농업회사법인(유)코리아푸드</t>
        </is>
      </c>
      <c r="D811" s="145" t="inlineStr">
        <is>
          <t>412-81-50546</t>
        </is>
      </c>
      <c r="E811" s="94" t="inlineStr">
        <is>
          <t>전라도 전통방식!! 국내산 알배기 포기김치&amp;겉절이 1kg</t>
        </is>
      </c>
      <c r="F811" s="140" t="n">
        <v>876</v>
      </c>
      <c r="G811" s="140" t="n">
        <v>10595647</v>
      </c>
      <c r="H811" s="140" t="n">
        <v>279860</v>
      </c>
    </row>
    <row r="812" hidden="1" s="21">
      <c r="A812" s="91" t="inlineStr">
        <is>
          <t>농가살리기</t>
        </is>
      </c>
      <c r="B812" s="92" t="inlineStr">
        <is>
          <t>가공식품</t>
        </is>
      </c>
      <c r="C812" s="92" t="inlineStr">
        <is>
          <t>농업회사법인(유)코리아푸드</t>
        </is>
      </c>
      <c r="D812" s="145" t="inlineStr">
        <is>
          <t>412-81-50546</t>
        </is>
      </c>
      <c r="E812" s="94" t="inlineStr">
        <is>
          <t>[타임특가](무료배송) 900개 한정!! 전라도 수제 총각김치 2kg</t>
        </is>
      </c>
      <c r="F812" s="140" t="n">
        <v>13120</v>
      </c>
      <c r="G812" s="140" t="n">
        <v>200848013</v>
      </c>
      <c r="H812" s="140" t="n">
        <v>2555860</v>
      </c>
    </row>
    <row r="813" hidden="1" s="21">
      <c r="A813" s="91" t="inlineStr">
        <is>
          <t>농가살리기</t>
        </is>
      </c>
      <c r="B813" s="92" t="inlineStr">
        <is>
          <t>가공식품</t>
        </is>
      </c>
      <c r="C813" s="92" t="inlineStr">
        <is>
          <t>농업회사법인(유)코리아푸드</t>
        </is>
      </c>
      <c r="D813" s="145" t="inlineStr">
        <is>
          <t>412-81-50546</t>
        </is>
      </c>
      <c r="E813" s="94" t="inlineStr">
        <is>
          <t>[무료배송] 30년 손맛!! 전라도 얼갈이김치 (국내산 얼갈이)</t>
        </is>
      </c>
      <c r="F813" s="140" t="n">
        <v>130</v>
      </c>
      <c r="G813" s="140" t="n">
        <v>2599022</v>
      </c>
      <c r="H813" s="140" t="n">
        <v>68700</v>
      </c>
    </row>
    <row r="814" hidden="1" s="21">
      <c r="A814" s="91" t="inlineStr">
        <is>
          <t>농가살리기</t>
        </is>
      </c>
      <c r="B814" s="92" t="inlineStr">
        <is>
          <t>가공식품</t>
        </is>
      </c>
      <c r="C814" s="92" t="inlineStr">
        <is>
          <t>농업회사법인(유)코리아푸드</t>
        </is>
      </c>
      <c r="D814" s="145" t="inlineStr">
        <is>
          <t>412-81-50546</t>
        </is>
      </c>
      <c r="E814" s="94" t="inlineStr">
        <is>
          <t>[타임특가][무료배송+1kg증정] 프리미엄 여린 열무김치 총 3kg</t>
        </is>
      </c>
      <c r="F814" s="140" t="n">
        <v>6779</v>
      </c>
      <c r="G814" s="140" t="n">
        <v>96267471</v>
      </c>
      <c r="H814" s="140" t="n">
        <v>1809940</v>
      </c>
    </row>
    <row r="815" hidden="1" s="21">
      <c r="A815" s="91" t="inlineStr">
        <is>
          <t>농가살리기</t>
        </is>
      </c>
      <c r="B815" s="92" t="inlineStr">
        <is>
          <t>가공식품</t>
        </is>
      </c>
      <c r="C815" s="92" t="inlineStr">
        <is>
          <t>농업회사법인(유)코리아푸드</t>
        </is>
      </c>
      <c r="D815" s="145" t="inlineStr">
        <is>
          <t>412-81-50546</t>
        </is>
      </c>
      <c r="E815" s="94" t="inlineStr">
        <is>
          <t>[저온숙성] 30년 전통 전라도 묵은지 2kg (무료배송)</t>
        </is>
      </c>
      <c r="F815" s="140" t="n">
        <v>254</v>
      </c>
      <c r="G815" s="140" t="n">
        <v>5550270</v>
      </c>
      <c r="H815" s="140" t="n">
        <v>148520</v>
      </c>
    </row>
    <row r="816" hidden="1" s="21">
      <c r="A816" s="91" t="inlineStr">
        <is>
          <t>농가살리기</t>
        </is>
      </c>
      <c r="B816" s="92" t="inlineStr">
        <is>
          <t>가공식품</t>
        </is>
      </c>
      <c r="C816" s="92" t="inlineStr">
        <is>
          <t>농업회사법인(유)코리아푸드</t>
        </is>
      </c>
      <c r="D816" s="145" t="inlineStr">
        <is>
          <t>412-81-50546</t>
        </is>
      </c>
      <c r="E816" s="94" t="inlineStr">
        <is>
          <t>[비법양념사용!] 국내산 전라도 석박지 2kg</t>
        </is>
      </c>
      <c r="F816" s="140" t="n">
        <v>75</v>
      </c>
      <c r="G816" s="140" t="n">
        <v>977563</v>
      </c>
      <c r="H816" s="140" t="n">
        <v>55600</v>
      </c>
    </row>
    <row r="817" hidden="1" s="21">
      <c r="A817" s="91" t="inlineStr">
        <is>
          <t>농가살리기</t>
        </is>
      </c>
      <c r="B817" s="92" t="inlineStr">
        <is>
          <t>가공식품</t>
        </is>
      </c>
      <c r="C817" s="92" t="inlineStr">
        <is>
          <t>농업회사법인(유)코리아푸드</t>
        </is>
      </c>
      <c r="D817" s="145" t="inlineStr">
        <is>
          <t>412-81-50546</t>
        </is>
      </c>
      <c r="E817" s="94" t="inlineStr">
        <is>
          <t>썰어 담은 전라도 맛있는 맛김치 1kg/2kg</t>
        </is>
      </c>
      <c r="F817" s="140" t="n">
        <v>71</v>
      </c>
      <c r="G817" s="140" t="n">
        <v>983066</v>
      </c>
      <c r="H817" s="140" t="n">
        <v>18880</v>
      </c>
    </row>
    <row r="818" hidden="1" s="21">
      <c r="A818" s="91" t="inlineStr">
        <is>
          <t>농가살리기</t>
        </is>
      </c>
      <c r="B818" s="92" t="inlineStr">
        <is>
          <t>가공식품</t>
        </is>
      </c>
      <c r="C818" s="92" t="inlineStr">
        <is>
          <t>농업회사법인(유)코리아푸드</t>
        </is>
      </c>
      <c r="D818" s="145" t="inlineStr">
        <is>
          <t>412-81-50546</t>
        </is>
      </c>
      <c r="E818" s="94" t="inlineStr">
        <is>
          <t>전라도 쪽파!! 수제 파김치 2kg (국내산 쪽파 100%)</t>
        </is>
      </c>
      <c r="F818" s="140" t="n">
        <v>468</v>
      </c>
      <c r="G818" s="140" t="n">
        <v>6629375</v>
      </c>
      <c r="H818" s="140" t="n">
        <v>95360</v>
      </c>
    </row>
    <row r="819" hidden="1" s="21">
      <c r="A819" s="91" t="inlineStr">
        <is>
          <t>농가살리기</t>
        </is>
      </c>
      <c r="B819" s="92" t="inlineStr">
        <is>
          <t>가공식품</t>
        </is>
      </c>
      <c r="C819" s="92" t="inlineStr">
        <is>
          <t>농업회사법인(유)코리아푸드</t>
        </is>
      </c>
      <c r="D819" s="145" t="inlineStr">
        <is>
          <t>412-81-50546</t>
        </is>
      </c>
      <c r="E819" s="94" t="inlineStr">
        <is>
          <t>[몽땅 무료배송+덤증정!!] 전라도 수제 총각김치</t>
        </is>
      </c>
      <c r="F819" s="140" t="n">
        <v>498</v>
      </c>
      <c r="G819" s="140" t="n">
        <v>7706549</v>
      </c>
      <c r="H819" s="140" t="n">
        <v>253180</v>
      </c>
    </row>
    <row r="820" hidden="1" s="21">
      <c r="A820" s="91" t="inlineStr">
        <is>
          <t>농가살리기</t>
        </is>
      </c>
      <c r="B820" s="92" t="inlineStr">
        <is>
          <t>가공식품</t>
        </is>
      </c>
      <c r="C820" s="92" t="inlineStr">
        <is>
          <t>농업회사법인(유)코리아푸드</t>
        </is>
      </c>
      <c r="D820" s="145" t="inlineStr">
        <is>
          <t>412-81-50546</t>
        </is>
      </c>
      <c r="E820" s="94" t="inlineStr">
        <is>
          <t>(무료배송) 여수 정품 돌산 갓김치 2kg</t>
        </is>
      </c>
      <c r="F820" s="140" t="n">
        <v>615</v>
      </c>
      <c r="G820" s="140" t="n">
        <v>9913757</v>
      </c>
      <c r="H820" s="140" t="n">
        <v>276140</v>
      </c>
    </row>
    <row r="821" hidden="1" s="21">
      <c r="A821" s="91" t="inlineStr">
        <is>
          <t>농가살리기</t>
        </is>
      </c>
      <c r="B821" s="92" t="inlineStr">
        <is>
          <t>가공식품</t>
        </is>
      </c>
      <c r="C821" s="92" t="inlineStr">
        <is>
          <t>농업회사법인(유)코리아푸드</t>
        </is>
      </c>
      <c r="D821" s="145" t="inlineStr">
        <is>
          <t>412-81-50546</t>
        </is>
      </c>
      <c r="E821" s="94" t="inlineStr">
        <is>
          <t>양념에 버무린 전라도식 배추김치</t>
        </is>
      </c>
      <c r="F821" s="140" t="n">
        <v>271</v>
      </c>
      <c r="G821" s="140" t="n">
        <v>6055504</v>
      </c>
      <c r="H821" s="140" t="n">
        <v>285660</v>
      </c>
    </row>
    <row r="822" hidden="1" s="21">
      <c r="A822" s="91" t="inlineStr">
        <is>
          <t>농가살리기</t>
        </is>
      </c>
      <c r="B822" s="92" t="inlineStr">
        <is>
          <t>가공식품</t>
        </is>
      </c>
      <c r="C822" s="92" t="inlineStr">
        <is>
          <t>도원명가</t>
        </is>
      </c>
      <c r="D822" s="145" t="inlineStr">
        <is>
          <t>887-10-00764</t>
        </is>
      </c>
      <c r="E822" s="94" t="inlineStr">
        <is>
          <t>[여수돌산갓100%] 보리쌀 동동!! 시원한 갓물김치 &amp; 갓김치</t>
        </is>
      </c>
      <c r="F822" s="140" t="n">
        <v>12</v>
      </c>
      <c r="G822" s="140" t="n">
        <v>152081</v>
      </c>
      <c r="H822" s="140" t="n">
        <v>5560</v>
      </c>
    </row>
    <row r="823" hidden="1" s="21">
      <c r="A823" s="91" t="inlineStr">
        <is>
          <t>농가살리기</t>
        </is>
      </c>
      <c r="B823" s="92" t="inlineStr">
        <is>
          <t>가공식품</t>
        </is>
      </c>
      <c r="C823" s="92" t="inlineStr">
        <is>
          <t>도원명가</t>
        </is>
      </c>
      <c r="D823" s="145" t="inlineStr">
        <is>
          <t>887-10-00764</t>
        </is>
      </c>
      <c r="E823" s="94" t="inlineStr">
        <is>
          <t>창란젓+고랭지무=나박고랭지무김치!! 자박자박 나박김치(국내산)</t>
        </is>
      </c>
      <c r="F823" s="140" t="n">
        <v>73</v>
      </c>
      <c r="G823" s="140" t="n">
        <v>1000230</v>
      </c>
      <c r="H823" s="140" t="n">
        <v>86060</v>
      </c>
    </row>
    <row r="824" hidden="1" s="21">
      <c r="A824" s="91" t="inlineStr">
        <is>
          <t>농가살리기</t>
        </is>
      </c>
      <c r="B824" s="92" t="inlineStr">
        <is>
          <t>가공식품</t>
        </is>
      </c>
      <c r="C824" s="92" t="inlineStr">
        <is>
          <t>도원명가</t>
        </is>
      </c>
      <c r="D824" s="145" t="inlineStr">
        <is>
          <t>887-10-00764</t>
        </is>
      </c>
      <c r="E824" s="94" t="inlineStr">
        <is>
          <t>[김치맛집] 감천골!! 서리맞은 단호박 백김치 (한정 판매)</t>
        </is>
      </c>
      <c r="F824" s="140" t="n">
        <v>451</v>
      </c>
      <c r="G824" s="140" t="n">
        <v>9169867</v>
      </c>
      <c r="H824" s="140" t="n">
        <v>782540</v>
      </c>
    </row>
    <row r="825" hidden="1" s="21">
      <c r="A825" s="91" t="inlineStr">
        <is>
          <t>농가살리기</t>
        </is>
      </c>
      <c r="B825" s="92" t="inlineStr">
        <is>
          <t>가공식품</t>
        </is>
      </c>
      <c r="C825" s="92" t="inlineStr">
        <is>
          <t>도원명가</t>
        </is>
      </c>
      <c r="D825" s="145" t="inlineStr">
        <is>
          <t>887-10-00764</t>
        </is>
      </c>
      <c r="E825" s="94" t="inlineStr">
        <is>
          <t>[100% 국내산] 특제양념! 수제 쪽파말랭이무침 400g</t>
        </is>
      </c>
      <c r="F825" s="140" t="n">
        <v>96</v>
      </c>
      <c r="G825" s="140" t="n">
        <v>889455</v>
      </c>
      <c r="H825" s="140" t="n">
        <v>43560</v>
      </c>
    </row>
    <row r="826" hidden="1" s="21">
      <c r="A826" s="91" t="inlineStr">
        <is>
          <t>농가살리기</t>
        </is>
      </c>
      <c r="B826" s="92" t="inlineStr">
        <is>
          <t>가공식품</t>
        </is>
      </c>
      <c r="C826" s="92" t="inlineStr">
        <is>
          <t>도원명가</t>
        </is>
      </c>
      <c r="D826" s="145" t="inlineStr">
        <is>
          <t>887-10-00764</t>
        </is>
      </c>
      <c r="E826" s="94" t="inlineStr">
        <is>
          <t>지금 제철! 아삭아삭 싱싱한 고구마줄기김치</t>
        </is>
      </c>
      <c r="F826" s="140" t="n">
        <v>1103</v>
      </c>
      <c r="G826" s="140" t="n">
        <v>15775915</v>
      </c>
      <c r="H826" s="140" t="n">
        <v>1055900</v>
      </c>
    </row>
    <row r="827" hidden="1" s="21">
      <c r="A827" s="91" t="inlineStr">
        <is>
          <t>농가살리기</t>
        </is>
      </c>
      <c r="B827" s="92" t="inlineStr">
        <is>
          <t>가공식품</t>
        </is>
      </c>
      <c r="C827" s="92" t="inlineStr">
        <is>
          <t>도원명가</t>
        </is>
      </c>
      <c r="D827" s="145" t="inlineStr">
        <is>
          <t>887-10-00764</t>
        </is>
      </c>
      <c r="E827" s="94" t="inlineStr">
        <is>
          <t>[최대+1kg 증정] 감천골!! 가야 햇 초롱무김치</t>
        </is>
      </c>
      <c r="F827" s="140" t="n">
        <v>879</v>
      </c>
      <c r="G827" s="140" t="n">
        <v>19371393</v>
      </c>
      <c r="H827" s="140" t="n">
        <v>1071320</v>
      </c>
    </row>
    <row r="828" hidden="1" s="21">
      <c r="A828" s="91" t="inlineStr">
        <is>
          <t>농가살리기</t>
        </is>
      </c>
      <c r="B828" s="92" t="inlineStr">
        <is>
          <t>가공식품</t>
        </is>
      </c>
      <c r="C828" s="92" t="inlineStr">
        <is>
          <t>도원명가</t>
        </is>
      </c>
      <c r="D828" s="145" t="inlineStr">
        <is>
          <t>887-10-00764</t>
        </is>
      </c>
      <c r="E828" s="94" t="inlineStr">
        <is>
          <t>물도 맛있는 감천골!! 찰보리열무물김치</t>
        </is>
      </c>
      <c r="F828" s="140" t="n">
        <v>219</v>
      </c>
      <c r="G828" s="140" t="n">
        <v>3560540</v>
      </c>
      <c r="H828" s="140" t="n">
        <v>314440</v>
      </c>
    </row>
    <row r="829" hidden="1" s="21">
      <c r="A829" s="91" t="inlineStr">
        <is>
          <t>농가살리기</t>
        </is>
      </c>
      <c r="B829" s="92" t="inlineStr">
        <is>
          <t>가공식품</t>
        </is>
      </c>
      <c r="C829" s="92" t="inlineStr">
        <is>
          <t>도원명가</t>
        </is>
      </c>
      <c r="D829" s="145" t="inlineStr">
        <is>
          <t>887-10-00764</t>
        </is>
      </c>
      <c r="E829" s="94" t="inlineStr">
        <is>
          <t>건강한 맛 밥도둑 양념 콩잎김치 400g</t>
        </is>
      </c>
      <c r="F829" s="140" t="n">
        <v>117</v>
      </c>
      <c r="G829" s="140" t="n">
        <v>1813195</v>
      </c>
      <c r="H829" s="140" t="n">
        <v>142800</v>
      </c>
    </row>
    <row r="830" hidden="1" s="21">
      <c r="A830" s="91" t="inlineStr">
        <is>
          <t>농가살리기</t>
        </is>
      </c>
      <c r="B830" s="92" t="inlineStr">
        <is>
          <t>가공식품</t>
        </is>
      </c>
      <c r="C830" s="92" t="inlineStr">
        <is>
          <t>도원명가</t>
        </is>
      </c>
      <c r="D830" s="145" t="inlineStr">
        <is>
          <t>887-10-00764</t>
        </is>
      </c>
      <c r="E830" s="94" t="inlineStr">
        <is>
          <t>[경상전통식] 거창 고랭지 머위!! 햇 수제 머위김치 2종 (국산 고춧가루&amp;된장)</t>
        </is>
      </c>
      <c r="F830" s="140" t="n">
        <v>9</v>
      </c>
      <c r="G830" s="140" t="n">
        <v>153760</v>
      </c>
      <c r="H830" s="140" t="n">
        <v>12340</v>
      </c>
    </row>
    <row r="831" hidden="1" s="21">
      <c r="A831" s="91" t="inlineStr">
        <is>
          <t>농가살리기</t>
        </is>
      </c>
      <c r="B831" s="92" t="inlineStr">
        <is>
          <t>가공식품</t>
        </is>
      </c>
      <c r="C831" s="92" t="inlineStr">
        <is>
          <t>도원명가</t>
        </is>
      </c>
      <c r="D831" s="145" t="inlineStr">
        <is>
          <t>887-10-00764</t>
        </is>
      </c>
      <c r="E831" s="94" t="inlineStr">
        <is>
          <t>밥도둑 반찬(콩잎김치/깻잎김치/고추김치/무말랭이)</t>
        </is>
      </c>
      <c r="F831" s="140" t="n">
        <v>222</v>
      </c>
      <c r="G831" s="140" t="n">
        <v>3456996</v>
      </c>
      <c r="H831" s="140" t="n">
        <v>197200</v>
      </c>
    </row>
    <row r="832" hidden="1" s="21">
      <c r="A832" s="91" t="inlineStr">
        <is>
          <t>농가살리기</t>
        </is>
      </c>
      <c r="B832" s="92" t="inlineStr">
        <is>
          <t>농산물</t>
        </is>
      </c>
      <c r="C832" s="92" t="inlineStr">
        <is>
          <t>더자인</t>
        </is>
      </c>
      <c r="D832" s="145" t="inlineStr">
        <is>
          <t>749-87-02443</t>
        </is>
      </c>
      <c r="E832" s="94" t="inlineStr">
        <is>
          <t>(무료배송) 우리 농가에서 자란 달콤함의 끝판왕! 대극천 반납작이 복숭아</t>
        </is>
      </c>
      <c r="F832" s="140" t="n">
        <v>728</v>
      </c>
      <c r="G832" s="140" t="n">
        <v>10463170</v>
      </c>
      <c r="H832" s="140" t="n">
        <v>990900</v>
      </c>
    </row>
    <row r="833" hidden="1" s="21">
      <c r="A833" s="91" t="inlineStr">
        <is>
          <t>농가살리기</t>
        </is>
      </c>
      <c r="B833" s="92" t="inlineStr">
        <is>
          <t>농산물</t>
        </is>
      </c>
      <c r="C833" s="92" t="inlineStr">
        <is>
          <t>더자인</t>
        </is>
      </c>
      <c r="D833" s="145" t="inlineStr">
        <is>
          <t>749-87-02443</t>
        </is>
      </c>
      <c r="E833" s="94" t="inlineStr">
        <is>
          <t>[무료배송+500g증정!!] 경북직송!! 과즙가득 햇 천도복숭아 총 3kg</t>
        </is>
      </c>
      <c r="F833" s="140" t="n">
        <v>162</v>
      </c>
      <c r="G833" s="140" t="n">
        <v>3324876</v>
      </c>
      <c r="H833" s="140" t="n">
        <v>427040</v>
      </c>
    </row>
    <row r="834" hidden="1" s="21">
      <c r="A834" s="91" t="inlineStr">
        <is>
          <t>농가살리기</t>
        </is>
      </c>
      <c r="B834" s="92" t="inlineStr">
        <is>
          <t>농산물</t>
        </is>
      </c>
      <c r="C834" s="92" t="inlineStr">
        <is>
          <t>더자인</t>
        </is>
      </c>
      <c r="D834" s="145" t="inlineStr">
        <is>
          <t>749-87-02443</t>
        </is>
      </c>
      <c r="E834" s="94" t="inlineStr">
        <is>
          <t>[타임특가][무료배송+1kg증정!!] 경북 햇 딱복이 총 3kg (딱딱이백도복숭아)</t>
        </is>
      </c>
      <c r="F834" s="140" t="n">
        <v>1938</v>
      </c>
      <c r="G834" s="140" t="n">
        <v>33113426</v>
      </c>
      <c r="H834" s="140" t="n">
        <v>2800440</v>
      </c>
    </row>
    <row r="835" hidden="1" s="21">
      <c r="A835" s="91" t="inlineStr">
        <is>
          <t>농가살리기</t>
        </is>
      </c>
      <c r="B835" s="92" t="inlineStr">
        <is>
          <t>농산물</t>
        </is>
      </c>
      <c r="C835" s="92" t="inlineStr">
        <is>
          <t>더자인</t>
        </is>
      </c>
      <c r="D835" s="145" t="inlineStr">
        <is>
          <t>749-87-02443</t>
        </is>
      </c>
      <c r="E835" s="94" t="inlineStr">
        <is>
          <t>[제철특가] 농부직송!! 새콤달콤 햇 자두 1kg/3kg</t>
        </is>
      </c>
      <c r="F835" s="140" t="n">
        <v>275</v>
      </c>
      <c r="G835" s="140" t="n">
        <v>3906553</v>
      </c>
      <c r="H835" s="140" t="n">
        <v>351360</v>
      </c>
    </row>
    <row r="836" hidden="1" s="21">
      <c r="A836" s="91" t="inlineStr">
        <is>
          <t>농가살리기</t>
        </is>
      </c>
      <c r="B836" s="92" t="inlineStr">
        <is>
          <t>농산물</t>
        </is>
      </c>
      <c r="C836" s="92" t="inlineStr">
        <is>
          <t>더자인</t>
        </is>
      </c>
      <c r="D836" s="145" t="inlineStr">
        <is>
          <t>749-87-02443</t>
        </is>
      </c>
      <c r="E836" s="94" t="inlineStr">
        <is>
          <t>[농가 무료배송!!] 말랭이복숭아 2kg!! 황도파 VS 백도파 (골라담기)</t>
        </is>
      </c>
      <c r="F836" s="140" t="n">
        <v>191</v>
      </c>
      <c r="G836" s="140" t="n">
        <v>3076104</v>
      </c>
      <c r="H836" s="140" t="n">
        <v>361820</v>
      </c>
    </row>
    <row r="837" hidden="1" s="21">
      <c r="A837" s="91" t="inlineStr">
        <is>
          <t>농가살리기</t>
        </is>
      </c>
      <c r="B837" s="92" t="inlineStr">
        <is>
          <t>농산물</t>
        </is>
      </c>
      <c r="C837" s="92" t="inlineStr">
        <is>
          <t>양림해오름농장</t>
        </is>
      </c>
      <c r="D837" s="145" t="inlineStr">
        <is>
          <t>875-96-01444</t>
        </is>
      </c>
      <c r="E837" s="94" t="inlineStr">
        <is>
          <t>[무료배송] 농부가 바로!! 상추쌈 600g 9,900원!! (유럽상추)</t>
        </is>
      </c>
      <c r="F837" s="142" t="n">
        <v>177</v>
      </c>
      <c r="G837" s="142" t="n">
        <v>1748834</v>
      </c>
      <c r="H837" s="142" t="n">
        <v>75100</v>
      </c>
    </row>
    <row r="838" hidden="1" s="21">
      <c r="A838" s="91" t="inlineStr">
        <is>
          <t>농가살리기</t>
        </is>
      </c>
      <c r="B838" s="91" t="inlineStr">
        <is>
          <t>농산물</t>
        </is>
      </c>
      <c r="C838" s="91" t="inlineStr">
        <is>
          <t>영농조합법인 우보산초</t>
        </is>
      </c>
      <c r="D838" s="145" t="inlineStr">
        <is>
          <t>873-88-00110</t>
        </is>
      </c>
      <c r="E838" s="94" t="inlineStr">
        <is>
          <t>[밀양본초] 48시간 발효숙성! 2대비법 덖음 야생 산초차</t>
        </is>
      </c>
      <c r="F838" s="142" t="n">
        <v>7</v>
      </c>
      <c r="G838" s="142" t="n">
        <v>276800</v>
      </c>
      <c r="H838" s="142" t="n">
        <v>31200</v>
      </c>
    </row>
    <row r="839" hidden="1" s="21">
      <c r="A839" s="91" t="inlineStr">
        <is>
          <t>농가살리기</t>
        </is>
      </c>
      <c r="B839" s="91" t="inlineStr">
        <is>
          <t>농산물</t>
        </is>
      </c>
      <c r="C839" s="91" t="inlineStr">
        <is>
          <t>농업회사법인 (주)자연의시간</t>
        </is>
      </c>
      <c r="D839" s="145" t="inlineStr">
        <is>
          <t>626-86-01993</t>
        </is>
      </c>
      <c r="E839" s="94" t="inlineStr">
        <is>
          <t>[무료배송] 농부가 바로!! 경북 영천 단복이!! 2kg (딱딱이복숭아)</t>
        </is>
      </c>
      <c r="F839" s="142" t="n">
        <v>856</v>
      </c>
      <c r="G839" s="142" t="n">
        <v>10693525</v>
      </c>
      <c r="H839" s="142" t="n">
        <v>974340</v>
      </c>
    </row>
    <row r="840" hidden="1" s="21">
      <c r="A840" s="91" t="inlineStr">
        <is>
          <t>농가살리기</t>
        </is>
      </c>
      <c r="B840" s="91" t="inlineStr">
        <is>
          <t>농산물</t>
        </is>
      </c>
      <c r="C840" s="12" t="inlineStr">
        <is>
          <t>들판열매</t>
        </is>
      </c>
      <c r="D840" s="136" t="inlineStr">
        <is>
          <t>608-96-64761</t>
        </is>
      </c>
      <c r="E840" s="16" t="inlineStr">
        <is>
          <t>[무료배송] 농부가 바로!! 당도선별!! 설탕 샤인머스켓</t>
        </is>
      </c>
      <c r="F840" s="142" t="n">
        <v>11</v>
      </c>
      <c r="G840" s="142" t="n">
        <v>268713</v>
      </c>
      <c r="H840" s="142" t="n">
        <v>28340</v>
      </c>
    </row>
    <row r="841" hidden="1" s="21">
      <c r="A841" s="24" t="inlineStr">
        <is>
          <t>네이버</t>
        </is>
      </c>
      <c r="B841" s="108" t="inlineStr">
        <is>
          <t>축산물</t>
        </is>
      </c>
      <c r="C841" s="24" t="inlineStr">
        <is>
          <t>농업회사법인 주식회사 코리아식품</t>
        </is>
      </c>
      <c r="D841" s="24" t="inlineStr">
        <is>
          <t>608-88-00253</t>
        </is>
      </c>
      <c r="E841" s="76" t="inlineStr">
        <is>
          <t>청춘불판 무뼈불닭발 200g 뼈없는 매운 닭발 술안주 혼술 캠핑</t>
        </is>
      </c>
      <c r="F841" s="76" t="n">
        <v>3</v>
      </c>
      <c r="G841" s="146" t="n">
        <v>53400</v>
      </c>
      <c r="H841" s="146" t="n">
        <v>7120</v>
      </c>
    </row>
    <row r="842" hidden="1" s="21">
      <c r="A842" s="24" t="inlineStr">
        <is>
          <t>네이버</t>
        </is>
      </c>
      <c r="B842" s="108" t="inlineStr">
        <is>
          <t>축산물</t>
        </is>
      </c>
      <c r="C842" s="24" t="inlineStr">
        <is>
          <t>농업회사법인 주식회사 코리아식품</t>
        </is>
      </c>
      <c r="D842" s="24" t="inlineStr">
        <is>
          <t>608-88-00253</t>
        </is>
      </c>
      <c r="E842" s="76" t="inlineStr">
        <is>
          <t>청춘불판 직화껍데기 350g 국내산 직화 불향 자체양념소스</t>
        </is>
      </c>
      <c r="F842" s="76" t="n">
        <v>6</v>
      </c>
      <c r="G842" s="146" t="n">
        <v>282900</v>
      </c>
      <c r="H842" s="146" t="n">
        <v>15520</v>
      </c>
    </row>
    <row r="843" hidden="1" s="21">
      <c r="A843" s="24" t="inlineStr">
        <is>
          <t>네이버</t>
        </is>
      </c>
      <c r="B843" s="108" t="inlineStr">
        <is>
          <t>축산물</t>
        </is>
      </c>
      <c r="C843" s="24" t="inlineStr">
        <is>
          <t>농업회사법인 주식회사 코리아식품</t>
        </is>
      </c>
      <c r="D843" s="24" t="inlineStr">
        <is>
          <t>608-88-00253</t>
        </is>
      </c>
      <c r="E843" s="76" t="inlineStr">
        <is>
          <t>고기얌 불오돌뼈 250g 국내산 매운 양념 캠핑 혼술 안주</t>
        </is>
      </c>
      <c r="F843" s="76" t="n">
        <v>1</v>
      </c>
      <c r="G843" s="146" t="n">
        <v>6900</v>
      </c>
      <c r="H843" s="146" t="inlineStr">
        <is>
          <t>-</t>
        </is>
      </c>
    </row>
    <row r="844" hidden="1" s="21">
      <c r="A844" s="24" t="inlineStr">
        <is>
          <t>네이버</t>
        </is>
      </c>
      <c r="B844" s="108" t="inlineStr">
        <is>
          <t>축산물</t>
        </is>
      </c>
      <c r="C844" s="24" t="inlineStr">
        <is>
          <t>농업회사법인 주식회사 코리아식품</t>
        </is>
      </c>
      <c r="D844" s="24" t="inlineStr">
        <is>
          <t>608-88-00253</t>
        </is>
      </c>
      <c r="E844" s="76" t="inlineStr">
        <is>
          <t>청춘불판 불오돌뼈 400g 국내산 매운 양념 캠핑 혼술 안주</t>
        </is>
      </c>
      <c r="F844" s="76" t="n">
        <v>2</v>
      </c>
      <c r="G844" s="146" t="n">
        <v>23700</v>
      </c>
      <c r="H844" s="146" t="n">
        <v>3160</v>
      </c>
    </row>
    <row r="845" hidden="1" s="21">
      <c r="A845" s="24" t="inlineStr">
        <is>
          <t>네이버</t>
        </is>
      </c>
      <c r="B845" s="108" t="inlineStr">
        <is>
          <t>축산물</t>
        </is>
      </c>
      <c r="C845" s="24" t="inlineStr">
        <is>
          <t>농업회사법인 주식회사 코리아식품</t>
        </is>
      </c>
      <c r="D845" s="24" t="inlineStr">
        <is>
          <t>608-88-00253</t>
        </is>
      </c>
      <c r="E845" s="76" t="inlineStr">
        <is>
          <t>청춘불판 직화불곱창 400g 혼술 캠핑 안주 돼지곱창</t>
        </is>
      </c>
      <c r="F845" s="76" t="n">
        <v>3</v>
      </c>
      <c r="G845" s="146" t="n">
        <v>76300</v>
      </c>
      <c r="H845" s="146" t="n">
        <v>8720</v>
      </c>
    </row>
    <row r="846" hidden="1" s="21">
      <c r="A846" s="24" t="inlineStr">
        <is>
          <t>네이버</t>
        </is>
      </c>
      <c r="B846" s="108" t="inlineStr">
        <is>
          <t>가공식품</t>
        </is>
      </c>
      <c r="C846" s="24" t="inlineStr">
        <is>
          <t>농업회사법인 곤충킹(주)</t>
        </is>
      </c>
      <c r="D846" s="24" t="inlineStr">
        <is>
          <t>268-86-01730</t>
        </is>
      </c>
      <c r="E846" s="76" t="inlineStr">
        <is>
          <t>건조고소애 건강영양간식 100g 식용곤충식품 고단백 단백질보충</t>
        </is>
      </c>
      <c r="F846" s="76" t="n">
        <v>4</v>
      </c>
      <c r="G846" s="146" t="n">
        <v>60000</v>
      </c>
      <c r="H846" s="146" t="n">
        <v>2000</v>
      </c>
    </row>
    <row r="847" hidden="1" s="21">
      <c r="A847" s="24" t="inlineStr">
        <is>
          <t>네이버</t>
        </is>
      </c>
      <c r="B847" s="108" t="inlineStr">
        <is>
          <t>가공식품</t>
        </is>
      </c>
      <c r="C847" s="24" t="inlineStr">
        <is>
          <t>농업회사법인 곤충킹(주)</t>
        </is>
      </c>
      <c r="D847" s="24" t="inlineStr">
        <is>
          <t>268-86-01730</t>
        </is>
      </c>
      <c r="E847" s="76" t="inlineStr">
        <is>
          <t>건조귀뚜라미 식용100g 건강고단백영양간식 단백질보충 (파충류 고슴도치 햄스터 먹이 가능)</t>
        </is>
      </c>
      <c r="F847" s="76" t="n">
        <v>0</v>
      </c>
      <c r="G847" s="146" t="inlineStr">
        <is>
          <t>-</t>
        </is>
      </c>
      <c r="H847" s="146" t="inlineStr">
        <is>
          <t>-</t>
        </is>
      </c>
    </row>
    <row r="848" hidden="1" s="21">
      <c r="A848" s="24" t="inlineStr">
        <is>
          <t>네이버</t>
        </is>
      </c>
      <c r="B848" s="108" t="inlineStr">
        <is>
          <t>가공식품</t>
        </is>
      </c>
      <c r="C848" s="24" t="inlineStr">
        <is>
          <t>농업회사법인 곤충킹(주)</t>
        </is>
      </c>
      <c r="D848" s="24" t="inlineStr">
        <is>
          <t>268-86-01730</t>
        </is>
      </c>
      <c r="E848" s="76" t="inlineStr">
        <is>
          <t>고소애 오란다 고단백 프로틴 간식</t>
        </is>
      </c>
      <c r="F848" s="76" t="n">
        <v>1</v>
      </c>
      <c r="G848" s="146" t="n">
        <v>4500</v>
      </c>
      <c r="H848" s="146" t="inlineStr">
        <is>
          <t>-</t>
        </is>
      </c>
    </row>
    <row r="849" hidden="1" s="21">
      <c r="A849" s="24" t="inlineStr">
        <is>
          <t>네이버</t>
        </is>
      </c>
      <c r="B849" s="108" t="inlineStr">
        <is>
          <t>가공식품</t>
        </is>
      </c>
      <c r="C849" s="24" t="inlineStr">
        <is>
          <t>농업회사법인 곤충킹(주)</t>
        </is>
      </c>
      <c r="D849" s="24" t="inlineStr">
        <is>
          <t>268-86-01730</t>
        </is>
      </c>
      <c r="E849" s="76" t="inlineStr">
        <is>
          <t>고소애초코칩쿠키 25g패키지세트(50EA입)</t>
        </is>
      </c>
      <c r="F849" s="76" t="n">
        <v>0</v>
      </c>
      <c r="G849" s="146" t="inlineStr">
        <is>
          <t>-</t>
        </is>
      </c>
      <c r="H849" s="146" t="inlineStr">
        <is>
          <t>-</t>
        </is>
      </c>
    </row>
    <row r="850" hidden="1" s="21">
      <c r="A850" s="24" t="inlineStr">
        <is>
          <t>네이버</t>
        </is>
      </c>
      <c r="B850" s="108" t="inlineStr">
        <is>
          <t>가공식품</t>
        </is>
      </c>
      <c r="C850" s="24" t="inlineStr">
        <is>
          <t>농업회사법인 곤충킹(주)</t>
        </is>
      </c>
      <c r="D850" s="24" t="inlineStr">
        <is>
          <t>268-86-01730</t>
        </is>
      </c>
      <c r="E850" s="76" t="inlineStr">
        <is>
          <t>고소애아몬드쿠키 25g패키지세트(50EA입)</t>
        </is>
      </c>
      <c r="F850" s="76" t="n">
        <v>0</v>
      </c>
      <c r="G850" s="146" t="inlineStr">
        <is>
          <t>-</t>
        </is>
      </c>
      <c r="H850" s="146" t="inlineStr">
        <is>
          <t>-</t>
        </is>
      </c>
    </row>
    <row r="851" hidden="1" s="21">
      <c r="A851" s="24" t="inlineStr">
        <is>
          <t>네이버</t>
        </is>
      </c>
      <c r="B851" s="108" t="inlineStr">
        <is>
          <t>가공식품</t>
        </is>
      </c>
      <c r="C851" s="24" t="inlineStr">
        <is>
          <t>농업회사법인 곤충킹(주)</t>
        </is>
      </c>
      <c r="D851" s="24" t="inlineStr">
        <is>
          <t>268-86-01730</t>
        </is>
      </c>
      <c r="E851" s="76" t="inlineStr">
        <is>
          <t>고소애 분말 고단백질 파우더 100g</t>
        </is>
      </c>
      <c r="F851" s="76" t="n">
        <v>3</v>
      </c>
      <c r="G851" s="146" t="n">
        <v>48000</v>
      </c>
      <c r="H851" s="146" t="inlineStr">
        <is>
          <t>-</t>
        </is>
      </c>
    </row>
    <row r="852" hidden="1" s="21">
      <c r="A852" s="24" t="inlineStr">
        <is>
          <t>네이버</t>
        </is>
      </c>
      <c r="B852" s="108" t="inlineStr">
        <is>
          <t>가공식품</t>
        </is>
      </c>
      <c r="C852" s="24" t="inlineStr">
        <is>
          <t>농업회사법인 곤충킹(주)</t>
        </is>
      </c>
      <c r="D852" s="24" t="inlineStr">
        <is>
          <t>268-86-01730</t>
        </is>
      </c>
      <c r="E852" s="76" t="inlineStr">
        <is>
          <t>영양간식 고소애 쌀빵 고단백질 간식 10개입 1세트</t>
        </is>
      </c>
      <c r="F852" s="76" t="n">
        <v>0</v>
      </c>
      <c r="G852" s="146" t="inlineStr">
        <is>
          <t>-</t>
        </is>
      </c>
      <c r="H852" s="146" t="inlineStr">
        <is>
          <t>-</t>
        </is>
      </c>
    </row>
    <row r="853" hidden="1" s="21">
      <c r="A853" s="24" t="inlineStr">
        <is>
          <t>네이버</t>
        </is>
      </c>
      <c r="B853" s="108" t="inlineStr">
        <is>
          <t>가공식품</t>
        </is>
      </c>
      <c r="C853" s="24" t="inlineStr">
        <is>
          <t>농업회사법인 곤충킹(주)</t>
        </is>
      </c>
      <c r="D853" s="24" t="inlineStr">
        <is>
          <t>268-86-01730</t>
        </is>
      </c>
      <c r="E853" s="76" t="inlineStr">
        <is>
          <t>고소애 브라우니 수제 고단백질 간식</t>
        </is>
      </c>
      <c r="F853" s="76" t="n">
        <v>0</v>
      </c>
      <c r="G853" s="146" t="inlineStr">
        <is>
          <t>-</t>
        </is>
      </c>
      <c r="H853" s="146" t="inlineStr">
        <is>
          <t>-</t>
        </is>
      </c>
    </row>
    <row r="854" hidden="1" s="21">
      <c r="A854" s="24" t="inlineStr">
        <is>
          <t>네이버</t>
        </is>
      </c>
      <c r="B854" s="108" t="inlineStr">
        <is>
          <t>가공식품</t>
        </is>
      </c>
      <c r="C854" s="24" t="inlineStr">
        <is>
          <t>농업회사법인 곤충킹(주)</t>
        </is>
      </c>
      <c r="D854" s="24" t="inlineStr">
        <is>
          <t>268-86-01730</t>
        </is>
      </c>
      <c r="E854" s="76" t="inlineStr">
        <is>
          <t>고소애 아몬드쿠키(1개) 고단백 프로틴 간식 식용 곤충 밀웜 쿠키 어린이 영양간식</t>
        </is>
      </c>
      <c r="F854" s="76" t="n">
        <v>0</v>
      </c>
      <c r="G854" s="146" t="inlineStr">
        <is>
          <t>-</t>
        </is>
      </c>
      <c r="H854" s="146" t="inlineStr">
        <is>
          <t>-</t>
        </is>
      </c>
    </row>
    <row r="855" hidden="1" s="21">
      <c r="A855" s="24" t="inlineStr">
        <is>
          <t>네이버</t>
        </is>
      </c>
      <c r="B855" s="108" t="inlineStr">
        <is>
          <t>가공식품</t>
        </is>
      </c>
      <c r="C855" s="24" t="inlineStr">
        <is>
          <t>농업회사법인 곤충킹(주)</t>
        </is>
      </c>
      <c r="D855" s="24" t="inlineStr">
        <is>
          <t>268-86-01730</t>
        </is>
      </c>
      <c r="E855" s="76" t="inlineStr">
        <is>
          <t>고소애 초코칩쿠키(1개) 고단백 프로틴 간식 식용 곤충 밀웜 쿠키 어린이 영양간식</t>
        </is>
      </c>
      <c r="F855" s="76" t="n">
        <v>2</v>
      </c>
      <c r="G855" s="146" t="n">
        <v>32000</v>
      </c>
      <c r="H855" s="146" t="inlineStr">
        <is>
          <t>-</t>
        </is>
      </c>
    </row>
    <row r="856" hidden="1" s="21">
      <c r="A856" s="24" t="inlineStr">
        <is>
          <t>네이버</t>
        </is>
      </c>
      <c r="B856" s="108" t="inlineStr">
        <is>
          <t>가공식품</t>
        </is>
      </c>
      <c r="C856" s="24" t="inlineStr">
        <is>
          <t>농업회사법인 곤충킹(주)</t>
        </is>
      </c>
      <c r="D856" s="24" t="inlineStr">
        <is>
          <t>268-86-01730</t>
        </is>
      </c>
      <c r="E856" s="76" t="inlineStr">
        <is>
          <t>고단백 영양미 단백질 성형쌀</t>
        </is>
      </c>
      <c r="F856" s="76" t="n">
        <v>0</v>
      </c>
      <c r="G856" s="146" t="inlineStr">
        <is>
          <t>-</t>
        </is>
      </c>
      <c r="H856" s="146" t="inlineStr">
        <is>
          <t>-</t>
        </is>
      </c>
    </row>
    <row r="857" hidden="1" s="21">
      <c r="A857" s="24" t="inlineStr">
        <is>
          <t>네이버</t>
        </is>
      </c>
      <c r="B857" s="108" t="inlineStr">
        <is>
          <t>가공식품</t>
        </is>
      </c>
      <c r="C857" s="24" t="inlineStr">
        <is>
          <t>한국제다</t>
        </is>
      </c>
      <c r="D857" s="24" t="inlineStr">
        <is>
          <t>408-24-61681</t>
        </is>
      </c>
      <c r="E857" s="76" t="inlineStr">
        <is>
          <t>한국제다 그린티믹스 14 스틱</t>
        </is>
      </c>
      <c r="F857" s="76" t="n">
        <v>1</v>
      </c>
      <c r="G857" s="146" t="n">
        <v>16000</v>
      </c>
      <c r="H857" s="146" t="inlineStr">
        <is>
          <t>-</t>
        </is>
      </c>
    </row>
    <row r="858" hidden="1" s="21">
      <c r="A858" s="24" t="inlineStr">
        <is>
          <t>네이버</t>
        </is>
      </c>
      <c r="B858" s="108" t="inlineStr">
        <is>
          <t>가공식품</t>
        </is>
      </c>
      <c r="C858" s="24" t="inlineStr">
        <is>
          <t>한국제다</t>
        </is>
      </c>
      <c r="D858" s="24" t="inlineStr">
        <is>
          <t>408-24-61681</t>
        </is>
      </c>
      <c r="E858" s="76" t="inlineStr">
        <is>
          <t>한국제다 호지차믹스 20 스틱</t>
        </is>
      </c>
      <c r="F858" s="76" t="n">
        <v>0</v>
      </c>
      <c r="G858" s="146" t="inlineStr">
        <is>
          <t>-</t>
        </is>
      </c>
      <c r="H858" s="146" t="inlineStr">
        <is>
          <t>-</t>
        </is>
      </c>
    </row>
    <row r="859" hidden="1" s="21">
      <c r="A859" s="24" t="inlineStr">
        <is>
          <t>네이버</t>
        </is>
      </c>
      <c r="B859" s="108" t="inlineStr">
        <is>
          <t>가공식품</t>
        </is>
      </c>
      <c r="C859" s="24" t="inlineStr">
        <is>
          <t>한국제다</t>
        </is>
      </c>
      <c r="D859" s="24" t="inlineStr">
        <is>
          <t>408-24-61681</t>
        </is>
      </c>
      <c r="E859" s="76" t="inlineStr">
        <is>
          <t>말차 30g</t>
        </is>
      </c>
      <c r="F859" s="76" t="n">
        <v>5</v>
      </c>
      <c r="G859" s="146" t="n">
        <v>175000</v>
      </c>
      <c r="H859" s="146" t="n">
        <v>15000</v>
      </c>
    </row>
    <row r="860" hidden="1" s="21">
      <c r="A860" s="24" t="inlineStr">
        <is>
          <t>네이버</t>
        </is>
      </c>
      <c r="B860" s="108" t="inlineStr">
        <is>
          <t>가공식품</t>
        </is>
      </c>
      <c r="C860" s="24" t="inlineStr">
        <is>
          <t>한국제다</t>
        </is>
      </c>
      <c r="D860" s="24" t="inlineStr">
        <is>
          <t>408-24-61681</t>
        </is>
      </c>
      <c r="E860" s="76" t="inlineStr">
        <is>
          <t>한국제다 감농 100g 지관</t>
        </is>
      </c>
      <c r="F860" s="76" t="n">
        <v>1</v>
      </c>
      <c r="G860" s="146" t="n">
        <v>65000</v>
      </c>
      <c r="H860" s="146" t="n">
        <v>10000</v>
      </c>
    </row>
    <row r="861" hidden="1" s="21">
      <c r="A861" s="24" t="inlineStr">
        <is>
          <t>네이버</t>
        </is>
      </c>
      <c r="B861" s="108" t="inlineStr">
        <is>
          <t>가공식품</t>
        </is>
      </c>
      <c r="C861" s="24" t="inlineStr">
        <is>
          <t>한국제다</t>
        </is>
      </c>
      <c r="D861" s="24" t="inlineStr">
        <is>
          <t>408-24-61681</t>
        </is>
      </c>
      <c r="E861" s="76" t="inlineStr">
        <is>
          <t>한국제다 작설차 특선 지관 100g</t>
        </is>
      </c>
      <c r="F861" s="76" t="n">
        <v>0</v>
      </c>
      <c r="G861" s="146" t="inlineStr">
        <is>
          <t>-</t>
        </is>
      </c>
      <c r="H861" s="146" t="inlineStr">
        <is>
          <t>-</t>
        </is>
      </c>
    </row>
    <row r="862" hidden="1" s="21">
      <c r="A862" s="24" t="inlineStr">
        <is>
          <t>네이버</t>
        </is>
      </c>
      <c r="B862" s="108" t="inlineStr">
        <is>
          <t>가공식품</t>
        </is>
      </c>
      <c r="C862" s="24" t="inlineStr">
        <is>
          <t>한국제다</t>
        </is>
      </c>
      <c r="D862" s="24" t="inlineStr">
        <is>
          <t>408-24-61681</t>
        </is>
      </c>
      <c r="E862" s="76" t="inlineStr">
        <is>
          <t>한국제다 정선 80g</t>
        </is>
      </c>
      <c r="F862" s="76" t="n">
        <v>1</v>
      </c>
      <c r="G862" s="146" t="n">
        <v>20000</v>
      </c>
      <c r="H862" s="146" t="n">
        <v>4000</v>
      </c>
    </row>
    <row r="863" hidden="1" s="21">
      <c r="A863" s="24" t="inlineStr">
        <is>
          <t>네이버</t>
        </is>
      </c>
      <c r="B863" s="108" t="inlineStr">
        <is>
          <t>가공식품</t>
        </is>
      </c>
      <c r="C863" s="24" t="inlineStr">
        <is>
          <t>한국제다</t>
        </is>
      </c>
      <c r="D863" s="24" t="inlineStr">
        <is>
          <t>408-24-61681</t>
        </is>
      </c>
      <c r="E863" s="76" t="inlineStr">
        <is>
          <t>한국제다 홍삼말차 40g</t>
        </is>
      </c>
      <c r="F863" s="76" t="n">
        <v>6</v>
      </c>
      <c r="G863" s="146" t="n">
        <v>210000</v>
      </c>
      <c r="H863" s="146" t="n">
        <v>34860</v>
      </c>
    </row>
    <row r="864" hidden="1" s="21">
      <c r="A864" s="24" t="inlineStr">
        <is>
          <t>네이버</t>
        </is>
      </c>
      <c r="B864" s="108" t="inlineStr">
        <is>
          <t>가공식품</t>
        </is>
      </c>
      <c r="C864" s="24" t="inlineStr">
        <is>
          <t>한국제다</t>
        </is>
      </c>
      <c r="D864" s="24" t="inlineStr">
        <is>
          <t>408-24-61681</t>
        </is>
      </c>
      <c r="E864" s="76" t="inlineStr">
        <is>
          <t>한국제다 현미녹차 100g 지관</t>
        </is>
      </c>
      <c r="F864" s="76" t="n">
        <v>2</v>
      </c>
      <c r="G864" s="146" t="n">
        <v>105000</v>
      </c>
      <c r="H864" s="146" t="inlineStr">
        <is>
          <t>-</t>
        </is>
      </c>
    </row>
    <row r="865" hidden="1" s="21">
      <c r="A865" s="24" t="inlineStr">
        <is>
          <t>네이버</t>
        </is>
      </c>
      <c r="B865" s="108" t="inlineStr">
        <is>
          <t>가공식품</t>
        </is>
      </c>
      <c r="C865" s="24" t="inlineStr">
        <is>
          <t>한국제다</t>
        </is>
      </c>
      <c r="D865" s="24" t="inlineStr">
        <is>
          <t>408-24-61681</t>
        </is>
      </c>
      <c r="E865" s="76" t="inlineStr">
        <is>
          <t>한국제다 뽕잎차 40g 지관</t>
        </is>
      </c>
      <c r="F865" s="76" t="n">
        <v>0</v>
      </c>
      <c r="G865" s="146" t="inlineStr">
        <is>
          <t>-</t>
        </is>
      </c>
      <c r="H865" s="146" t="inlineStr">
        <is>
          <t>-</t>
        </is>
      </c>
    </row>
    <row r="866" hidden="1" s="21">
      <c r="A866" s="24" t="inlineStr">
        <is>
          <t>네이버</t>
        </is>
      </c>
      <c r="B866" s="108" t="inlineStr">
        <is>
          <t>가공식품</t>
        </is>
      </c>
      <c r="C866" s="24" t="inlineStr">
        <is>
          <t>한국제다</t>
        </is>
      </c>
      <c r="D866" s="24" t="inlineStr">
        <is>
          <t>408-24-61681</t>
        </is>
      </c>
      <c r="E866" s="76" t="inlineStr">
        <is>
          <t>현미믹스20 500g</t>
        </is>
      </c>
      <c r="F866" s="76" t="n">
        <v>0</v>
      </c>
      <c r="G866" s="146" t="inlineStr">
        <is>
          <t>-</t>
        </is>
      </c>
      <c r="H866" s="146" t="inlineStr">
        <is>
          <t>-</t>
        </is>
      </c>
    </row>
    <row r="867" hidden="1" s="21">
      <c r="A867" s="24" t="inlineStr">
        <is>
          <t>네이버</t>
        </is>
      </c>
      <c r="B867" s="108" t="inlineStr">
        <is>
          <t>가공식품</t>
        </is>
      </c>
      <c r="C867" s="24" t="inlineStr">
        <is>
          <t>주식회사로컬오누이</t>
        </is>
      </c>
      <c r="D867" s="24" t="inlineStr">
        <is>
          <t>282-81-02797</t>
        </is>
      </c>
      <c r="E867" s="76" t="inlineStr">
        <is>
          <t>[로컬오누이] 나주 멜론속살떡 메론떡</t>
        </is>
      </c>
      <c r="F867" s="76" t="n">
        <v>89</v>
      </c>
      <c r="G867" s="146" t="n">
        <v>2607500</v>
      </c>
      <c r="H867" s="146" t="n">
        <v>238400</v>
      </c>
    </row>
    <row r="868" hidden="1" s="21">
      <c r="A868" s="24" t="inlineStr">
        <is>
          <t>네이버</t>
        </is>
      </c>
      <c r="B868" s="108" t="inlineStr">
        <is>
          <t>농산물</t>
        </is>
      </c>
      <c r="C868" s="24" t="inlineStr">
        <is>
          <t>주식회사로컬오누이</t>
        </is>
      </c>
      <c r="D868" s="24" t="inlineStr">
        <is>
          <t>282-81-02797</t>
        </is>
      </c>
      <c r="E868" s="76" t="inlineStr">
        <is>
          <t>[멜론집아들] 고당도 머스크 메론 세지 농협 세론이 나주 세지멜론 임신 부모님 선물세트</t>
        </is>
      </c>
      <c r="F868" s="76" t="n">
        <v>2</v>
      </c>
      <c r="G868" s="146" t="n">
        <v>97800</v>
      </c>
      <c r="H868" s="146" t="inlineStr">
        <is>
          <t>-</t>
        </is>
      </c>
    </row>
    <row r="869" hidden="1" s="21">
      <c r="A869" s="24" t="inlineStr">
        <is>
          <t>네이버</t>
        </is>
      </c>
      <c r="B869" s="108" t="inlineStr">
        <is>
          <t>축산물</t>
        </is>
      </c>
      <c r="C869" s="24" t="inlineStr">
        <is>
          <t>현풍떡갈비</t>
        </is>
      </c>
      <c r="D869" s="24" t="inlineStr">
        <is>
          <t>671-67-00557</t>
        </is>
      </c>
      <c r="E869" s="76" t="inlineStr">
        <is>
          <t>아기떡갈비 현풍 수제 한우 한돈 아이 반찬 건강한 육즙 세가지맛 3팩 90g 15개</t>
        </is>
      </c>
      <c r="F869" s="76" t="n">
        <v>74</v>
      </c>
      <c r="G869" s="146" t="n">
        <v>2562900</v>
      </c>
      <c r="H869" s="146" t="n">
        <v>237520</v>
      </c>
    </row>
    <row r="870" hidden="1" s="21">
      <c r="A870" s="24" t="inlineStr">
        <is>
          <t>네이버</t>
        </is>
      </c>
      <c r="B870" s="108" t="inlineStr">
        <is>
          <t>농산물</t>
        </is>
      </c>
      <c r="C870" s="24" t="inlineStr">
        <is>
          <t>유한회사 못골농업회사</t>
        </is>
      </c>
      <c r="D870" s="24" t="inlineStr">
        <is>
          <t>116-81-80195</t>
        </is>
      </c>
      <c r="E870" s="76" t="inlineStr">
        <is>
          <t>영호진미 백미 무훈증 당일도정 맛있는쌀 3kg 1개</t>
        </is>
      </c>
      <c r="F870" s="76" t="n">
        <v>13</v>
      </c>
      <c r="G870" s="146" t="n">
        <v>237900</v>
      </c>
      <c r="H870" s="146" t="n">
        <v>23620</v>
      </c>
    </row>
    <row r="871" hidden="1" s="21">
      <c r="A871" s="24" t="inlineStr">
        <is>
          <t>네이버</t>
        </is>
      </c>
      <c r="B871" s="108" t="inlineStr">
        <is>
          <t>농산물</t>
        </is>
      </c>
      <c r="C871" s="24" t="inlineStr">
        <is>
          <t>유한회사 못골농업회사</t>
        </is>
      </c>
      <c r="D871" s="24" t="inlineStr">
        <is>
          <t>116-81-80195</t>
        </is>
      </c>
      <c r="E871" s="76" t="inlineStr">
        <is>
          <t>영호진미 백미 무훈증 당일도정 맛있는쌀 10kg 1개</t>
        </is>
      </c>
      <c r="F871" s="76" t="n">
        <v>67</v>
      </c>
      <c r="G871" s="146" t="n">
        <v>2666600</v>
      </c>
      <c r="H871" s="146" t="n">
        <v>309240</v>
      </c>
    </row>
    <row r="872" hidden="1" s="21">
      <c r="A872" s="24" t="inlineStr">
        <is>
          <t>네이버</t>
        </is>
      </c>
      <c r="B872" s="108" t="inlineStr">
        <is>
          <t>농산물</t>
        </is>
      </c>
      <c r="C872" s="24" t="inlineStr">
        <is>
          <t>유한회사 못골농업회사</t>
        </is>
      </c>
      <c r="D872" s="24" t="inlineStr">
        <is>
          <t>116-81-80195</t>
        </is>
      </c>
      <c r="E872" s="76" t="inlineStr">
        <is>
          <t>영호진미 백미 무훈증 당일도정 맛있는쌀 10kg 2개</t>
        </is>
      </c>
      <c r="F872" s="76" t="n">
        <v>4</v>
      </c>
      <c r="G872" s="146" t="n">
        <v>318400</v>
      </c>
      <c r="H872" s="146" t="n">
        <v>20000</v>
      </c>
    </row>
    <row r="873" hidden="1" s="21">
      <c r="A873" s="24" t="inlineStr">
        <is>
          <t>네이버</t>
        </is>
      </c>
      <c r="B873" s="108" t="inlineStr">
        <is>
          <t>농산물</t>
        </is>
      </c>
      <c r="C873" s="24" t="inlineStr">
        <is>
          <t>유한회사 못골농업회사</t>
        </is>
      </c>
      <c r="D873" s="24" t="inlineStr">
        <is>
          <t>116-81-80195</t>
        </is>
      </c>
      <c r="E873" s="76" t="inlineStr">
        <is>
          <t>25년 영호진미 백미 5kg 10kg 20kg 손잡이형 무훈증 당일도정 맛있는쌀</t>
        </is>
      </c>
      <c r="F873" s="76" t="n">
        <v>5</v>
      </c>
      <c r="G873" s="146" t="n">
        <v>149400</v>
      </c>
      <c r="H873" s="146" t="n">
        <v>24900</v>
      </c>
    </row>
    <row r="874" hidden="1" s="21">
      <c r="A874" s="24" t="inlineStr">
        <is>
          <t>네이버</t>
        </is>
      </c>
      <c r="B874" s="108" t="inlineStr">
        <is>
          <t>농산물</t>
        </is>
      </c>
      <c r="C874" s="24" t="inlineStr">
        <is>
          <t>유한회사 못골농업회사</t>
        </is>
      </c>
      <c r="D874" s="24" t="inlineStr">
        <is>
          <t>116-81-80195</t>
        </is>
      </c>
      <c r="E874" s="76" t="inlineStr">
        <is>
          <t>25년 영호진미 백미 소포장 2kg 4kg 무훈증 당일도정 맛있는쌀</t>
        </is>
      </c>
      <c r="F874" s="76" t="n">
        <v>2</v>
      </c>
      <c r="G874" s="146" t="n">
        <v>35800</v>
      </c>
      <c r="H874" s="146" t="n">
        <v>7160</v>
      </c>
    </row>
    <row r="875" hidden="1" s="21">
      <c r="A875" s="24" t="inlineStr">
        <is>
          <t>네이버</t>
        </is>
      </c>
      <c r="B875" s="108" t="inlineStr">
        <is>
          <t>농산물</t>
        </is>
      </c>
      <c r="C875" s="24" t="inlineStr">
        <is>
          <t>유한회사 못골농업회사</t>
        </is>
      </c>
      <c r="D875" s="24" t="inlineStr">
        <is>
          <t>116-81-80195</t>
        </is>
      </c>
      <c r="E875" s="76" t="inlineStr">
        <is>
          <t>영호진미 현미 1분도 5분도 7분도 5kg 10kg 손잡이형 무훈증 당일도정 맛있는쌀</t>
        </is>
      </c>
      <c r="F875" s="76" t="n">
        <v>10</v>
      </c>
      <c r="G875" s="146" t="n">
        <v>287000</v>
      </c>
      <c r="H875" s="146" t="n">
        <v>18740</v>
      </c>
    </row>
    <row r="876" hidden="1" s="21">
      <c r="A876" s="24" t="inlineStr">
        <is>
          <t>네이버</t>
        </is>
      </c>
      <c r="B876" s="108" t="inlineStr">
        <is>
          <t>농산물</t>
        </is>
      </c>
      <c r="C876" s="24" t="inlineStr">
        <is>
          <t>유한회사 못골농업회사</t>
        </is>
      </c>
      <c r="D876" s="24" t="inlineStr">
        <is>
          <t>116-81-80195</t>
        </is>
      </c>
      <c r="E876" s="76" t="inlineStr">
        <is>
          <t>25년 영호진미 현미 1분도 5분도 7분도 3kg 6kg 무훈증 당일도정 맛있는쌀</t>
        </is>
      </c>
      <c r="F876" s="76" t="n">
        <v>6</v>
      </c>
      <c r="G876" s="146" t="n">
        <v>109800</v>
      </c>
      <c r="H876" s="146" t="n">
        <v>3660</v>
      </c>
    </row>
    <row r="877" hidden="1" s="21">
      <c r="A877" s="24" t="inlineStr">
        <is>
          <t>네이버</t>
        </is>
      </c>
      <c r="B877" s="108" t="inlineStr">
        <is>
          <t>농산물</t>
        </is>
      </c>
      <c r="C877" s="24" t="inlineStr">
        <is>
          <t>유한회사 못골농업회사</t>
        </is>
      </c>
      <c r="D877" s="24" t="inlineStr">
        <is>
          <t>116-81-80195</t>
        </is>
      </c>
      <c r="E877" s="76" t="inlineStr">
        <is>
          <t>25년 백옥찰 찹쌀 5kg 10kg 20kg 손잡이형 무훈증 당일도정 맛있는쌀</t>
        </is>
      </c>
      <c r="F877" s="76" t="n">
        <v>33</v>
      </c>
      <c r="G877" s="146" t="n">
        <v>1163900</v>
      </c>
      <c r="H877" s="146" t="n">
        <v>92990</v>
      </c>
    </row>
    <row r="878" hidden="1" s="21">
      <c r="A878" s="24" t="inlineStr">
        <is>
          <t>네이버</t>
        </is>
      </c>
      <c r="B878" s="108" t="inlineStr">
        <is>
          <t>농산물</t>
        </is>
      </c>
      <c r="C878" s="24" t="inlineStr">
        <is>
          <t>유한회사 못골농업회사</t>
        </is>
      </c>
      <c r="D878" s="24" t="inlineStr">
        <is>
          <t>116-81-80195</t>
        </is>
      </c>
      <c r="E878" s="76" t="inlineStr">
        <is>
          <t>25년 백옥찰 찹쌀 2kg 4kg 소포장 무훈증 당일도정 맛있는쌀</t>
        </is>
      </c>
      <c r="F878" s="76" t="n">
        <v>3</v>
      </c>
      <c r="G878" s="146" t="n">
        <v>53700</v>
      </c>
      <c r="H878" s="146" t="inlineStr">
        <is>
          <t>-</t>
        </is>
      </c>
    </row>
    <row r="879" hidden="1" s="21">
      <c r="A879" s="24" t="inlineStr">
        <is>
          <t>네이버</t>
        </is>
      </c>
      <c r="B879" s="108" t="inlineStr">
        <is>
          <t>농산물</t>
        </is>
      </c>
      <c r="C879" s="24" t="inlineStr">
        <is>
          <t>유한회사 못골농업회사</t>
        </is>
      </c>
      <c r="D879" s="24" t="inlineStr">
        <is>
          <t>116-81-80195</t>
        </is>
      </c>
      <c r="E879" s="76" t="inlineStr">
        <is>
          <t>25년 백옥찰 찹쌀 3kg 6kg 무훈증 당일도정 맛있는쌀</t>
        </is>
      </c>
      <c r="F879" s="76" t="n">
        <v>9</v>
      </c>
      <c r="G879" s="146" t="n">
        <v>228100</v>
      </c>
      <c r="H879" s="146" t="n">
        <v>16540</v>
      </c>
    </row>
    <row r="880" hidden="1" s="21">
      <c r="A880" s="24" t="inlineStr">
        <is>
          <t>네이버</t>
        </is>
      </c>
      <c r="B880" s="108" t="inlineStr">
        <is>
          <t>농산물</t>
        </is>
      </c>
      <c r="C880" s="24" t="inlineStr">
        <is>
          <t>유한회사 못골농업회사</t>
        </is>
      </c>
      <c r="D880" s="24" t="inlineStr">
        <is>
          <t>116-81-80195</t>
        </is>
      </c>
      <c r="E880" s="76" t="inlineStr">
        <is>
          <t>25년 백옥찰 현미찹쌀 찰현미 5kg 10kg 20kg 손잡이형 무훈증 당일도정 맛있는쌀</t>
        </is>
      </c>
      <c r="F880" s="76" t="n">
        <v>4</v>
      </c>
      <c r="G880" s="146" t="n">
        <v>141800</v>
      </c>
      <c r="H880" s="146" t="n">
        <v>5900</v>
      </c>
    </row>
    <row r="881" hidden="1" s="21">
      <c r="A881" s="24" t="inlineStr">
        <is>
          <t>네이버</t>
        </is>
      </c>
      <c r="B881" s="108" t="inlineStr">
        <is>
          <t>농산물</t>
        </is>
      </c>
      <c r="C881" s="24" t="inlineStr">
        <is>
          <t>유한회사 못골농업회사</t>
        </is>
      </c>
      <c r="D881" s="24" t="inlineStr">
        <is>
          <t>116-81-80195</t>
        </is>
      </c>
      <c r="E881" s="76" t="inlineStr">
        <is>
          <t>25년 백옥찰 현미찹쌀 찰현미 3kg 6kg 무훈증 당일도정 맛있는쌀</t>
        </is>
      </c>
      <c r="F881" s="76" t="n">
        <v>6</v>
      </c>
      <c r="G881" s="146" t="n">
        <v>145400</v>
      </c>
      <c r="H881" s="146" t="n">
        <v>8360</v>
      </c>
    </row>
    <row r="882" hidden="1" s="21">
      <c r="A882" s="24" t="inlineStr">
        <is>
          <t>네이버</t>
        </is>
      </c>
      <c r="B882" s="108" t="inlineStr">
        <is>
          <t>농산물</t>
        </is>
      </c>
      <c r="C882" s="24" t="inlineStr">
        <is>
          <t>유한회사 못골농업회사</t>
        </is>
      </c>
      <c r="D882" s="24" t="inlineStr">
        <is>
          <t>116-81-80195</t>
        </is>
      </c>
      <c r="E882" s="76" t="inlineStr">
        <is>
          <t>25년 백옥찰 현미찹쌀 찰현미 2kg 4kg 소포장 무훈증 당일도정 맛있는쌀</t>
        </is>
      </c>
      <c r="F882" s="76" t="n">
        <v>5</v>
      </c>
      <c r="G882" s="146" t="n">
        <v>98500</v>
      </c>
      <c r="H882" s="146" t="inlineStr">
        <is>
          <t>-</t>
        </is>
      </c>
    </row>
    <row r="883" hidden="1" s="21">
      <c r="A883" s="24" t="inlineStr">
        <is>
          <t>네이버</t>
        </is>
      </c>
      <c r="B883" s="108" t="inlineStr">
        <is>
          <t>농산물</t>
        </is>
      </c>
      <c r="C883" s="24" t="inlineStr">
        <is>
          <t>유한회사 못골농업회사</t>
        </is>
      </c>
      <c r="D883" s="24" t="inlineStr">
        <is>
          <t>116-81-80195</t>
        </is>
      </c>
      <c r="E883" s="76" t="inlineStr">
        <is>
          <t>25년 백진주 현미1분도 5분도 7분도 5kg 10kg 손잡이 무훈증 당일도정 맛있는쌀</t>
        </is>
      </c>
      <c r="F883" s="76" t="n">
        <v>0</v>
      </c>
      <c r="G883" s="146" t="inlineStr">
        <is>
          <t>-</t>
        </is>
      </c>
      <c r="H883" s="146" t="inlineStr">
        <is>
          <t>-</t>
        </is>
      </c>
    </row>
    <row r="884" hidden="1" s="21">
      <c r="A884" s="24" t="inlineStr">
        <is>
          <t>네이버</t>
        </is>
      </c>
      <c r="B884" s="108" t="inlineStr">
        <is>
          <t>농산물</t>
        </is>
      </c>
      <c r="C884" s="24" t="inlineStr">
        <is>
          <t>유한회사 못골농업회사</t>
        </is>
      </c>
      <c r="D884" s="24" t="inlineStr">
        <is>
          <t>116-81-80195</t>
        </is>
      </c>
      <c r="E884" s="76" t="inlineStr">
        <is>
          <t>25년 백진주 백미 3kg 6kg 무훈증 당일도정 맛있는쌀</t>
        </is>
      </c>
      <c r="F884" s="76" t="n">
        <v>0</v>
      </c>
      <c r="G884" s="146" t="inlineStr">
        <is>
          <t>-</t>
        </is>
      </c>
      <c r="H884" s="146" t="inlineStr">
        <is>
          <t>-</t>
        </is>
      </c>
    </row>
    <row r="885" hidden="1" s="21">
      <c r="A885" s="24" t="inlineStr">
        <is>
          <t>네이버</t>
        </is>
      </c>
      <c r="B885" s="108" t="inlineStr">
        <is>
          <t>농산물</t>
        </is>
      </c>
      <c r="C885" s="24" t="inlineStr">
        <is>
          <t>유한회사 못골농업회사</t>
        </is>
      </c>
      <c r="D885" s="24" t="inlineStr">
        <is>
          <t>116-81-80195</t>
        </is>
      </c>
      <c r="E885" s="76" t="inlineStr">
        <is>
          <t>25년 백진주 백미 5kg 10kg 20kg 손잡이형 무훈증 당일도정 맛있는쌀</t>
        </is>
      </c>
      <c r="F885" s="76" t="n">
        <v>0</v>
      </c>
      <c r="G885" s="146" t="inlineStr">
        <is>
          <t>-</t>
        </is>
      </c>
      <c r="H885" s="146" t="inlineStr">
        <is>
          <t>-</t>
        </is>
      </c>
    </row>
    <row r="886" hidden="1" s="21">
      <c r="A886" s="24" t="inlineStr">
        <is>
          <t>네이버</t>
        </is>
      </c>
      <c r="B886" s="108" t="inlineStr">
        <is>
          <t>축산물</t>
        </is>
      </c>
      <c r="C886" s="24" t="inlineStr">
        <is>
          <t>농업회사법인 유한회사 해오름팜농장</t>
        </is>
      </c>
      <c r="D886" s="24" t="inlineStr">
        <is>
          <t>209-87-01228</t>
        </is>
      </c>
      <c r="E886" s="76" t="inlineStr">
        <is>
          <t>농부가바로팜 무항생제 구운유정란 40구 신선계란 난각번호2번</t>
        </is>
      </c>
      <c r="F886" s="76" t="n">
        <v>9</v>
      </c>
      <c r="G886" s="146" t="n">
        <v>230000</v>
      </c>
      <c r="H886" s="146" t="n">
        <v>32450</v>
      </c>
    </row>
    <row r="887" hidden="1" s="21">
      <c r="A887" s="24" t="inlineStr">
        <is>
          <t>네이버</t>
        </is>
      </c>
      <c r="B887" s="108" t="inlineStr">
        <is>
          <t>축산물</t>
        </is>
      </c>
      <c r="C887" s="24" t="inlineStr">
        <is>
          <t>농업회사법인 유한회사 해오름팜농장</t>
        </is>
      </c>
      <c r="D887" s="24" t="inlineStr">
        <is>
          <t>209-87-01228</t>
        </is>
      </c>
      <c r="E887" s="76" t="inlineStr">
        <is>
          <t>농부가바로팜 무항생제 Non-Gmo 유정란 40구 신선계란 난각번호2번</t>
        </is>
      </c>
      <c r="F887" s="76" t="n">
        <v>39</v>
      </c>
      <c r="G887" s="146" t="n">
        <v>1184500</v>
      </c>
      <c r="H887" s="146" t="n">
        <v>84250</v>
      </c>
    </row>
    <row r="888" hidden="1" s="21">
      <c r="A888" s="24" t="inlineStr">
        <is>
          <t>네이버</t>
        </is>
      </c>
      <c r="B888" s="108" t="inlineStr">
        <is>
          <t>축산물</t>
        </is>
      </c>
      <c r="C888" s="24" t="inlineStr">
        <is>
          <t>농업회사법인 유한회사 해오름팜농장</t>
        </is>
      </c>
      <c r="D888" s="24" t="inlineStr">
        <is>
          <t>209-87-01228</t>
        </is>
      </c>
      <c r="E888" s="76" t="inlineStr">
        <is>
          <t>농부가바로팜 무항생제 유정란 40구 신선계란 난각번호2번</t>
        </is>
      </c>
      <c r="F888" s="76" t="n">
        <v>17</v>
      </c>
      <c r="G888" s="146" t="n">
        <v>421900</v>
      </c>
      <c r="H888" s="146" t="n">
        <v>21580</v>
      </c>
    </row>
    <row r="889" hidden="1" s="21">
      <c r="A889" s="24" t="inlineStr">
        <is>
          <t>네이버</t>
        </is>
      </c>
      <c r="B889" s="108" t="inlineStr">
        <is>
          <t>축산물</t>
        </is>
      </c>
      <c r="C889" s="24" t="inlineStr">
        <is>
          <t>농업회사법인 유한회사 해오름팜농장</t>
        </is>
      </c>
      <c r="D889" s="24" t="inlineStr">
        <is>
          <t>209-87-01228</t>
        </is>
      </c>
      <c r="E889" s="76" t="inlineStr">
        <is>
          <t>농부가바로팜 무항생제 Non-Gmo 유정란 60구 신선계란 난각번호2번</t>
        </is>
      </c>
      <c r="F889" s="76" t="n">
        <v>252</v>
      </c>
      <c r="G889" s="146" t="n">
        <v>9662520</v>
      </c>
      <c r="H889" s="146" t="n">
        <v>1294790</v>
      </c>
    </row>
    <row r="890" hidden="1" s="21">
      <c r="A890" s="24" t="inlineStr">
        <is>
          <t>네이버</t>
        </is>
      </c>
      <c r="B890" s="108" t="inlineStr">
        <is>
          <t>축산물</t>
        </is>
      </c>
      <c r="C890" s="24" t="inlineStr">
        <is>
          <t>농업회사법인 유한회사 해오름팜농장</t>
        </is>
      </c>
      <c r="D890" s="24" t="inlineStr">
        <is>
          <t>209-87-01228</t>
        </is>
      </c>
      <c r="E890" s="76" t="inlineStr">
        <is>
          <t>농부가바로팜 구운유정란 혼합60구(중30+구30) 신선계란 난각번호2번</t>
        </is>
      </c>
      <c r="F890" s="76" t="n">
        <v>0</v>
      </c>
      <c r="G890" s="146" t="inlineStr">
        <is>
          <t>-</t>
        </is>
      </c>
      <c r="H890" s="146" t="inlineStr">
        <is>
          <t>-</t>
        </is>
      </c>
    </row>
    <row r="891" hidden="1" s="21">
      <c r="A891" s="24" t="inlineStr">
        <is>
          <t>네이버</t>
        </is>
      </c>
      <c r="B891" s="108" t="inlineStr">
        <is>
          <t>축산물</t>
        </is>
      </c>
      <c r="C891" s="24" t="inlineStr">
        <is>
          <t>농업회사법인 유한회사 해오름팜농장</t>
        </is>
      </c>
      <c r="D891" s="24" t="inlineStr">
        <is>
          <t>209-87-01228</t>
        </is>
      </c>
      <c r="E891" s="76" t="inlineStr">
        <is>
          <t>농부가바로팜 유정란 혼합90구(유30+중30+구30) 신선계란 난각번호2번</t>
        </is>
      </c>
      <c r="F891" s="76" t="n">
        <v>0</v>
      </c>
      <c r="G891" s="146" t="inlineStr">
        <is>
          <t>-</t>
        </is>
      </c>
      <c r="H891" s="146" t="inlineStr">
        <is>
          <t>-</t>
        </is>
      </c>
    </row>
    <row r="892" hidden="1" s="21">
      <c r="A892" s="24" t="inlineStr">
        <is>
          <t>네이버</t>
        </is>
      </c>
      <c r="B892" s="108" t="inlineStr">
        <is>
          <t>축산물</t>
        </is>
      </c>
      <c r="C892" s="24" t="inlineStr">
        <is>
          <t>농업회사법인 유한회사 해오름팜농장</t>
        </is>
      </c>
      <c r="D892" s="24" t="inlineStr">
        <is>
          <t>209-87-01228</t>
        </is>
      </c>
      <c r="E892" s="76" t="inlineStr">
        <is>
          <t>농부가바로팜 무항생제 유정란 유구 혼합 60구 신선계란 난각번호2번</t>
        </is>
      </c>
      <c r="F892" s="76" t="n">
        <v>2</v>
      </c>
      <c r="G892" s="146" t="n">
        <v>72100</v>
      </c>
      <c r="H892" s="146" t="n">
        <v>14420</v>
      </c>
    </row>
    <row r="893" hidden="1" s="21">
      <c r="A893" s="24" t="inlineStr">
        <is>
          <t>네이버</t>
        </is>
      </c>
      <c r="B893" s="108" t="inlineStr">
        <is>
          <t>축산물</t>
        </is>
      </c>
      <c r="C893" s="24" t="inlineStr">
        <is>
          <t>농업회사법인 유한회사 해오름팜농장</t>
        </is>
      </c>
      <c r="D893" s="24" t="inlineStr">
        <is>
          <t>209-87-01228</t>
        </is>
      </c>
      <c r="E893" s="76" t="inlineStr">
        <is>
          <t>농부가바로팜 무항생제 구운유정란 60구 신선계란 난각번호2번</t>
        </is>
      </c>
      <c r="F893" s="76" t="n">
        <v>6</v>
      </c>
      <c r="G893" s="146" t="n">
        <v>161500</v>
      </c>
      <c r="H893" s="146" t="n">
        <v>14680</v>
      </c>
    </row>
    <row r="894" hidden="1" s="21">
      <c r="A894" s="24" t="inlineStr">
        <is>
          <t>네이버</t>
        </is>
      </c>
      <c r="B894" s="108" t="inlineStr">
        <is>
          <t>축산물</t>
        </is>
      </c>
      <c r="C894" s="24" t="inlineStr">
        <is>
          <t>농업회사법인 유한회사 해오름팜농장</t>
        </is>
      </c>
      <c r="D894" s="24" t="inlineStr">
        <is>
          <t>209-87-01228</t>
        </is>
      </c>
      <c r="E894" s="76" t="inlineStr">
        <is>
          <t>농부가바로팜 무항생제 유정란 혼합 60구(유30+중30) 신선계란 난각번호2번</t>
        </is>
      </c>
      <c r="F894" s="76" t="n">
        <v>3</v>
      </c>
      <c r="G894" s="146" t="n">
        <v>121000</v>
      </c>
      <c r="H894" s="146" t="n">
        <v>6280</v>
      </c>
    </row>
    <row r="895" hidden="1" s="21">
      <c r="A895" s="24" t="inlineStr">
        <is>
          <t>네이버</t>
        </is>
      </c>
      <c r="B895" s="108" t="inlineStr">
        <is>
          <t>축산물</t>
        </is>
      </c>
      <c r="C895" s="24" t="inlineStr">
        <is>
          <t>농업회사법인 유한회사 해오름팜농장</t>
        </is>
      </c>
      <c r="D895" s="24" t="inlineStr">
        <is>
          <t>209-87-01228</t>
        </is>
      </c>
      <c r="E895" s="76" t="inlineStr">
        <is>
          <t>농부가바로팜 무항생제 유정란 중란 60구 신선계란 난각번호2번</t>
        </is>
      </c>
      <c r="F895" s="76" t="n">
        <v>9</v>
      </c>
      <c r="G895" s="146" t="n">
        <v>289700</v>
      </c>
      <c r="H895" s="146" t="n">
        <v>26580</v>
      </c>
    </row>
    <row r="896" hidden="1" s="21">
      <c r="A896" s="24" t="inlineStr">
        <is>
          <t>네이버</t>
        </is>
      </c>
      <c r="B896" s="108" t="inlineStr">
        <is>
          <t>축산물</t>
        </is>
      </c>
      <c r="C896" s="24" t="inlineStr">
        <is>
          <t>농업회사법인 유한회사 해오름팜농장</t>
        </is>
      </c>
      <c r="D896" s="24" t="inlineStr">
        <is>
          <t>209-87-01228</t>
        </is>
      </c>
      <c r="E896" s="76" t="inlineStr">
        <is>
          <t>농부가바로팜 무항생제 유정란 60구 신선계란 난각번호2번</t>
        </is>
      </c>
      <c r="F896" s="76" t="n">
        <v>77</v>
      </c>
      <c r="G896" s="146" t="n">
        <v>2642900</v>
      </c>
      <c r="H896" s="146" t="n">
        <v>291600</v>
      </c>
    </row>
    <row r="897" hidden="1" s="21">
      <c r="A897" s="24" t="inlineStr">
        <is>
          <t>네이버</t>
        </is>
      </c>
      <c r="B897" s="108" t="inlineStr">
        <is>
          <t>가공식품</t>
        </is>
      </c>
      <c r="C897" s="24" t="inlineStr">
        <is>
          <t>오고농원(주)</t>
        </is>
      </c>
      <c r="D897" s="24" t="inlineStr">
        <is>
          <t>803-88-01105</t>
        </is>
      </c>
      <c r="E897" s="76" t="inlineStr">
        <is>
          <t>오미자 청 엑기스 원액 1500ml</t>
        </is>
      </c>
      <c r="F897" s="76" t="n">
        <v>666</v>
      </c>
      <c r="G897" s="146" t="n">
        <v>30232500</v>
      </c>
      <c r="H897" s="146" t="n">
        <v>2495420</v>
      </c>
    </row>
    <row r="898" hidden="1" s="21">
      <c r="A898" s="24" t="inlineStr">
        <is>
          <t>네이버</t>
        </is>
      </c>
      <c r="B898" s="108" t="inlineStr">
        <is>
          <t>가공식품</t>
        </is>
      </c>
      <c r="C898" s="24" t="inlineStr">
        <is>
          <t>오고농원(주)</t>
        </is>
      </c>
      <c r="D898" s="24" t="inlineStr">
        <is>
          <t>803-88-01105</t>
        </is>
      </c>
      <c r="E898" s="76" t="inlineStr">
        <is>
          <t>오미자청 원액 엑기스 500ml</t>
        </is>
      </c>
      <c r="F898" s="76" t="n">
        <v>18</v>
      </c>
      <c r="G898" s="146" t="n">
        <v>493500</v>
      </c>
      <c r="H898" s="146" t="n">
        <v>58000</v>
      </c>
    </row>
    <row r="899" hidden="1" s="21">
      <c r="A899" s="24" t="inlineStr">
        <is>
          <t>네이버</t>
        </is>
      </c>
      <c r="B899" s="108" t="inlineStr">
        <is>
          <t>가공식품</t>
        </is>
      </c>
      <c r="C899" s="24" t="inlineStr">
        <is>
          <t>오고농원(주)</t>
        </is>
      </c>
      <c r="D899" s="24" t="inlineStr">
        <is>
          <t>803-88-01105</t>
        </is>
      </c>
      <c r="E899" s="76" t="inlineStr">
        <is>
          <t>오미자청 원액 엑기스 500ml</t>
        </is>
      </c>
      <c r="F899" s="76" t="n">
        <v>1</v>
      </c>
      <c r="G899" s="146" t="n">
        <v>29500</v>
      </c>
      <c r="H899" s="146" t="inlineStr">
        <is>
          <t>-</t>
        </is>
      </c>
    </row>
    <row r="900" hidden="1" s="21">
      <c r="A900" s="24" t="inlineStr">
        <is>
          <t>네이버</t>
        </is>
      </c>
      <c r="B900" s="108" t="inlineStr">
        <is>
          <t>가공식품</t>
        </is>
      </c>
      <c r="C900" s="24" t="inlineStr">
        <is>
          <t>오고농원(주)</t>
        </is>
      </c>
      <c r="D900" s="24" t="inlineStr">
        <is>
          <t>803-88-01105</t>
        </is>
      </c>
      <c r="E900" s="76" t="inlineStr">
        <is>
          <t>오미자청 원액 엑기스 500ml 2병 선물세트</t>
        </is>
      </c>
      <c r="F900" s="76" t="n">
        <v>9</v>
      </c>
      <c r="G900" s="146" t="n">
        <v>481500</v>
      </c>
      <c r="H900" s="146" t="n">
        <v>26800</v>
      </c>
    </row>
    <row r="901" hidden="1" s="21">
      <c r="A901" s="24" t="inlineStr">
        <is>
          <t>네이버</t>
        </is>
      </c>
      <c r="B901" s="108" t="inlineStr">
        <is>
          <t>가공식품</t>
        </is>
      </c>
      <c r="C901" s="24" t="inlineStr">
        <is>
          <t>오고농원(주)</t>
        </is>
      </c>
      <c r="D901" s="24" t="inlineStr">
        <is>
          <t>803-88-01105</t>
        </is>
      </c>
      <c r="E901" s="76" t="inlineStr">
        <is>
          <t>오미자청 원액 엑기스 500ml 선물용</t>
        </is>
      </c>
      <c r="F901" s="76" t="n">
        <v>3</v>
      </c>
      <c r="G901" s="146" t="n">
        <v>594000</v>
      </c>
      <c r="H901" s="146" t="n">
        <v>10000</v>
      </c>
    </row>
    <row r="902" hidden="1" s="21">
      <c r="A902" s="24" t="inlineStr">
        <is>
          <t>네이버</t>
        </is>
      </c>
      <c r="B902" s="108" t="inlineStr">
        <is>
          <t>가공식품</t>
        </is>
      </c>
      <c r="C902" s="24" t="inlineStr">
        <is>
          <t>오고농원(주)</t>
        </is>
      </c>
      <c r="D902" s="24" t="inlineStr">
        <is>
          <t>803-88-01105</t>
        </is>
      </c>
      <c r="E902" s="76" t="inlineStr">
        <is>
          <t>오미자청 원액 엑기스 50ml 5병 한잔용 휴대용</t>
        </is>
      </c>
      <c r="F902" s="76" t="n">
        <v>5</v>
      </c>
      <c r="G902" s="146" t="n">
        <v>119500</v>
      </c>
      <c r="H902" s="146" t="n">
        <v>14400</v>
      </c>
    </row>
    <row r="903" hidden="1" s="21">
      <c r="A903" s="24" t="inlineStr">
        <is>
          <t>네이버</t>
        </is>
      </c>
      <c r="B903" s="108" t="inlineStr">
        <is>
          <t>농산물</t>
        </is>
      </c>
      <c r="C903" s="24" t="inlineStr">
        <is>
          <t>농사짓는마을</t>
        </is>
      </c>
      <c r="D903" s="24" t="inlineStr">
        <is>
          <t>499-13-02310</t>
        </is>
      </c>
      <c r="E903" s="76" t="inlineStr">
        <is>
          <t>여주땅콩 햇땅콩 고소한 국산 볶은 볶음 땅콩 생땅콩 300g 450g</t>
        </is>
      </c>
      <c r="F903" s="76" t="n">
        <v>2254</v>
      </c>
      <c r="G903" s="146" t="n">
        <v>63211020</v>
      </c>
      <c r="H903" s="146" t="n">
        <v>4312140</v>
      </c>
    </row>
    <row r="904" hidden="1" s="21">
      <c r="A904" s="24" t="inlineStr">
        <is>
          <t>네이버</t>
        </is>
      </c>
      <c r="B904" s="108" t="inlineStr">
        <is>
          <t>축산물</t>
        </is>
      </c>
      <c r="C904" s="24" t="inlineStr">
        <is>
          <t>청운유</t>
        </is>
      </c>
      <c r="D904" s="24" t="inlineStr">
        <is>
          <t>540-93-02100</t>
        </is>
      </c>
      <c r="E904" s="76" t="inlineStr">
        <is>
          <t>유황한돈 냉장 삼겹살 목살 1kg 오겹살 캠핑 등갈비 갈매기살 가브리살 항정살</t>
        </is>
      </c>
      <c r="F904" s="76" t="n">
        <v>1583</v>
      </c>
      <c r="G904" s="146" t="n">
        <v>46385200</v>
      </c>
      <c r="H904" s="146" t="n">
        <v>3529130</v>
      </c>
    </row>
    <row r="905" hidden="1" s="21">
      <c r="A905" s="24" t="inlineStr">
        <is>
          <t>네이버</t>
        </is>
      </c>
      <c r="B905" s="108" t="inlineStr">
        <is>
          <t>축산물</t>
        </is>
      </c>
      <c r="C905" s="24" t="inlineStr">
        <is>
          <t>청운유</t>
        </is>
      </c>
      <c r="D905" s="24" t="inlineStr">
        <is>
          <t>540-93-02100</t>
        </is>
      </c>
      <c r="E905" s="76" t="inlineStr">
        <is>
          <t>유황한돈 한돈 삼겹살 구이용 냉장 1kg 1개</t>
        </is>
      </c>
      <c r="F905" s="76" t="n">
        <v>1557</v>
      </c>
      <c r="G905" s="146" t="n">
        <v>47391600</v>
      </c>
      <c r="H905" s="146" t="n">
        <v>530500</v>
      </c>
    </row>
    <row r="906" hidden="1" s="21">
      <c r="A906" s="24" t="inlineStr">
        <is>
          <t>네이버</t>
        </is>
      </c>
      <c r="B906" s="108" t="inlineStr">
        <is>
          <t>축산물</t>
        </is>
      </c>
      <c r="C906" s="24" t="inlineStr">
        <is>
          <t>청운유</t>
        </is>
      </c>
      <c r="D906" s="24" t="inlineStr">
        <is>
          <t>540-93-02100</t>
        </is>
      </c>
      <c r="E906" s="76" t="inlineStr">
        <is>
          <t>한돈 통 사태 보쌈 수육 장조림 찌개용 고기 냉장 500g 2개</t>
        </is>
      </c>
      <c r="F906" s="76" t="n">
        <v>132</v>
      </c>
      <c r="G906" s="146" t="n">
        <v>2655500</v>
      </c>
      <c r="H906" s="146" t="n">
        <v>135110</v>
      </c>
    </row>
    <row r="907" hidden="1" s="21">
      <c r="A907" s="63" t="inlineStr">
        <is>
          <t>네이버</t>
        </is>
      </c>
      <c r="B907" s="64" t="inlineStr">
        <is>
          <t>축산물</t>
        </is>
      </c>
      <c r="C907" s="64" t="inlineStr">
        <is>
          <t>청운유</t>
        </is>
      </c>
      <c r="D907" s="147" t="inlineStr">
        <is>
          <t>540-93-02100</t>
        </is>
      </c>
      <c r="E907" s="63" t="inlineStr">
        <is>
          <t>한돈 찌개용 돼지고기 김치찌개 카레 짜장용 냉장 300g 4개</t>
        </is>
      </c>
      <c r="F907" s="148" t="n">
        <v>240</v>
      </c>
      <c r="G907" s="146" t="n">
        <v>3343300</v>
      </c>
      <c r="H907" s="146" t="n">
        <v>129640</v>
      </c>
    </row>
    <row r="908" hidden="1" s="21">
      <c r="A908" s="63" t="inlineStr">
        <is>
          <t>네이버</t>
        </is>
      </c>
      <c r="B908" s="64" t="inlineStr">
        <is>
          <t>축산물</t>
        </is>
      </c>
      <c r="C908" s="64" t="inlineStr">
        <is>
          <t>청운유</t>
        </is>
      </c>
      <c r="D908" s="147" t="inlineStr">
        <is>
          <t>540-93-02100</t>
        </is>
      </c>
      <c r="E908" s="63" t="inlineStr">
        <is>
          <t>유황한돈 한돈 목살 구이용 냉장 1kg 1개</t>
        </is>
      </c>
      <c r="F908" s="148" t="n">
        <v>993</v>
      </c>
      <c r="G908" s="146" t="n">
        <v>28876900</v>
      </c>
      <c r="H908" s="146" t="n">
        <v>226110</v>
      </c>
    </row>
    <row r="909" hidden="1" s="21">
      <c r="A909" s="63" t="inlineStr">
        <is>
          <t>네이버</t>
        </is>
      </c>
      <c r="B909" s="64" t="inlineStr">
        <is>
          <t>축산물</t>
        </is>
      </c>
      <c r="C909" s="64" t="inlineStr">
        <is>
          <t>청운유</t>
        </is>
      </c>
      <c r="D909" s="147" t="inlineStr">
        <is>
          <t>540-93-02100</t>
        </is>
      </c>
      <c r="E909" s="63" t="inlineStr">
        <is>
          <t>한돈 돼지 안심 탕수육 장조림 돈까스 고기 냉장 500g 2개</t>
        </is>
      </c>
      <c r="F909" s="148" t="n">
        <v>22</v>
      </c>
      <c r="G909" s="146" t="n">
        <v>404000</v>
      </c>
      <c r="H909" s="146" t="n">
        <v>26680</v>
      </c>
    </row>
    <row r="910" hidden="1" s="21">
      <c r="A910" s="63" t="inlineStr">
        <is>
          <t>네이버</t>
        </is>
      </c>
      <c r="B910" s="64" t="inlineStr">
        <is>
          <t>축산물</t>
        </is>
      </c>
      <c r="C910" s="64" t="inlineStr">
        <is>
          <t>농업회사법인 주식회사 코리아식품</t>
        </is>
      </c>
      <c r="D910" s="147" t="inlineStr">
        <is>
          <t>608-88-00253</t>
        </is>
      </c>
      <c r="E910" s="63" t="inlineStr">
        <is>
          <t>고기얌 돼지껍데기 누들 매콤맛 180g 국내산 매콤양념 누들껍데기 캠핑 야식 간편조리</t>
        </is>
      </c>
      <c r="F910" s="148" t="n">
        <v>1</v>
      </c>
      <c r="G910" s="146" t="n">
        <v>7900</v>
      </c>
      <c r="H910" s="146" t="inlineStr">
        <is>
          <t>-</t>
        </is>
      </c>
    </row>
    <row r="911" hidden="1" s="21">
      <c r="A911" s="63" t="inlineStr">
        <is>
          <t>네이버</t>
        </is>
      </c>
      <c r="B911" s="64" t="inlineStr">
        <is>
          <t>가공식품</t>
        </is>
      </c>
      <c r="C911" s="64" t="inlineStr">
        <is>
          <t>주식회사 드림엘링크</t>
        </is>
      </c>
      <c r="D911" s="147" t="inlineStr">
        <is>
          <t>562-81-04158</t>
        </is>
      </c>
      <c r="E911" s="63" t="inlineStr">
        <is>
          <t>이기순 명인의 순 프리미엄 울금 포기 김치 5kg 국산 100% 국내산 배추 김장</t>
        </is>
      </c>
      <c r="F911" s="148" t="n">
        <v>36</v>
      </c>
      <c r="G911" s="146" t="n">
        <v>1247400</v>
      </c>
      <c r="H911" s="146" t="n">
        <v>102820</v>
      </c>
    </row>
    <row r="912" hidden="1" s="21">
      <c r="A912" s="63" t="inlineStr">
        <is>
          <t>네이버</t>
        </is>
      </c>
      <c r="B912" s="64" t="inlineStr">
        <is>
          <t>가공식품</t>
        </is>
      </c>
      <c r="C912" s="64" t="inlineStr">
        <is>
          <t>주식회사 드림엘링크</t>
        </is>
      </c>
      <c r="D912" s="147" t="inlineStr">
        <is>
          <t>562-81-04158</t>
        </is>
      </c>
      <c r="E912" s="63" t="inlineStr">
        <is>
          <t>이기순 명인의 순 파김치 1kg 2kg 국산 파 국내산 김치 맛집 주문 쪽파 프리미엄</t>
        </is>
      </c>
      <c r="F912" s="148" t="inlineStr">
        <is>
          <t>-</t>
        </is>
      </c>
      <c r="G912" s="146" t="inlineStr">
        <is>
          <t>-</t>
        </is>
      </c>
      <c r="H912" s="146" t="inlineStr">
        <is>
          <t>-</t>
        </is>
      </c>
    </row>
    <row r="913" hidden="1" s="21">
      <c r="A913" s="63" t="inlineStr">
        <is>
          <t>네이버</t>
        </is>
      </c>
      <c r="B913" s="64" t="inlineStr">
        <is>
          <t>가공식품</t>
        </is>
      </c>
      <c r="C913" s="64" t="inlineStr">
        <is>
          <t>주식회사 드림엘링크</t>
        </is>
      </c>
      <c r="D913" s="147" t="inlineStr">
        <is>
          <t>562-81-04158</t>
        </is>
      </c>
      <c r="E913" s="63" t="inlineStr">
        <is>
          <t>이기순 명인의 순 총각김치1kg 2kg 국산 총각무 국내산 맛집 주문 무청 알타리 아삭</t>
        </is>
      </c>
      <c r="F913" s="148" t="n">
        <v>18</v>
      </c>
      <c r="G913" s="146" t="n">
        <v>310900</v>
      </c>
      <c r="H913" s="146" t="n">
        <v>54280</v>
      </c>
    </row>
    <row r="914" hidden="1" s="21">
      <c r="A914" s="63" t="inlineStr">
        <is>
          <t>네이버</t>
        </is>
      </c>
      <c r="B914" s="64" t="inlineStr">
        <is>
          <t>가공식품</t>
        </is>
      </c>
      <c r="C914" s="64" t="inlineStr">
        <is>
          <t>주식회사 드림엘링크</t>
        </is>
      </c>
      <c r="D914" s="147" t="inlineStr">
        <is>
          <t>562-81-04158</t>
        </is>
      </c>
      <c r="E914" s="63" t="inlineStr">
        <is>
          <t>이기순 명인의 순 열무김치 1kg 2kg 3kg 국산 열무 국내산 김치 주문 국수 냉면</t>
        </is>
      </c>
      <c r="F914" s="148" t="n">
        <v>70</v>
      </c>
      <c r="G914" s="146" t="n">
        <v>1104100</v>
      </c>
      <c r="H914" s="146" t="n">
        <v>156830</v>
      </c>
    </row>
    <row r="915" hidden="1" s="21">
      <c r="A915" s="63" t="inlineStr">
        <is>
          <t>네이버</t>
        </is>
      </c>
      <c r="B915" s="64" t="inlineStr">
        <is>
          <t>가공식품</t>
        </is>
      </c>
      <c r="C915" s="64" t="inlineStr">
        <is>
          <t>주식회사 드림엘링크</t>
        </is>
      </c>
      <c r="D915" s="147" t="inlineStr">
        <is>
          <t>562-81-04158</t>
        </is>
      </c>
      <c r="E915" s="63" t="inlineStr">
        <is>
          <t>이기순 명인의 순 석박지 1kg 2kg 국산 무 국내산 김치 맛집 주문 무김치 프리미엄</t>
        </is>
      </c>
      <c r="F915" s="148" t="n">
        <v>12</v>
      </c>
      <c r="G915" s="146" t="n">
        <v>153000</v>
      </c>
      <c r="H915" s="146" t="n">
        <v>10800</v>
      </c>
    </row>
    <row r="916" hidden="1" s="21">
      <c r="A916" s="67" t="inlineStr">
        <is>
          <t>네이버</t>
        </is>
      </c>
      <c r="B916" s="64" t="inlineStr">
        <is>
          <t>가공식품</t>
        </is>
      </c>
      <c r="C916" s="68" t="inlineStr">
        <is>
          <t>주식회사 드림엘링크</t>
        </is>
      </c>
      <c r="D916" s="149" t="inlineStr">
        <is>
          <t>562-81-04158</t>
        </is>
      </c>
      <c r="E916" s="67" t="inlineStr">
        <is>
          <t>이기순 명인의 순 맛김치 1kg 2kg 국산 배추 국내산 맛집 주문 절단 썰은김치</t>
        </is>
      </c>
      <c r="F916" s="150" t="n">
        <v>14</v>
      </c>
      <c r="G916" s="146" t="n">
        <v>177300</v>
      </c>
      <c r="H916" s="146" t="n">
        <v>13620</v>
      </c>
    </row>
    <row r="917" hidden="1" s="21">
      <c r="A917" s="67" t="inlineStr">
        <is>
          <t>네이버</t>
        </is>
      </c>
      <c r="B917" s="68" t="inlineStr">
        <is>
          <t>가공식품</t>
        </is>
      </c>
      <c r="C917" s="68" t="inlineStr">
        <is>
          <t>주식회사 드림엘링크</t>
        </is>
      </c>
      <c r="D917" s="149" t="inlineStr">
        <is>
          <t>562-81-04158</t>
        </is>
      </c>
      <c r="E917" s="67" t="inlineStr">
        <is>
          <t>이기순 명인의 순 깍두기 1kg 2kg 3kg 국산 무 국내산 김치 맛집 주문 무김치</t>
        </is>
      </c>
      <c r="F917" s="150" t="n">
        <v>46</v>
      </c>
      <c r="G917" s="146" t="n">
        <v>514800</v>
      </c>
      <c r="H917" s="146" t="n">
        <v>62980</v>
      </c>
    </row>
    <row r="918" hidden="1" s="21">
      <c r="A918" s="8" t="inlineStr">
        <is>
          <t>네이버</t>
        </is>
      </c>
      <c r="B918" s="9" t="inlineStr">
        <is>
          <t>가공식품</t>
        </is>
      </c>
      <c r="C918" s="9" t="inlineStr">
        <is>
          <t>주식회사 드림엘링크</t>
        </is>
      </c>
      <c r="D918" s="134" t="inlineStr">
        <is>
          <t>562-81-04158</t>
        </is>
      </c>
      <c r="E918" s="8" t="inlineStr">
        <is>
          <t>이기순 명인의 순 갓김치 1kg 2kg 국산 갓 국내산 김치 맛집 주문 전라도 프리미엄</t>
        </is>
      </c>
      <c r="F918" s="140" t="n">
        <v>3</v>
      </c>
      <c r="G918" s="146" t="n">
        <v>44400</v>
      </c>
      <c r="H918" s="146" t="n">
        <v>8880</v>
      </c>
    </row>
    <row r="919" hidden="1" s="21">
      <c r="A919" s="8" t="inlineStr">
        <is>
          <t>네이버</t>
        </is>
      </c>
      <c r="B919" s="9" t="inlineStr">
        <is>
          <t>가공식품</t>
        </is>
      </c>
      <c r="C919" s="9" t="inlineStr">
        <is>
          <t>주식회사 드림엘링크</t>
        </is>
      </c>
      <c r="D919" s="134" t="inlineStr">
        <is>
          <t>562-81-04158</t>
        </is>
      </c>
      <c r="E919" s="8" t="inlineStr">
        <is>
          <t>이기순 명인의 순 고춧가루 500g 1kg 햇 25년산 국산 가정용 업소용 요리용 보통맛</t>
        </is>
      </c>
      <c r="F919" s="140" t="n">
        <v>32</v>
      </c>
      <c r="G919" s="146" t="n">
        <v>785600</v>
      </c>
      <c r="H919" s="146" t="n">
        <v>109200</v>
      </c>
    </row>
    <row r="920" hidden="1" s="21">
      <c r="A920" s="8" t="inlineStr">
        <is>
          <t>네이버</t>
        </is>
      </c>
      <c r="B920" s="9" t="inlineStr">
        <is>
          <t>가공식품</t>
        </is>
      </c>
      <c r="C920" s="9" t="inlineStr">
        <is>
          <t>주식회사 드림엘링크</t>
        </is>
      </c>
      <c r="D920" s="134" t="inlineStr">
        <is>
          <t>562-81-04158</t>
        </is>
      </c>
      <c r="E920" s="8" t="inlineStr">
        <is>
          <t>이기순 명인의 순 볶음김치 1kg 국산배추 고춧가루 사용 볶은김치 두부 도시락 찌개 제육</t>
        </is>
      </c>
      <c r="F920" s="140" t="n">
        <v>27</v>
      </c>
      <c r="G920" s="146" t="n">
        <v>373820</v>
      </c>
      <c r="H920" s="146" t="n">
        <v>37500</v>
      </c>
    </row>
    <row r="921" hidden="1" s="21">
      <c r="A921" s="8" t="inlineStr">
        <is>
          <t>네이버</t>
        </is>
      </c>
      <c r="B921" s="9" t="inlineStr">
        <is>
          <t>가공식품</t>
        </is>
      </c>
      <c r="C921" s="9" t="inlineStr">
        <is>
          <t>주식회사 드림엘링크</t>
        </is>
      </c>
      <c r="D921" s="134" t="inlineStr">
        <is>
          <t>562-81-04158</t>
        </is>
      </c>
      <c r="E921" s="8" t="inlineStr">
        <is>
          <t>이기순 명인의 순 프리미엄 울금 백김치 2kg 국내산 배추 어린이집 유치원 남녀노소 물김치</t>
        </is>
      </c>
      <c r="F921" s="140" t="n">
        <v>11</v>
      </c>
      <c r="G921" s="146" t="n">
        <v>204700</v>
      </c>
      <c r="H921" s="146" t="n">
        <v>20410</v>
      </c>
    </row>
    <row r="922" hidden="1" s="21">
      <c r="A922" s="8" t="inlineStr">
        <is>
          <t>네이버</t>
        </is>
      </c>
      <c r="B922" s="9" t="inlineStr">
        <is>
          <t>가공식품</t>
        </is>
      </c>
      <c r="C922" s="9" t="inlineStr">
        <is>
          <t>주식회사 드림엘링크</t>
        </is>
      </c>
      <c r="D922" s="134" t="inlineStr">
        <is>
          <t>562-81-04158</t>
        </is>
      </c>
      <c r="E922" s="8" t="inlineStr">
        <is>
          <t>이기순 명인의 순 프리미엄 울금 포기 김치 2kg 외 국산 100% 국내산 배추 김장</t>
        </is>
      </c>
      <c r="F922" s="140" t="n">
        <v>4</v>
      </c>
      <c r="G922" s="146" t="n">
        <v>75600</v>
      </c>
      <c r="H922" s="146" t="n">
        <v>7560</v>
      </c>
    </row>
    <row r="923" hidden="1" s="21">
      <c r="A923" s="8" t="inlineStr">
        <is>
          <t>네이버</t>
        </is>
      </c>
      <c r="B923" s="9" t="inlineStr">
        <is>
          <t>농산물</t>
        </is>
      </c>
      <c r="C923" s="9" t="inlineStr">
        <is>
          <t>감익는마을 천연식초</t>
        </is>
      </c>
      <c r="D923" s="134" t="inlineStr">
        <is>
          <t>615-19-39008</t>
        </is>
      </c>
      <c r="E923" s="8" t="inlineStr">
        <is>
          <t>감익는마을 씨없는 곶감 눈꽃곶감 GAP인증 밀양반시 500gx2통</t>
        </is>
      </c>
      <c r="F923" s="140" t="n">
        <v>2</v>
      </c>
      <c r="G923" s="146" t="n">
        <v>96200</v>
      </c>
      <c r="H923" s="146" t="inlineStr">
        <is>
          <t>-</t>
        </is>
      </c>
    </row>
    <row r="924" hidden="1" s="21">
      <c r="A924" s="8" t="inlineStr">
        <is>
          <t>네이버</t>
        </is>
      </c>
      <c r="B924" s="9" t="inlineStr">
        <is>
          <t>가공식품</t>
        </is>
      </c>
      <c r="C924" s="9" t="inlineStr">
        <is>
          <t>감익는마을 천연식초</t>
        </is>
      </c>
      <c r="D924" s="134" t="inlineStr">
        <is>
          <t>615-19-39008</t>
        </is>
      </c>
      <c r="E924" s="8" t="inlineStr">
        <is>
          <t>감익는마을 천연 감식초 7년숙성 항아리발효 감100% 설탕무첨가 1.5L</t>
        </is>
      </c>
      <c r="F924" s="140" t="n">
        <v>124</v>
      </c>
      <c r="G924" s="146" t="n">
        <v>3454000</v>
      </c>
      <c r="H924" s="146" t="n">
        <v>285800</v>
      </c>
    </row>
    <row r="925" hidden="1" s="21">
      <c r="A925" s="8" t="inlineStr">
        <is>
          <t>네이버</t>
        </is>
      </c>
      <c r="B925" s="9" t="inlineStr">
        <is>
          <t>가공식품</t>
        </is>
      </c>
      <c r="C925" s="9" t="inlineStr">
        <is>
          <t>감익는마을 천연식초</t>
        </is>
      </c>
      <c r="D925" s="134" t="inlineStr">
        <is>
          <t>615-19-39008</t>
        </is>
      </c>
      <c r="E925" s="8" t="inlineStr">
        <is>
          <t>감익는마을 천연 감식초 7년숙성 항아리발효 감100% 자연침전 설탕무첨가 500nlx2병</t>
        </is>
      </c>
      <c r="F925" s="140" t="n">
        <v>29</v>
      </c>
      <c r="G925" s="146" t="n">
        <v>928200</v>
      </c>
      <c r="H925" s="146" t="n">
        <v>70600</v>
      </c>
    </row>
    <row r="926" hidden="1" s="21">
      <c r="A926" s="8" t="inlineStr">
        <is>
          <t>네이버</t>
        </is>
      </c>
      <c r="B926" s="9" t="inlineStr">
        <is>
          <t>가공식품</t>
        </is>
      </c>
      <c r="C926" s="9" t="inlineStr">
        <is>
          <t>감익는마을 천연식초</t>
        </is>
      </c>
      <c r="D926" s="134" t="inlineStr">
        <is>
          <t>615-19-39008</t>
        </is>
      </c>
      <c r="E926" s="8" t="inlineStr">
        <is>
          <t>감익는마을 감식초·발아현미식초 선물세트 500ml 2병 무설탕 항아리숙성</t>
        </is>
      </c>
      <c r="F926" s="140" t="inlineStr">
        <is>
          <t>-</t>
        </is>
      </c>
      <c r="G926" s="146" t="inlineStr">
        <is>
          <t>-</t>
        </is>
      </c>
      <c r="H926" s="146" t="inlineStr">
        <is>
          <t>-</t>
        </is>
      </c>
    </row>
    <row r="927" hidden="1" s="21">
      <c r="A927" s="8" t="inlineStr">
        <is>
          <t>네이버</t>
        </is>
      </c>
      <c r="B927" s="9" t="inlineStr">
        <is>
          <t>가공식품</t>
        </is>
      </c>
      <c r="C927" s="9" t="inlineStr">
        <is>
          <t>감익는마을 천연식초</t>
        </is>
      </c>
      <c r="D927" s="134" t="inlineStr">
        <is>
          <t>615-19-39008</t>
        </is>
      </c>
      <c r="E927" s="8" t="inlineStr">
        <is>
          <t>감익는마을 발아현미 흑초 특허제조 8년 숙성 국산현미 500ml 식초</t>
        </is>
      </c>
      <c r="F927" s="140" t="n">
        <v>2</v>
      </c>
      <c r="G927" s="146" t="n">
        <v>62400</v>
      </c>
      <c r="H927" s="146" t="inlineStr">
        <is>
          <t>-</t>
        </is>
      </c>
    </row>
    <row r="928" hidden="1" s="21">
      <c r="A928" s="8" t="inlineStr">
        <is>
          <t>네이버</t>
        </is>
      </c>
      <c r="B928" s="9" t="inlineStr">
        <is>
          <t>가공식품</t>
        </is>
      </c>
      <c r="C928" s="9" t="inlineStr">
        <is>
          <t>감익는마을 천연식초</t>
        </is>
      </c>
      <c r="D928" s="134" t="inlineStr">
        <is>
          <t>615-19-39008</t>
        </is>
      </c>
      <c r="E928" s="8" t="inlineStr">
        <is>
          <t>감익는마을 돼지감자감식초 500ml 천연발효식초 무설탕</t>
        </is>
      </c>
      <c r="F928" s="140" t="inlineStr">
        <is>
          <t>-</t>
        </is>
      </c>
      <c r="G928" s="146" t="inlineStr">
        <is>
          <t>-</t>
        </is>
      </c>
      <c r="H928" s="146" t="inlineStr">
        <is>
          <t>-</t>
        </is>
      </c>
    </row>
    <row r="929" hidden="1" s="21">
      <c r="A929" s="8" t="inlineStr">
        <is>
          <t>네이버</t>
        </is>
      </c>
      <c r="B929" s="9" t="inlineStr">
        <is>
          <t>농산물</t>
        </is>
      </c>
      <c r="C929" s="9" t="inlineStr">
        <is>
          <t>감익는마을 천연식초</t>
        </is>
      </c>
      <c r="D929" s="134" t="inlineStr">
        <is>
          <t>615-19-39008</t>
        </is>
      </c>
      <c r="E929" s="8" t="inlineStr">
        <is>
          <t>씨없는 프리미엄 곶감 선물세트 25년 가을 햇곶감 감익는마을</t>
        </is>
      </c>
      <c r="F929" s="140" t="inlineStr">
        <is>
          <t>-</t>
        </is>
      </c>
      <c r="G929" s="146" t="inlineStr">
        <is>
          <t>-</t>
        </is>
      </c>
      <c r="H929" s="146" t="inlineStr">
        <is>
          <t>-</t>
        </is>
      </c>
    </row>
    <row r="930" hidden="1" s="21">
      <c r="A930" s="8" t="inlineStr">
        <is>
          <t>네이버</t>
        </is>
      </c>
      <c r="B930" s="9" t="inlineStr">
        <is>
          <t>농산물</t>
        </is>
      </c>
      <c r="C930" s="9" t="inlineStr">
        <is>
          <t>감익는마을 천연식초</t>
        </is>
      </c>
      <c r="D930" s="134" t="inlineStr">
        <is>
          <t>615-19-39008</t>
        </is>
      </c>
      <c r="E930" s="8" t="inlineStr">
        <is>
          <t>홍시 씨없는반시 밀양반시 5kg GAP 상동반시선물용 곶감 감말랭이용 농부직송 감익는마을</t>
        </is>
      </c>
      <c r="F930" s="140" t="inlineStr">
        <is>
          <t>-</t>
        </is>
      </c>
      <c r="G930" s="146" t="inlineStr">
        <is>
          <t>-</t>
        </is>
      </c>
      <c r="H930" s="146" t="inlineStr">
        <is>
          <t>-</t>
        </is>
      </c>
    </row>
    <row r="931" hidden="1" s="21">
      <c r="A931" s="8" t="inlineStr">
        <is>
          <t>네이버</t>
        </is>
      </c>
      <c r="B931" s="9" t="inlineStr">
        <is>
          <t>농산물</t>
        </is>
      </c>
      <c r="C931" s="9" t="inlineStr">
        <is>
          <t>감익는마을 천연식초</t>
        </is>
      </c>
      <c r="D931" s="134" t="inlineStr">
        <is>
          <t>615-19-39008</t>
        </is>
      </c>
      <c r="E931" s="8" t="inlineStr">
        <is>
          <t>홍시 씨없는반시 밀양반시 5kg 42과 GAP 선물용 곶감 감말랭이용 농부직송 감익는마을</t>
        </is>
      </c>
      <c r="F931" s="140" t="inlineStr">
        <is>
          <t>-</t>
        </is>
      </c>
      <c r="G931" s="146" t="inlineStr">
        <is>
          <t>-</t>
        </is>
      </c>
      <c r="H931" s="146" t="inlineStr">
        <is>
          <t>-</t>
        </is>
      </c>
    </row>
    <row r="932" hidden="1" s="21">
      <c r="A932" s="8" t="inlineStr">
        <is>
          <t>네이버</t>
        </is>
      </c>
      <c r="B932" s="9" t="inlineStr">
        <is>
          <t>농산물</t>
        </is>
      </c>
      <c r="C932" s="9" t="inlineStr">
        <is>
          <t>감익는마을 천연식초</t>
        </is>
      </c>
      <c r="D932" s="134" t="inlineStr">
        <is>
          <t>615-19-39008</t>
        </is>
      </c>
      <c r="E932" s="8" t="inlineStr">
        <is>
          <t>씨없는반시 밀양반시 5kg 38과 홍시용 GAP 선물용 난좌포장 감익는마을 농부직송</t>
        </is>
      </c>
      <c r="F932" s="140" t="inlineStr">
        <is>
          <t>-</t>
        </is>
      </c>
      <c r="G932" s="146" t="inlineStr">
        <is>
          <t>-</t>
        </is>
      </c>
      <c r="H932" s="146" t="inlineStr">
        <is>
          <t>-</t>
        </is>
      </c>
    </row>
    <row r="933" hidden="1" s="21">
      <c r="A933" s="8" t="inlineStr">
        <is>
          <t>네이버</t>
        </is>
      </c>
      <c r="B933" s="9" t="inlineStr">
        <is>
          <t>농산물</t>
        </is>
      </c>
      <c r="C933" s="9" t="inlineStr">
        <is>
          <t>채씨네표고</t>
        </is>
      </c>
      <c r="D933" s="134" t="inlineStr">
        <is>
          <t>449-92-01723</t>
        </is>
      </c>
      <c r="E933" s="8" t="inlineStr">
        <is>
          <t>국내산 건표고버섯 슬라이스 1kg 말린 마른 표고버섯 참나무 500g</t>
        </is>
      </c>
      <c r="F933" s="140" t="n">
        <v>113</v>
      </c>
      <c r="G933" s="146" t="n">
        <v>3133500</v>
      </c>
      <c r="H933" s="146" t="n">
        <v>260400</v>
      </c>
    </row>
    <row r="934" hidden="1" s="21">
      <c r="A934" s="24" t="inlineStr">
        <is>
          <t>네이버</t>
        </is>
      </c>
      <c r="B934" s="24" t="inlineStr">
        <is>
          <t>농산물</t>
        </is>
      </c>
      <c r="C934" s="24" t="inlineStr">
        <is>
          <t>초록이들</t>
        </is>
      </c>
      <c r="D934" s="136" t="inlineStr">
        <is>
          <t>347-93-02082</t>
        </is>
      </c>
      <c r="E934" s="76" t="inlineStr">
        <is>
          <t>[초록이들]500g/1kg 유럽 샐러드 채소 유러피안 상추 쌈 버터헤드 카이피라 프릴등</t>
        </is>
      </c>
      <c r="F934" s="76" t="n">
        <v>14126</v>
      </c>
      <c r="G934" s="146" t="n">
        <v>132559400</v>
      </c>
      <c r="H934" s="146" t="n">
        <v>2712610</v>
      </c>
    </row>
    <row r="935" hidden="1" s="21">
      <c r="A935" s="24" t="inlineStr">
        <is>
          <t>네이버</t>
        </is>
      </c>
      <c r="B935" s="24" t="inlineStr">
        <is>
          <t>농산물</t>
        </is>
      </c>
      <c r="C935" s="24" t="inlineStr">
        <is>
          <t>초록이들</t>
        </is>
      </c>
      <c r="D935" s="136" t="inlineStr">
        <is>
          <t>347-93-02082</t>
        </is>
      </c>
      <c r="E935" s="76" t="inlineStr">
        <is>
          <t>초록이들 4kg 대용량 상추 유럽 샐러드 채소 유러피안 쌈 버터헤드 카이피라 프릴 양상추</t>
        </is>
      </c>
      <c r="F935" s="76" t="n">
        <v>3939</v>
      </c>
      <c r="G935" s="146" t="n">
        <v>138691000</v>
      </c>
      <c r="H935" s="146" t="n">
        <v>1760920</v>
      </c>
    </row>
    <row r="936" hidden="1" s="21">
      <c r="A936" s="24" t="inlineStr">
        <is>
          <t>네이버</t>
        </is>
      </c>
      <c r="B936" s="24" t="inlineStr">
        <is>
          <t>농산물</t>
        </is>
      </c>
      <c r="C936" s="24" t="inlineStr">
        <is>
          <t>로토정</t>
        </is>
      </c>
      <c r="D936" s="136" t="inlineStr">
        <is>
          <t>701-93-02082</t>
        </is>
      </c>
      <c r="E936" s="76" t="inlineStr">
        <is>
          <t>[농할쿠폰]경북봉화 유럽종완숙토마토 2.5kg</t>
        </is>
      </c>
      <c r="F936" s="76" t="n">
        <v>195</v>
      </c>
      <c r="G936" s="146" t="n">
        <v>2202000</v>
      </c>
      <c r="H936" s="146" t="n">
        <v>72390</v>
      </c>
    </row>
    <row r="937" hidden="1" s="21">
      <c r="A937" s="24" t="inlineStr">
        <is>
          <t>네이버</t>
        </is>
      </c>
      <c r="B937" s="24" t="inlineStr">
        <is>
          <t>농산물</t>
        </is>
      </c>
      <c r="C937" s="24" t="inlineStr">
        <is>
          <t>로토정</t>
        </is>
      </c>
      <c r="D937" s="136" t="inlineStr">
        <is>
          <t>701-93-02082</t>
        </is>
      </c>
      <c r="E937" s="76" t="inlineStr">
        <is>
          <t>[농할쿠폰]경북봉화 유럽종완숙토마토 5kg</t>
        </is>
      </c>
      <c r="F937" s="76" t="n">
        <v>582</v>
      </c>
      <c r="G937" s="146" t="n">
        <v>12165300</v>
      </c>
      <c r="H937" s="146" t="n">
        <v>322200</v>
      </c>
    </row>
    <row r="938" hidden="1" s="21">
      <c r="A938" s="24" t="inlineStr">
        <is>
          <t>네이버</t>
        </is>
      </c>
      <c r="B938" s="24" t="inlineStr">
        <is>
          <t>가공식품</t>
        </is>
      </c>
      <c r="C938" s="24" t="inlineStr">
        <is>
          <t>양파만</t>
        </is>
      </c>
      <c r="D938" s="136" t="inlineStr">
        <is>
          <t>257-35-01010</t>
        </is>
      </c>
      <c r="E938" s="76" t="inlineStr">
        <is>
          <t>[양파만] 국내산 양파 카라멜라이징 카라멜라이즈 볶음양파 간편조미료 실속형</t>
        </is>
      </c>
      <c r="F938" s="76" t="n">
        <v>67</v>
      </c>
      <c r="G938" s="146" t="n">
        <v>1124600</v>
      </c>
      <c r="H938" s="146" t="n">
        <v>70540</v>
      </c>
    </row>
    <row r="939" hidden="1" s="21">
      <c r="A939" s="24" t="inlineStr">
        <is>
          <t>네이버</t>
        </is>
      </c>
      <c r="B939" s="24" t="inlineStr">
        <is>
          <t>가공식품</t>
        </is>
      </c>
      <c r="C939" s="24" t="inlineStr">
        <is>
          <t>예림농원</t>
        </is>
      </c>
      <c r="D939" s="136" t="inlineStr">
        <is>
          <t>342-03-03125</t>
        </is>
      </c>
      <c r="E939" s="76" t="inlineStr">
        <is>
          <t>프리바이오틱스 인더잼 딸기잼 (딸기쨈) 병 280g / 스틱 200g</t>
        </is>
      </c>
      <c r="F939" s="76" t="n">
        <v>64</v>
      </c>
      <c r="G939" s="146" t="n">
        <v>1376000</v>
      </c>
      <c r="H939" s="146" t="n">
        <v>72800</v>
      </c>
    </row>
    <row r="940" hidden="1" s="21">
      <c r="A940" s="24" t="inlineStr">
        <is>
          <t>네이버</t>
        </is>
      </c>
      <c r="B940" s="24" t="inlineStr">
        <is>
          <t>가공식품</t>
        </is>
      </c>
      <c r="C940" s="24" t="inlineStr">
        <is>
          <t>온드리목장</t>
        </is>
      </c>
      <c r="D940" s="136" t="inlineStr">
        <is>
          <t>519-33-01006</t>
        </is>
      </c>
      <c r="E940" s="76" t="inlineStr">
        <is>
          <t>온드리목장 1kg 무가당 꾸덕한 그릭요거트 대용량</t>
        </is>
      </c>
      <c r="F940" s="76" t="n">
        <v>6113</v>
      </c>
      <c r="G940" s="146" t="n">
        <v>130471520</v>
      </c>
      <c r="H940" s="146" t="n">
        <v>3445770</v>
      </c>
    </row>
    <row r="941" hidden="1" s="21">
      <c r="A941" s="24" t="inlineStr">
        <is>
          <t>네이버</t>
        </is>
      </c>
      <c r="B941" s="24" t="inlineStr">
        <is>
          <t>가공식품</t>
        </is>
      </c>
      <c r="C941" s="24" t="inlineStr">
        <is>
          <t>온드리목장</t>
        </is>
      </c>
      <c r="D941" s="136" t="inlineStr">
        <is>
          <t>519-33-01006</t>
        </is>
      </c>
      <c r="E941" s="76" t="inlineStr">
        <is>
          <t>온드리목장 요거트 1000ml 더 진하게 발효한 대용량 요거트 x 2개</t>
        </is>
      </c>
      <c r="F941" s="76" t="n">
        <v>512</v>
      </c>
      <c r="G941" s="146" t="n">
        <v>5664420</v>
      </c>
      <c r="H941" s="146" t="n">
        <v>115990</v>
      </c>
    </row>
    <row r="942" hidden="1" s="21">
      <c r="A942" s="24" t="inlineStr">
        <is>
          <t>네이버</t>
        </is>
      </c>
      <c r="B942" s="24" t="inlineStr">
        <is>
          <t>가공식품</t>
        </is>
      </c>
      <c r="C942" s="24" t="inlineStr">
        <is>
          <t>온드리목장</t>
        </is>
      </c>
      <c r="D942" s="136" t="inlineStr">
        <is>
          <t>519-33-01006</t>
        </is>
      </c>
      <c r="E942" s="76" t="inlineStr">
        <is>
          <t>온드리목장 무가당 꾸덕한 그릭요거트 산미없이 고소한 500g</t>
        </is>
      </c>
      <c r="F942" s="76" t="n">
        <v>1279</v>
      </c>
      <c r="G942" s="146" t="n">
        <v>16115850</v>
      </c>
      <c r="H942" s="146" t="n">
        <v>393820</v>
      </c>
    </row>
    <row r="943" hidden="1" s="21">
      <c r="A943" s="24" t="inlineStr">
        <is>
          <t>네이버</t>
        </is>
      </c>
      <c r="B943" s="24" t="inlineStr">
        <is>
          <t>가공식품</t>
        </is>
      </c>
      <c r="C943" s="24" t="inlineStr">
        <is>
          <t>온드리목장</t>
        </is>
      </c>
      <c r="D943" s="136" t="inlineStr">
        <is>
          <t>519-33-01006</t>
        </is>
      </c>
      <c r="E943" s="76" t="inlineStr">
        <is>
          <t>온드리목장 무가당 드링킹 그릭요거트 120g x 15개</t>
        </is>
      </c>
      <c r="F943" s="76" t="n">
        <v>269</v>
      </c>
      <c r="G943" s="146" t="n">
        <v>2993180</v>
      </c>
      <c r="H943" s="146" t="n">
        <v>60800</v>
      </c>
    </row>
    <row r="944" hidden="1" s="21">
      <c r="A944" s="24" t="inlineStr">
        <is>
          <t>네이버</t>
        </is>
      </c>
      <c r="B944" s="24" t="inlineStr">
        <is>
          <t>가공식품</t>
        </is>
      </c>
      <c r="C944" s="24" t="inlineStr">
        <is>
          <t>온드리목장</t>
        </is>
      </c>
      <c r="D944" s="136" t="inlineStr">
        <is>
          <t>519-33-01006</t>
        </is>
      </c>
      <c r="E944" s="76" t="inlineStr">
        <is>
          <t>온드리목장 무지방 무가당 그릭요거트 100g x 3개</t>
        </is>
      </c>
      <c r="F944" s="76" t="n">
        <v>50</v>
      </c>
      <c r="G944" s="146" t="n">
        <v>768070</v>
      </c>
      <c r="H944" s="146" t="n">
        <v>12540</v>
      </c>
    </row>
    <row r="945" hidden="1" s="21">
      <c r="A945" s="24" t="inlineStr">
        <is>
          <t>네이버</t>
        </is>
      </c>
      <c r="B945" s="24" t="inlineStr">
        <is>
          <t>가공식품</t>
        </is>
      </c>
      <c r="C945" s="24" t="inlineStr">
        <is>
          <t>온드리목장</t>
        </is>
      </c>
      <c r="D945" s="136" t="inlineStr">
        <is>
          <t>519-33-01006</t>
        </is>
      </c>
      <c r="E945" s="76" t="inlineStr">
        <is>
          <t>온드리목장 무지방 무가당 그릭요거트 500g</t>
        </is>
      </c>
      <c r="F945" s="76" t="n">
        <v>630</v>
      </c>
      <c r="G945" s="146" t="n">
        <v>7074040</v>
      </c>
      <c r="H945" s="146" t="n">
        <v>85360</v>
      </c>
    </row>
    <row r="946" hidden="1" s="21">
      <c r="A946" s="24" t="inlineStr">
        <is>
          <t>네이버</t>
        </is>
      </c>
      <c r="B946" s="24" t="inlineStr">
        <is>
          <t>가공식품</t>
        </is>
      </c>
      <c r="C946" s="24" t="inlineStr">
        <is>
          <t>온드리목장</t>
        </is>
      </c>
      <c r="D946" s="136" t="inlineStr">
        <is>
          <t>519-33-01006</t>
        </is>
      </c>
      <c r="E946" s="76" t="inlineStr">
        <is>
          <t>온드리목장 1kg 무지방 무가당 그릭요거트 대용량</t>
        </is>
      </c>
      <c r="F946" s="76" t="n">
        <v>2269</v>
      </c>
      <c r="G946" s="146" t="n">
        <v>39469540</v>
      </c>
      <c r="H946" s="146" t="n">
        <v>454020</v>
      </c>
    </row>
    <row r="947" hidden="1" s="21">
      <c r="A947" s="24" t="inlineStr">
        <is>
          <t>네이버</t>
        </is>
      </c>
      <c r="B947" s="24" t="inlineStr">
        <is>
          <t>가공식품</t>
        </is>
      </c>
      <c r="C947" s="24" t="inlineStr">
        <is>
          <t>거창오미자</t>
        </is>
      </c>
      <c r="D947" s="136" t="inlineStr">
        <is>
          <t>784-24-00666</t>
        </is>
      </c>
      <c r="E947" s="76" t="inlineStr">
        <is>
          <t>거창 수제 오미자 청 오미자 원액 엑기스 과일청 1L 1개</t>
        </is>
      </c>
      <c r="F947" s="76" t="n">
        <v>399</v>
      </c>
      <c r="G947" s="146" t="n">
        <v>12825000</v>
      </c>
      <c r="H947" s="146" t="n">
        <v>814000</v>
      </c>
    </row>
    <row r="948" hidden="1" s="21">
      <c r="A948" s="24" t="inlineStr">
        <is>
          <t>네이버</t>
        </is>
      </c>
      <c r="B948" s="24" t="inlineStr">
        <is>
          <t>가공식품</t>
        </is>
      </c>
      <c r="C948" s="24" t="inlineStr">
        <is>
          <t>거창오미자</t>
        </is>
      </c>
      <c r="D948" s="136" t="inlineStr">
        <is>
          <t>784-24-00666</t>
        </is>
      </c>
      <c r="E948" s="76" t="inlineStr">
        <is>
          <t>거창 수제 오미자 청 오미자 원액 엑기스 과일청 1L 4개</t>
        </is>
      </c>
      <c r="F948" s="76" t="n">
        <v>22</v>
      </c>
      <c r="G948" s="146" t="n">
        <v>2112000</v>
      </c>
      <c r="H948" s="146" t="n">
        <v>80000</v>
      </c>
    </row>
    <row r="949" hidden="1" s="21">
      <c r="A949" s="24" t="inlineStr">
        <is>
          <t>네이버</t>
        </is>
      </c>
      <c r="B949" s="24" t="inlineStr">
        <is>
          <t>가공식품</t>
        </is>
      </c>
      <c r="C949" s="24" t="inlineStr">
        <is>
          <t>거창오미자</t>
        </is>
      </c>
      <c r="D949" s="136" t="inlineStr">
        <is>
          <t>784-24-00666</t>
        </is>
      </c>
      <c r="E949" s="76" t="inlineStr">
        <is>
          <t>거창 수제 오미자 청 오미자 원액 엑기스 과일청 1L 6개</t>
        </is>
      </c>
      <c r="F949" s="76" t="n">
        <v>12</v>
      </c>
      <c r="G949" s="146" t="n">
        <v>2208000</v>
      </c>
      <c r="H949" s="146" t="n">
        <v>40000</v>
      </c>
    </row>
    <row r="950" hidden="1" s="21">
      <c r="A950" s="24" t="inlineStr">
        <is>
          <t>네이버</t>
        </is>
      </c>
      <c r="B950" s="24" t="inlineStr">
        <is>
          <t>가공식품</t>
        </is>
      </c>
      <c r="C950" s="24" t="inlineStr">
        <is>
          <t>거창오미자</t>
        </is>
      </c>
      <c r="D950" s="136" t="inlineStr">
        <is>
          <t>784-24-00666</t>
        </is>
      </c>
      <c r="E950" s="76" t="inlineStr">
        <is>
          <t>거창 수제 오미자 청 오미자 원액 엑기스 과일청 750ml 6개</t>
        </is>
      </c>
      <c r="F950" s="76" t="n">
        <v>1</v>
      </c>
      <c r="G950" s="146" t="n">
        <v>108000</v>
      </c>
      <c r="H950" s="146" t="n">
        <v>10000</v>
      </c>
    </row>
    <row r="951" hidden="1" s="21">
      <c r="A951" s="24" t="inlineStr">
        <is>
          <t>네이버</t>
        </is>
      </c>
      <c r="B951" s="24" t="inlineStr">
        <is>
          <t>가공식품</t>
        </is>
      </c>
      <c r="C951" s="24" t="inlineStr">
        <is>
          <t>거창오미자</t>
        </is>
      </c>
      <c r="D951" s="136" t="inlineStr">
        <is>
          <t>784-24-00666</t>
        </is>
      </c>
      <c r="E951" s="76" t="inlineStr">
        <is>
          <t>거창 수제 오미자 청 오미자 원액 엑기스 과일청 750ml 1개</t>
        </is>
      </c>
      <c r="F951" s="76" t="n">
        <v>42</v>
      </c>
      <c r="G951" s="146" t="n">
        <v>1000000</v>
      </c>
      <c r="H951" s="146" t="n">
        <v>91800</v>
      </c>
    </row>
    <row r="952" hidden="1" s="21">
      <c r="A952" s="24" t="inlineStr">
        <is>
          <t>네이버</t>
        </is>
      </c>
      <c r="B952" s="24" t="inlineStr">
        <is>
          <t>가공식품</t>
        </is>
      </c>
      <c r="C952" s="24" t="inlineStr">
        <is>
          <t>거창오미자</t>
        </is>
      </c>
      <c r="D952" s="136" t="inlineStr">
        <is>
          <t>784-24-00666</t>
        </is>
      </c>
      <c r="E952" s="76" t="inlineStr">
        <is>
          <t>거창 수제 오미자 청 오미자 원액 엑기스 과일청 750ml 4개</t>
        </is>
      </c>
      <c r="F952" s="76" t="n">
        <v>4</v>
      </c>
      <c r="G952" s="146" t="n">
        <v>304000</v>
      </c>
      <c r="H952" s="146" t="n">
        <v>30000</v>
      </c>
    </row>
    <row r="953" hidden="1" s="21">
      <c r="A953" s="24" t="inlineStr">
        <is>
          <t>네이버</t>
        </is>
      </c>
      <c r="B953" s="24" t="inlineStr">
        <is>
          <t>축산물</t>
        </is>
      </c>
      <c r="C953" s="24" t="inlineStr">
        <is>
          <t>농업회사법인(주)새나라</t>
        </is>
      </c>
      <c r="D953" s="136" t="inlineStr">
        <is>
          <t>792-88-00316</t>
        </is>
      </c>
      <c r="E953" s="76" t="inlineStr">
        <is>
          <t>사조 오리 주물럭 양념 오리불고기 600g 넉넉한 양</t>
        </is>
      </c>
      <c r="F953" s="76" t="n">
        <v>7</v>
      </c>
      <c r="G953" s="146" t="n">
        <v>202000</v>
      </c>
      <c r="H953" s="146" t="n">
        <v>35820</v>
      </c>
    </row>
    <row r="954" hidden="1" s="21">
      <c r="A954" s="24" t="inlineStr">
        <is>
          <t>네이버</t>
        </is>
      </c>
      <c r="B954" s="24" t="inlineStr">
        <is>
          <t>축산물</t>
        </is>
      </c>
      <c r="C954" s="24" t="inlineStr">
        <is>
          <t>농업회사법인(주)새나라</t>
        </is>
      </c>
      <c r="D954" s="136" t="inlineStr">
        <is>
          <t>792-88-00316</t>
        </is>
      </c>
      <c r="E954" s="76" t="inlineStr">
        <is>
          <t>국내산 냉동 닭고기 닭목살 1kg 닭특수부위</t>
        </is>
      </c>
      <c r="F954" s="76" t="n">
        <v>26</v>
      </c>
      <c r="G954" s="146" t="n">
        <v>366800</v>
      </c>
      <c r="H954" s="146" t="n">
        <v>62870</v>
      </c>
    </row>
    <row r="955" hidden="1" s="21">
      <c r="A955" s="24" t="inlineStr">
        <is>
          <t>네이버</t>
        </is>
      </c>
      <c r="B955" s="24" t="inlineStr">
        <is>
          <t>축산물</t>
        </is>
      </c>
      <c r="C955" s="24" t="inlineStr">
        <is>
          <t>농업회사법인(주)새나라</t>
        </is>
      </c>
      <c r="D955" s="136" t="inlineStr">
        <is>
          <t>792-88-00316</t>
        </is>
      </c>
      <c r="E955" s="76" t="inlineStr">
        <is>
          <t>[무항생제 닭다리살 슬라이스] 국내산 닭정육 닭순살 냉장 1kg</t>
        </is>
      </c>
      <c r="F955" s="76" t="n">
        <v>7</v>
      </c>
      <c r="G955" s="146" t="n">
        <v>178220</v>
      </c>
      <c r="H955" s="146" t="n">
        <v>22010</v>
      </c>
    </row>
    <row r="956" hidden="1" s="21">
      <c r="A956" s="24" t="inlineStr">
        <is>
          <t>네이버</t>
        </is>
      </c>
      <c r="B956" s="24" t="inlineStr">
        <is>
          <t>축산물</t>
        </is>
      </c>
      <c r="C956" s="24" t="inlineStr">
        <is>
          <t>농업회사법인(주)새나라</t>
        </is>
      </c>
      <c r="D956" s="136" t="inlineStr">
        <is>
          <t>792-88-00316</t>
        </is>
      </c>
      <c r="E956" s="76" t="inlineStr">
        <is>
          <t>[무항생제 닭다리살 슬라이스] 국내산 닭정육 닭순살 냉장 500g</t>
        </is>
      </c>
      <c r="F956" s="76" t="n">
        <v>27</v>
      </c>
      <c r="G956" s="146" t="n">
        <v>768300</v>
      </c>
      <c r="H956" s="146" t="n">
        <v>77280</v>
      </c>
    </row>
    <row r="957" hidden="1" s="21">
      <c r="A957" s="24" t="inlineStr">
        <is>
          <t>네이버</t>
        </is>
      </c>
      <c r="B957" s="24" t="inlineStr">
        <is>
          <t>축산물</t>
        </is>
      </c>
      <c r="C957" s="24" t="inlineStr">
        <is>
          <t>농업회사법인(주)새나라</t>
        </is>
      </c>
      <c r="D957" s="136" t="inlineStr">
        <is>
          <t>792-88-00316</t>
        </is>
      </c>
      <c r="E957" s="76" t="inlineStr">
        <is>
          <t>[모두 한입닭갈비] 춘천 3팩 국산 닭정육 캠핑 500gx3팩 (3~4인분)</t>
        </is>
      </c>
      <c r="F957" s="76" t="n">
        <v>6</v>
      </c>
      <c r="G957" s="146" t="n">
        <v>126900</v>
      </c>
      <c r="H957" s="146" t="n">
        <v>25380</v>
      </c>
    </row>
    <row r="958" hidden="1" s="21">
      <c r="A958" s="24" t="inlineStr">
        <is>
          <t>네이버</t>
        </is>
      </c>
      <c r="B958" s="24" t="inlineStr">
        <is>
          <t>축산물</t>
        </is>
      </c>
      <c r="C958" s="24" t="inlineStr">
        <is>
          <t>농업회사법인(주)새나라</t>
        </is>
      </c>
      <c r="D958" s="136" t="inlineStr">
        <is>
          <t>792-88-00316</t>
        </is>
      </c>
      <c r="E958" s="76" t="inlineStr">
        <is>
          <t>국내산 냉동 육계닭발 1kg +1kg 급냉</t>
        </is>
      </c>
      <c r="F958" s="76" t="n">
        <v>1</v>
      </c>
      <c r="G958" s="146" t="n">
        <v>22500</v>
      </c>
      <c r="H958" s="146" t="n">
        <v>4500</v>
      </c>
    </row>
    <row r="959" hidden="1" s="21">
      <c r="A959" s="24" t="inlineStr">
        <is>
          <t>네이버</t>
        </is>
      </c>
      <c r="B959" s="24" t="inlineStr">
        <is>
          <t>축산물</t>
        </is>
      </c>
      <c r="C959" s="24" t="inlineStr">
        <is>
          <t>농업회사법인(주)새나라</t>
        </is>
      </c>
      <c r="D959" s="136" t="inlineStr">
        <is>
          <t>792-88-00316</t>
        </is>
      </c>
      <c r="E959" s="76" t="inlineStr">
        <is>
          <t>국내산 육수용 닭뼈 10kg (5kg x2봉) 닭몸통뼈 사골뼈</t>
        </is>
      </c>
      <c r="F959" s="76" t="n">
        <v>6</v>
      </c>
      <c r="G959" s="146" t="n">
        <v>96300</v>
      </c>
      <c r="H959" s="146" t="n">
        <v>2140</v>
      </c>
    </row>
    <row r="960" hidden="1" s="21">
      <c r="A960" s="24" t="inlineStr">
        <is>
          <t>네이버</t>
        </is>
      </c>
      <c r="B960" s="24" t="inlineStr">
        <is>
          <t>축산물</t>
        </is>
      </c>
      <c r="C960" s="24" t="inlineStr">
        <is>
          <t>농업회사법인(주)새나라</t>
        </is>
      </c>
      <c r="D960" s="136" t="inlineStr">
        <is>
          <t>792-88-00316</t>
        </is>
      </c>
      <c r="E960" s="76" t="inlineStr">
        <is>
          <t>[닭가슴살+닭다리살 슬라이스 친구] 국산 무항생제 (500g x 2팩) 소포장 진공포장</t>
        </is>
      </c>
      <c r="F960" s="76" t="n">
        <v>6</v>
      </c>
      <c r="G960" s="146" t="n">
        <v>92100</v>
      </c>
      <c r="H960" s="146" t="n">
        <v>9060</v>
      </c>
    </row>
    <row r="961" hidden="1" s="21">
      <c r="A961" s="24" t="inlineStr">
        <is>
          <t>네이버</t>
        </is>
      </c>
      <c r="B961" s="24" t="inlineStr">
        <is>
          <t>축산물</t>
        </is>
      </c>
      <c r="C961" s="24" t="inlineStr">
        <is>
          <t>농업회사법인(주)새나라</t>
        </is>
      </c>
      <c r="D961" s="136" t="inlineStr">
        <is>
          <t>792-88-00316</t>
        </is>
      </c>
      <c r="E961" s="76" t="inlineStr">
        <is>
          <t>국산 무항생제 닭가슴살 1.5kg (500g x 3팩) 소포장 트레이 포장</t>
        </is>
      </c>
      <c r="F961" s="76" t="n">
        <v>3</v>
      </c>
      <c r="G961" s="146" t="n">
        <v>47900</v>
      </c>
      <c r="H961" s="146" t="inlineStr">
        <is>
          <t>-</t>
        </is>
      </c>
    </row>
    <row r="962" hidden="1" s="21">
      <c r="A962" s="24" t="inlineStr">
        <is>
          <t>네이버</t>
        </is>
      </c>
      <c r="B962" s="24" t="inlineStr">
        <is>
          <t>축산물</t>
        </is>
      </c>
      <c r="C962" s="24" t="inlineStr">
        <is>
          <t>농업회사법인(주)새나라</t>
        </is>
      </c>
      <c r="D962" s="136" t="inlineStr">
        <is>
          <t>792-88-00316</t>
        </is>
      </c>
      <c r="E962" s="76" t="inlineStr">
        <is>
          <t>[명성통닭] 옛날통닭 오븐구이 700g x 2마리 에어프라이어 15분완성</t>
        </is>
      </c>
      <c r="F962" s="76" t="n">
        <v>16</v>
      </c>
      <c r="G962" s="146" t="n">
        <v>273200</v>
      </c>
      <c r="H962" s="146" t="n">
        <v>15000</v>
      </c>
    </row>
    <row r="963" hidden="1" s="21">
      <c r="A963" s="24" t="inlineStr">
        <is>
          <t>네이버</t>
        </is>
      </c>
      <c r="B963" s="24" t="inlineStr">
        <is>
          <t>축산물</t>
        </is>
      </c>
      <c r="C963" s="24" t="inlineStr">
        <is>
          <t>농업회사법인(주)새나라</t>
        </is>
      </c>
      <c r="D963" s="136" t="inlineStr">
        <is>
          <t>792-88-00316</t>
        </is>
      </c>
      <c r="E963" s="76" t="inlineStr">
        <is>
          <t>국내산 뼈없는 닭발 생 무뼈닭발(200g x 1팩)</t>
        </is>
      </c>
      <c r="F963" s="76" t="n">
        <v>0</v>
      </c>
      <c r="G963" s="146" t="inlineStr">
        <is>
          <t>-</t>
        </is>
      </c>
      <c r="H963" s="146" t="inlineStr">
        <is>
          <t>-</t>
        </is>
      </c>
    </row>
    <row r="964" hidden="1" s="21">
      <c r="A964" s="24" t="inlineStr">
        <is>
          <t>네이버</t>
        </is>
      </c>
      <c r="B964" s="24" t="inlineStr">
        <is>
          <t>축산물</t>
        </is>
      </c>
      <c r="C964" s="24" t="inlineStr">
        <is>
          <t>농업회사법인(주)새나라</t>
        </is>
      </c>
      <c r="D964" s="136" t="inlineStr">
        <is>
          <t>792-88-00316</t>
        </is>
      </c>
      <c r="E964" s="76" t="inlineStr">
        <is>
          <t>초원 국내산 생 무뼈닭발 뼈없는 닭발 900g x20봉</t>
        </is>
      </c>
      <c r="F964" s="76" t="n">
        <v>0</v>
      </c>
      <c r="G964" s="146" t="inlineStr">
        <is>
          <t>-</t>
        </is>
      </c>
      <c r="H964" s="146" t="inlineStr">
        <is>
          <t>-</t>
        </is>
      </c>
    </row>
    <row r="965" hidden="1" s="21">
      <c r="A965" s="24" t="inlineStr">
        <is>
          <t>네이버</t>
        </is>
      </c>
      <c r="B965" s="24" t="inlineStr">
        <is>
          <t>축산물</t>
        </is>
      </c>
      <c r="C965" s="24" t="inlineStr">
        <is>
          <t>농업회사법인(주)새나라</t>
        </is>
      </c>
      <c r="D965" s="136" t="inlineStr">
        <is>
          <t>792-88-00316</t>
        </is>
      </c>
      <c r="E965" s="76" t="inlineStr">
        <is>
          <t>초원 국내산 생 무뼈닭발 뼈없는 닭발 900g x8봉</t>
        </is>
      </c>
      <c r="F965" s="76" t="n">
        <v>1</v>
      </c>
      <c r="G965" s="146" t="n">
        <v>110350</v>
      </c>
      <c r="H965" s="146" t="n">
        <v>10000</v>
      </c>
    </row>
    <row r="966" hidden="1" s="21">
      <c r="A966" s="24" t="inlineStr">
        <is>
          <t>네이버</t>
        </is>
      </c>
      <c r="B966" s="24" t="inlineStr">
        <is>
          <t>축산물</t>
        </is>
      </c>
      <c r="C966" s="24" t="inlineStr">
        <is>
          <t>농업회사법인(주)새나라</t>
        </is>
      </c>
      <c r="D966" s="136" t="inlineStr">
        <is>
          <t>792-88-00316</t>
        </is>
      </c>
      <c r="E966" s="76" t="inlineStr">
        <is>
          <t>초원 국내산 생 무뼈닭발 뼈없는 닭발 900g x5봉</t>
        </is>
      </c>
      <c r="F966" s="76" t="n">
        <v>1</v>
      </c>
      <c r="G966" s="146" t="n">
        <v>81720</v>
      </c>
      <c r="H966" s="146" t="n">
        <v>10000</v>
      </c>
    </row>
    <row r="967" hidden="1" s="21">
      <c r="A967" s="24" t="inlineStr">
        <is>
          <t>네이버</t>
        </is>
      </c>
      <c r="B967" s="24" t="inlineStr">
        <is>
          <t>축산물</t>
        </is>
      </c>
      <c r="C967" s="24" t="inlineStr">
        <is>
          <t>농업회사법인(주)새나라</t>
        </is>
      </c>
      <c r="D967" s="136" t="inlineStr">
        <is>
          <t>792-88-00316</t>
        </is>
      </c>
      <c r="E967" s="76" t="inlineStr">
        <is>
          <t>초원 국내산 생 무뼈닭발 뼈없는 닭발 900g x1봉</t>
        </is>
      </c>
      <c r="F967" s="76" t="n">
        <v>14</v>
      </c>
      <c r="G967" s="146" t="n">
        <v>909980</v>
      </c>
      <c r="H967" s="146" t="n">
        <v>63000</v>
      </c>
    </row>
    <row r="968" hidden="1" s="21">
      <c r="A968" s="24" t="inlineStr">
        <is>
          <t>네이버</t>
        </is>
      </c>
      <c r="B968" s="24" t="inlineStr">
        <is>
          <t>축산물</t>
        </is>
      </c>
      <c r="C968" s="24" t="inlineStr">
        <is>
          <t>농업회사법인(주)새나라</t>
        </is>
      </c>
      <c r="D968" s="136" t="inlineStr">
        <is>
          <t>792-88-00316</t>
        </is>
      </c>
      <c r="E968" s="76" t="inlineStr">
        <is>
          <t>초원 국내산 생 무뼈닭발 뼈없는 닭발 900g x2봉</t>
        </is>
      </c>
      <c r="F968" s="76" t="n">
        <v>5</v>
      </c>
      <c r="G968" s="146" t="n">
        <v>334100</v>
      </c>
      <c r="H968" s="146" t="n">
        <v>9210</v>
      </c>
    </row>
    <row r="969" hidden="1" s="21">
      <c r="A969" s="24" t="inlineStr">
        <is>
          <t>네이버</t>
        </is>
      </c>
      <c r="B969" s="24" t="inlineStr">
        <is>
          <t>축산물</t>
        </is>
      </c>
      <c r="C969" s="24" t="inlineStr">
        <is>
          <t>농업회사법인(주)새나라</t>
        </is>
      </c>
      <c r="D969" s="136" t="inlineStr">
        <is>
          <t>792-88-00316</t>
        </is>
      </c>
      <c r="E969" s="76" t="inlineStr">
        <is>
          <t>[모두양념닭발] 오직 국내산 무뼈닭발 200g포장</t>
        </is>
      </c>
      <c r="F969" s="76" t="n">
        <v>0</v>
      </c>
      <c r="G969" s="146" t="inlineStr">
        <is>
          <t>-</t>
        </is>
      </c>
      <c r="H969" s="146" t="inlineStr">
        <is>
          <t>-</t>
        </is>
      </c>
    </row>
    <row r="970" hidden="1" s="21">
      <c r="A970" s="24" t="inlineStr">
        <is>
          <t>네이버</t>
        </is>
      </c>
      <c r="B970" s="24" t="inlineStr">
        <is>
          <t>축산물</t>
        </is>
      </c>
      <c r="C970" s="24" t="inlineStr">
        <is>
          <t>농업회사법인(주)새나라</t>
        </is>
      </c>
      <c r="D970" s="136" t="inlineStr">
        <is>
          <t>792-88-00316</t>
        </is>
      </c>
      <c r="E970" s="76" t="inlineStr">
        <is>
          <t>국내산 무항생제 가슴살 1kg x10팩</t>
        </is>
      </c>
      <c r="F970" s="76" t="n">
        <v>7</v>
      </c>
      <c r="G970" s="146" t="n">
        <v>520920</v>
      </c>
      <c r="H970" s="146" t="n">
        <v>50000</v>
      </c>
    </row>
    <row r="971" hidden="1" s="21">
      <c r="A971" s="24" t="inlineStr">
        <is>
          <t>네이버</t>
        </is>
      </c>
      <c r="B971" s="24" t="inlineStr">
        <is>
          <t>축산물</t>
        </is>
      </c>
      <c r="C971" s="24" t="inlineStr">
        <is>
          <t>농업회사법인(주)새나라</t>
        </is>
      </c>
      <c r="D971" s="136" t="inlineStr">
        <is>
          <t>792-88-00316</t>
        </is>
      </c>
      <c r="E971" s="76" t="inlineStr">
        <is>
          <t>모두닭갈비 춘천 2+2팩 국산 닭정육 캠핑 500gx4팩 (6~8인분)</t>
        </is>
      </c>
      <c r="F971" s="76" t="n">
        <v>1</v>
      </c>
      <c r="G971" s="146" t="n">
        <v>35600</v>
      </c>
      <c r="H971" s="146" t="inlineStr">
        <is>
          <t>-</t>
        </is>
      </c>
    </row>
    <row r="972" hidden="1" s="21">
      <c r="A972" s="24" t="inlineStr">
        <is>
          <t>네이버</t>
        </is>
      </c>
      <c r="B972" s="24" t="inlineStr">
        <is>
          <t>축산물</t>
        </is>
      </c>
      <c r="C972" s="24" t="inlineStr">
        <is>
          <t>농업회사법인(주)새나라</t>
        </is>
      </c>
      <c r="D972" s="136" t="inlineStr">
        <is>
          <t>792-88-00316</t>
        </is>
      </c>
      <c r="E972" s="76" t="inlineStr">
        <is>
          <t>국내산 냉동 닭특수부위 닭똥집 닭근위 900g 사업자 대량</t>
        </is>
      </c>
      <c r="F972" s="76" t="n">
        <v>0</v>
      </c>
      <c r="G972" s="146" t="inlineStr">
        <is>
          <t>-</t>
        </is>
      </c>
      <c r="H972" s="146" t="inlineStr">
        <is>
          <t>-</t>
        </is>
      </c>
    </row>
    <row r="973" hidden="1" s="21">
      <c r="A973" s="24" t="inlineStr">
        <is>
          <t>네이버</t>
        </is>
      </c>
      <c r="B973" s="24" t="inlineStr">
        <is>
          <t>축산물</t>
        </is>
      </c>
      <c r="C973" s="24" t="inlineStr">
        <is>
          <t>농업회사법인(주)새나라</t>
        </is>
      </c>
      <c r="D973" s="136" t="inlineStr">
        <is>
          <t>792-88-00316</t>
        </is>
      </c>
      <c r="E973" s="76" t="inlineStr">
        <is>
          <t>국내산 뼈없는닭발 200g 무뼈닭발</t>
        </is>
      </c>
      <c r="F973" s="76" t="n">
        <v>2</v>
      </c>
      <c r="G973" s="146" t="n">
        <v>444600</v>
      </c>
      <c r="H973" s="146" t="inlineStr">
        <is>
          <t>-</t>
        </is>
      </c>
    </row>
    <row r="974" hidden="1" s="21">
      <c r="A974" s="24" t="inlineStr">
        <is>
          <t>네이버</t>
        </is>
      </c>
      <c r="B974" s="24" t="inlineStr">
        <is>
          <t>축산물</t>
        </is>
      </c>
      <c r="C974" s="24" t="inlineStr">
        <is>
          <t>농업회사법인(주)새나라</t>
        </is>
      </c>
      <c r="D974" s="136" t="inlineStr">
        <is>
          <t>792-88-00316</t>
        </is>
      </c>
      <c r="E974" s="76" t="inlineStr">
        <is>
          <t>국내산 냉동 닭내장 [ 1kg / 20EA ]곱창 알탕 닭부산물</t>
        </is>
      </c>
      <c r="F974" s="76" t="n">
        <v>0</v>
      </c>
      <c r="G974" s="146" t="inlineStr">
        <is>
          <t>-</t>
        </is>
      </c>
      <c r="H974" s="146" t="inlineStr">
        <is>
          <t>-</t>
        </is>
      </c>
    </row>
    <row r="975" hidden="1" s="21">
      <c r="A975" s="24" t="inlineStr">
        <is>
          <t>네이버</t>
        </is>
      </c>
      <c r="B975" s="24" t="inlineStr">
        <is>
          <t>축산물</t>
        </is>
      </c>
      <c r="C975" s="24" t="inlineStr">
        <is>
          <t>농업회사법인(주)새나라</t>
        </is>
      </c>
      <c r="D975" s="136" t="inlineStr">
        <is>
          <t>792-88-00316</t>
        </is>
      </c>
      <c r="E975" s="76" t="inlineStr">
        <is>
          <t>[모두한상찜닭] 세다리 진짜 안동찜닭의 풍미 국내산 닭고기로 냉장 1kg 안동구시장</t>
        </is>
      </c>
      <c r="F975" s="76" t="n">
        <v>1</v>
      </c>
      <c r="G975" s="146" t="n">
        <v>23580</v>
      </c>
      <c r="H975" s="146" t="inlineStr">
        <is>
          <t>-</t>
        </is>
      </c>
    </row>
    <row r="976" hidden="1" s="21">
      <c r="A976" s="24" t="inlineStr">
        <is>
          <t>네이버</t>
        </is>
      </c>
      <c r="B976" s="24" t="inlineStr">
        <is>
          <t>축산물</t>
        </is>
      </c>
      <c r="C976" s="24" t="inlineStr">
        <is>
          <t>농업회사법인(주)새나라</t>
        </is>
      </c>
      <c r="D976" s="136" t="inlineStr">
        <is>
          <t>792-88-00316</t>
        </is>
      </c>
      <c r="E976" s="76" t="inlineStr">
        <is>
          <t>국산 무항생제 생닭가슴살 500g x 2팩(1kg)냉장 신선</t>
        </is>
      </c>
      <c r="F976" s="76" t="n">
        <v>6</v>
      </c>
      <c r="G976" s="146" t="n">
        <v>170400</v>
      </c>
      <c r="H976" s="146" t="n">
        <v>21320</v>
      </c>
    </row>
    <row r="977" hidden="1" s="21">
      <c r="A977" s="24" t="inlineStr">
        <is>
          <t>네이버</t>
        </is>
      </c>
      <c r="B977" s="24" t="inlineStr">
        <is>
          <t>축산물</t>
        </is>
      </c>
      <c r="C977" s="24" t="inlineStr">
        <is>
          <t>농업회사법인(주)새나라</t>
        </is>
      </c>
      <c r="D977" s="136" t="inlineStr">
        <is>
          <t>792-88-00316</t>
        </is>
      </c>
      <c r="E977" s="76" t="inlineStr">
        <is>
          <t>국산 무항생제 닭가슴살 15kg (500g X 30EA)냉장 신선</t>
        </is>
      </c>
      <c r="F977" s="76" t="n">
        <v>0</v>
      </c>
      <c r="G977" s="146" t="inlineStr">
        <is>
          <t>-</t>
        </is>
      </c>
      <c r="H977" s="146" t="inlineStr">
        <is>
          <t>-</t>
        </is>
      </c>
    </row>
    <row r="978" hidden="1" s="21">
      <c r="A978" s="24" t="inlineStr">
        <is>
          <t>네이버</t>
        </is>
      </c>
      <c r="B978" s="24" t="inlineStr">
        <is>
          <t>축산물</t>
        </is>
      </c>
      <c r="C978" s="24" t="inlineStr">
        <is>
          <t>농업회사법인(주)새나라</t>
        </is>
      </c>
      <c r="D978" s="136" t="inlineStr">
        <is>
          <t>792-88-00316</t>
        </is>
      </c>
      <c r="E978" s="76" t="inlineStr">
        <is>
          <t>국산 무항생제 닭가슴살 7.5kg (500g X 15EA)냉장 신선</t>
        </is>
      </c>
      <c r="F978" s="76" t="n">
        <v>2</v>
      </c>
      <c r="G978" s="146" t="n">
        <v>101800</v>
      </c>
      <c r="H978" s="146" t="inlineStr">
        <is>
          <t>-</t>
        </is>
      </c>
    </row>
    <row r="979" hidden="1" s="21">
      <c r="A979" s="24" t="inlineStr">
        <is>
          <t>네이버</t>
        </is>
      </c>
      <c r="B979" s="24" t="inlineStr">
        <is>
          <t>축산물</t>
        </is>
      </c>
      <c r="C979" s="24" t="inlineStr">
        <is>
          <t>농업회사법인(주)새나라</t>
        </is>
      </c>
      <c r="D979" s="136" t="inlineStr">
        <is>
          <t>792-88-00316</t>
        </is>
      </c>
      <c r="E979" s="76" t="inlineStr">
        <is>
          <t>사조 오리 주물럭 양념 오리불고기 1kg 넉넉한 양</t>
        </is>
      </c>
      <c r="F979" s="76" t="n">
        <v>24</v>
      </c>
      <c r="G979" s="146" t="n">
        <v>650200</v>
      </c>
      <c r="H979" s="146" t="n">
        <v>70440</v>
      </c>
    </row>
    <row r="980" hidden="1" s="21">
      <c r="A980" s="24" t="inlineStr">
        <is>
          <t>네이버</t>
        </is>
      </c>
      <c r="B980" s="24" t="inlineStr">
        <is>
          <t>축산물</t>
        </is>
      </c>
      <c r="C980" s="24" t="inlineStr">
        <is>
          <t>아침에계란</t>
        </is>
      </c>
      <c r="D980" s="136" t="inlineStr">
        <is>
          <t>201-98-68634</t>
        </is>
      </c>
      <c r="E980" s="76" t="inlineStr">
        <is>
          <t>아침에계란 청춘이란 난각번호1번 발효곡물 먹은 자연방사 유정란 20구 40구 60구</t>
        </is>
      </c>
      <c r="F980" s="76" t="n">
        <v>1319</v>
      </c>
      <c r="G980" s="146" t="n">
        <v>92623400</v>
      </c>
      <c r="H980" s="146" t="n">
        <v>4710400</v>
      </c>
    </row>
    <row r="981" hidden="1" s="21">
      <c r="A981" s="24" t="inlineStr">
        <is>
          <t>네이버</t>
        </is>
      </c>
      <c r="B981" s="24" t="inlineStr">
        <is>
          <t>농산물</t>
        </is>
      </c>
      <c r="C981" s="24" t="inlineStr">
        <is>
          <t>토댁</t>
        </is>
      </c>
      <c r="D981" s="136" t="inlineStr">
        <is>
          <t>510-90-49461</t>
        </is>
      </c>
      <c r="E981" s="76" t="inlineStr">
        <is>
          <t>토댁 성주참외 5kg 꼬마참외 프리미엄 못난이 수양대군볏짚배양토</t>
        </is>
      </c>
      <c r="F981" s="76" t="n">
        <v>113</v>
      </c>
      <c r="G981" s="146" t="n">
        <v>3883300</v>
      </c>
      <c r="H981" s="146" t="n">
        <v>251110</v>
      </c>
    </row>
    <row r="982" hidden="1" s="21">
      <c r="A982" s="24" t="inlineStr">
        <is>
          <t>네이버</t>
        </is>
      </c>
      <c r="B982" s="24" t="inlineStr">
        <is>
          <t>농산물</t>
        </is>
      </c>
      <c r="C982" s="24" t="inlineStr">
        <is>
          <t>토댁</t>
        </is>
      </c>
      <c r="D982" s="136" t="inlineStr">
        <is>
          <t>510-90-49461</t>
        </is>
      </c>
      <c r="E982" s="76" t="inlineStr">
        <is>
          <t>[농할]국내 성주 참외 3kg 1개</t>
        </is>
      </c>
      <c r="F982" s="76" t="n">
        <v>7</v>
      </c>
      <c r="G982" s="146" t="n">
        <v>173600</v>
      </c>
      <c r="H982" s="146" t="inlineStr">
        <is>
          <t>-</t>
        </is>
      </c>
    </row>
    <row r="983" hidden="1" s="21">
      <c r="A983" s="24" t="inlineStr">
        <is>
          <t>네이버</t>
        </is>
      </c>
      <c r="B983" s="24" t="inlineStr">
        <is>
          <t>농산물</t>
        </is>
      </c>
      <c r="C983" s="24" t="inlineStr">
        <is>
          <t>토댁</t>
        </is>
      </c>
      <c r="D983" s="136" t="inlineStr">
        <is>
          <t>510-90-49461</t>
        </is>
      </c>
      <c r="E983" s="76" t="inlineStr">
        <is>
          <t>토댁 수양대군 볏짚배양토 성주 꿀참외 2.5kg</t>
        </is>
      </c>
      <c r="F983" s="76" t="n">
        <v>36</v>
      </c>
      <c r="G983" s="146" t="n">
        <v>775800</v>
      </c>
      <c r="H983" s="146" t="n">
        <v>87400</v>
      </c>
    </row>
    <row r="984" hidden="1" s="21">
      <c r="A984" s="24" t="inlineStr">
        <is>
          <t>네이버</t>
        </is>
      </c>
      <c r="B984" s="24" t="inlineStr">
        <is>
          <t>축산물</t>
        </is>
      </c>
      <c r="C984" s="24" t="inlineStr">
        <is>
          <t>농업회사법인(주)새나라</t>
        </is>
      </c>
      <c r="D984" s="136" t="inlineStr">
        <is>
          <t>792-88-00316</t>
        </is>
      </c>
      <c r="E984" s="76" t="inlineStr">
        <is>
          <t>국내산 냉동 닭내장 1kg 곱창 알탕 닭부산물</t>
        </is>
      </c>
      <c r="F984" s="76" t="n">
        <v>13</v>
      </c>
      <c r="G984" s="146" t="n">
        <v>812090</v>
      </c>
      <c r="H984" s="146" t="n">
        <v>31590</v>
      </c>
    </row>
    <row r="985" hidden="1" s="21">
      <c r="A985" s="24" t="inlineStr">
        <is>
          <t>네이버</t>
        </is>
      </c>
      <c r="B985" s="24" t="inlineStr">
        <is>
          <t>축산물</t>
        </is>
      </c>
      <c r="C985" s="24" t="inlineStr">
        <is>
          <t>농업회사법인(주)새나라</t>
        </is>
      </c>
      <c r="D985" s="136" t="inlineStr">
        <is>
          <t>792-88-00316</t>
        </is>
      </c>
      <c r="E985" s="76" t="inlineStr">
        <is>
          <t>국내산 냉동 닭오돌뼈 연골 야키토리 5kg</t>
        </is>
      </c>
      <c r="F985" s="76" t="n">
        <v>13</v>
      </c>
      <c r="G985" s="146" t="n">
        <v>898100</v>
      </c>
      <c r="H985" s="146" t="n">
        <v>84180</v>
      </c>
    </row>
    <row r="986" hidden="1" s="21">
      <c r="A986" s="24" t="inlineStr">
        <is>
          <t>네이버</t>
        </is>
      </c>
      <c r="B986" s="24" t="inlineStr">
        <is>
          <t>축산물</t>
        </is>
      </c>
      <c r="C986" s="24" t="inlineStr">
        <is>
          <t>농업회사법인(주)새나라</t>
        </is>
      </c>
      <c r="D986" s="136" t="inlineStr">
        <is>
          <t>792-88-00316</t>
        </is>
      </c>
      <c r="E986" s="76" t="inlineStr">
        <is>
          <t>국산 무항생제 생 닭가슴살 5kg (500g X 10EA) 소포장 냉장</t>
        </is>
      </c>
      <c r="F986" s="76" t="n">
        <v>192</v>
      </c>
      <c r="G986" s="146" t="n">
        <v>6392250</v>
      </c>
      <c r="H986" s="146" t="n">
        <v>855880</v>
      </c>
    </row>
    <row r="987" hidden="1" s="21">
      <c r="A987" s="24" t="inlineStr">
        <is>
          <t>네이버</t>
        </is>
      </c>
      <c r="B987" s="24" t="inlineStr">
        <is>
          <t>축산물</t>
        </is>
      </c>
      <c r="C987" s="24" t="inlineStr">
        <is>
          <t>농업회사법인(주)새나라</t>
        </is>
      </c>
      <c r="D987" s="136" t="inlineStr">
        <is>
          <t>792-88-00316</t>
        </is>
      </c>
      <c r="E987" s="76" t="inlineStr">
        <is>
          <t>국산 무항생제 닭가슴살 10kg (500g X 20EA)냉장 신선</t>
        </is>
      </c>
      <c r="F987" s="76" t="n">
        <v>17</v>
      </c>
      <c r="G987" s="146" t="n">
        <v>1142250</v>
      </c>
      <c r="H987" s="146" t="n">
        <v>120000</v>
      </c>
    </row>
    <row r="988" hidden="1" s="21">
      <c r="A988" s="24" t="inlineStr">
        <is>
          <t>네이버</t>
        </is>
      </c>
      <c r="B988" s="24" t="inlineStr">
        <is>
          <t>축산물</t>
        </is>
      </c>
      <c r="C988" s="24" t="inlineStr">
        <is>
          <t>농업회사법인(주)새나라</t>
        </is>
      </c>
      <c r="D988" s="136" t="inlineStr">
        <is>
          <t>792-88-00316</t>
        </is>
      </c>
      <c r="E988" s="76" t="inlineStr">
        <is>
          <t>국내산 무항생제 닭고기 냉장 벌크 6호 7호 10호 11호</t>
        </is>
      </c>
      <c r="F988" s="76" t="n">
        <v>0</v>
      </c>
      <c r="G988" s="146" t="inlineStr">
        <is>
          <t>-</t>
        </is>
      </c>
      <c r="H988" s="146" t="inlineStr">
        <is>
          <t>-</t>
        </is>
      </c>
    </row>
    <row r="989" hidden="1" s="21">
      <c r="A989" s="24" t="inlineStr">
        <is>
          <t>네이버</t>
        </is>
      </c>
      <c r="B989" s="24" t="inlineStr">
        <is>
          <t>축산물</t>
        </is>
      </c>
      <c r="C989" s="24" t="inlineStr">
        <is>
          <t>농업회사법인(주)새나라</t>
        </is>
      </c>
      <c r="D989" s="136" t="inlineStr">
        <is>
          <t>792-88-00316</t>
        </is>
      </c>
      <c r="E989" s="76" t="inlineStr">
        <is>
          <t>[모두양념닭발] 1+1팩 오직 국내산 무뼈닭발 200g포장</t>
        </is>
      </c>
      <c r="F989" s="76" t="n">
        <v>1</v>
      </c>
      <c r="G989" s="146" t="n">
        <v>27230</v>
      </c>
      <c r="H989" s="146" t="inlineStr">
        <is>
          <t>-</t>
        </is>
      </c>
    </row>
    <row r="990" hidden="1" s="21">
      <c r="A990" s="24" t="inlineStr">
        <is>
          <t>네이버</t>
        </is>
      </c>
      <c r="B990" s="24" t="inlineStr">
        <is>
          <t>축산물</t>
        </is>
      </c>
      <c r="C990" s="24" t="inlineStr">
        <is>
          <t>농업회사법인(주)새나라</t>
        </is>
      </c>
      <c r="D990" s="136" t="inlineStr">
        <is>
          <t>792-88-00316</t>
        </is>
      </c>
      <c r="E990" s="76" t="inlineStr">
        <is>
          <t>국내산 뼈없는닭발 200g 생 무뼈닭발</t>
        </is>
      </c>
      <c r="F990" s="76" t="n">
        <v>0</v>
      </c>
      <c r="G990" s="146" t="inlineStr">
        <is>
          <t>-</t>
        </is>
      </c>
      <c r="H990" s="146" t="inlineStr">
        <is>
          <t>-</t>
        </is>
      </c>
    </row>
    <row r="991" hidden="1" s="21">
      <c r="A991" s="24" t="inlineStr">
        <is>
          <t>네이버</t>
        </is>
      </c>
      <c r="B991" s="24" t="inlineStr">
        <is>
          <t>축산물</t>
        </is>
      </c>
      <c r="C991" s="24" t="inlineStr">
        <is>
          <t>농업회사법인(주)새나라</t>
        </is>
      </c>
      <c r="D991" s="136" t="inlineStr">
        <is>
          <t>792-88-00316</t>
        </is>
      </c>
      <c r="E991" s="76" t="inlineStr">
        <is>
          <t>[모두닭갈비] 춘천 1+1팩 국산 닭다리살 캠핑 500gx2팩 (3~4인분)</t>
        </is>
      </c>
      <c r="F991" s="76" t="n">
        <v>162</v>
      </c>
      <c r="G991" s="146" t="n">
        <v>3318710</v>
      </c>
      <c r="H991" s="146" t="n">
        <v>561450</v>
      </c>
    </row>
    <row r="992" hidden="1" s="21">
      <c r="A992" s="24" t="inlineStr">
        <is>
          <t>네이버</t>
        </is>
      </c>
      <c r="B992" s="24" t="inlineStr">
        <is>
          <t>축산물</t>
        </is>
      </c>
      <c r="C992" s="24" t="inlineStr">
        <is>
          <t>농업회사법인(주)새나라</t>
        </is>
      </c>
      <c r="D992" s="136" t="inlineStr">
        <is>
          <t>792-88-00316</t>
        </is>
      </c>
      <c r="E992" s="76" t="inlineStr">
        <is>
          <t>국내산 냉동 닭고기 부산물 토종닭발 10kg 종류별</t>
        </is>
      </c>
      <c r="F992" s="76" t="n">
        <v>9</v>
      </c>
      <c r="G992" s="146" t="n">
        <v>667400</v>
      </c>
      <c r="H992" s="146" t="n">
        <v>29200</v>
      </c>
    </row>
    <row r="993" hidden="1" s="21">
      <c r="A993" s="24" t="inlineStr">
        <is>
          <t>네이버</t>
        </is>
      </c>
      <c r="B993" s="24" t="inlineStr">
        <is>
          <t>축산물</t>
        </is>
      </c>
      <c r="C993" s="24" t="inlineStr">
        <is>
          <t>농업회사법인(주)새나라</t>
        </is>
      </c>
      <c r="D993" s="136" t="inlineStr">
        <is>
          <t>792-88-00316</t>
        </is>
      </c>
      <c r="E993" s="76" t="inlineStr">
        <is>
          <t>국내산 절단육 치킨 볶음탕 1kg 신선</t>
        </is>
      </c>
      <c r="F993" s="76" t="n">
        <v>1</v>
      </c>
      <c r="G993" s="146" t="n">
        <v>18000</v>
      </c>
      <c r="H993" s="146" t="n">
        <v>3600</v>
      </c>
    </row>
    <row r="994" hidden="1" s="21">
      <c r="A994" s="24" t="inlineStr">
        <is>
          <t>네이버</t>
        </is>
      </c>
      <c r="B994" s="24" t="inlineStr">
        <is>
          <t>축산물</t>
        </is>
      </c>
      <c r="C994" s="24" t="inlineStr">
        <is>
          <t>농업회사법인(주)새나라</t>
        </is>
      </c>
      <c r="D994" s="136" t="inlineStr">
        <is>
          <t>792-88-00316</t>
        </is>
      </c>
      <c r="E994" s="76" t="inlineStr">
        <is>
          <t>[새나라마켓] 국내산 닭다리 닭 북채 1kg 냉동</t>
        </is>
      </c>
      <c r="F994" s="76" t="n">
        <v>2</v>
      </c>
      <c r="G994" s="146" t="n">
        <v>69050</v>
      </c>
      <c r="H994" s="146" t="n">
        <v>9950</v>
      </c>
    </row>
    <row r="995" hidden="1" s="21">
      <c r="A995" s="24" t="inlineStr">
        <is>
          <t>네이버</t>
        </is>
      </c>
      <c r="B995" s="24" t="inlineStr">
        <is>
          <t>축산물</t>
        </is>
      </c>
      <c r="C995" s="24" t="inlineStr">
        <is>
          <t>농업회사법인(주)새나라</t>
        </is>
      </c>
      <c r="D995" s="136" t="inlineStr">
        <is>
          <t>792-88-00316</t>
        </is>
      </c>
      <c r="E995" s="76" t="inlineStr">
        <is>
          <t>국산 무항생제 닭고기 부위별 닭가슴살 모듬 볶음탕 1kg 신선</t>
        </is>
      </c>
      <c r="F995" s="76" t="n">
        <v>6</v>
      </c>
      <c r="G995" s="146" t="n">
        <v>78200</v>
      </c>
      <c r="H995" s="146" t="n">
        <v>11520</v>
      </c>
    </row>
    <row r="996" hidden="1" s="21">
      <c r="A996" s="24" t="inlineStr">
        <is>
          <t>네이버</t>
        </is>
      </c>
      <c r="B996" s="24" t="inlineStr">
        <is>
          <t>축산물</t>
        </is>
      </c>
      <c r="C996" s="24" t="inlineStr">
        <is>
          <t>농업회사법인(주)새나라</t>
        </is>
      </c>
      <c r="D996" s="136" t="inlineStr">
        <is>
          <t>792-88-00316</t>
        </is>
      </c>
      <c r="E996" s="76" t="inlineStr">
        <is>
          <t>국산 무항생제 닭고기 냉장 한마리 6호 7호 10호 11호</t>
        </is>
      </c>
      <c r="F996" s="76" t="n">
        <v>0</v>
      </c>
      <c r="G996" s="146" t="inlineStr">
        <is>
          <t>-</t>
        </is>
      </c>
      <c r="H996" s="146" t="inlineStr">
        <is>
          <t>-</t>
        </is>
      </c>
    </row>
    <row r="997" hidden="1" s="21">
      <c r="A997" s="24" t="inlineStr">
        <is>
          <t>네이버</t>
        </is>
      </c>
      <c r="B997" s="24" t="inlineStr">
        <is>
          <t>축산물</t>
        </is>
      </c>
      <c r="C997" s="24" t="inlineStr">
        <is>
          <t>농업회사법인(주)새나라</t>
        </is>
      </c>
      <c r="D997" s="136" t="inlineStr">
        <is>
          <t>792-88-00316</t>
        </is>
      </c>
      <c r="E997" s="76" t="inlineStr">
        <is>
          <t>국내산 냉동 닭특수부위 닭똥집 닭근위 900g</t>
        </is>
      </c>
      <c r="F997" s="76" t="n">
        <v>5</v>
      </c>
      <c r="G997" s="146" t="n">
        <v>161040</v>
      </c>
      <c r="H997" s="146" t="n">
        <v>8790</v>
      </c>
    </row>
    <row r="998" hidden="1" s="21">
      <c r="A998" s="24" t="inlineStr">
        <is>
          <t>네이버</t>
        </is>
      </c>
      <c r="B998" s="24" t="inlineStr">
        <is>
          <t>축산물</t>
        </is>
      </c>
      <c r="C998" s="24" t="inlineStr">
        <is>
          <t>농업회사법인(주)새나라</t>
        </is>
      </c>
      <c r="D998" s="136" t="inlineStr">
        <is>
          <t>792-88-00316</t>
        </is>
      </c>
      <c r="E998" s="76" t="inlineStr">
        <is>
          <t>국내산 닭고기 냉동 벌크 10kg 토종 육계 삼계닭발</t>
        </is>
      </c>
      <c r="F998" s="76" t="n">
        <v>1</v>
      </c>
      <c r="G998" s="146" t="n">
        <v>46500</v>
      </c>
      <c r="H998" s="146" t="inlineStr">
        <is>
          <t>-</t>
        </is>
      </c>
    </row>
    <row r="999" hidden="1" s="21">
      <c r="A999" s="24" t="inlineStr">
        <is>
          <t>네이버</t>
        </is>
      </c>
      <c r="B999" s="24" t="inlineStr">
        <is>
          <t>축산물</t>
        </is>
      </c>
      <c r="C999" s="24" t="inlineStr">
        <is>
          <t>농업회사법인(주)새나라</t>
        </is>
      </c>
      <c r="D999" s="136" t="inlineStr">
        <is>
          <t>792-88-00316</t>
        </is>
      </c>
      <c r="E999" s="76" t="inlineStr">
        <is>
          <t>국내산 통 닭발 생 무뼈닭발(200g x 5팩) 냉동 뼈없는 닭발</t>
        </is>
      </c>
      <c r="F999" s="76" t="n">
        <v>3</v>
      </c>
      <c r="G999" s="146" t="n">
        <v>160240</v>
      </c>
      <c r="H999" s="146" t="n">
        <v>16040</v>
      </c>
    </row>
    <row r="1000" hidden="1" s="21">
      <c r="A1000" s="24" t="inlineStr">
        <is>
          <t>네이버</t>
        </is>
      </c>
      <c r="B1000" s="24" t="inlineStr">
        <is>
          <t>농산물</t>
        </is>
      </c>
      <c r="C1000" s="24" t="inlineStr">
        <is>
          <t>미에덴팜</t>
        </is>
      </c>
      <c r="D1000" s="136" t="inlineStr">
        <is>
          <t>596-98-01526</t>
        </is>
      </c>
      <c r="E1000" s="76" t="inlineStr">
        <is>
          <t>제주 미에덴팜 미니 단호박 밤호박 보우짱 산지직송 3kg 5kg 10kg</t>
        </is>
      </c>
      <c r="F1000" s="76" t="n">
        <v>81</v>
      </c>
      <c r="G1000" s="146" t="n">
        <v>2399700</v>
      </c>
      <c r="H1000" s="146" t="n">
        <v>51980</v>
      </c>
    </row>
    <row r="1001" hidden="1" s="21">
      <c r="A1001" s="24" t="inlineStr">
        <is>
          <t>네이버</t>
        </is>
      </c>
      <c r="B1001" s="24" t="inlineStr">
        <is>
          <t>농산물</t>
        </is>
      </c>
      <c r="C1001" s="24" t="inlineStr">
        <is>
          <t>상주토성곶감</t>
        </is>
      </c>
      <c r="D1001" s="136" t="inlineStr">
        <is>
          <t>511-90-18321</t>
        </is>
      </c>
      <c r="E1001" s="76" t="inlineStr">
        <is>
          <t>상주 곶감 반건시 건시 실속형 선물세트 대봉 못난이</t>
        </is>
      </c>
      <c r="F1001" s="76" t="n">
        <v>212</v>
      </c>
      <c r="G1001" s="146" t="n">
        <v>9861400</v>
      </c>
      <c r="H1001" s="146" t="n">
        <v>854580</v>
      </c>
    </row>
    <row r="1002" hidden="1" s="21">
      <c r="A1002" s="24" t="inlineStr">
        <is>
          <t>네이버</t>
        </is>
      </c>
      <c r="B1002" s="24" t="inlineStr">
        <is>
          <t>농산물</t>
        </is>
      </c>
      <c r="C1002" s="24" t="inlineStr">
        <is>
          <t>상주토성곶감</t>
        </is>
      </c>
      <c r="D1002" s="136" t="inlineStr">
        <is>
          <t>511-90-18321</t>
        </is>
      </c>
      <c r="E1002" s="76" t="inlineStr">
        <is>
          <t>[1+1] 건시 선물세트 1.2kg 2개</t>
        </is>
      </c>
      <c r="F1002" s="76" t="n">
        <v>6</v>
      </c>
      <c r="G1002" s="146" t="n">
        <v>378000</v>
      </c>
      <c r="H1002" s="146" t="n">
        <v>20000</v>
      </c>
    </row>
    <row r="1003" hidden="1" s="21">
      <c r="A1003" s="24" t="inlineStr">
        <is>
          <t>네이버</t>
        </is>
      </c>
      <c r="B1003" s="24" t="inlineStr">
        <is>
          <t>농산물</t>
        </is>
      </c>
      <c r="C1003" s="24" t="inlineStr">
        <is>
          <t>상주토성곶감</t>
        </is>
      </c>
      <c r="D1003" s="136" t="inlineStr">
        <is>
          <t>511-90-18321</t>
        </is>
      </c>
      <c r="E1003" s="76" t="inlineStr">
        <is>
          <t>[상주토성곶감] 건시 선물세트 1.5kg 1개</t>
        </is>
      </c>
      <c r="F1003" s="76" t="n">
        <v>0</v>
      </c>
      <c r="G1003" s="146" t="inlineStr">
        <is>
          <t>-</t>
        </is>
      </c>
      <c r="H1003" s="146" t="inlineStr">
        <is>
          <t>-</t>
        </is>
      </c>
    </row>
    <row r="1004" hidden="1" s="21">
      <c r="A1004" s="24" t="inlineStr">
        <is>
          <t>네이버</t>
        </is>
      </c>
      <c r="B1004" s="24" t="inlineStr">
        <is>
          <t>농산물</t>
        </is>
      </c>
      <c r="C1004" s="24" t="inlineStr">
        <is>
          <t>상주토성곶감</t>
        </is>
      </c>
      <c r="D1004" s="136" t="inlineStr">
        <is>
          <t>511-90-18321</t>
        </is>
      </c>
      <c r="E1004" s="76" t="inlineStr">
        <is>
          <t>[상주토성곶감] 건시 선물세트 2.5kg 1개</t>
        </is>
      </c>
      <c r="F1004" s="76" t="n">
        <v>15</v>
      </c>
      <c r="G1004" s="146" t="n">
        <v>1019500</v>
      </c>
      <c r="H1004" s="146" t="n">
        <v>60000</v>
      </c>
    </row>
    <row r="1005" hidden="1" s="21">
      <c r="A1005" s="24" t="inlineStr">
        <is>
          <t>네이버</t>
        </is>
      </c>
      <c r="B1005" s="24" t="inlineStr">
        <is>
          <t>농산물</t>
        </is>
      </c>
      <c r="C1005" s="24" t="inlineStr">
        <is>
          <t>상주토성곶감</t>
        </is>
      </c>
      <c r="D1005" s="136" t="inlineStr">
        <is>
          <t>511-90-18321</t>
        </is>
      </c>
      <c r="E1005" s="76" t="inlineStr">
        <is>
          <t>[상주토성곶감] 건시 선물세트 1.2kg 1개</t>
        </is>
      </c>
      <c r="F1005" s="76" t="n">
        <v>5</v>
      </c>
      <c r="G1005" s="146" t="n">
        <v>188000</v>
      </c>
      <c r="H1005" s="146" t="n">
        <v>21600</v>
      </c>
    </row>
    <row r="1006" hidden="1" s="21">
      <c r="A1006" s="24" t="inlineStr">
        <is>
          <t>네이버</t>
        </is>
      </c>
      <c r="B1006" s="24" t="inlineStr">
        <is>
          <t>농산물</t>
        </is>
      </c>
      <c r="C1006" s="24" t="inlineStr">
        <is>
          <t>구천동농업협동조합</t>
        </is>
      </c>
      <c r="D1006" s="136" t="inlineStr">
        <is>
          <t>406-82-02051</t>
        </is>
      </c>
      <c r="E1006" s="76" t="inlineStr">
        <is>
          <t>무주 반딧불 산골 호두말이 곶감말이 반건시 곶감선물세트 과일세트</t>
        </is>
      </c>
      <c r="F1006" s="76" t="n">
        <v>0</v>
      </c>
      <c r="G1006" s="146" t="inlineStr">
        <is>
          <t>-</t>
        </is>
      </c>
      <c r="H1006" s="146" t="inlineStr">
        <is>
          <t>-</t>
        </is>
      </c>
    </row>
    <row r="1007" hidden="1" s="21">
      <c r="A1007" s="24" t="inlineStr">
        <is>
          <t>네이버</t>
        </is>
      </c>
      <c r="B1007" s="24" t="inlineStr">
        <is>
          <t>농산물</t>
        </is>
      </c>
      <c r="C1007" s="24" t="inlineStr">
        <is>
          <t>농업회사법인 랑이네세상 주식회사</t>
        </is>
      </c>
      <c r="D1007" s="136" t="inlineStr">
        <is>
          <t>488-88-03205</t>
        </is>
      </c>
      <c r="E1007" s="76" t="inlineStr">
        <is>
          <t>선물용 200gX6개 진공포장 /쌀 흑미 찹쌀 선택/당일도정 특등급</t>
        </is>
      </c>
      <c r="F1007" s="76" t="n">
        <v>0</v>
      </c>
      <c r="G1007" s="146" t="inlineStr">
        <is>
          <t>-</t>
        </is>
      </c>
      <c r="H1007" s="146" t="inlineStr">
        <is>
          <t>-</t>
        </is>
      </c>
    </row>
    <row r="1008" hidden="1" s="21">
      <c r="A1008" s="24" t="inlineStr">
        <is>
          <t>네이버</t>
        </is>
      </c>
      <c r="B1008" s="24" t="inlineStr">
        <is>
          <t>농산물</t>
        </is>
      </c>
      <c r="C1008" s="24" t="inlineStr">
        <is>
          <t>농업회사법인 랑이네세상 주식회사</t>
        </is>
      </c>
      <c r="D1008" s="136" t="inlineStr">
        <is>
          <t>488-88-03205</t>
        </is>
      </c>
      <c r="E1008" s="76" t="inlineStr">
        <is>
          <t>찰흑미 출시/2Kg 소포장/랑이네갓도정쌀 선물용 단체선물</t>
        </is>
      </c>
      <c r="F1008" s="76" t="n">
        <v>4</v>
      </c>
      <c r="G1008" s="146" t="n">
        <v>76500</v>
      </c>
      <c r="H1008" s="146" t="inlineStr">
        <is>
          <t>-</t>
        </is>
      </c>
    </row>
    <row r="1009" hidden="1" s="21">
      <c r="A1009" s="24" t="inlineStr">
        <is>
          <t>네이버</t>
        </is>
      </c>
      <c r="B1009" s="24" t="inlineStr">
        <is>
          <t>농산물</t>
        </is>
      </c>
      <c r="C1009" s="24" t="inlineStr">
        <is>
          <t>농업회사법인 랑이네세상 주식회사</t>
        </is>
      </c>
      <c r="D1009" s="136" t="inlineStr">
        <is>
          <t>488-88-03205</t>
        </is>
      </c>
      <c r="E1009" s="76" t="inlineStr">
        <is>
          <t>[굿디자인선정]옛가마니 선물용 쌀 2.5kg 26년 햅쌀 /당일도정 특등급/ 소포장</t>
        </is>
      </c>
      <c r="F1009" s="76" t="n">
        <v>15</v>
      </c>
      <c r="G1009" s="146" t="n">
        <v>484000</v>
      </c>
      <c r="H1009" s="146" t="n">
        <v>8020</v>
      </c>
    </row>
    <row r="1010" hidden="1" s="21">
      <c r="A1010" s="24" t="inlineStr">
        <is>
          <t>네이버</t>
        </is>
      </c>
      <c r="B1010" s="24" t="inlineStr">
        <is>
          <t>농산물</t>
        </is>
      </c>
      <c r="C1010" s="24" t="inlineStr">
        <is>
          <t>농업회사법인 랑이네세상 주식회사</t>
        </is>
      </c>
      <c r="D1010" s="136" t="inlineStr">
        <is>
          <t>488-88-03205</t>
        </is>
      </c>
      <c r="E1010" s="76" t="inlineStr">
        <is>
          <t>현미 5Kg / 26년 햅쌀 랑이네 갓도정쌀 강화섬쌀 지퍼백 당일도정</t>
        </is>
      </c>
      <c r="F1010" s="76" t="n">
        <v>27</v>
      </c>
      <c r="G1010" s="146" t="n">
        <v>996000</v>
      </c>
      <c r="H1010" s="146" t="n">
        <v>12560</v>
      </c>
    </row>
    <row r="1011" hidden="1" s="21">
      <c r="A1011" s="24" t="inlineStr">
        <is>
          <t>네이버</t>
        </is>
      </c>
      <c r="B1011" s="24" t="inlineStr">
        <is>
          <t>농산물</t>
        </is>
      </c>
      <c r="C1011" s="24" t="inlineStr">
        <is>
          <t>농업회사법인 랑이네세상 주식회사</t>
        </is>
      </c>
      <c r="D1011" s="136" t="inlineStr">
        <is>
          <t>488-88-03205</t>
        </is>
      </c>
      <c r="E1011" s="76" t="inlineStr">
        <is>
          <t>25년 햅쌀 나들미 10Kg 강화섬쌀 최근 도정 신선한 랑이네 갓 도정쌀 정미소직판</t>
        </is>
      </c>
      <c r="F1011" s="76" t="n">
        <v>128</v>
      </c>
      <c r="G1011" s="146" t="n">
        <v>5067500</v>
      </c>
      <c r="H1011" s="146" t="n">
        <v>175120</v>
      </c>
    </row>
    <row r="1012" hidden="1" s="21">
      <c r="A1012" s="24" t="inlineStr">
        <is>
          <t>네이버</t>
        </is>
      </c>
      <c r="B1012" s="24" t="inlineStr">
        <is>
          <t>농산물</t>
        </is>
      </c>
      <c r="C1012" s="24" t="inlineStr">
        <is>
          <t>농업회사법인 랑이네세상 주식회사</t>
        </is>
      </c>
      <c r="D1012" s="136" t="inlineStr">
        <is>
          <t>488-88-03205</t>
        </is>
      </c>
      <c r="E1012" s="76" t="inlineStr">
        <is>
          <t>25년 햅쌀 백진주 10Kg 강화섬쌀 최근 도정 신선한 랑이네 갓 도정쌀 정미소직판</t>
        </is>
      </c>
      <c r="F1012" s="76" t="n">
        <v>3</v>
      </c>
      <c r="G1012" s="146" t="n">
        <v>130200</v>
      </c>
      <c r="H1012" s="146" t="n">
        <v>14760</v>
      </c>
    </row>
    <row r="1013" hidden="1" s="21">
      <c r="A1013" s="24" t="inlineStr">
        <is>
          <t>네이버</t>
        </is>
      </c>
      <c r="B1013" s="24" t="inlineStr">
        <is>
          <t>농산물</t>
        </is>
      </c>
      <c r="C1013" s="24" t="inlineStr">
        <is>
          <t>농업회사법인 랑이네세상 주식회사</t>
        </is>
      </c>
      <c r="D1013" s="136" t="inlineStr">
        <is>
          <t>488-88-03205</t>
        </is>
      </c>
      <c r="E1013" s="76" t="inlineStr">
        <is>
          <t>25년 햇 찹쌀 10Kg 강화섬쌀 최근 도정 신선한 랑이네 갓 도정쌀 정미소직판</t>
        </is>
      </c>
      <c r="F1013" s="76" t="n">
        <v>19</v>
      </c>
      <c r="G1013" s="146" t="n">
        <v>1201000</v>
      </c>
      <c r="H1013" s="146" t="n">
        <v>16400</v>
      </c>
    </row>
    <row r="1014" hidden="1" s="21">
      <c r="A1014" s="24" t="inlineStr">
        <is>
          <t>네이버</t>
        </is>
      </c>
      <c r="B1014" s="24" t="inlineStr">
        <is>
          <t>농산물</t>
        </is>
      </c>
      <c r="C1014" s="24" t="inlineStr">
        <is>
          <t>농업회사법인 랑이네세상 주식회사</t>
        </is>
      </c>
      <c r="D1014" s="136" t="inlineStr">
        <is>
          <t>488-88-03205</t>
        </is>
      </c>
      <c r="E1014" s="76" t="inlineStr">
        <is>
          <t>1kg 3개 선물세트(백미 7분도) 26년 햅쌀/ 당일도정 특등급/소포장</t>
        </is>
      </c>
      <c r="F1014" s="76" t="n">
        <v>10</v>
      </c>
      <c r="G1014" s="146" t="n">
        <v>460200</v>
      </c>
      <c r="H1014" s="146" t="n">
        <v>6540</v>
      </c>
    </row>
    <row r="1015" hidden="1" s="21">
      <c r="A1015" s="24" t="inlineStr">
        <is>
          <t>네이버</t>
        </is>
      </c>
      <c r="B1015" s="24" t="inlineStr">
        <is>
          <t>농산물</t>
        </is>
      </c>
      <c r="C1015" s="24" t="inlineStr">
        <is>
          <t>농업회사법인 랑이네세상 주식회사</t>
        </is>
      </c>
      <c r="D1015" s="136" t="inlineStr">
        <is>
          <t>488-88-03205</t>
        </is>
      </c>
      <c r="E1015" s="76" t="inlineStr">
        <is>
          <t>26년 햅쌀출시/10Kg 강화섬쌀 모음/최근 도정 신선한 랑이네 갓 도정쌀 정미소직판</t>
        </is>
      </c>
      <c r="F1015" s="76" t="n">
        <v>1194</v>
      </c>
      <c r="G1015" s="146" t="n">
        <v>48237900</v>
      </c>
      <c r="H1015" s="146" t="n">
        <v>4480650</v>
      </c>
    </row>
    <row r="1016" hidden="1" s="21">
      <c r="A1016" s="24" t="inlineStr">
        <is>
          <t>네이버</t>
        </is>
      </c>
      <c r="B1016" s="24" t="inlineStr">
        <is>
          <t>농산물</t>
        </is>
      </c>
      <c r="C1016" s="24" t="inlineStr">
        <is>
          <t>농업회사법인 랑이네세상 주식회사</t>
        </is>
      </c>
      <c r="D1016" s="136" t="inlineStr">
        <is>
          <t>488-88-03205</t>
        </is>
      </c>
      <c r="E1016" s="76" t="inlineStr">
        <is>
          <t>백미·7분도 5kg/26년 햅쌀/당일도정 특등급/랑이네갓도정쌀 지퍼백포장</t>
        </is>
      </c>
      <c r="F1016" s="76" t="n">
        <v>385</v>
      </c>
      <c r="G1016" s="146" t="n">
        <v>13361800</v>
      </c>
      <c r="H1016" s="146" t="n">
        <v>203450</v>
      </c>
    </row>
    <row r="1017" hidden="1" s="21">
      <c r="A1017" s="24" t="inlineStr">
        <is>
          <t>네이버</t>
        </is>
      </c>
      <c r="B1017" s="24" t="inlineStr">
        <is>
          <t>농산물</t>
        </is>
      </c>
      <c r="C1017" s="24" t="inlineStr">
        <is>
          <t>농업회사법인 랑이네세상 주식회사</t>
        </is>
      </c>
      <c r="D1017" s="136" t="inlineStr">
        <is>
          <t>488-88-03205</t>
        </is>
      </c>
      <c r="E1017" s="76" t="inlineStr">
        <is>
          <t>1kg 선물용 와인상자/26년 햅쌀/당일도정 특등급 선물용 정미소직판</t>
        </is>
      </c>
      <c r="F1017" s="76" t="n">
        <v>10</v>
      </c>
      <c r="G1017" s="146" t="n">
        <v>202400</v>
      </c>
      <c r="H1017" s="146" t="n">
        <v>2740</v>
      </c>
    </row>
    <row r="1018" hidden="1" s="21">
      <c r="A1018" s="24" t="inlineStr">
        <is>
          <t>네이버</t>
        </is>
      </c>
      <c r="B1018" s="24" t="inlineStr">
        <is>
          <t>농산물</t>
        </is>
      </c>
      <c r="C1018" s="24" t="inlineStr">
        <is>
          <t>농업회사법인 랑이네세상 주식회사</t>
        </is>
      </c>
      <c r="D1018" s="136" t="inlineStr">
        <is>
          <t>488-88-03205</t>
        </is>
      </c>
      <c r="E1018" s="76" t="inlineStr">
        <is>
          <t>2kg 백미/26년 햅쌀/당일도정 특등급 선물용 정미소직판</t>
        </is>
      </c>
      <c r="F1018" s="76" t="n">
        <v>132</v>
      </c>
      <c r="G1018" s="146" t="n">
        <v>2625400</v>
      </c>
      <c r="H1018" s="146" t="n">
        <v>27680</v>
      </c>
    </row>
    <row r="1019" hidden="1" s="21">
      <c r="A1019" s="24" t="inlineStr">
        <is>
          <t>네이버</t>
        </is>
      </c>
      <c r="B1019" s="24" t="inlineStr">
        <is>
          <t>농산물</t>
        </is>
      </c>
      <c r="C1019" s="24" t="inlineStr">
        <is>
          <t>농업회사법인 랑이네세상 주식회사</t>
        </is>
      </c>
      <c r="D1019" s="136" t="inlineStr">
        <is>
          <t>488-88-03205</t>
        </is>
      </c>
      <c r="E1019" s="76" t="inlineStr">
        <is>
          <t>2kg 7분도 현미/26년 햅쌀/당일도정 특등급 선물용 정미소직판</t>
        </is>
      </c>
      <c r="F1019" s="76" t="n">
        <v>28</v>
      </c>
      <c r="G1019" s="146" t="n">
        <v>662400</v>
      </c>
      <c r="H1019" s="146" t="inlineStr">
        <is>
          <t>-</t>
        </is>
      </c>
    </row>
    <row r="1020" hidden="1" s="21">
      <c r="A1020" s="24" t="inlineStr">
        <is>
          <t>네이버</t>
        </is>
      </c>
      <c r="B1020" s="24" t="inlineStr">
        <is>
          <t>농산물</t>
        </is>
      </c>
      <c r="C1020" s="24" t="inlineStr">
        <is>
          <t>농업회사법인 랑이네세상 주식회사</t>
        </is>
      </c>
      <c r="D1020" s="136" t="inlineStr">
        <is>
          <t>488-88-03205</t>
        </is>
      </c>
      <c r="E1020" s="76" t="inlineStr">
        <is>
          <t>100g 14개입/26년 햅쌀 랑이네갓도정쌀 /소포장 선물 캠핑용 당일도정 특등급</t>
        </is>
      </c>
      <c r="F1020" s="76" t="n">
        <v>9</v>
      </c>
      <c r="G1020" s="146" t="n">
        <v>226900</v>
      </c>
      <c r="H1020" s="146" t="inlineStr">
        <is>
          <t>-</t>
        </is>
      </c>
    </row>
    <row r="1021" hidden="1" s="21">
      <c r="A1021" s="24" t="inlineStr">
        <is>
          <t>네이버</t>
        </is>
      </c>
      <c r="B1021" s="24" t="inlineStr">
        <is>
          <t>농산물</t>
        </is>
      </c>
      <c r="C1021" s="24" t="inlineStr">
        <is>
          <t>농업회사법인 랑이네세상 주식회사</t>
        </is>
      </c>
      <c r="D1021" s="136" t="inlineStr">
        <is>
          <t>488-88-03205</t>
        </is>
      </c>
      <c r="E1021" s="76" t="inlineStr">
        <is>
          <t>100g 7개입/26년 햅쌀 랑이네갓도정쌀 /소포장 선물 캠핑용 당일도정 특등급</t>
        </is>
      </c>
      <c r="F1021" s="76" t="n">
        <v>3</v>
      </c>
      <c r="G1021" s="146" t="n">
        <v>134000</v>
      </c>
      <c r="H1021" s="146" t="inlineStr">
        <is>
          <t>-</t>
        </is>
      </c>
    </row>
    <row r="1022" hidden="1" s="21">
      <c r="A1022" s="24" t="inlineStr">
        <is>
          <t>네이버</t>
        </is>
      </c>
      <c r="B1022" s="24" t="inlineStr">
        <is>
          <t>농산물</t>
        </is>
      </c>
      <c r="C1022" s="24" t="inlineStr">
        <is>
          <t>농업회사법인 랑이네세상 주식회사</t>
        </is>
      </c>
      <c r="D1022" s="136" t="inlineStr">
        <is>
          <t>488-88-03205</t>
        </is>
      </c>
      <c r="E1022" s="76" t="inlineStr">
        <is>
          <t>200g 낱개 26년 햅쌀 /당일도정 특등급/소포장 선물 캠핑용</t>
        </is>
      </c>
      <c r="F1022" s="76" t="n">
        <v>7</v>
      </c>
      <c r="G1022" s="146" t="n">
        <v>80000</v>
      </c>
      <c r="H1022" s="146" t="inlineStr">
        <is>
          <t>-</t>
        </is>
      </c>
    </row>
    <row r="1023" hidden="1" s="21">
      <c r="A1023" s="24" t="inlineStr">
        <is>
          <t>네이버</t>
        </is>
      </c>
      <c r="B1023" s="24" t="inlineStr">
        <is>
          <t>농산물</t>
        </is>
      </c>
      <c r="C1023" s="24" t="inlineStr">
        <is>
          <t>농업회사법인 랑이네세상 주식회사</t>
        </is>
      </c>
      <c r="D1023" s="136" t="inlineStr">
        <is>
          <t>488-88-03205</t>
        </is>
      </c>
      <c r="E1023" s="76" t="inlineStr">
        <is>
          <t>100g 낱개 26년 햅쌀 /당일도정 특등급/ 소포장 선물 캠핑용</t>
        </is>
      </c>
      <c r="F1023" s="76" t="n">
        <v>33</v>
      </c>
      <c r="G1023" s="146" t="n">
        <v>729800</v>
      </c>
      <c r="H1023" s="146" t="inlineStr">
        <is>
          <t>-</t>
        </is>
      </c>
    </row>
    <row r="1024" hidden="1" s="21">
      <c r="A1024" s="24" t="inlineStr">
        <is>
          <t>네이버</t>
        </is>
      </c>
      <c r="B1024" s="24" t="inlineStr">
        <is>
          <t>가공식품</t>
        </is>
      </c>
      <c r="C1024" s="24" t="inlineStr">
        <is>
          <t>농업회사법인 주식회사 드레스푸드</t>
        </is>
      </c>
      <c r="D1024" s="136" t="inlineStr">
        <is>
          <t>820-81-03211</t>
        </is>
      </c>
      <c r="E1024" s="76" t="inlineStr">
        <is>
          <t>드레스푸드 만능소스 핫소스 비빔면소스 저당소스 무설탕소스 스틱형 튜브형</t>
        </is>
      </c>
      <c r="F1024" s="76" t="n">
        <v>0</v>
      </c>
      <c r="G1024" s="146" t="inlineStr">
        <is>
          <t>-</t>
        </is>
      </c>
      <c r="H1024" s="146" t="inlineStr">
        <is>
          <t>-</t>
        </is>
      </c>
    </row>
    <row r="1025" hidden="1" s="21">
      <c r="A1025" s="24" t="inlineStr">
        <is>
          <t>네이버</t>
        </is>
      </c>
      <c r="B1025" s="24" t="inlineStr">
        <is>
          <t>가공식품</t>
        </is>
      </c>
      <c r="C1025" s="24" t="inlineStr">
        <is>
          <t>농업회사법인 주식회사 드레스푸드</t>
        </is>
      </c>
      <c r="D1025" s="136" t="inlineStr">
        <is>
          <t>820-81-03211</t>
        </is>
      </c>
      <c r="E1025" s="76" t="inlineStr">
        <is>
          <t>드레스푸드 고추장소스 만능소스 칠리소스 드레싱 샐러드소스</t>
        </is>
      </c>
      <c r="F1025" s="76" t="n">
        <v>0</v>
      </c>
      <c r="G1025" s="146" t="inlineStr">
        <is>
          <t>-</t>
        </is>
      </c>
      <c r="H1025" s="146" t="inlineStr">
        <is>
          <t>-</t>
        </is>
      </c>
    </row>
    <row r="1026" hidden="1" s="21">
      <c r="A1026" s="24" t="inlineStr">
        <is>
          <t>네이버</t>
        </is>
      </c>
      <c r="B1026" s="24" t="inlineStr">
        <is>
          <t>가공식품</t>
        </is>
      </c>
      <c r="C1026" s="24" t="inlineStr">
        <is>
          <t>해피팜</t>
        </is>
      </c>
      <c r="D1026" s="136" t="inlineStr">
        <is>
          <t>753-27-02040</t>
        </is>
      </c>
      <c r="E1026" s="76" t="inlineStr">
        <is>
          <t>해피팜땅콩버터</t>
        </is>
      </c>
      <c r="F1026" s="76" t="n">
        <v>11</v>
      </c>
      <c r="G1026" s="146" t="n">
        <v>330000</v>
      </c>
      <c r="H1026" s="146" t="n">
        <v>36000</v>
      </c>
    </row>
    <row r="1027" hidden="1" s="21">
      <c r="A1027" s="24" t="inlineStr">
        <is>
          <t>네이버</t>
        </is>
      </c>
      <c r="B1027" s="24" t="inlineStr">
        <is>
          <t>농산물</t>
        </is>
      </c>
      <c r="C1027" s="24" t="inlineStr">
        <is>
          <t>해피팜</t>
        </is>
      </c>
      <c r="D1027" s="136" t="inlineStr">
        <is>
          <t>753-27-02040</t>
        </is>
      </c>
      <c r="E1027" s="76" t="inlineStr">
        <is>
          <t>해피팜구운땅콩</t>
        </is>
      </c>
      <c r="F1027" s="76" t="n">
        <v>3</v>
      </c>
      <c r="G1027" s="146" t="n">
        <v>84000</v>
      </c>
      <c r="H1027" s="146" t="n">
        <v>10000</v>
      </c>
    </row>
    <row r="1028" hidden="1" s="21">
      <c r="A1028" s="24" t="inlineStr">
        <is>
          <t>네이버</t>
        </is>
      </c>
      <c r="B1028" s="24" t="inlineStr">
        <is>
          <t>농산물</t>
        </is>
      </c>
      <c r="C1028" s="24" t="inlineStr">
        <is>
          <t>장기선마농원</t>
        </is>
      </c>
      <c r="D1028" s="136" t="inlineStr">
        <is>
          <t>172-60-00288</t>
        </is>
      </c>
      <c r="E1028" s="76" t="inlineStr">
        <is>
          <t>참마 산마 깍은마 손질마 100g 7팩 200g 5팩[당일손질]</t>
        </is>
      </c>
      <c r="F1028" s="76" t="n">
        <v>104</v>
      </c>
      <c r="G1028" s="146" t="n">
        <v>2610500</v>
      </c>
      <c r="H1028" s="146" t="n">
        <v>234970</v>
      </c>
    </row>
    <row r="1029" hidden="1" s="21">
      <c r="A1029" s="24" t="inlineStr">
        <is>
          <t>네이버</t>
        </is>
      </c>
      <c r="B1029" s="24" t="inlineStr">
        <is>
          <t>가공식품</t>
        </is>
      </c>
      <c r="C1029" s="24" t="inlineStr">
        <is>
          <t>장기선마농원</t>
        </is>
      </c>
      <c r="D1029" s="136" t="inlineStr">
        <is>
          <t>172-60-00288</t>
        </is>
      </c>
      <c r="E1029" s="76" t="inlineStr">
        <is>
          <t>국내산 껍질 벗긴 참마 분말 마가루 150g</t>
        </is>
      </c>
      <c r="F1029" s="76" t="n">
        <v>1</v>
      </c>
      <c r="G1029" s="146" t="n">
        <v>19900</v>
      </c>
      <c r="H1029" s="146" t="inlineStr">
        <is>
          <t>-</t>
        </is>
      </c>
    </row>
    <row r="1030" hidden="1" s="21">
      <c r="A1030" s="24" t="inlineStr">
        <is>
          <t>네이버</t>
        </is>
      </c>
      <c r="B1030" s="24" t="inlineStr">
        <is>
          <t>가공식품</t>
        </is>
      </c>
      <c r="C1030" s="24" t="inlineStr">
        <is>
          <t>장기선마농원</t>
        </is>
      </c>
      <c r="D1030" s="136" t="inlineStr">
        <is>
          <t>172-60-00288</t>
        </is>
      </c>
      <c r="E1030" s="76" t="inlineStr">
        <is>
          <t>참마빵 연천 마빵 구운마빵 5개 장기선마카페</t>
        </is>
      </c>
      <c r="F1030" s="76" t="n">
        <v>5</v>
      </c>
      <c r="G1030" s="146" t="n">
        <v>225000</v>
      </c>
      <c r="H1030" s="146" t="n">
        <v>10000</v>
      </c>
    </row>
    <row r="1031" hidden="1" s="21">
      <c r="A1031" s="24" t="inlineStr">
        <is>
          <t>네이버</t>
        </is>
      </c>
      <c r="B1031" s="24" t="inlineStr">
        <is>
          <t>가공식품</t>
        </is>
      </c>
      <c r="C1031" s="24" t="inlineStr">
        <is>
          <t>문경새재뻥마을</t>
        </is>
      </c>
      <c r="D1031" s="136" t="inlineStr">
        <is>
          <t>249-56-00257</t>
        </is>
      </c>
      <c r="E1031" s="76" t="inlineStr">
        <is>
          <t>오미자청 문경오미자청 진액 1 000ml</t>
        </is>
      </c>
      <c r="F1031" s="76" t="n">
        <v>512</v>
      </c>
      <c r="G1031" s="146" t="n">
        <v>15655200</v>
      </c>
      <c r="H1031" s="146" t="n">
        <v>1606720</v>
      </c>
    </row>
    <row r="1032" hidden="1" s="21">
      <c r="A1032" s="24" t="inlineStr">
        <is>
          <t>네이버</t>
        </is>
      </c>
      <c r="B1032" s="24" t="inlineStr">
        <is>
          <t>가공식품</t>
        </is>
      </c>
      <c r="C1032" s="24" t="inlineStr">
        <is>
          <t>문경새재뻥마을</t>
        </is>
      </c>
      <c r="D1032" s="136" t="inlineStr">
        <is>
          <t>249-56-00257</t>
        </is>
      </c>
      <c r="E1032" s="76" t="inlineStr">
        <is>
          <t>뻥튀기 다이어트간식 임산부간식 오미자사과꽃뻥 (접시형)</t>
        </is>
      </c>
      <c r="F1032" s="76" t="n">
        <v>180</v>
      </c>
      <c r="G1032" s="146" t="n">
        <v>2469600</v>
      </c>
      <c r="H1032" s="146" t="n">
        <v>135920</v>
      </c>
    </row>
    <row r="1033" hidden="1" s="21">
      <c r="A1033" s="24" t="inlineStr">
        <is>
          <t>네이버</t>
        </is>
      </c>
      <c r="B1033" s="24" t="inlineStr">
        <is>
          <t>가공식품</t>
        </is>
      </c>
      <c r="C1033" s="24" t="inlineStr">
        <is>
          <t>문경새재뻥마을</t>
        </is>
      </c>
      <c r="D1033" s="136" t="inlineStr">
        <is>
          <t>249-56-00257</t>
        </is>
      </c>
      <c r="E1033" s="76" t="inlineStr">
        <is>
          <t>뻥튀기 다이어트간식 임산부간식 오미자사과꽃뻥(동전형)</t>
        </is>
      </c>
      <c r="F1033" s="76" t="n">
        <v>170</v>
      </c>
      <c r="G1033" s="146" t="n">
        <v>2031500</v>
      </c>
      <c r="H1033" s="146" t="n">
        <v>83580</v>
      </c>
    </row>
    <row r="1034" hidden="1" s="21">
      <c r="A1034" s="24" t="inlineStr">
        <is>
          <t>네이버</t>
        </is>
      </c>
      <c r="B1034" s="24" t="inlineStr">
        <is>
          <t>농산물</t>
        </is>
      </c>
      <c r="C1034" s="24" t="inlineStr">
        <is>
          <t>예다움곶감</t>
        </is>
      </c>
      <c r="D1034" s="136" t="inlineStr">
        <is>
          <t>540-96-00855</t>
        </is>
      </c>
      <c r="E1034" s="76" t="inlineStr">
        <is>
          <t>예다움 상주곶감 반건시 추석 명절 상견례 선물세트 곶감단지 크림치즈호두말이</t>
        </is>
      </c>
      <c r="F1034" s="76" t="n">
        <v>55</v>
      </c>
      <c r="G1034" s="146" t="n">
        <v>3545700</v>
      </c>
      <c r="H1034" s="146" t="n">
        <v>301290</v>
      </c>
    </row>
    <row r="1035" hidden="1" s="21">
      <c r="A1035" s="24" t="inlineStr">
        <is>
          <t>네이버</t>
        </is>
      </c>
      <c r="B1035" s="24" t="inlineStr">
        <is>
          <t>농산물</t>
        </is>
      </c>
      <c r="C1035" s="24" t="inlineStr">
        <is>
          <t>예다움곶감</t>
        </is>
      </c>
      <c r="D1035" s="136" t="inlineStr">
        <is>
          <t>540-96-00855</t>
        </is>
      </c>
      <c r="E1035" s="76" t="inlineStr">
        <is>
          <t>예다움 상주 곶감 프리미엄 반건시 30과 추석 명절 부모님 상견례 선물세트</t>
        </is>
      </c>
      <c r="F1035" s="76" t="n">
        <v>1</v>
      </c>
      <c r="G1035" s="146" t="n">
        <v>56000</v>
      </c>
      <c r="H1035" s="146" t="n">
        <v>9200</v>
      </c>
    </row>
    <row r="1036" hidden="1" s="21">
      <c r="A1036" s="24" t="inlineStr">
        <is>
          <t>네이버</t>
        </is>
      </c>
      <c r="B1036" s="24" t="inlineStr">
        <is>
          <t>농산물</t>
        </is>
      </c>
      <c r="C1036" s="24" t="inlineStr">
        <is>
          <t>예다움곶감</t>
        </is>
      </c>
      <c r="D1036" s="136" t="inlineStr">
        <is>
          <t>540-96-00855</t>
        </is>
      </c>
      <c r="E1036" s="76" t="inlineStr">
        <is>
          <t>예다움 상주 곶감 건시 실속형 가정용 감또개 못난이 곶감</t>
        </is>
      </c>
      <c r="F1036" s="76" t="n">
        <v>16</v>
      </c>
      <c r="G1036" s="146" t="n">
        <v>432500</v>
      </c>
      <c r="H1036" s="146" t="n">
        <v>28040</v>
      </c>
    </row>
    <row r="1037" hidden="1" s="21">
      <c r="A1037" s="24" t="inlineStr">
        <is>
          <t>네이버</t>
        </is>
      </c>
      <c r="B1037" s="24" t="inlineStr">
        <is>
          <t>농산물</t>
        </is>
      </c>
      <c r="C1037" s="24" t="inlineStr">
        <is>
          <t>예다움곶감</t>
        </is>
      </c>
      <c r="D1037" s="136" t="inlineStr">
        <is>
          <t>540-96-00855</t>
        </is>
      </c>
      <c r="E1037" s="76" t="inlineStr">
        <is>
          <t>예다움 상주 곶감 반건시 정2호 추석 명절 부모님 상견례 선물세트 30과</t>
        </is>
      </c>
      <c r="F1037" s="76" t="n">
        <v>2</v>
      </c>
      <c r="G1037" s="146" t="n">
        <v>84600</v>
      </c>
      <c r="H1037" s="146" t="inlineStr">
        <is>
          <t>-</t>
        </is>
      </c>
    </row>
    <row r="1038" hidden="1" s="21">
      <c r="A1038" s="24" t="inlineStr">
        <is>
          <t>네이버</t>
        </is>
      </c>
      <c r="B1038" s="24" t="inlineStr">
        <is>
          <t>농산물</t>
        </is>
      </c>
      <c r="C1038" s="24" t="inlineStr">
        <is>
          <t>예다움곶감</t>
        </is>
      </c>
      <c r="D1038" s="136" t="inlineStr">
        <is>
          <t>540-96-00855</t>
        </is>
      </c>
      <c r="E1038" s="76" t="inlineStr">
        <is>
          <t>예다움 상주 곶감 반건시 크림치즈호두말이 곶감단지 가정용 디저트 추석 선물세트 와인안주</t>
        </is>
      </c>
      <c r="F1038" s="76" t="n">
        <v>144</v>
      </c>
      <c r="G1038" s="146" t="n">
        <v>4863300</v>
      </c>
      <c r="H1038" s="146" t="n">
        <v>367840</v>
      </c>
    </row>
    <row r="1039" hidden="1" s="21">
      <c r="A1039" s="24" t="inlineStr">
        <is>
          <t>네이버</t>
        </is>
      </c>
      <c r="B1039" s="24" t="inlineStr">
        <is>
          <t>농산물</t>
        </is>
      </c>
      <c r="C1039" s="24" t="inlineStr">
        <is>
          <t>예다움곶감</t>
        </is>
      </c>
      <c r="D1039" s="136" t="inlineStr">
        <is>
          <t>540-96-00855</t>
        </is>
      </c>
      <c r="E1039" s="76" t="inlineStr">
        <is>
          <t>예다움 상주 곶감 VIP 1호 추석 명절 선물세트 특대 반건시 곶감단지 크림치즈말이 40과</t>
        </is>
      </c>
      <c r="F1039" s="76" t="n">
        <v>7</v>
      </c>
      <c r="G1039" s="146" t="n">
        <v>514500</v>
      </c>
      <c r="H1039" s="146" t="n">
        <v>60000</v>
      </c>
    </row>
    <row r="1040" hidden="1" s="21">
      <c r="A1040" s="24" t="inlineStr">
        <is>
          <t>네이버</t>
        </is>
      </c>
      <c r="B1040" s="24" t="inlineStr">
        <is>
          <t>농산물</t>
        </is>
      </c>
      <c r="C1040" s="24" t="inlineStr">
        <is>
          <t>예다움곶감</t>
        </is>
      </c>
      <c r="D1040" s="136" t="inlineStr">
        <is>
          <t>540-96-00855</t>
        </is>
      </c>
      <c r="E1040" s="76" t="inlineStr">
        <is>
          <t>예다움 상주 곶감 혼합1호 추석 명절 부모님 선물세트 반건시 대과 크림치즈호두말이 30과</t>
        </is>
      </c>
      <c r="F1040" s="76" t="n">
        <v>6</v>
      </c>
      <c r="G1040" s="146" t="n">
        <v>328000</v>
      </c>
      <c r="H1040" s="146" t="n">
        <v>28600</v>
      </c>
    </row>
    <row r="1041" hidden="1" s="21">
      <c r="A1041" s="24" t="inlineStr">
        <is>
          <t>네이버</t>
        </is>
      </c>
      <c r="B1041" s="24" t="inlineStr">
        <is>
          <t>농산물</t>
        </is>
      </c>
      <c r="C1041" s="24" t="inlineStr">
        <is>
          <t>예다움곶감</t>
        </is>
      </c>
      <c r="D1041" s="136" t="inlineStr">
        <is>
          <t>540-96-00855</t>
        </is>
      </c>
      <c r="E1041" s="76" t="inlineStr">
        <is>
          <t>예다움 상주 곶감 혼합2호 추석 명절 부모님 상견례 선물세트 반건시 대과 곶감단지 30과</t>
        </is>
      </c>
      <c r="F1041" s="76" t="n">
        <v>1</v>
      </c>
      <c r="G1041" s="146" t="n">
        <v>60000</v>
      </c>
      <c r="H1041" s="146" t="inlineStr">
        <is>
          <t>-</t>
        </is>
      </c>
    </row>
    <row r="1042" hidden="1" s="21">
      <c r="A1042" s="24" t="inlineStr">
        <is>
          <t>네이버</t>
        </is>
      </c>
      <c r="B1042" s="24" t="inlineStr">
        <is>
          <t>농산물</t>
        </is>
      </c>
      <c r="C1042" s="24" t="inlineStr">
        <is>
          <t>예다움곶감</t>
        </is>
      </c>
      <c r="D1042" s="136" t="inlineStr">
        <is>
          <t>540-96-00855</t>
        </is>
      </c>
      <c r="E1042" s="76" t="inlineStr">
        <is>
          <t>예다움 상주 곶감 혼합3호 추석 명절 선물세트 반건시 곶감단지 크림치즈호두말이 30과</t>
        </is>
      </c>
      <c r="F1042" s="76" t="n">
        <v>2</v>
      </c>
      <c r="G1042" s="146" t="n">
        <v>176000</v>
      </c>
      <c r="H1042" s="146" t="n">
        <v>20000</v>
      </c>
    </row>
    <row r="1043" hidden="1" s="21">
      <c r="A1043" s="24" t="inlineStr">
        <is>
          <t>네이버</t>
        </is>
      </c>
      <c r="B1043" s="24" t="inlineStr">
        <is>
          <t>농산물</t>
        </is>
      </c>
      <c r="C1043" s="24" t="inlineStr">
        <is>
          <t>예다움곶감</t>
        </is>
      </c>
      <c r="D1043" s="136" t="inlineStr">
        <is>
          <t>540-96-00855</t>
        </is>
      </c>
      <c r="E1043" s="76" t="inlineStr">
        <is>
          <t>예다움 상주곶감 VIP 2호 추석 명절 선물세트 왕반건시 곶감단지 크림치즈말이 36과</t>
        </is>
      </c>
      <c r="F1043" s="76" t="n">
        <v>3</v>
      </c>
      <c r="G1043" s="146" t="n">
        <v>237000</v>
      </c>
      <c r="H1043" s="146" t="n">
        <v>10000</v>
      </c>
    </row>
    <row r="1044" hidden="1" s="21">
      <c r="A1044" s="24" t="inlineStr">
        <is>
          <t>네이버</t>
        </is>
      </c>
      <c r="B1044" s="24" t="inlineStr">
        <is>
          <t>농산물</t>
        </is>
      </c>
      <c r="C1044" s="24" t="inlineStr">
        <is>
          <t>예다움곶감</t>
        </is>
      </c>
      <c r="D1044" s="136" t="inlineStr">
        <is>
          <t>540-96-00855</t>
        </is>
      </c>
      <c r="E1044" s="76" t="inlineStr">
        <is>
          <t>예다움 상주 곶감 VIP 3호 추석 명절 부모님 상견례 선물세트 특대 반건시 40과</t>
        </is>
      </c>
      <c r="F1044" s="76" t="n">
        <v>1</v>
      </c>
      <c r="G1044" s="146" t="n">
        <v>78500</v>
      </c>
      <c r="H1044" s="146" t="inlineStr">
        <is>
          <t>-</t>
        </is>
      </c>
    </row>
    <row r="1045" hidden="1" s="21">
      <c r="A1045" s="24" t="inlineStr">
        <is>
          <t>네이버</t>
        </is>
      </c>
      <c r="B1045" s="24" t="inlineStr">
        <is>
          <t>농산물</t>
        </is>
      </c>
      <c r="C1045" s="24" t="inlineStr">
        <is>
          <t>예다움곶감</t>
        </is>
      </c>
      <c r="D1045" s="136" t="inlineStr">
        <is>
          <t>540-96-00855</t>
        </is>
      </c>
      <c r="E1045" s="76" t="inlineStr">
        <is>
          <t>상주 곶감 반건시 혼합 9구 15구 곶감단지 크림치즈 호두말이 디저트 실속형 추석 선물세트</t>
        </is>
      </c>
      <c r="F1045" s="76" t="n">
        <v>11</v>
      </c>
      <c r="G1045" s="146" t="n">
        <v>1015400</v>
      </c>
      <c r="H1045" s="146" t="n">
        <v>36240</v>
      </c>
    </row>
    <row r="1046" hidden="1" s="21">
      <c r="A1046" s="24" t="inlineStr">
        <is>
          <t>네이버</t>
        </is>
      </c>
      <c r="B1046" s="24" t="inlineStr">
        <is>
          <t>농산물</t>
        </is>
      </c>
      <c r="C1046" s="24" t="inlineStr">
        <is>
          <t>예다움곶감</t>
        </is>
      </c>
      <c r="D1046" s="136" t="inlineStr">
        <is>
          <t>540-96-00855</t>
        </is>
      </c>
      <c r="E1046" s="76" t="inlineStr">
        <is>
          <t>예다움 상주 곶감 프리미엄 특대 반건시 (30과) 추석 명절 부모님 상견례 선물세트</t>
        </is>
      </c>
      <c r="F1046" s="76" t="n">
        <v>0</v>
      </c>
      <c r="G1046" s="146" t="inlineStr">
        <is>
          <t>-</t>
        </is>
      </c>
      <c r="H1046" s="146" t="inlineStr">
        <is>
          <t>-</t>
        </is>
      </c>
    </row>
    <row r="1047" hidden="1" s="21">
      <c r="A1047" s="24" t="inlineStr">
        <is>
          <t>네이버</t>
        </is>
      </c>
      <c r="B1047" s="24" t="inlineStr">
        <is>
          <t>농산물</t>
        </is>
      </c>
      <c r="C1047" s="24" t="inlineStr">
        <is>
          <t>예다움곶감</t>
        </is>
      </c>
      <c r="D1047" s="136" t="inlineStr">
        <is>
          <t>540-96-00855</t>
        </is>
      </c>
      <c r="E1047" s="76" t="inlineStr">
        <is>
          <t>예다움 상주 곶감 프리미엄 왕 반건시 24과 추석 명절 부모님 상견례 선물세트</t>
        </is>
      </c>
      <c r="F1047" s="76" t="n">
        <v>0</v>
      </c>
      <c r="G1047" s="146" t="inlineStr">
        <is>
          <t>-</t>
        </is>
      </c>
      <c r="H1047" s="146" t="inlineStr">
        <is>
          <t>-</t>
        </is>
      </c>
    </row>
    <row r="1048" hidden="1" s="21">
      <c r="A1048" s="24" t="inlineStr">
        <is>
          <t>네이버</t>
        </is>
      </c>
      <c r="B1048" s="24" t="inlineStr">
        <is>
          <t>농산물</t>
        </is>
      </c>
      <c r="C1048" s="24" t="inlineStr">
        <is>
          <t>예다움곶감</t>
        </is>
      </c>
      <c r="D1048" s="136" t="inlineStr">
        <is>
          <t>540-96-00855</t>
        </is>
      </c>
      <c r="E1048" s="76" t="inlineStr">
        <is>
          <t>예다움 상주 곶감 정3호 추석 명절 부모님 상견례 선물세트 반건시 크림치즈호두말이 30과</t>
        </is>
      </c>
      <c r="F1048" s="76" t="n">
        <v>10</v>
      </c>
      <c r="G1048" s="146" t="n">
        <v>466300</v>
      </c>
      <c r="H1048" s="146" t="n">
        <v>68520</v>
      </c>
    </row>
    <row r="1049" hidden="1" s="21">
      <c r="A1049" s="24" t="inlineStr">
        <is>
          <t>네이버</t>
        </is>
      </c>
      <c r="B1049" s="24" t="inlineStr">
        <is>
          <t>농산물</t>
        </is>
      </c>
      <c r="C1049" s="24" t="inlineStr">
        <is>
          <t>예다움곶감</t>
        </is>
      </c>
      <c r="D1049" s="136" t="inlineStr">
        <is>
          <t>540-96-00855</t>
        </is>
      </c>
      <c r="E1049" s="76" t="inlineStr">
        <is>
          <t>예다움 상주 곶감 반건시 곶감단지 크림치즈호두말이 추석 명절 부모님 상견례 혼합 선물세트</t>
        </is>
      </c>
      <c r="F1049" s="76" t="n">
        <v>1</v>
      </c>
      <c r="G1049" s="146" t="n">
        <v>41800</v>
      </c>
      <c r="H1049" s="146" t="n">
        <v>7360</v>
      </c>
    </row>
    <row r="1050" hidden="1" s="21">
      <c r="A1050" s="24" t="inlineStr">
        <is>
          <t>네이버</t>
        </is>
      </c>
      <c r="B1050" s="24" t="inlineStr">
        <is>
          <t>가공식품</t>
        </is>
      </c>
      <c r="C1050" s="24" t="inlineStr">
        <is>
          <t>오복농산영농조합법인</t>
        </is>
      </c>
      <c r="D1050" s="136" t="inlineStr">
        <is>
          <t>404-81-37601</t>
        </is>
      </c>
      <c r="E1050" s="76" t="inlineStr">
        <is>
          <t>오복농산 국내산 저온압착 전통기름 3종 참기름 들기름 생들기름 180ml 250ml</t>
        </is>
      </c>
      <c r="F1050" s="76" t="n">
        <v>30</v>
      </c>
      <c r="G1050" s="146" t="n">
        <v>916900</v>
      </c>
      <c r="H1050" s="146" t="n">
        <v>90450</v>
      </c>
    </row>
    <row r="1051" hidden="1" s="21">
      <c r="A1051" s="24" t="inlineStr">
        <is>
          <t>네이버</t>
        </is>
      </c>
      <c r="B1051" s="24" t="inlineStr">
        <is>
          <t>가공식품</t>
        </is>
      </c>
      <c r="C1051" s="24" t="inlineStr">
        <is>
          <t>오복농산영농조합법인</t>
        </is>
      </c>
      <c r="D1051" s="136" t="inlineStr">
        <is>
          <t>404-81-37601</t>
        </is>
      </c>
      <c r="E1051" s="76" t="inlineStr">
        <is>
          <t>[당일착유] 고창 오복농산 냉압착 국산 참기름 들기름 생들기름 180ml (신선도 보장)</t>
        </is>
      </c>
      <c r="F1051" s="76" t="n">
        <v>209</v>
      </c>
      <c r="G1051" s="146" t="n">
        <v>5441000</v>
      </c>
      <c r="H1051" s="146" t="n">
        <v>442960</v>
      </c>
    </row>
    <row r="1052" hidden="1" s="21">
      <c r="A1052" s="24" t="inlineStr">
        <is>
          <t>네이버</t>
        </is>
      </c>
      <c r="B1052" s="24" t="inlineStr">
        <is>
          <t>농산물</t>
        </is>
      </c>
      <c r="C1052" s="24" t="inlineStr">
        <is>
          <t>오복농산영농조합법인</t>
        </is>
      </c>
      <c r="D1052" s="136" t="inlineStr">
        <is>
          <t>404-81-37601</t>
        </is>
      </c>
      <c r="E1052" s="76" t="inlineStr">
        <is>
          <t>[오복농산] 햇 생옥수수 냉동 미백 흑찰옥수수</t>
        </is>
      </c>
      <c r="F1052" s="76" t="n">
        <v>16</v>
      </c>
      <c r="G1052" s="146" t="n">
        <v>548300</v>
      </c>
      <c r="H1052" s="146" t="n">
        <v>51440</v>
      </c>
    </row>
    <row r="1053" hidden="1" s="21">
      <c r="A1053" s="24" t="inlineStr">
        <is>
          <t>네이버</t>
        </is>
      </c>
      <c r="B1053" s="24" t="inlineStr">
        <is>
          <t>농산물</t>
        </is>
      </c>
      <c r="C1053" s="24" t="inlineStr">
        <is>
          <t>오복농산영농조합법인</t>
        </is>
      </c>
      <c r="D1053" s="136" t="inlineStr">
        <is>
          <t>404-81-37601</t>
        </is>
      </c>
      <c r="E1053" s="76" t="inlineStr">
        <is>
          <t>햇 우거지 무청시래기 데친 시래기 나물 올식</t>
        </is>
      </c>
      <c r="F1053" s="76" t="n">
        <v>131</v>
      </c>
      <c r="G1053" s="146" t="n">
        <v>2023500</v>
      </c>
      <c r="H1053" s="146" t="n">
        <v>291900</v>
      </c>
    </row>
    <row r="1054" hidden="1" s="21">
      <c r="A1054" s="24" t="inlineStr">
        <is>
          <t>네이버</t>
        </is>
      </c>
      <c r="B1054" s="24" t="inlineStr">
        <is>
          <t>가공식품</t>
        </is>
      </c>
      <c r="C1054" s="24" t="inlineStr">
        <is>
          <t>오복농산영농조합법인</t>
        </is>
      </c>
      <c r="D1054" s="136" t="inlineStr">
        <is>
          <t>404-81-37601</t>
        </is>
      </c>
      <c r="E1054" s="76" t="inlineStr">
        <is>
          <t>[오복농산]저온압착 국내산 통참깨 착유한 참기름 들기름180ml/250ml 선물세트포장</t>
        </is>
      </c>
      <c r="F1054" s="76" t="n">
        <v>1</v>
      </c>
      <c r="G1054" s="146" t="n">
        <v>63900</v>
      </c>
      <c r="H1054" s="146" t="inlineStr">
        <is>
          <t>-</t>
        </is>
      </c>
    </row>
    <row r="1055" hidden="1" s="21">
      <c r="A1055" s="24" t="inlineStr">
        <is>
          <t>네이버</t>
        </is>
      </c>
      <c r="B1055" s="24" t="inlineStr">
        <is>
          <t>농산물</t>
        </is>
      </c>
      <c r="C1055" s="24" t="inlineStr">
        <is>
          <t>맑은농장</t>
        </is>
      </c>
      <c r="D1055" s="136" t="inlineStr">
        <is>
          <t>577-94-01721</t>
        </is>
      </c>
      <c r="E1055" s="76" t="inlineStr">
        <is>
          <t>프리미엄 맑은농장 김천자두 3kg(왕왕특고당도) 후무사자두</t>
        </is>
      </c>
      <c r="F1055" s="76" t="n">
        <v>0</v>
      </c>
      <c r="G1055" s="146" t="inlineStr">
        <is>
          <t>-</t>
        </is>
      </c>
      <c r="H1055" s="146" t="inlineStr">
        <is>
          <t>-</t>
        </is>
      </c>
    </row>
    <row r="1056" hidden="1" s="21">
      <c r="A1056" s="24" t="inlineStr">
        <is>
          <t>네이버</t>
        </is>
      </c>
      <c r="B1056" s="24" t="inlineStr">
        <is>
          <t>농산물</t>
        </is>
      </c>
      <c r="C1056" s="24" t="inlineStr">
        <is>
          <t>맑은농장</t>
        </is>
      </c>
      <c r="D1056" s="136" t="inlineStr">
        <is>
          <t>577-94-01721</t>
        </is>
      </c>
      <c r="E1056" s="76" t="inlineStr">
        <is>
          <t>고당도 맑은농장 김천자두 3kg(왕특고당도) 후무사자두</t>
        </is>
      </c>
      <c r="F1056" s="76" t="n">
        <v>0</v>
      </c>
      <c r="G1056" s="146" t="inlineStr">
        <is>
          <t>-</t>
        </is>
      </c>
      <c r="H1056" s="146" t="inlineStr">
        <is>
          <t>-</t>
        </is>
      </c>
    </row>
    <row r="1057" hidden="1" s="21">
      <c r="A1057" s="24" t="inlineStr">
        <is>
          <t>네이버</t>
        </is>
      </c>
      <c r="B1057" s="24" t="inlineStr">
        <is>
          <t>농산물</t>
        </is>
      </c>
      <c r="C1057" s="24" t="inlineStr">
        <is>
          <t>맑은농장</t>
        </is>
      </c>
      <c r="D1057" s="136" t="inlineStr">
        <is>
          <t>577-94-01721</t>
        </is>
      </c>
      <c r="E1057" s="76" t="inlineStr">
        <is>
          <t>새콤달콤 맑은농장 김천자두 3kg(특품) 후무사자두</t>
        </is>
      </c>
      <c r="F1057" s="76" t="n">
        <v>1</v>
      </c>
      <c r="G1057" s="146" t="n">
        <v>34900</v>
      </c>
      <c r="H1057" s="146" t="n">
        <v>6980</v>
      </c>
    </row>
    <row r="1058" hidden="1" s="21">
      <c r="A1058" s="24" t="inlineStr">
        <is>
          <t>네이버</t>
        </is>
      </c>
      <c r="B1058" s="24" t="inlineStr">
        <is>
          <t>농산물</t>
        </is>
      </c>
      <c r="C1058" s="24" t="inlineStr">
        <is>
          <t>맑은농장</t>
        </is>
      </c>
      <c r="D1058" s="136" t="inlineStr">
        <is>
          <t>577-94-01721</t>
        </is>
      </c>
      <c r="E1058" s="76" t="inlineStr">
        <is>
          <t>프리미엄 맑은농장 김천자두 5kg(왕왕특고당도) 도담자두 후무사자두</t>
        </is>
      </c>
      <c r="F1058" s="76" t="n">
        <v>21</v>
      </c>
      <c r="G1058" s="146" t="n">
        <v>1350600</v>
      </c>
      <c r="H1058" s="146" t="n">
        <v>80000</v>
      </c>
    </row>
    <row r="1059" hidden="1" s="21">
      <c r="A1059" s="24" t="inlineStr">
        <is>
          <t>네이버</t>
        </is>
      </c>
      <c r="B1059" s="24" t="inlineStr">
        <is>
          <t>농산물</t>
        </is>
      </c>
      <c r="C1059" s="24" t="inlineStr">
        <is>
          <t>맑은농장</t>
        </is>
      </c>
      <c r="D1059" s="136" t="inlineStr">
        <is>
          <t>577-94-01721</t>
        </is>
      </c>
      <c r="E1059" s="76" t="inlineStr">
        <is>
          <t>고당도 맑은농장 김천자두 5kg(왕특고당도) 후무사자두</t>
        </is>
      </c>
      <c r="F1059" s="76" t="n">
        <v>6</v>
      </c>
      <c r="G1059" s="146" t="n">
        <v>321400</v>
      </c>
      <c r="H1059" s="146" t="n">
        <v>30000</v>
      </c>
    </row>
    <row r="1060" hidden="1" s="21">
      <c r="A1060" s="24" t="inlineStr">
        <is>
          <t>네이버</t>
        </is>
      </c>
      <c r="B1060" s="24" t="inlineStr">
        <is>
          <t>농산물</t>
        </is>
      </c>
      <c r="C1060" s="24" t="inlineStr">
        <is>
          <t>맑은농장</t>
        </is>
      </c>
      <c r="D1060" s="136" t="inlineStr">
        <is>
          <t>577-94-01721</t>
        </is>
      </c>
      <c r="E1060" s="76" t="inlineStr">
        <is>
          <t>새콤달콤 맑은농장 김천자두 5kg(특품) 후무사자두</t>
        </is>
      </c>
      <c r="F1060" s="76" t="n">
        <v>2</v>
      </c>
      <c r="G1060" s="146" t="n">
        <v>93800</v>
      </c>
      <c r="H1060" s="146" t="n">
        <v>9380</v>
      </c>
    </row>
    <row r="1061" hidden="1" s="21">
      <c r="A1061" s="24" t="inlineStr">
        <is>
          <t>네이버</t>
        </is>
      </c>
      <c r="B1061" s="24" t="inlineStr">
        <is>
          <t>농산물</t>
        </is>
      </c>
      <c r="C1061" s="24" t="inlineStr">
        <is>
          <t>맑은농장</t>
        </is>
      </c>
      <c r="D1061" s="136" t="inlineStr">
        <is>
          <t>577-94-01721</t>
        </is>
      </c>
      <c r="E1061" s="76" t="inlineStr">
        <is>
          <t>과즙풍부 맑은농장 김천자두 5kg(상품) 후무사자두</t>
        </is>
      </c>
      <c r="F1061" s="76" t="n">
        <v>0</v>
      </c>
      <c r="G1061" s="146" t="inlineStr">
        <is>
          <t>-</t>
        </is>
      </c>
      <c r="H1061" s="146" t="inlineStr">
        <is>
          <t>-</t>
        </is>
      </c>
    </row>
    <row r="1062" hidden="1" s="21">
      <c r="A1062" s="24" t="inlineStr">
        <is>
          <t>네이버</t>
        </is>
      </c>
      <c r="B1062" s="24" t="inlineStr">
        <is>
          <t>농산물</t>
        </is>
      </c>
      <c r="C1062" s="24" t="inlineStr">
        <is>
          <t>맑은농장</t>
        </is>
      </c>
      <c r="D1062" s="136" t="inlineStr">
        <is>
          <t>577-94-01721</t>
        </is>
      </c>
      <c r="E1062" s="76" t="inlineStr">
        <is>
          <t>품질보장 황토밭 맑은농장 김천자두 3kg(왕왕특고당도) 후무사자두</t>
        </is>
      </c>
      <c r="F1062" s="76" t="n">
        <v>3</v>
      </c>
      <c r="G1062" s="146" t="n">
        <v>134700</v>
      </c>
      <c r="H1062" s="146" t="n">
        <v>17960</v>
      </c>
    </row>
    <row r="1063" hidden="1" s="21">
      <c r="A1063" s="24" t="inlineStr">
        <is>
          <t>네이버</t>
        </is>
      </c>
      <c r="B1063" s="24" t="inlineStr">
        <is>
          <t>농산물</t>
        </is>
      </c>
      <c r="C1063" s="24" t="inlineStr">
        <is>
          <t>맑은농장</t>
        </is>
      </c>
      <c r="D1063" s="136" t="inlineStr">
        <is>
          <t>577-94-01721</t>
        </is>
      </c>
      <c r="E1063" s="76" t="inlineStr">
        <is>
          <t>품질대박 황토밭 맑은농장 김천자두 5kg(왕왕특고당도) 후무사자두</t>
        </is>
      </c>
      <c r="F1063" s="76" t="n">
        <v>16</v>
      </c>
      <c r="G1063" s="146" t="n">
        <v>940300</v>
      </c>
      <c r="H1063" s="146" t="n">
        <v>110000</v>
      </c>
    </row>
    <row r="1064" hidden="1" s="21">
      <c r="A1064" s="24" t="inlineStr">
        <is>
          <t>네이버</t>
        </is>
      </c>
      <c r="B1064" s="24" t="inlineStr">
        <is>
          <t>가공식품</t>
        </is>
      </c>
      <c r="C1064" s="24" t="inlineStr">
        <is>
          <t>영산강푸드</t>
        </is>
      </c>
      <c r="D1064" s="136" t="inlineStr">
        <is>
          <t>776-41-01486</t>
        </is>
      </c>
      <c r="E1064" s="76" t="inlineStr">
        <is>
          <t>100% 국내산 당일생산 전라도 석박지 2kg 1개</t>
        </is>
      </c>
      <c r="F1064" s="76" t="n">
        <v>0</v>
      </c>
      <c r="G1064" s="146" t="inlineStr">
        <is>
          <t>-</t>
        </is>
      </c>
      <c r="H1064" s="146" t="inlineStr">
        <is>
          <t>-</t>
        </is>
      </c>
    </row>
    <row r="1065" hidden="1" s="21">
      <c r="A1065" s="24" t="inlineStr">
        <is>
          <t>네이버</t>
        </is>
      </c>
      <c r="B1065" s="24" t="inlineStr">
        <is>
          <t>가공식품</t>
        </is>
      </c>
      <c r="C1065" s="24" t="inlineStr">
        <is>
          <t>영산강푸드</t>
        </is>
      </c>
      <c r="D1065" s="136" t="inlineStr">
        <is>
          <t>776-41-01486</t>
        </is>
      </c>
      <c r="E1065" s="76" t="inlineStr">
        <is>
          <t>100% 국내산 당일생산 전라도 열무김치 2kg 1개</t>
        </is>
      </c>
      <c r="F1065" s="76" t="n">
        <v>0</v>
      </c>
      <c r="G1065" s="146" t="inlineStr">
        <is>
          <t>-</t>
        </is>
      </c>
      <c r="H1065" s="146" t="inlineStr">
        <is>
          <t>-</t>
        </is>
      </c>
    </row>
    <row r="1066" hidden="1" s="21">
      <c r="A1066" s="24" t="inlineStr">
        <is>
          <t>네이버</t>
        </is>
      </c>
      <c r="B1066" s="24" t="inlineStr">
        <is>
          <t>농산물</t>
        </is>
      </c>
      <c r="C1066" s="24" t="inlineStr">
        <is>
          <t>애플향농원</t>
        </is>
      </c>
      <c r="D1066" s="136" t="inlineStr">
        <is>
          <t>386-97-01806</t>
        </is>
      </c>
      <c r="E1066" s="76" t="inlineStr">
        <is>
          <t>안동사과 3kg 5kg 부사 못난이사과 고당도</t>
        </is>
      </c>
      <c r="F1066" s="76" t="n">
        <v>265</v>
      </c>
      <c r="G1066" s="146" t="n">
        <v>11588840</v>
      </c>
      <c r="H1066" s="146" t="n">
        <v>621520</v>
      </c>
    </row>
    <row r="1067" hidden="1" s="21">
      <c r="A1067" s="24" t="inlineStr">
        <is>
          <t>네이버</t>
        </is>
      </c>
      <c r="B1067" s="24" t="inlineStr">
        <is>
          <t>농산물</t>
        </is>
      </c>
      <c r="C1067" s="24" t="inlineStr">
        <is>
          <t>애플향농원</t>
        </is>
      </c>
      <c r="D1067" s="136" t="inlineStr">
        <is>
          <t>386-97-01806</t>
        </is>
      </c>
      <c r="E1067" s="76" t="inlineStr">
        <is>
          <t>안동사과 10kg 부사 못난이사과 가정용</t>
        </is>
      </c>
      <c r="F1067" s="76" t="n">
        <v>4</v>
      </c>
      <c r="G1067" s="146" t="n">
        <v>299400</v>
      </c>
      <c r="H1067" s="146" t="n">
        <v>10000</v>
      </c>
    </row>
    <row r="1068" hidden="1" s="21">
      <c r="A1068" s="24" t="inlineStr">
        <is>
          <t>네이버</t>
        </is>
      </c>
      <c r="B1068" s="24" t="inlineStr">
        <is>
          <t>농산물</t>
        </is>
      </c>
      <c r="C1068" s="24" t="inlineStr">
        <is>
          <t>애플온</t>
        </is>
      </c>
      <c r="D1068" s="136" t="inlineStr">
        <is>
          <t>447-92-02158</t>
        </is>
      </c>
      <c r="E1068" s="76" t="inlineStr">
        <is>
          <t>안동 흠과 주스용 쥬스용 사과 랜덤과 5kg 10kg</t>
        </is>
      </c>
      <c r="F1068" s="76" t="n">
        <v>113</v>
      </c>
      <c r="G1068" s="146" t="n">
        <v>2137130</v>
      </c>
      <c r="H1068" s="146" t="n">
        <v>75280</v>
      </c>
    </row>
    <row r="1069" hidden="1" s="21">
      <c r="A1069" s="24" t="inlineStr">
        <is>
          <t>네이버</t>
        </is>
      </c>
      <c r="B1069" s="24" t="inlineStr">
        <is>
          <t>농산물</t>
        </is>
      </c>
      <c r="C1069" s="24" t="inlineStr">
        <is>
          <t>애플온</t>
        </is>
      </c>
      <c r="D1069" s="136" t="inlineStr">
        <is>
          <t>447-92-02158</t>
        </is>
      </c>
      <c r="E1069" s="76" t="inlineStr">
        <is>
          <t>안동 가정용 꼬마 흠과 미니 못난이사과 5kg</t>
        </is>
      </c>
      <c r="F1069" s="76" t="n">
        <v>185</v>
      </c>
      <c r="G1069" s="146" t="n">
        <v>3528940</v>
      </c>
      <c r="H1069" s="146" t="n">
        <v>207520</v>
      </c>
    </row>
    <row r="1070" hidden="1" s="21">
      <c r="A1070" s="24" t="inlineStr">
        <is>
          <t>네이버</t>
        </is>
      </c>
      <c r="B1070" s="24" t="inlineStr">
        <is>
          <t>가공식품</t>
        </is>
      </c>
      <c r="C1070" s="24" t="inlineStr">
        <is>
          <t>아일랜드마켓 농업회사법인 유한회사</t>
        </is>
      </c>
      <c r="D1070" s="136" t="inlineStr">
        <is>
          <t>849-88-03360</t>
        </is>
      </c>
      <c r="E1070" s="76" t="inlineStr">
        <is>
          <t>무첨가 국내산 우도 프리미넛 땅콩버터 420g (당일제조 무가당 땅콩잼)</t>
        </is>
      </c>
      <c r="F1070" s="76" t="n">
        <v>179</v>
      </c>
      <c r="G1070" s="146" t="n">
        <v>9583000</v>
      </c>
      <c r="H1070" s="146" t="n">
        <v>721800</v>
      </c>
    </row>
    <row r="1071" hidden="1" s="21">
      <c r="A1071" s="24" t="inlineStr">
        <is>
          <t>네이버</t>
        </is>
      </c>
      <c r="B1071" s="24" t="inlineStr">
        <is>
          <t>가공식품</t>
        </is>
      </c>
      <c r="C1071" s="24" t="inlineStr">
        <is>
          <t>아일랜드마켓 농업회사법인 유한회사</t>
        </is>
      </c>
      <c r="D1071" s="136" t="inlineStr">
        <is>
          <t>849-88-03360</t>
        </is>
      </c>
      <c r="E1071" s="76" t="inlineStr">
        <is>
          <t>무첨가 국내산 우도 프리미넛 땅콩버터 230g (당일제조 무가당 땅콩잼)</t>
        </is>
      </c>
      <c r="F1071" s="76" t="n">
        <v>120</v>
      </c>
      <c r="G1071" s="146" t="n">
        <v>3520000</v>
      </c>
      <c r="H1071" s="146" t="n">
        <v>208400</v>
      </c>
    </row>
    <row r="1072" hidden="1" s="21">
      <c r="A1072" s="24" t="inlineStr">
        <is>
          <t>네이버</t>
        </is>
      </c>
      <c r="B1072" s="24" t="inlineStr">
        <is>
          <t>농산물</t>
        </is>
      </c>
      <c r="C1072" s="24" t="inlineStr">
        <is>
          <t>아일랜드마켓 농업회사법인 유한회사</t>
        </is>
      </c>
      <c r="D1072" s="136" t="inlineStr">
        <is>
          <t>849-88-03360</t>
        </is>
      </c>
      <c r="E1072" s="76" t="inlineStr">
        <is>
          <t>제주 우도 땅콩 프리미넛 볶음땅콩 550g 당일제조 국내산 우도</t>
        </is>
      </c>
      <c r="F1072" s="76" t="n">
        <v>72</v>
      </c>
      <c r="G1072" s="146" t="n">
        <v>3344000</v>
      </c>
      <c r="H1072" s="146" t="n">
        <v>273200</v>
      </c>
    </row>
    <row r="1073" hidden="1" s="21">
      <c r="A1073" s="24" t="inlineStr">
        <is>
          <t>네이버</t>
        </is>
      </c>
      <c r="B1073" s="24" t="inlineStr">
        <is>
          <t>가공식품</t>
        </is>
      </c>
      <c r="C1073" s="24" t="inlineStr">
        <is>
          <t>쿠시룽</t>
        </is>
      </c>
      <c r="D1073" s="136" t="inlineStr">
        <is>
          <t>136-04-11105</t>
        </is>
      </c>
      <c r="E1073" s="76" t="inlineStr">
        <is>
          <t>[정담은 농장]쿠시룽 현미누룽지 세트 대(30개입) 유기농1분도현미 명절선물 답례품 간식</t>
        </is>
      </c>
      <c r="F1073" s="76" t="n">
        <v>4</v>
      </c>
      <c r="G1073" s="146" t="n">
        <v>264000</v>
      </c>
      <c r="H1073" s="146" t="n">
        <v>40000</v>
      </c>
    </row>
    <row r="1074" hidden="1" s="21">
      <c r="A1074" s="24" t="inlineStr">
        <is>
          <t>네이버</t>
        </is>
      </c>
      <c r="B1074" s="24" t="inlineStr">
        <is>
          <t>가공식품</t>
        </is>
      </c>
      <c r="C1074" s="24" t="inlineStr">
        <is>
          <t>쿠시룽</t>
        </is>
      </c>
      <c r="D1074" s="136" t="inlineStr">
        <is>
          <t>136-04-11105</t>
        </is>
      </c>
      <c r="E1074" s="76" t="inlineStr">
        <is>
          <t>쿠시룽 프리미엄 국내산 누룽지 현미 건강 간식 세트 고소한 유기농 추석선물세트 6가지맛</t>
        </is>
      </c>
      <c r="F1074" s="76" t="n">
        <v>0</v>
      </c>
      <c r="G1074" s="146" t="inlineStr">
        <is>
          <t>-</t>
        </is>
      </c>
      <c r="H1074" s="146" t="inlineStr">
        <is>
          <t>-</t>
        </is>
      </c>
    </row>
    <row r="1075" hidden="1" s="21">
      <c r="A1075" s="24" t="inlineStr">
        <is>
          <t>네이버</t>
        </is>
      </c>
      <c r="B1075" s="24" t="inlineStr">
        <is>
          <t>가공식품</t>
        </is>
      </c>
      <c r="C1075" s="24" t="inlineStr">
        <is>
          <t>해나루발효식품</t>
        </is>
      </c>
      <c r="D1075" s="136" t="inlineStr">
        <is>
          <t>111-03-63698</t>
        </is>
      </c>
      <c r="E1075" s="76" t="inlineStr">
        <is>
          <t>전통항아리 발효액 12가지 혼합원액 인삼열매 750ml 2병세트</t>
        </is>
      </c>
      <c r="F1075" s="76" t="n">
        <v>0</v>
      </c>
      <c r="G1075" s="146" t="inlineStr">
        <is>
          <t>-</t>
        </is>
      </c>
      <c r="H1075" s="146" t="inlineStr">
        <is>
          <t>-</t>
        </is>
      </c>
    </row>
    <row r="1076" hidden="1" s="21">
      <c r="A1076" s="24" t="inlineStr">
        <is>
          <t>네이버</t>
        </is>
      </c>
      <c r="B1076" s="24" t="inlineStr">
        <is>
          <t>가공식품</t>
        </is>
      </c>
      <c r="C1076" s="24" t="inlineStr">
        <is>
          <t>해나루발효식품</t>
        </is>
      </c>
      <c r="D1076" s="136" t="inlineStr">
        <is>
          <t>111-03-63698</t>
        </is>
      </c>
      <c r="E1076" s="76" t="inlineStr">
        <is>
          <t>(# 특2호 특허상품) 전통항아리에서 자연발효 숙성된 #12가지혼합발효차+솔순발효차 = 750ml 2병 셋</t>
        </is>
      </c>
      <c r="F1076" s="76" t="n">
        <v>1</v>
      </c>
      <c r="G1076" s="146" t="n">
        <v>40000</v>
      </c>
      <c r="H1076" s="146" t="n">
        <v>8000</v>
      </c>
    </row>
    <row r="1077" hidden="1" s="21">
      <c r="A1077" s="24" t="inlineStr">
        <is>
          <t>네이버</t>
        </is>
      </c>
      <c r="B1077" s="24" t="inlineStr">
        <is>
          <t>가공식품</t>
        </is>
      </c>
      <c r="C1077" s="24" t="inlineStr">
        <is>
          <t>해나루발효식품</t>
        </is>
      </c>
      <c r="D1077" s="136" t="inlineStr">
        <is>
          <t>111-03-63698</t>
        </is>
      </c>
      <c r="E1077" s="76" t="inlineStr">
        <is>
          <t>(# 특3호 특허상품) 전통항아리에서 자연발효 숙성된 #12가지혼합발효차+수세미발효차 = 750ml 2병 셋</t>
        </is>
      </c>
      <c r="F1077" s="76" t="n">
        <v>0</v>
      </c>
      <c r="G1077" s="146" t="inlineStr">
        <is>
          <t>-</t>
        </is>
      </c>
      <c r="H1077" s="146" t="inlineStr">
        <is>
          <t>-</t>
        </is>
      </c>
    </row>
    <row r="1078" hidden="1" s="21">
      <c r="A1078" s="24" t="inlineStr">
        <is>
          <t>네이버</t>
        </is>
      </c>
      <c r="B1078" s="24" t="inlineStr">
        <is>
          <t>가공식품</t>
        </is>
      </c>
      <c r="C1078" s="24" t="inlineStr">
        <is>
          <t>해나루발효식품</t>
        </is>
      </c>
      <c r="D1078" s="136" t="inlineStr">
        <is>
          <t>111-03-63698</t>
        </is>
      </c>
      <c r="E1078" s="76" t="inlineStr">
        <is>
          <t>(# 특4호 특허상품) 전통항아리에서 자연발효 숙성된 #12가지혼합발효차+매실발효차= 750ml 2병 셋</t>
        </is>
      </c>
      <c r="F1078" s="76" t="n">
        <v>0</v>
      </c>
      <c r="G1078" s="146" t="inlineStr">
        <is>
          <t>-</t>
        </is>
      </c>
      <c r="H1078" s="146" t="inlineStr">
        <is>
          <t>-</t>
        </is>
      </c>
    </row>
    <row r="1079" hidden="1" s="21">
      <c r="A1079" s="24" t="inlineStr">
        <is>
          <t>네이버</t>
        </is>
      </c>
      <c r="B1079" s="24" t="inlineStr">
        <is>
          <t>가공식품</t>
        </is>
      </c>
      <c r="C1079" s="24" t="inlineStr">
        <is>
          <t>해나루발효식품</t>
        </is>
      </c>
      <c r="D1079" s="136" t="inlineStr">
        <is>
          <t>111-03-63698</t>
        </is>
      </c>
      <c r="E1079" s="76" t="inlineStr">
        <is>
          <t>#인삼열매# 미국FDA등록된 인삼열매 발효차는 HACCP시설에서 전통항아리로 발효숙성시킨 명품발효차로 질병의 면역력은 높이고 노화를 낮추는 특허제품</t>
        </is>
      </c>
      <c r="F1079" s="76" t="n">
        <v>0</v>
      </c>
      <c r="G1079" s="146" t="inlineStr">
        <is>
          <t>-</t>
        </is>
      </c>
      <c r="H1079" s="146" t="inlineStr">
        <is>
          <t>-</t>
        </is>
      </c>
    </row>
    <row r="1080" hidden="1" s="21">
      <c r="A1080" s="24" t="inlineStr">
        <is>
          <t>네이버</t>
        </is>
      </c>
      <c r="B1080" s="24" t="inlineStr">
        <is>
          <t>가공식품</t>
        </is>
      </c>
      <c r="C1080" s="24" t="inlineStr">
        <is>
          <t>해나루발효식품</t>
        </is>
      </c>
      <c r="D1080" s="136" t="inlineStr">
        <is>
          <t>111-03-63698</t>
        </is>
      </c>
      <c r="E1080" s="76" t="inlineStr">
        <is>
          <t>#산사# 미국FDA등록된 산사 발효차는 HACCP시설에서 전통항아리로 발효숙성시킨 명품발효차로 질병의 면역력은 높이고 노화를 낮추는 특허제품</t>
        </is>
      </c>
      <c r="F1080" s="76" t="n">
        <v>0</v>
      </c>
      <c r="G1080" s="146" t="inlineStr">
        <is>
          <t>-</t>
        </is>
      </c>
      <c r="H1080" s="146" t="inlineStr">
        <is>
          <t>-</t>
        </is>
      </c>
    </row>
    <row r="1081" hidden="1" s="21">
      <c r="A1081" s="24" t="inlineStr">
        <is>
          <t>네이버</t>
        </is>
      </c>
      <c r="B1081" s="24" t="inlineStr">
        <is>
          <t>가공식품</t>
        </is>
      </c>
      <c r="C1081" s="24" t="inlineStr">
        <is>
          <t>해나루발효식품</t>
        </is>
      </c>
      <c r="D1081" s="136" t="inlineStr">
        <is>
          <t>111-03-63698</t>
        </is>
      </c>
      <c r="E1081" s="76" t="inlineStr">
        <is>
          <t>#포도# 미국FDA등록된 포도발효차는 HACCP시설에서 전통항아리로 발효숙성시킨 명품발효차로 질병의 면역력은 높이고 노화를 낮추는 특허제품</t>
        </is>
      </c>
      <c r="F1081" s="76" t="n">
        <v>0</v>
      </c>
      <c r="G1081" s="146" t="inlineStr">
        <is>
          <t>-</t>
        </is>
      </c>
      <c r="H1081" s="146" t="inlineStr">
        <is>
          <t>-</t>
        </is>
      </c>
    </row>
    <row r="1082" hidden="1" s="21">
      <c r="A1082" s="24" t="inlineStr">
        <is>
          <t>네이버</t>
        </is>
      </c>
      <c r="B1082" s="24" t="inlineStr">
        <is>
          <t>가공식품</t>
        </is>
      </c>
      <c r="C1082" s="24" t="inlineStr">
        <is>
          <t>해나루발효식품</t>
        </is>
      </c>
      <c r="D1082" s="136" t="inlineStr">
        <is>
          <t>111-03-63698</t>
        </is>
      </c>
      <c r="E1082" s="76" t="inlineStr">
        <is>
          <t>(복숭아) 미국FDA등록된 복숭아발효액은 HACCP시설에서 전통항아리로 발효숙성시킨 명품발효액으로 질병의 면역력은 높이고 노화를 낮추는 특허제품</t>
        </is>
      </c>
      <c r="F1082" s="76" t="n">
        <v>0</v>
      </c>
      <c r="G1082" s="146" t="inlineStr">
        <is>
          <t>-</t>
        </is>
      </c>
      <c r="H1082" s="146" t="inlineStr">
        <is>
          <t>-</t>
        </is>
      </c>
    </row>
    <row r="1083" hidden="1" s="21">
      <c r="A1083" s="24" t="inlineStr">
        <is>
          <t>네이버</t>
        </is>
      </c>
      <c r="B1083" s="24" t="inlineStr">
        <is>
          <t>가공식품</t>
        </is>
      </c>
      <c r="C1083" s="24" t="inlineStr">
        <is>
          <t>해나루발효식품</t>
        </is>
      </c>
      <c r="D1083" s="136" t="inlineStr">
        <is>
          <t>111-03-63698</t>
        </is>
      </c>
      <c r="E1083" s="76" t="inlineStr">
        <is>
          <t>(특허상품) #개똥쑥# 전통항아리에서 자연발효 배양하여 '면역력은 높이고 노화를 낮추는' 해나루 개똥쑥 발효차. 750ml</t>
        </is>
      </c>
      <c r="F1083" s="76" t="n">
        <v>0</v>
      </c>
      <c r="G1083" s="146" t="inlineStr">
        <is>
          <t>-</t>
        </is>
      </c>
      <c r="H1083" s="146" t="inlineStr">
        <is>
          <t>-</t>
        </is>
      </c>
    </row>
    <row r="1084" hidden="1" s="21">
      <c r="A1084" s="24" t="inlineStr">
        <is>
          <t>네이버</t>
        </is>
      </c>
      <c r="B1084" s="24" t="inlineStr">
        <is>
          <t>가공식품</t>
        </is>
      </c>
      <c r="C1084" s="24" t="inlineStr">
        <is>
          <t>해나루발효식품</t>
        </is>
      </c>
      <c r="D1084" s="136" t="inlineStr">
        <is>
          <t>111-03-63698</t>
        </is>
      </c>
      <c r="E1084" s="76" t="inlineStr">
        <is>
          <t>(특허상품) #수세미# 전통항아리에서 자연발효 배양하여 '면역력은 높이고 노화를 낮추는' 해나루 수세미 발효차. 750ml</t>
        </is>
      </c>
      <c r="F1084" s="76" t="n">
        <v>0</v>
      </c>
      <c r="G1084" s="146" t="inlineStr">
        <is>
          <t>-</t>
        </is>
      </c>
      <c r="H1084" s="146" t="inlineStr">
        <is>
          <t>-</t>
        </is>
      </c>
    </row>
    <row r="1085" hidden="1" s="21">
      <c r="A1085" s="24" t="inlineStr">
        <is>
          <t>네이버</t>
        </is>
      </c>
      <c r="B1085" s="24" t="inlineStr">
        <is>
          <t>가공식품</t>
        </is>
      </c>
      <c r="C1085" s="24" t="inlineStr">
        <is>
          <t>해나루발효식품</t>
        </is>
      </c>
      <c r="D1085" s="136" t="inlineStr">
        <is>
          <t>111-03-63698</t>
        </is>
      </c>
      <c r="E1085" s="76" t="inlineStr">
        <is>
          <t>(특허상품) #쇠비름# 전통항아리에서 자연발효 배양하여 '면역력은 높이고 노화를 낮추는' 해나루 쇠비름(오행초) 발효차. 750ml</t>
        </is>
      </c>
      <c r="F1085" s="76" t="n">
        <v>0</v>
      </c>
      <c r="G1085" s="146" t="inlineStr">
        <is>
          <t>-</t>
        </is>
      </c>
      <c r="H1085" s="146" t="inlineStr">
        <is>
          <t>-</t>
        </is>
      </c>
    </row>
    <row r="1086" hidden="1" s="21">
      <c r="A1086" s="24" t="inlineStr">
        <is>
          <t>네이버</t>
        </is>
      </c>
      <c r="B1086" s="24" t="inlineStr">
        <is>
          <t>가공식품</t>
        </is>
      </c>
      <c r="C1086" s="24" t="inlineStr">
        <is>
          <t>해나루발효식품</t>
        </is>
      </c>
      <c r="D1086" s="136" t="inlineStr">
        <is>
          <t>111-03-63698</t>
        </is>
      </c>
      <c r="E1086" s="76" t="inlineStr">
        <is>
          <t>(특허상품) #솔순# 전통항아리에서 자연발효 숙성한 제품으로 '면역력은 높이고 노화를 낮추는' 해나루 솔순 발효차. 750ml</t>
        </is>
      </c>
      <c r="F1086" s="76" t="n">
        <v>0</v>
      </c>
      <c r="G1086" s="146" t="inlineStr">
        <is>
          <t>-</t>
        </is>
      </c>
      <c r="H1086" s="146" t="inlineStr">
        <is>
          <t>-</t>
        </is>
      </c>
    </row>
    <row r="1087" hidden="1" s="21">
      <c r="A1087" s="24" t="inlineStr">
        <is>
          <t>네이버</t>
        </is>
      </c>
      <c r="B1087" s="24" t="inlineStr">
        <is>
          <t>가공식품</t>
        </is>
      </c>
      <c r="C1087" s="24" t="inlineStr">
        <is>
          <t>해나루발효식품</t>
        </is>
      </c>
      <c r="D1087" s="136" t="inlineStr">
        <is>
          <t>111-03-63698</t>
        </is>
      </c>
      <c r="E1087" s="76" t="inlineStr">
        <is>
          <t>(특허상품 미나리) 전통항아리에서 자연발효 배양하여 '면역력은 높이고 노화를 낮추는' 해나루 미나리 발효차. 750ml</t>
        </is>
      </c>
      <c r="F1087" s="76" t="n">
        <v>0</v>
      </c>
      <c r="G1087" s="146" t="inlineStr">
        <is>
          <t>-</t>
        </is>
      </c>
      <c r="H1087" s="146" t="inlineStr">
        <is>
          <t>-</t>
        </is>
      </c>
    </row>
    <row r="1088" hidden="1" s="21">
      <c r="A1088" s="24" t="inlineStr">
        <is>
          <t>네이버</t>
        </is>
      </c>
      <c r="B1088" s="24" t="inlineStr">
        <is>
          <t>가공식품</t>
        </is>
      </c>
      <c r="C1088" s="24" t="inlineStr">
        <is>
          <t>해나루발효식품</t>
        </is>
      </c>
      <c r="D1088" s="136" t="inlineStr">
        <is>
          <t>111-03-63698</t>
        </is>
      </c>
      <c r="E1088" s="76" t="inlineStr">
        <is>
          <t>(특허상품) #브로콜리# 전통항아리에서 자연발효 배양하여 '면역력은 높이고 노화를 낮추는' 해나루 브로콜리 발효차. 750ml</t>
        </is>
      </c>
      <c r="F1088" s="76" t="n">
        <v>0</v>
      </c>
      <c r="G1088" s="146" t="inlineStr">
        <is>
          <t>-</t>
        </is>
      </c>
      <c r="H1088" s="146" t="inlineStr">
        <is>
          <t>-</t>
        </is>
      </c>
    </row>
    <row r="1089" hidden="1" s="21">
      <c r="A1089" s="24" t="inlineStr">
        <is>
          <t>네이버</t>
        </is>
      </c>
      <c r="B1089" s="24" t="inlineStr">
        <is>
          <t>가공식품</t>
        </is>
      </c>
      <c r="C1089" s="24" t="inlineStr">
        <is>
          <t>해나루발효식품</t>
        </is>
      </c>
      <c r="D1089" s="136" t="inlineStr">
        <is>
          <t>111-03-63698</t>
        </is>
      </c>
      <c r="E1089" s="76" t="inlineStr">
        <is>
          <t>(특허제품) #양파# 전통항아리에서 자연발효 배양하여 '면역력은 높이고 노화를 낮추는' 해나루 양파 발효차. 750ml</t>
        </is>
      </c>
      <c r="F1089" s="76" t="n">
        <v>0</v>
      </c>
      <c r="G1089" s="146" t="inlineStr">
        <is>
          <t>-</t>
        </is>
      </c>
      <c r="H1089" s="146" t="inlineStr">
        <is>
          <t>-</t>
        </is>
      </c>
    </row>
    <row r="1090" hidden="1" s="21">
      <c r="A1090" s="24" t="inlineStr">
        <is>
          <t>네이버</t>
        </is>
      </c>
      <c r="B1090" s="24" t="inlineStr">
        <is>
          <t>가공식품</t>
        </is>
      </c>
      <c r="C1090" s="24" t="inlineStr">
        <is>
          <t>해나루발효식품</t>
        </is>
      </c>
      <c r="D1090" s="136" t="inlineStr">
        <is>
          <t>111-03-63698</t>
        </is>
      </c>
      <c r="E1090" s="76" t="inlineStr">
        <is>
          <t>(12가지혼합발효액) 미국FDA등록한 발효차는 장내환경을 개선하여 면역력은 높이고 노화는 낮추는 특허제품. 750ml</t>
        </is>
      </c>
      <c r="F1090" s="76" t="n">
        <v>0</v>
      </c>
      <c r="G1090" s="146" t="inlineStr">
        <is>
          <t>-</t>
        </is>
      </c>
      <c r="H1090" s="146" t="inlineStr">
        <is>
          <t>-</t>
        </is>
      </c>
    </row>
    <row r="1091" hidden="1" s="21">
      <c r="A1091" s="24" t="inlineStr">
        <is>
          <t>네이버</t>
        </is>
      </c>
      <c r="B1091" s="24" t="inlineStr">
        <is>
          <t>가공식품</t>
        </is>
      </c>
      <c r="C1091" s="24" t="inlineStr">
        <is>
          <t>해나루발효식품</t>
        </is>
      </c>
      <c r="D1091" s="136" t="inlineStr">
        <is>
          <t>111-03-63698</t>
        </is>
      </c>
      <c r="E1091" s="76" t="inlineStr">
        <is>
          <t>(특허상품) #매실# 전통항아리에서 자연발효 숙성된 제품으로 '면역력은 높이고 노화를 낮추는' 해나루 매실 발효차. 750ml</t>
        </is>
      </c>
      <c r="F1091" s="76" t="n">
        <v>0</v>
      </c>
      <c r="G1091" s="146" t="inlineStr">
        <is>
          <t>-</t>
        </is>
      </c>
      <c r="H1091" s="146" t="inlineStr">
        <is>
          <t>-</t>
        </is>
      </c>
    </row>
    <row r="1092" hidden="1" s="21">
      <c r="A1092" s="24" t="inlineStr">
        <is>
          <t>네이버</t>
        </is>
      </c>
      <c r="B1092" s="24" t="inlineStr">
        <is>
          <t>가공식품</t>
        </is>
      </c>
      <c r="C1092" s="24" t="inlineStr">
        <is>
          <t>153양봉원</t>
        </is>
      </c>
      <c r="D1092" s="136" t="inlineStr">
        <is>
          <t>312-06-28581</t>
        </is>
      </c>
      <c r="E1092" s="76" t="inlineStr">
        <is>
          <t>(153양봉원) 국산 천연벌꿀 숙성꿀 숙성아카시아꿀 2.4kg</t>
        </is>
      </c>
      <c r="F1092" s="76" t="n">
        <v>1</v>
      </c>
      <c r="G1092" s="146" t="n">
        <v>80000</v>
      </c>
      <c r="H1092" s="146" t="inlineStr">
        <is>
          <t>-</t>
        </is>
      </c>
    </row>
    <row r="1093" hidden="1" s="21">
      <c r="A1093" s="24" t="inlineStr">
        <is>
          <t>네이버</t>
        </is>
      </c>
      <c r="B1093" s="24" t="inlineStr">
        <is>
          <t>가공식품</t>
        </is>
      </c>
      <c r="C1093" s="24" t="inlineStr">
        <is>
          <t>153양봉원</t>
        </is>
      </c>
      <c r="D1093" s="136" t="inlineStr">
        <is>
          <t>312-06-28581</t>
        </is>
      </c>
      <c r="E1093" s="76" t="inlineStr">
        <is>
          <t>국산천연벌꿀 곰돌이꿀 250g 벚꽃 아카시아 야생화 피나무</t>
        </is>
      </c>
      <c r="F1093" s="76" t="n">
        <v>19</v>
      </c>
      <c r="G1093" s="146" t="n">
        <v>307500</v>
      </c>
      <c r="H1093" s="146" t="n">
        <v>25800</v>
      </c>
    </row>
    <row r="1094" hidden="1" s="21">
      <c r="A1094" s="24" t="inlineStr">
        <is>
          <t>네이버</t>
        </is>
      </c>
      <c r="B1094" s="24" t="inlineStr">
        <is>
          <t>가공식품</t>
        </is>
      </c>
      <c r="C1094" s="24" t="inlineStr">
        <is>
          <t>153양봉원</t>
        </is>
      </c>
      <c r="D1094" s="136" t="inlineStr">
        <is>
          <t>312-06-28581</t>
        </is>
      </c>
      <c r="E1094" s="76" t="inlineStr">
        <is>
          <t>153양봉원 스틱꿀 대용량15g 국산 천연벌꿀 아카시아꿀 야생화 밤 48개 선물답례품</t>
        </is>
      </c>
      <c r="F1094" s="76" t="n">
        <v>0</v>
      </c>
      <c r="G1094" s="146" t="inlineStr">
        <is>
          <t>-</t>
        </is>
      </c>
      <c r="H1094" s="146" t="inlineStr">
        <is>
          <t>-</t>
        </is>
      </c>
    </row>
    <row r="1095" hidden="1" s="21">
      <c r="A1095" s="24" t="inlineStr">
        <is>
          <t>네이버</t>
        </is>
      </c>
      <c r="B1095" s="24" t="inlineStr">
        <is>
          <t>농산물</t>
        </is>
      </c>
      <c r="C1095" s="24" t="inlineStr">
        <is>
          <t>나뚜라리농원</t>
        </is>
      </c>
      <c r="D1095" s="136" t="inlineStr">
        <is>
          <t>529-44-01222</t>
        </is>
      </c>
      <c r="E1095" s="76" t="inlineStr">
        <is>
          <t>당일수확 국산 제주산 100% 생블루베리 생과 1kg</t>
        </is>
      </c>
      <c r="F1095" s="76" t="n">
        <v>124</v>
      </c>
      <c r="G1095" s="146" t="n">
        <v>5319400</v>
      </c>
      <c r="H1095" s="146" t="n">
        <v>477360</v>
      </c>
    </row>
    <row r="1096" hidden="1" s="21">
      <c r="A1096" s="24" t="inlineStr">
        <is>
          <t>네이버</t>
        </is>
      </c>
      <c r="B1096" s="24" t="inlineStr">
        <is>
          <t>축산물</t>
        </is>
      </c>
      <c r="C1096" s="24" t="inlineStr">
        <is>
          <t>두루푸드</t>
        </is>
      </c>
      <c r="D1096" s="136" t="inlineStr">
        <is>
          <t>221-13-36518</t>
        </is>
      </c>
      <c r="E1096" s="76" t="inlineStr">
        <is>
          <t>국민닭갈비 두루푸드 춘천닭갈비 택배 홈파티 캠핑요리</t>
        </is>
      </c>
      <c r="F1096" s="76" t="n">
        <v>4815</v>
      </c>
      <c r="G1096" s="146" t="n">
        <v>102582760</v>
      </c>
      <c r="H1096" s="146" t="n">
        <v>4101510</v>
      </c>
    </row>
    <row r="1097" hidden="1" s="21">
      <c r="A1097" s="24" t="inlineStr">
        <is>
          <t>네이버</t>
        </is>
      </c>
      <c r="B1097" s="24" t="inlineStr">
        <is>
          <t>축산물</t>
        </is>
      </c>
      <c r="C1097" s="24" t="inlineStr">
        <is>
          <t>두루푸드</t>
        </is>
      </c>
      <c r="D1097" s="136" t="inlineStr">
        <is>
          <t>221-13-36518</t>
        </is>
      </c>
      <c r="E1097" s="76" t="inlineStr">
        <is>
          <t>두루푸드 국민닭갈비 춘천닭갈비 택배 홈파티 캠핑요리 전통맛</t>
        </is>
      </c>
      <c r="F1097" s="76" t="n">
        <v>141</v>
      </c>
      <c r="G1097" s="146" t="n">
        <v>2996900</v>
      </c>
      <c r="H1097" s="146" t="n">
        <v>99860</v>
      </c>
    </row>
    <row r="1098" hidden="1" s="21">
      <c r="A1098" s="24" t="inlineStr">
        <is>
          <t>네이버</t>
        </is>
      </c>
      <c r="B1098" s="24" t="inlineStr">
        <is>
          <t>축산물</t>
        </is>
      </c>
      <c r="C1098" s="24" t="inlineStr">
        <is>
          <t>두루푸드</t>
        </is>
      </c>
      <c r="D1098" s="136" t="inlineStr">
        <is>
          <t>221-13-36518</t>
        </is>
      </c>
      <c r="E1098" s="76" t="inlineStr">
        <is>
          <t>두루푸드 국민닭갈비 춘천닭갈비 택배 홈파티 캠핑요리 간장닭갈비</t>
        </is>
      </c>
      <c r="F1098" s="76" t="n">
        <v>100</v>
      </c>
      <c r="G1098" s="146" t="n">
        <v>1481250</v>
      </c>
      <c r="H1098" s="146" t="n">
        <v>20900</v>
      </c>
    </row>
    <row r="1099" hidden="1" s="21">
      <c r="A1099" s="24" t="inlineStr">
        <is>
          <t>네이버</t>
        </is>
      </c>
      <c r="B1099" s="24" t="inlineStr">
        <is>
          <t>축산물</t>
        </is>
      </c>
      <c r="C1099" s="24" t="inlineStr">
        <is>
          <t>두루푸드</t>
        </is>
      </c>
      <c r="D1099" s="136" t="inlineStr">
        <is>
          <t>221-13-36518</t>
        </is>
      </c>
      <c r="E1099" s="76" t="inlineStr">
        <is>
          <t>두루푸드 국민닭갈비 춘천닭갈비 택배 홈파티 캠핑요리 허브소금닭갈비</t>
        </is>
      </c>
      <c r="F1099" s="76" t="n">
        <v>47</v>
      </c>
      <c r="G1099" s="146" t="n">
        <v>918650</v>
      </c>
      <c r="H1099" s="146" t="n">
        <v>4180</v>
      </c>
    </row>
    <row r="1100" hidden="1" s="21">
      <c r="A1100" s="24" t="inlineStr">
        <is>
          <t>네이버</t>
        </is>
      </c>
      <c r="B1100" s="24" t="inlineStr">
        <is>
          <t>축산물</t>
        </is>
      </c>
      <c r="C1100" s="24" t="inlineStr">
        <is>
          <t>두루푸드</t>
        </is>
      </c>
      <c r="D1100" s="136" t="inlineStr">
        <is>
          <t>221-13-36518</t>
        </is>
      </c>
      <c r="E1100" s="76" t="inlineStr">
        <is>
          <t>두루푸드 국민닭갈비 춘천닭갈비 택배 홈파티 캠핑요리 올인원세트 3인용 / 1.5인용</t>
        </is>
      </c>
      <c r="F1100" s="76" t="n">
        <v>56</v>
      </c>
      <c r="G1100" s="146" t="n">
        <v>1423800</v>
      </c>
      <c r="H1100" s="146" t="n">
        <v>124870</v>
      </c>
    </row>
    <row r="1101" hidden="1" s="21">
      <c r="A1101" s="24" t="inlineStr">
        <is>
          <t>네이버</t>
        </is>
      </c>
      <c r="B1101" s="24" t="inlineStr">
        <is>
          <t>축산물</t>
        </is>
      </c>
      <c r="C1101" s="24" t="inlineStr">
        <is>
          <t>두루푸드</t>
        </is>
      </c>
      <c r="D1101" s="136" t="inlineStr">
        <is>
          <t>221-13-36518</t>
        </is>
      </c>
      <c r="E1101" s="76" t="inlineStr">
        <is>
          <t>두루푸드 국민닭갈비 춘천닭갈비 택배 홈파티 캠핑요리 숯불닭갈비</t>
        </is>
      </c>
      <c r="F1101" s="76" t="n">
        <v>29</v>
      </c>
      <c r="G1101" s="146" t="n">
        <v>681400</v>
      </c>
      <c r="H1101" s="146" t="n">
        <v>8760</v>
      </c>
    </row>
    <row r="1102" hidden="1" s="21">
      <c r="A1102" s="24" t="inlineStr">
        <is>
          <t>네이버</t>
        </is>
      </c>
      <c r="B1102" s="24" t="inlineStr">
        <is>
          <t>농산물</t>
        </is>
      </c>
      <c r="C1102" s="24" t="inlineStr">
        <is>
          <t>풍년주식회사농업회사법인</t>
        </is>
      </c>
      <c r="D1102" s="136" t="inlineStr">
        <is>
          <t>125-86-20444</t>
        </is>
      </c>
      <c r="E1102" s="76" t="inlineStr">
        <is>
          <t>경기 평택 오성쌀 20kg 1개</t>
        </is>
      </c>
      <c r="F1102" s="76" t="n">
        <v>95</v>
      </c>
      <c r="G1102" s="146" t="n">
        <v>7333200</v>
      </c>
      <c r="H1102" s="146" t="n">
        <v>550000</v>
      </c>
    </row>
    <row r="1103" hidden="1" s="21">
      <c r="A1103" s="24" t="inlineStr">
        <is>
          <t>네이버</t>
        </is>
      </c>
      <c r="B1103" s="24" t="inlineStr">
        <is>
          <t>농산물</t>
        </is>
      </c>
      <c r="C1103" s="24" t="inlineStr">
        <is>
          <t>풍년주식회사농업회사법인</t>
        </is>
      </c>
      <c r="D1103" s="136" t="inlineStr">
        <is>
          <t>125-86-20444</t>
        </is>
      </c>
      <c r="E1103" s="76" t="inlineStr">
        <is>
          <t>경기 평택 오성쌀 10kg 1개</t>
        </is>
      </c>
      <c r="F1103" s="76" t="n">
        <v>121</v>
      </c>
      <c r="G1103" s="146" t="n">
        <v>4334400</v>
      </c>
      <c r="H1103" s="146" t="n">
        <v>674690</v>
      </c>
    </row>
    <row r="1104" hidden="1" s="21">
      <c r="A1104" s="24" t="inlineStr">
        <is>
          <t>네이버</t>
        </is>
      </c>
      <c r="B1104" s="24" t="inlineStr">
        <is>
          <t>농산물</t>
        </is>
      </c>
      <c r="C1104" s="24" t="inlineStr">
        <is>
          <t>풍년주식회사농업회사법인</t>
        </is>
      </c>
      <c r="D1104" s="136" t="inlineStr">
        <is>
          <t>125-86-20444</t>
        </is>
      </c>
      <c r="E1104" s="76" t="inlineStr">
        <is>
          <t>경기 평택 찹쌀 10kg</t>
        </is>
      </c>
      <c r="F1104" s="76" t="n">
        <v>10</v>
      </c>
      <c r="G1104" s="146" t="n">
        <v>482900</v>
      </c>
      <c r="H1104" s="146" t="n">
        <v>45120</v>
      </c>
    </row>
    <row r="1105" hidden="1" s="21">
      <c r="A1105" s="24" t="inlineStr">
        <is>
          <t>네이버</t>
        </is>
      </c>
      <c r="B1105" s="24" t="inlineStr">
        <is>
          <t>농산물</t>
        </is>
      </c>
      <c r="C1105" s="24" t="inlineStr">
        <is>
          <t>풍년주식회사농업회사법인</t>
        </is>
      </c>
      <c r="D1105" s="136" t="inlineStr">
        <is>
          <t>125-86-20444</t>
        </is>
      </c>
      <c r="E1105" s="76" t="inlineStr">
        <is>
          <t>3대째 평택쌀(찰진쌀) 20kg 1개</t>
        </is>
      </c>
      <c r="F1105" s="76" t="n">
        <v>0</v>
      </c>
      <c r="G1105" s="146" t="inlineStr">
        <is>
          <t>-</t>
        </is>
      </c>
      <c r="H1105" s="146" t="inlineStr">
        <is>
          <t>-</t>
        </is>
      </c>
    </row>
    <row r="1106" hidden="1" s="21">
      <c r="A1106" s="24" t="inlineStr">
        <is>
          <t>네이버</t>
        </is>
      </c>
      <c r="B1106" s="24" t="inlineStr">
        <is>
          <t>농산물</t>
        </is>
      </c>
      <c r="C1106" s="24" t="inlineStr">
        <is>
          <t>풍년주식회사농업회사법인</t>
        </is>
      </c>
      <c r="D1106" s="136" t="inlineStr">
        <is>
          <t>125-86-20444</t>
        </is>
      </c>
      <c r="E1106" s="76" t="inlineStr">
        <is>
          <t>3대째 평택쌀(찰진쌀) 10kg 1개</t>
        </is>
      </c>
      <c r="F1106" s="76" t="n">
        <v>6</v>
      </c>
      <c r="G1106" s="146" t="n">
        <v>246000</v>
      </c>
      <c r="H1106" s="146" t="n">
        <v>40680</v>
      </c>
    </row>
    <row r="1107" hidden="1" s="21">
      <c r="A1107" s="24" t="inlineStr">
        <is>
          <t>네이버</t>
        </is>
      </c>
      <c r="B1107" s="24" t="inlineStr">
        <is>
          <t>농산물</t>
        </is>
      </c>
      <c r="C1107" s="24" t="inlineStr">
        <is>
          <t>주식회사 강평농업회사법인</t>
        </is>
      </c>
      <c r="D1107" s="136" t="inlineStr">
        <is>
          <t>642-81-00628</t>
        </is>
      </c>
      <c r="E1107" s="76" t="inlineStr">
        <is>
          <t>농협선별 고당도 스테비아 방울토마토 단마토 1kg 2kg[비오채]</t>
        </is>
      </c>
      <c r="F1107" s="76" t="n">
        <v>92</v>
      </c>
      <c r="G1107" s="146" t="n">
        <v>1481700</v>
      </c>
      <c r="H1107" s="146" t="n">
        <v>205380</v>
      </c>
    </row>
    <row r="1108" hidden="1" s="21">
      <c r="A1108" s="24" t="inlineStr">
        <is>
          <t>네이버</t>
        </is>
      </c>
      <c r="B1108" s="24" t="inlineStr">
        <is>
          <t>농산물</t>
        </is>
      </c>
      <c r="C1108" s="24" t="inlineStr">
        <is>
          <t>주식회사 강평농업회사법인</t>
        </is>
      </c>
      <c r="D1108" s="136" t="inlineStr">
        <is>
          <t>642-81-00628</t>
        </is>
      </c>
      <c r="E1108" s="76" t="inlineStr">
        <is>
          <t>무선별 대추방울토마토 로얄과 혼합과 당일수확 산지직송 1kg 2kg 5kg</t>
        </is>
      </c>
      <c r="F1108" s="76" t="n">
        <v>0</v>
      </c>
      <c r="G1108" s="146" t="inlineStr">
        <is>
          <t>-</t>
        </is>
      </c>
      <c r="H1108" s="146" t="inlineStr">
        <is>
          <t>-</t>
        </is>
      </c>
    </row>
    <row r="1109" hidden="1" s="21">
      <c r="A1109" s="24" t="inlineStr">
        <is>
          <t>네이버</t>
        </is>
      </c>
      <c r="B1109" s="24" t="inlineStr">
        <is>
          <t>가공식품</t>
        </is>
      </c>
      <c r="C1109" s="24" t="inlineStr">
        <is>
          <t>인천로컬푸드생산자협동조합</t>
        </is>
      </c>
      <c r="D1109" s="136" t="inlineStr">
        <is>
          <t>131-86-58421</t>
        </is>
      </c>
      <c r="E1109" s="76" t="inlineStr">
        <is>
          <t>강화섬쌀로 만든 시골쌀라면 104g 20개</t>
        </is>
      </c>
      <c r="F1109" s="76" t="n">
        <v>135</v>
      </c>
      <c r="G1109" s="146" t="n">
        <v>4683410</v>
      </c>
      <c r="H1109" s="146" t="n">
        <v>450580</v>
      </c>
    </row>
    <row r="1110" hidden="1" s="21">
      <c r="A1110" s="24" t="inlineStr">
        <is>
          <t>네이버</t>
        </is>
      </c>
      <c r="B1110" s="24" t="inlineStr">
        <is>
          <t>가공식품</t>
        </is>
      </c>
      <c r="C1110" s="24" t="inlineStr">
        <is>
          <t>인천로컬푸드생산자협동조합</t>
        </is>
      </c>
      <c r="D1110" s="136" t="inlineStr">
        <is>
          <t>131-86-58421</t>
        </is>
      </c>
      <c r="E1110" s="76" t="inlineStr">
        <is>
          <t>강화섬쌀로 만든 시골쌀라면 104g 10개</t>
        </is>
      </c>
      <c r="F1110" s="76" t="n">
        <v>148</v>
      </c>
      <c r="G1110" s="146" t="n">
        <v>2524500</v>
      </c>
      <c r="H1110" s="146" t="n">
        <v>209100</v>
      </c>
    </row>
    <row r="1111" hidden="1" s="21">
      <c r="A1111" s="24" t="inlineStr">
        <is>
          <t>네이버</t>
        </is>
      </c>
      <c r="B1111" s="24" t="inlineStr">
        <is>
          <t>가공식품</t>
        </is>
      </c>
      <c r="C1111" s="24" t="inlineStr">
        <is>
          <t>인천로컬푸드생산자협동조합</t>
        </is>
      </c>
      <c r="D1111" s="136" t="inlineStr">
        <is>
          <t>131-86-58421</t>
        </is>
      </c>
      <c r="E1111" s="76" t="inlineStr">
        <is>
          <t>강화섬쌀로 만든 시골쌀라면 104g 5개</t>
        </is>
      </c>
      <c r="F1111" s="76" t="n">
        <v>13</v>
      </c>
      <c r="G1111" s="146" t="n">
        <v>123500</v>
      </c>
      <c r="H1111" s="146" t="n">
        <v>9500</v>
      </c>
    </row>
    <row r="1112" hidden="1" s="21">
      <c r="A1112" s="24" t="inlineStr">
        <is>
          <t>네이버</t>
        </is>
      </c>
      <c r="B1112" s="24" t="inlineStr">
        <is>
          <t>가공식품</t>
        </is>
      </c>
      <c r="C1112" s="24" t="inlineStr">
        <is>
          <t>인천로컬푸드생산자협동조합</t>
        </is>
      </c>
      <c r="D1112" s="136" t="inlineStr">
        <is>
          <t>131-86-58421</t>
        </is>
      </c>
      <c r="E1112" s="76" t="inlineStr">
        <is>
          <t>[인천직구]정들콩 전통 조청 고추장 3kg 수제고추장</t>
        </is>
      </c>
      <c r="F1112" s="76" t="n">
        <v>0</v>
      </c>
      <c r="G1112" s="146" t="inlineStr">
        <is>
          <t>-</t>
        </is>
      </c>
      <c r="H1112" s="146" t="inlineStr">
        <is>
          <t>-</t>
        </is>
      </c>
    </row>
    <row r="1113" hidden="1" s="21">
      <c r="A1113" s="24" t="inlineStr">
        <is>
          <t>네이버</t>
        </is>
      </c>
      <c r="B1113" s="24" t="inlineStr">
        <is>
          <t>가공식품</t>
        </is>
      </c>
      <c r="C1113" s="24" t="inlineStr">
        <is>
          <t>인천로컬푸드생산자협동조합</t>
        </is>
      </c>
      <c r="D1113" s="136" t="inlineStr">
        <is>
          <t>131-86-58421</t>
        </is>
      </c>
      <c r="E1113" s="76" t="inlineStr">
        <is>
          <t>[인천직구]정들콩 재래식 전통 집 된장 3kg 수제된장 국내산 콩</t>
        </is>
      </c>
      <c r="F1113" s="76" t="n">
        <v>0</v>
      </c>
      <c r="G1113" s="146" t="inlineStr">
        <is>
          <t>-</t>
        </is>
      </c>
      <c r="H1113" s="146" t="inlineStr">
        <is>
          <t>-</t>
        </is>
      </c>
    </row>
    <row r="1114" hidden="1" s="21">
      <c r="A1114" s="24" t="inlineStr">
        <is>
          <t>네이버</t>
        </is>
      </c>
      <c r="B1114" s="24" t="inlineStr">
        <is>
          <t>가공식품</t>
        </is>
      </c>
      <c r="C1114" s="24" t="inlineStr">
        <is>
          <t>인천로컬푸드생산자협동조합</t>
        </is>
      </c>
      <c r="D1114" s="136" t="inlineStr">
        <is>
          <t>131-86-58421</t>
        </is>
      </c>
      <c r="E1114" s="76" t="inlineStr">
        <is>
          <t>[인천직구]정들콩 전통 조청 고추장 1kg 수제고추장</t>
        </is>
      </c>
      <c r="F1114" s="76" t="n">
        <v>1</v>
      </c>
      <c r="G1114" s="146" t="n">
        <v>50000</v>
      </c>
      <c r="H1114" s="146" t="n">
        <v>8500</v>
      </c>
    </row>
    <row r="1115" hidden="1" s="21">
      <c r="A1115" s="24" t="inlineStr">
        <is>
          <t>네이버</t>
        </is>
      </c>
      <c r="B1115" s="24" t="inlineStr">
        <is>
          <t>가공식품</t>
        </is>
      </c>
      <c r="C1115" s="24" t="inlineStr">
        <is>
          <t>인천로컬푸드생산자협동조합</t>
        </is>
      </c>
      <c r="D1115" s="136" t="inlineStr">
        <is>
          <t>131-86-58421</t>
        </is>
      </c>
      <c r="E1115" s="76" t="inlineStr">
        <is>
          <t>[인천직구]정들콩 재래식 전통 집 수제된장 1kg</t>
        </is>
      </c>
      <c r="F1115" s="76" t="n">
        <v>1</v>
      </c>
      <c r="G1115" s="146" t="n">
        <v>36000</v>
      </c>
      <c r="H1115" s="146" t="n">
        <v>6120</v>
      </c>
    </row>
    <row r="1116" hidden="1" s="21">
      <c r="A1116" s="24" t="inlineStr">
        <is>
          <t>네이버</t>
        </is>
      </c>
      <c r="B1116" s="24" t="inlineStr">
        <is>
          <t>가공식품</t>
        </is>
      </c>
      <c r="C1116" s="24" t="inlineStr">
        <is>
          <t>인천로컬푸드생산자협동조합</t>
        </is>
      </c>
      <c r="D1116" s="136" t="inlineStr">
        <is>
          <t>131-86-58421</t>
        </is>
      </c>
      <c r="E1116" s="76" t="inlineStr">
        <is>
          <t>[인천직구]정들콩 전통 국 간장 1L (수제간장 한식간장)</t>
        </is>
      </c>
      <c r="F1116" s="76" t="n">
        <v>0</v>
      </c>
      <c r="G1116" s="146" t="inlineStr">
        <is>
          <t>-</t>
        </is>
      </c>
      <c r="H1116" s="146" t="inlineStr">
        <is>
          <t>-</t>
        </is>
      </c>
    </row>
    <row r="1117" hidden="1" s="21">
      <c r="A1117" s="24" t="inlineStr">
        <is>
          <t>네이버</t>
        </is>
      </c>
      <c r="B1117" s="24" t="inlineStr">
        <is>
          <t>가공식품</t>
        </is>
      </c>
      <c r="C1117" s="24" t="inlineStr">
        <is>
          <t>인천로컬푸드생산자협동조합</t>
        </is>
      </c>
      <c r="D1117" s="136" t="inlineStr">
        <is>
          <t>131-86-58421</t>
        </is>
      </c>
      <c r="E1117" s="76" t="inlineStr">
        <is>
          <t>[인천직구]정들콩 국산콩 무염 청국장 100g 10개입</t>
        </is>
      </c>
      <c r="F1117" s="76" t="n">
        <v>1</v>
      </c>
      <c r="G1117" s="146" t="n">
        <v>18000</v>
      </c>
      <c r="H1117" s="146" t="n">
        <v>3060</v>
      </c>
    </row>
    <row r="1118" hidden="1" s="21">
      <c r="A1118" s="24" t="inlineStr">
        <is>
          <t>네이버</t>
        </is>
      </c>
      <c r="B1118" s="24" t="inlineStr">
        <is>
          <t>가공식품</t>
        </is>
      </c>
      <c r="C1118" s="24" t="inlineStr">
        <is>
          <t>인천로컬푸드생산자협동조합</t>
        </is>
      </c>
      <c r="D1118" s="136" t="inlineStr">
        <is>
          <t>131-86-58421</t>
        </is>
      </c>
      <c r="E1118" s="76" t="inlineStr">
        <is>
          <t>[인천직구]왈순아지매 콩나물누룽지 + 김부각 세트</t>
        </is>
      </c>
      <c r="F1118" s="76" t="n">
        <v>1</v>
      </c>
      <c r="G1118" s="146" t="n">
        <v>30000</v>
      </c>
      <c r="H1118" s="146" t="inlineStr">
        <is>
          <t>-</t>
        </is>
      </c>
    </row>
    <row r="1119" hidden="1" s="21">
      <c r="A1119" s="24" t="inlineStr">
        <is>
          <t>네이버</t>
        </is>
      </c>
      <c r="B1119" s="24" t="inlineStr">
        <is>
          <t>가공식품</t>
        </is>
      </c>
      <c r="C1119" s="24" t="inlineStr">
        <is>
          <t>인천로컬푸드생산자협동조합</t>
        </is>
      </c>
      <c r="D1119" s="136" t="inlineStr">
        <is>
          <t>131-86-58421</t>
        </is>
      </c>
      <c r="E1119" s="76" t="inlineStr">
        <is>
          <t>[인천직구]왈순아지매 콩나물누룽지 세트 강화쌀 구수한 국내산 누룽지 숭늉 40g (22팩 세트)</t>
        </is>
      </c>
      <c r="F1119" s="76" t="n">
        <v>1</v>
      </c>
      <c r="G1119" s="146" t="n">
        <v>50000</v>
      </c>
      <c r="H1119" s="146" t="n">
        <v>8500</v>
      </c>
    </row>
    <row r="1120" hidden="1" s="21">
      <c r="A1120" s="24" t="inlineStr">
        <is>
          <t>네이버</t>
        </is>
      </c>
      <c r="B1120" s="24" t="inlineStr">
        <is>
          <t>가공식품</t>
        </is>
      </c>
      <c r="C1120" s="24" t="inlineStr">
        <is>
          <t>인천로컬푸드생산자협동조합</t>
        </is>
      </c>
      <c r="D1120" s="136" t="inlineStr">
        <is>
          <t>131-86-58421</t>
        </is>
      </c>
      <c r="E1120" s="76" t="inlineStr">
        <is>
          <t>[인천직구]강화 벌꿀 꿀벌 먹는 화분 (비폴렌) 1kg</t>
        </is>
      </c>
      <c r="F1120" s="76" t="n">
        <v>0</v>
      </c>
      <c r="G1120" s="146" t="inlineStr">
        <is>
          <t>-</t>
        </is>
      </c>
      <c r="H1120" s="146" t="inlineStr">
        <is>
          <t>-</t>
        </is>
      </c>
    </row>
    <row r="1121" hidden="1" s="21">
      <c r="A1121" s="24" t="inlineStr">
        <is>
          <t>네이버</t>
        </is>
      </c>
      <c r="B1121" s="24" t="inlineStr">
        <is>
          <t>가공식품</t>
        </is>
      </c>
      <c r="C1121" s="24" t="inlineStr">
        <is>
          <t>인천로컬푸드생산자협동조합</t>
        </is>
      </c>
      <c r="D1121" s="136" t="inlineStr">
        <is>
          <t>131-86-58421</t>
        </is>
      </c>
      <c r="E1121" s="76" t="inlineStr">
        <is>
          <t>[인천직구] 인천드레 강화 천연 벌꿀 아카시아꿀 야생화꿀 잡화꿀 1.2kg</t>
        </is>
      </c>
      <c r="F1121" s="76" t="n">
        <v>1</v>
      </c>
      <c r="G1121" s="146" t="n">
        <v>60000</v>
      </c>
      <c r="H1121" s="146" t="n">
        <v>10000</v>
      </c>
    </row>
    <row r="1122" hidden="1" s="21">
      <c r="A1122" s="24" t="inlineStr">
        <is>
          <t>네이버</t>
        </is>
      </c>
      <c r="B1122" s="24" t="inlineStr">
        <is>
          <t>가공식품</t>
        </is>
      </c>
      <c r="C1122" s="24" t="inlineStr">
        <is>
          <t>인천로컬푸드생산자협동조합</t>
        </is>
      </c>
      <c r="D1122" s="136" t="inlineStr">
        <is>
          <t>131-86-58421</t>
        </is>
      </c>
      <c r="E1122" s="76" t="inlineStr">
        <is>
          <t>[인천직구]강화 천연 벌꿀 3종 선물세트 명절 답례품</t>
        </is>
      </c>
      <c r="F1122" s="76" t="n">
        <v>0</v>
      </c>
      <c r="G1122" s="146" t="inlineStr">
        <is>
          <t>-</t>
        </is>
      </c>
      <c r="H1122" s="146" t="inlineStr">
        <is>
          <t>-</t>
        </is>
      </c>
    </row>
    <row r="1123" hidden="1" s="21">
      <c r="A1123" s="24" t="inlineStr">
        <is>
          <t>네이버</t>
        </is>
      </c>
      <c r="B1123" s="24" t="inlineStr">
        <is>
          <t>가공식품</t>
        </is>
      </c>
      <c r="C1123" s="24" t="inlineStr">
        <is>
          <t>인천로컬푸드생산자협동조합</t>
        </is>
      </c>
      <c r="D1123" s="136" t="inlineStr">
        <is>
          <t>131-86-58421</t>
        </is>
      </c>
      <c r="E1123" s="76" t="inlineStr">
        <is>
          <t>[인천직구]강화 벌꿀 꿀벌 먹는 화분 500g</t>
        </is>
      </c>
      <c r="F1123" s="76" t="n">
        <v>0</v>
      </c>
      <c r="G1123" s="146" t="inlineStr">
        <is>
          <t>-</t>
        </is>
      </c>
      <c r="H1123" s="146" t="inlineStr">
        <is>
          <t>-</t>
        </is>
      </c>
    </row>
    <row r="1124" hidden="1" s="21">
      <c r="A1124" s="24" t="inlineStr">
        <is>
          <t>네이버</t>
        </is>
      </c>
      <c r="B1124" s="24" t="inlineStr">
        <is>
          <t>가공식품</t>
        </is>
      </c>
      <c r="C1124" s="24" t="inlineStr">
        <is>
          <t>인천로컬푸드생산자협동조합</t>
        </is>
      </c>
      <c r="D1124" s="136" t="inlineStr">
        <is>
          <t>131-86-58421</t>
        </is>
      </c>
      <c r="E1124" s="76" t="inlineStr">
        <is>
          <t>정들콩전통장세트3종(된장+고추장+간장)</t>
        </is>
      </c>
      <c r="F1124" s="76" t="n">
        <v>0</v>
      </c>
      <c r="G1124" s="146" t="inlineStr">
        <is>
          <t>-</t>
        </is>
      </c>
      <c r="H1124" s="146" t="inlineStr">
        <is>
          <t>-</t>
        </is>
      </c>
    </row>
    <row r="1125" hidden="1" s="21">
      <c r="A1125" s="24" t="inlineStr">
        <is>
          <t>네이버</t>
        </is>
      </c>
      <c r="B1125" s="24" t="inlineStr">
        <is>
          <t>가공식품</t>
        </is>
      </c>
      <c r="C1125" s="24" t="inlineStr">
        <is>
          <t>인천로컬푸드생산자협동조합</t>
        </is>
      </c>
      <c r="D1125" s="136" t="inlineStr">
        <is>
          <t>131-86-58421</t>
        </is>
      </c>
      <c r="E1125" s="76" t="inlineStr">
        <is>
          <t>[인천직구]강화 천연 벌꿀 아카시아꿀 허니스틱 꿀 스틱 선물세트</t>
        </is>
      </c>
      <c r="F1125" s="76" t="n">
        <v>0</v>
      </c>
      <c r="G1125" s="146" t="inlineStr">
        <is>
          <t>-</t>
        </is>
      </c>
      <c r="H1125" s="146" t="inlineStr">
        <is>
          <t>-</t>
        </is>
      </c>
    </row>
    <row r="1126" hidden="1" s="21">
      <c r="A1126" s="24" t="inlineStr">
        <is>
          <t>네이버</t>
        </is>
      </c>
      <c r="B1126" s="24" t="inlineStr">
        <is>
          <t>가공식품</t>
        </is>
      </c>
      <c r="C1126" s="24" t="inlineStr">
        <is>
          <t>인천로컬푸드생산자협동조합</t>
        </is>
      </c>
      <c r="D1126" s="136" t="inlineStr">
        <is>
          <t>131-86-58421</t>
        </is>
      </c>
      <c r="E1126" s="76" t="inlineStr">
        <is>
          <t>[인천직구] 인천드레 강화 천연 벌꿀 아카시아 야생화 잡화 2.4kg</t>
        </is>
      </c>
      <c r="F1126" s="76" t="n">
        <v>1</v>
      </c>
      <c r="G1126" s="146" t="n">
        <v>59000</v>
      </c>
      <c r="H1126" s="146" t="n">
        <v>9440</v>
      </c>
    </row>
    <row r="1127" hidden="1" s="21">
      <c r="A1127" s="24" t="inlineStr">
        <is>
          <t>네이버</t>
        </is>
      </c>
      <c r="B1127" s="24" t="inlineStr">
        <is>
          <t>가공식품</t>
        </is>
      </c>
      <c r="C1127" s="24" t="inlineStr">
        <is>
          <t>인천로컬푸드생산자협동조합</t>
        </is>
      </c>
      <c r="D1127" s="136" t="inlineStr">
        <is>
          <t>131-86-58421</t>
        </is>
      </c>
      <c r="E1127" s="76" t="inlineStr">
        <is>
          <t>[인천직구]천연 벌꿀 2종 선물세트 아카시아꿀 잡화꿀 야생화꿀 추석 답례품</t>
        </is>
      </c>
      <c r="F1127" s="76" t="n">
        <v>0</v>
      </c>
      <c r="G1127" s="146" t="inlineStr">
        <is>
          <t>-</t>
        </is>
      </c>
      <c r="H1127" s="146" t="inlineStr">
        <is>
          <t>-</t>
        </is>
      </c>
    </row>
    <row r="1128" hidden="1" s="21">
      <c r="A1128" s="24" t="inlineStr">
        <is>
          <t>네이버</t>
        </is>
      </c>
      <c r="B1128" s="24" t="inlineStr">
        <is>
          <t>가공식품</t>
        </is>
      </c>
      <c r="C1128" s="24" t="inlineStr">
        <is>
          <t>인천로컬푸드생산자협동조합</t>
        </is>
      </c>
      <c r="D1128" s="136" t="inlineStr">
        <is>
          <t>131-86-58421</t>
        </is>
      </c>
      <c r="E1128" s="76" t="inlineStr">
        <is>
          <t>[인천직구]빚고담고 장아찌 혼합장 1L 만능장</t>
        </is>
      </c>
      <c r="F1128" s="76" t="n">
        <v>0</v>
      </c>
      <c r="G1128" s="146" t="inlineStr">
        <is>
          <t>-</t>
        </is>
      </c>
      <c r="H1128" s="146" t="inlineStr">
        <is>
          <t>-</t>
        </is>
      </c>
    </row>
    <row r="1129" hidden="1" s="21">
      <c r="A1129" s="24" t="inlineStr">
        <is>
          <t>네이버</t>
        </is>
      </c>
      <c r="B1129" s="24" t="inlineStr">
        <is>
          <t>가공식품</t>
        </is>
      </c>
      <c r="C1129" s="24" t="inlineStr">
        <is>
          <t>인천로컬푸드생산자협동조합</t>
        </is>
      </c>
      <c r="D1129" s="136" t="inlineStr">
        <is>
          <t>131-86-58421</t>
        </is>
      </c>
      <c r="E1129" s="76" t="inlineStr">
        <is>
          <t>[인천직구]빚고담고 저염 장아찌 4종 선물세트(셀러리/깻잎/쪽파/순무쭈글이)</t>
        </is>
      </c>
      <c r="F1129" s="76" t="n">
        <v>0</v>
      </c>
      <c r="G1129" s="146" t="inlineStr">
        <is>
          <t>-</t>
        </is>
      </c>
      <c r="H1129" s="146" t="inlineStr">
        <is>
          <t>-</t>
        </is>
      </c>
    </row>
    <row r="1130" hidden="1" s="21">
      <c r="A1130" s="24" t="inlineStr">
        <is>
          <t>네이버</t>
        </is>
      </c>
      <c r="B1130" s="24" t="inlineStr">
        <is>
          <t>농산물</t>
        </is>
      </c>
      <c r="C1130" s="24" t="inlineStr">
        <is>
          <t>새힘성주참외라이프</t>
        </is>
      </c>
      <c r="D1130" s="136" t="inlineStr">
        <is>
          <t>418-98-34367</t>
        </is>
      </c>
      <c r="E1130" s="76" t="inlineStr">
        <is>
          <t>성주참외 프리미엄 선물용 고당도 3kg 5kg 중 대과 꿀참외 산지직송</t>
        </is>
      </c>
      <c r="F1130" s="76" t="n">
        <v>0</v>
      </c>
      <c r="G1130" s="146" t="inlineStr">
        <is>
          <t>-</t>
        </is>
      </c>
      <c r="H1130" s="146" t="inlineStr">
        <is>
          <t>-</t>
        </is>
      </c>
    </row>
    <row r="1131" hidden="1" s="21">
      <c r="A1131" s="24" t="inlineStr">
        <is>
          <t>네이버</t>
        </is>
      </c>
      <c r="B1131" s="24" t="inlineStr">
        <is>
          <t>농산물</t>
        </is>
      </c>
      <c r="C1131" s="24" t="inlineStr">
        <is>
          <t>새힘성주참외라이프</t>
        </is>
      </c>
      <c r="D1131" s="136" t="inlineStr">
        <is>
          <t>418-98-34367</t>
        </is>
      </c>
      <c r="E1131" s="76" t="inlineStr">
        <is>
          <t>(정품A) 성주참외 고당도 꿀참외 대과 고당도 3KG 5KG 선물용 산지직송</t>
        </is>
      </c>
      <c r="F1131" s="76" t="n">
        <v>0</v>
      </c>
      <c r="G1131" s="146" t="inlineStr">
        <is>
          <t>-</t>
        </is>
      </c>
      <c r="H1131" s="146" t="inlineStr">
        <is>
          <t>-</t>
        </is>
      </c>
    </row>
    <row r="1132" hidden="1" s="21">
      <c r="A1132" s="24" t="inlineStr">
        <is>
          <t>네이버</t>
        </is>
      </c>
      <c r="B1132" s="24" t="inlineStr">
        <is>
          <t>농산물</t>
        </is>
      </c>
      <c r="C1132" s="24" t="inlineStr">
        <is>
          <t>새힘성주참외라이프</t>
        </is>
      </c>
      <c r="D1132" s="136" t="inlineStr">
        <is>
          <t>418-98-34367</t>
        </is>
      </c>
      <c r="E1132" s="76" t="inlineStr">
        <is>
          <t>산지직송 고당도 성주 제철 꿀 참외 중과 2kg 3kg 5kg 선물 세트 가정용 못난이</t>
        </is>
      </c>
      <c r="F1132" s="76" t="n">
        <v>0</v>
      </c>
      <c r="G1132" s="146" t="inlineStr">
        <is>
          <t>-</t>
        </is>
      </c>
      <c r="H1132" s="146" t="inlineStr">
        <is>
          <t>-</t>
        </is>
      </c>
    </row>
    <row r="1133" hidden="1" s="21">
      <c r="A1133" s="24" t="inlineStr">
        <is>
          <t>네이버</t>
        </is>
      </c>
      <c r="B1133" s="24" t="inlineStr">
        <is>
          <t>농산물</t>
        </is>
      </c>
      <c r="C1133" s="24" t="inlineStr">
        <is>
          <t>새힘성주참외라이프</t>
        </is>
      </c>
      <c r="D1133" s="136" t="inlineStr">
        <is>
          <t>418-98-34367</t>
        </is>
      </c>
      <c r="E1133" s="76" t="inlineStr">
        <is>
          <t>성주 참외 고당도 꼬마 중과 가정용 당조 2kg</t>
        </is>
      </c>
      <c r="F1133" s="76" t="n">
        <v>1</v>
      </c>
      <c r="G1133" s="146" t="n">
        <v>36900</v>
      </c>
      <c r="H1133" s="146" t="inlineStr">
        <is>
          <t>-</t>
        </is>
      </c>
    </row>
    <row r="1134" hidden="1" s="21">
      <c r="A1134" s="24" t="inlineStr">
        <is>
          <t>네이버</t>
        </is>
      </c>
      <c r="B1134" s="24" t="inlineStr">
        <is>
          <t>농산물</t>
        </is>
      </c>
      <c r="C1134" s="24" t="inlineStr">
        <is>
          <t>새힘성주참외라이프</t>
        </is>
      </c>
      <c r="D1134" s="136" t="inlineStr">
        <is>
          <t>418-98-34367</t>
        </is>
      </c>
      <c r="E1134" s="76" t="inlineStr">
        <is>
          <t>성주참외 중-대과 고당도 실속형 5kg 10kg 꿀참외 선물용 못난이 산지직송</t>
        </is>
      </c>
      <c r="F1134" s="76" t="n">
        <v>0</v>
      </c>
      <c r="G1134" s="146" t="inlineStr">
        <is>
          <t>-</t>
        </is>
      </c>
      <c r="H1134" s="146" t="inlineStr">
        <is>
          <t>-</t>
        </is>
      </c>
    </row>
    <row r="1135" hidden="1" s="21">
      <c r="A1135" s="24" t="inlineStr">
        <is>
          <t>네이버</t>
        </is>
      </c>
      <c r="B1135" s="24" t="inlineStr">
        <is>
          <t>가공식품</t>
        </is>
      </c>
      <c r="C1135" s="24" t="inlineStr">
        <is>
          <t>온드리목장</t>
        </is>
      </c>
      <c r="D1135" s="136" t="inlineStr">
        <is>
          <t>519-33-01006</t>
        </is>
      </c>
      <c r="E1135" s="76" t="inlineStr">
        <is>
          <t>온드리목장 무가당 꾸덕한 그릭요거트 100g x 3개</t>
        </is>
      </c>
      <c r="F1135" s="76" t="n">
        <v>18</v>
      </c>
      <c r="G1135" s="146" t="n">
        <v>260500</v>
      </c>
      <c r="H1135" s="146" t="n">
        <v>6660</v>
      </c>
    </row>
    <row r="1136" hidden="1" s="21">
      <c r="A1136" s="24" t="inlineStr">
        <is>
          <t>네이버</t>
        </is>
      </c>
      <c r="B1136" s="24" t="inlineStr">
        <is>
          <t>가공식품</t>
        </is>
      </c>
      <c r="C1136" s="24" t="inlineStr">
        <is>
          <t>새암농장</t>
        </is>
      </c>
      <c r="D1136" s="136" t="inlineStr">
        <is>
          <t>761-38-00336</t>
        </is>
      </c>
      <c r="E1136" s="76" t="inlineStr">
        <is>
          <t>쌀 그래 초코샌드 리얼 초콜릿 샌드 유기농 쌀과자 사무실간식 아이간식 건강한 과자 글루텐</t>
        </is>
      </c>
      <c r="F1136" s="76" t="n">
        <v>17</v>
      </c>
      <c r="G1136" s="146" t="n">
        <v>325500</v>
      </c>
      <c r="H1136" s="146" t="n">
        <v>39600</v>
      </c>
    </row>
    <row r="1137" hidden="1" s="21">
      <c r="A1137" s="24" t="inlineStr">
        <is>
          <t>네이버</t>
        </is>
      </c>
      <c r="B1137" s="24" t="inlineStr">
        <is>
          <t>가공식품</t>
        </is>
      </c>
      <c r="C1137" s="24" t="inlineStr">
        <is>
          <t>새암농장</t>
        </is>
      </c>
      <c r="D1137" s="136" t="inlineStr">
        <is>
          <t>761-38-00336</t>
        </is>
      </c>
      <c r="E1137" s="76" t="inlineStr">
        <is>
          <t>쌀그래 아몬드 서리태 라이스칩 아몬드 서리태 누룽지 쌀과자 무설탕 저염 아이간식 새암농장</t>
        </is>
      </c>
      <c r="F1137" s="76" t="n">
        <v>2</v>
      </c>
      <c r="G1137" s="146" t="n">
        <v>10500</v>
      </c>
      <c r="H1137" s="146" t="inlineStr">
        <is>
          <t>-</t>
        </is>
      </c>
    </row>
    <row r="1138" hidden="1" s="21">
      <c r="A1138" s="24" t="inlineStr">
        <is>
          <t>네이버</t>
        </is>
      </c>
      <c r="B1138" s="24" t="inlineStr">
        <is>
          <t>가공식품</t>
        </is>
      </c>
      <c r="C1138" s="24" t="inlineStr">
        <is>
          <t>새암농장</t>
        </is>
      </c>
      <c r="D1138" s="136" t="inlineStr">
        <is>
          <t>761-38-00336</t>
        </is>
      </c>
      <c r="E1138" s="76" t="inlineStr">
        <is>
          <t>쌀그래 초코샌드 라이스 칩 선물세트 새암농장 리얼초콜릿 샌드 유기농 쌀과자 282g</t>
        </is>
      </c>
      <c r="F1138" s="76" t="n">
        <v>7</v>
      </c>
      <c r="G1138" s="146" t="n">
        <v>274540</v>
      </c>
      <c r="H1138" s="146" t="n">
        <v>44170</v>
      </c>
    </row>
    <row r="1139" hidden="1" s="21">
      <c r="A1139" s="24" t="inlineStr">
        <is>
          <t>네이버</t>
        </is>
      </c>
      <c r="B1139" s="24" t="inlineStr">
        <is>
          <t>가공식품</t>
        </is>
      </c>
      <c r="C1139" s="24" t="inlineStr">
        <is>
          <t>새암농장</t>
        </is>
      </c>
      <c r="D1139" s="136" t="inlineStr">
        <is>
          <t>761-38-00336</t>
        </is>
      </c>
      <c r="E1139" s="76" t="inlineStr">
        <is>
          <t>버섯 페스토 우마미 깊은 수제 만능 버섯소스 파스타 리조또 주먹밥 이유식 잼대용 180g</t>
        </is>
      </c>
      <c r="F1139" s="76" t="n">
        <v>21</v>
      </c>
      <c r="G1139" s="146" t="n">
        <v>296400</v>
      </c>
      <c r="H1139" s="146" t="n">
        <v>15960</v>
      </c>
    </row>
    <row r="1140" hidden="1" s="21">
      <c r="A1140" s="24" t="inlineStr">
        <is>
          <t>네이버</t>
        </is>
      </c>
      <c r="B1140" s="24" t="inlineStr">
        <is>
          <t>농산물</t>
        </is>
      </c>
      <c r="C1140" s="24" t="inlineStr">
        <is>
          <t>새암농장</t>
        </is>
      </c>
      <c r="D1140" s="136" t="inlineStr">
        <is>
          <t>761-38-00336</t>
        </is>
      </c>
      <c r="E1140" s="76" t="inlineStr">
        <is>
          <t>손질이필요없는 무농약 건목이버섯 새암농장 생 잡채 미루나무 모기 버섯 50g 천연물광팩</t>
        </is>
      </c>
      <c r="F1140" s="76" t="n">
        <v>9</v>
      </c>
      <c r="G1140" s="146" t="n">
        <v>177680</v>
      </c>
      <c r="H1140" s="146" t="n">
        <v>23690</v>
      </c>
    </row>
    <row r="1141" hidden="1" s="21">
      <c r="A1141" s="24" t="inlineStr">
        <is>
          <t>네이버</t>
        </is>
      </c>
      <c r="B1141" s="24" t="inlineStr">
        <is>
          <t>농산물</t>
        </is>
      </c>
      <c r="C1141" s="24" t="inlineStr">
        <is>
          <t>새암농장</t>
        </is>
      </c>
      <c r="D1141" s="136" t="inlineStr">
        <is>
          <t>761-38-00336</t>
        </is>
      </c>
      <c r="E1141" s="76" t="inlineStr">
        <is>
          <t>생목이버섯 500g 손질이필요없는 국내산 친환경 GAP 선물셋트 잡채 건 모기버섯</t>
        </is>
      </c>
      <c r="F1141" s="76" t="n">
        <v>187</v>
      </c>
      <c r="G1141" s="146" t="n">
        <v>3016600</v>
      </c>
      <c r="H1141" s="146" t="n">
        <v>219290</v>
      </c>
    </row>
    <row r="1142" hidden="1" s="21">
      <c r="A1142" s="24" t="inlineStr">
        <is>
          <t>네이버</t>
        </is>
      </c>
      <c r="B1142" s="24" t="inlineStr">
        <is>
          <t>농산물</t>
        </is>
      </c>
      <c r="C1142" s="24" t="inlineStr">
        <is>
          <t>수확의 정석</t>
        </is>
      </c>
      <c r="D1142" s="136" t="inlineStr">
        <is>
          <t>453-94-01880</t>
        </is>
      </c>
      <c r="E1142" s="76" t="inlineStr">
        <is>
          <t>[오이 9kg] [수확의 정석] 스마트팜 GAP 인증 백다다기(약 40개 내외)</t>
        </is>
      </c>
      <c r="F1142" s="76" t="n">
        <v>7</v>
      </c>
      <c r="G1142" s="146" t="n">
        <v>262500</v>
      </c>
      <c r="H1142" s="146" t="n">
        <v>45200</v>
      </c>
    </row>
    <row r="1143" hidden="1" s="21">
      <c r="A1143" s="24" t="inlineStr">
        <is>
          <t>네이버</t>
        </is>
      </c>
      <c r="B1143" s="24" t="inlineStr">
        <is>
          <t>농산물</t>
        </is>
      </c>
      <c r="C1143" s="24" t="inlineStr">
        <is>
          <t>수확의 정석</t>
        </is>
      </c>
      <c r="D1143" s="136" t="inlineStr">
        <is>
          <t>453-94-01880</t>
        </is>
      </c>
      <c r="E1143" s="76" t="inlineStr">
        <is>
          <t>[오이 3kg] [수확의 정석] 스마트팜 GAP 인증 백다다기(약 13~14개)</t>
        </is>
      </c>
      <c r="F1143" s="76" t="n">
        <v>21</v>
      </c>
      <c r="G1143" s="146" t="n">
        <v>349510</v>
      </c>
      <c r="H1143" s="146" t="n">
        <v>40640</v>
      </c>
    </row>
    <row r="1144" hidden="1" s="21">
      <c r="A1144" s="24" t="inlineStr">
        <is>
          <t>네이버</t>
        </is>
      </c>
      <c r="B1144" s="24" t="inlineStr">
        <is>
          <t>농산물</t>
        </is>
      </c>
      <c r="C1144" s="24" t="inlineStr">
        <is>
          <t>수확의 정석</t>
        </is>
      </c>
      <c r="D1144" s="136" t="inlineStr">
        <is>
          <t>453-94-01880</t>
        </is>
      </c>
      <c r="E1144" s="76" t="inlineStr">
        <is>
          <t>[오이 1.5kg] [수확의 정석] 스마트팜 GAP 인증 백다다기(약 6~7개)</t>
        </is>
      </c>
      <c r="F1144" s="76" t="n">
        <v>15</v>
      </c>
      <c r="G1144" s="146" t="n">
        <v>142060</v>
      </c>
      <c r="H1144" s="146" t="n">
        <v>23000</v>
      </c>
    </row>
    <row r="1145" hidden="1" s="21">
      <c r="A1145" s="24" t="inlineStr">
        <is>
          <t>네이버</t>
        </is>
      </c>
      <c r="B1145" s="24" t="inlineStr">
        <is>
          <t>농산물</t>
        </is>
      </c>
      <c r="C1145" s="24" t="inlineStr">
        <is>
          <t>여주시농협조합공동사업법인</t>
        </is>
      </c>
      <c r="D1145" s="136" t="inlineStr">
        <is>
          <t>126-82-11620</t>
        </is>
      </c>
      <c r="E1145" s="76" t="inlineStr">
        <is>
          <t>[농할쿠폰] 대왕님표 여주쌀 진상미 25년산 상등급 당일도정 10kg 1개</t>
        </is>
      </c>
      <c r="F1145" s="76" t="n">
        <v>9084</v>
      </c>
      <c r="G1145" s="146" t="n">
        <v>383431000</v>
      </c>
      <c r="H1145" s="146" t="n">
        <v>4684290</v>
      </c>
    </row>
    <row r="1146" hidden="1" s="21">
      <c r="A1146" s="24" t="inlineStr">
        <is>
          <t>네이버</t>
        </is>
      </c>
      <c r="B1146" s="24" t="inlineStr">
        <is>
          <t>농산물</t>
        </is>
      </c>
      <c r="C1146" s="24" t="inlineStr">
        <is>
          <t>여주시농협조합공동사업법인</t>
        </is>
      </c>
      <c r="D1146" s="136" t="inlineStr">
        <is>
          <t>126-82-11620</t>
        </is>
      </c>
      <c r="E1146" s="76" t="inlineStr">
        <is>
          <t>여주시농협RPC 대왕님표 여주쌀 진상미 25년산 상등급 당일도정 10kg 2개</t>
        </is>
      </c>
      <c r="F1146" s="76" t="n">
        <v>815</v>
      </c>
      <c r="G1146" s="146" t="n">
        <v>85026100</v>
      </c>
      <c r="H1146" s="146" t="n">
        <v>350000</v>
      </c>
    </row>
    <row r="1147" hidden="1" s="21">
      <c r="A1147" s="24" t="inlineStr">
        <is>
          <t>네이버</t>
        </is>
      </c>
      <c r="B1147" s="24" t="inlineStr">
        <is>
          <t>농산물</t>
        </is>
      </c>
      <c r="C1147" s="24" t="inlineStr">
        <is>
          <t>여주시농협조합공동사업법인</t>
        </is>
      </c>
      <c r="D1147" s="136" t="inlineStr">
        <is>
          <t>126-82-11620</t>
        </is>
      </c>
      <c r="E1147" s="76" t="inlineStr">
        <is>
          <t>[농할쿠폰] 대왕님표 여주쌀 진상 현미 25년산 당일도정 10kg 1개</t>
        </is>
      </c>
      <c r="F1147" s="76" t="n">
        <v>393</v>
      </c>
      <c r="G1147" s="146" t="n">
        <v>16624600</v>
      </c>
      <c r="H1147" s="146" t="n">
        <v>51600</v>
      </c>
    </row>
    <row r="1148" hidden="1" s="21">
      <c r="A1148" s="24" t="inlineStr">
        <is>
          <t>네이버</t>
        </is>
      </c>
      <c r="B1148" s="24" t="inlineStr">
        <is>
          <t>농산물</t>
        </is>
      </c>
      <c r="C1148" s="24" t="inlineStr">
        <is>
          <t>여주시농협조합공동사업법인</t>
        </is>
      </c>
      <c r="D1148" s="136" t="inlineStr">
        <is>
          <t>126-82-11620</t>
        </is>
      </c>
      <c r="E1148" s="76" t="inlineStr">
        <is>
          <t>여주시농협RPC 대왕님표 여주쌀 진상 현미 25년산 당일도정 10kg 2개</t>
        </is>
      </c>
      <c r="F1148" s="76" t="n">
        <v>7</v>
      </c>
      <c r="G1148" s="146" t="n">
        <v>564100</v>
      </c>
      <c r="H1148" s="146" t="inlineStr">
        <is>
          <t>-</t>
        </is>
      </c>
    </row>
    <row r="1149" hidden="1" s="21">
      <c r="A1149" s="24" t="inlineStr">
        <is>
          <t>네이버</t>
        </is>
      </c>
      <c r="B1149" s="24" t="inlineStr">
        <is>
          <t>가공식품</t>
        </is>
      </c>
      <c r="C1149" s="24" t="inlineStr">
        <is>
          <t>의령부자망개떡</t>
        </is>
      </c>
      <c r="D1149" s="136" t="inlineStr">
        <is>
          <t>608-18-95776</t>
        </is>
      </c>
      <c r="E1149" s="76" t="inlineStr">
        <is>
          <t>선물하기 좋은 국산팥을 사용한 수제 의령 부자 망개떡 40개</t>
        </is>
      </c>
      <c r="F1149" s="76" t="n">
        <v>90</v>
      </c>
      <c r="G1149" s="146" t="n">
        <v>3102000</v>
      </c>
      <c r="H1149" s="146" t="n">
        <v>361870</v>
      </c>
    </row>
    <row r="1150" hidden="1" s="21">
      <c r="A1150" s="24" t="inlineStr">
        <is>
          <t>네이버</t>
        </is>
      </c>
      <c r="B1150" s="24" t="inlineStr">
        <is>
          <t>가공식품</t>
        </is>
      </c>
      <c r="C1150" s="24" t="inlineStr">
        <is>
          <t>의령부자망개떡</t>
        </is>
      </c>
      <c r="D1150" s="136" t="inlineStr">
        <is>
          <t>608-18-95776</t>
        </is>
      </c>
      <c r="E1150" s="76" t="inlineStr">
        <is>
          <t>수리취 의령망개떡 40개</t>
        </is>
      </c>
      <c r="F1150" s="76" t="n">
        <v>4</v>
      </c>
      <c r="G1150" s="146" t="n">
        <v>108000</v>
      </c>
      <c r="H1150" s="146" t="n">
        <v>18000</v>
      </c>
    </row>
    <row r="1151" hidden="1" s="21">
      <c r="A1151" s="24" t="inlineStr">
        <is>
          <t>네이버</t>
        </is>
      </c>
      <c r="B1151" s="24" t="inlineStr">
        <is>
          <t>가공식품</t>
        </is>
      </c>
      <c r="C1151" s="24" t="inlineStr">
        <is>
          <t>의령부자망개떡</t>
        </is>
      </c>
      <c r="D1151" s="136" t="inlineStr">
        <is>
          <t>608-18-95776</t>
        </is>
      </c>
      <c r="E1151" s="76" t="inlineStr">
        <is>
          <t>사탕수수 원당으로 숙성하고 국산 생강으로 착즙한 부자생강청 520g</t>
        </is>
      </c>
      <c r="F1151" s="76" t="n">
        <v>1</v>
      </c>
      <c r="G1151" s="146" t="n">
        <v>40000</v>
      </c>
      <c r="H1151" s="146" t="n">
        <v>8000</v>
      </c>
    </row>
    <row r="1152" hidden="1" s="21">
      <c r="A1152" s="24" t="inlineStr">
        <is>
          <t>네이버</t>
        </is>
      </c>
      <c r="B1152" s="24" t="inlineStr">
        <is>
          <t>농산물</t>
        </is>
      </c>
      <c r="C1152" s="24" t="inlineStr">
        <is>
          <t>성주참외보화농장</t>
        </is>
      </c>
      <c r="D1152" s="136" t="inlineStr">
        <is>
          <t>519-93-00689</t>
        </is>
      </c>
      <c r="E1152" s="76" t="inlineStr">
        <is>
          <t>성주참외 프리미엄 특품 꿀 참외 중과 선물용 고당도 2kg 3kg 5kg</t>
        </is>
      </c>
      <c r="F1152" s="76" t="n">
        <v>53</v>
      </c>
      <c r="G1152" s="146" t="n">
        <v>1450100</v>
      </c>
      <c r="H1152" s="146" t="n">
        <v>144400</v>
      </c>
    </row>
    <row r="1153" hidden="1" s="21">
      <c r="A1153" s="24" t="inlineStr">
        <is>
          <t>네이버</t>
        </is>
      </c>
      <c r="B1153" s="24" t="inlineStr">
        <is>
          <t>농산물</t>
        </is>
      </c>
      <c r="C1153" s="24" t="inlineStr">
        <is>
          <t>성주참외보화농장</t>
        </is>
      </c>
      <c r="D1153" s="136" t="inlineStr">
        <is>
          <t>519-93-00689</t>
        </is>
      </c>
      <c r="E1153" s="76" t="inlineStr">
        <is>
          <t>성주 참외 10kg 프리미엄 특품 중과 고당도 꿀 참외 보화 농장 산지 직송</t>
        </is>
      </c>
      <c r="F1153" s="76" t="n">
        <v>8</v>
      </c>
      <c r="G1153" s="146" t="n">
        <v>361930</v>
      </c>
      <c r="H1153" s="146" t="n">
        <v>18240</v>
      </c>
    </row>
    <row r="1154" hidden="1" s="21">
      <c r="A1154" s="24" t="inlineStr">
        <is>
          <t>네이버</t>
        </is>
      </c>
      <c r="B1154" s="24" t="inlineStr">
        <is>
          <t>농산물</t>
        </is>
      </c>
      <c r="C1154" s="24" t="inlineStr">
        <is>
          <t>성주참외보화농장</t>
        </is>
      </c>
      <c r="D1154" s="136" t="inlineStr">
        <is>
          <t>519-93-00689</t>
        </is>
      </c>
      <c r="E1154" s="76" t="inlineStr">
        <is>
          <t>성주참외 2kg 3kg 5kg 10kg 가정용 비품 고당도 꿀참외 보화농장 산지직송</t>
        </is>
      </c>
      <c r="F1154" s="76" t="n">
        <v>26</v>
      </c>
      <c r="G1154" s="146" t="n">
        <v>692980</v>
      </c>
      <c r="H1154" s="146" t="n">
        <v>47980</v>
      </c>
    </row>
    <row r="1155" hidden="1" s="21">
      <c r="A1155" s="24" t="inlineStr">
        <is>
          <t>네이버</t>
        </is>
      </c>
      <c r="B1155" s="24" t="inlineStr">
        <is>
          <t>가공식품</t>
        </is>
      </c>
      <c r="C1155" s="24" t="inlineStr">
        <is>
          <t>신기농원</t>
        </is>
      </c>
      <c r="D1155" s="136" t="inlineStr">
        <is>
          <t>540-25-00229</t>
        </is>
      </c>
      <c r="E1155" s="76" t="inlineStr">
        <is>
          <t>애플링 국산 동결건조 사과칩·배칩 무첨가 건강간식 어린이 유아</t>
        </is>
      </c>
      <c r="F1155" s="76" t="n">
        <v>32</v>
      </c>
      <c r="G1155" s="146" t="n">
        <v>1759500</v>
      </c>
      <c r="H1155" s="146" t="n">
        <v>104880</v>
      </c>
    </row>
    <row r="1156" hidden="1" s="21">
      <c r="A1156" s="24" t="inlineStr">
        <is>
          <t>네이버</t>
        </is>
      </c>
      <c r="B1156" s="24" t="inlineStr">
        <is>
          <t>농산물</t>
        </is>
      </c>
      <c r="C1156" s="24" t="inlineStr">
        <is>
          <t>신기농원</t>
        </is>
      </c>
      <c r="D1156" s="136" t="inlineStr">
        <is>
          <t>540-25-00229</t>
        </is>
      </c>
      <c r="E1156" s="76" t="inlineStr">
        <is>
          <t>[신기농원]땡글땡글 문경 햇체리 1kg</t>
        </is>
      </c>
      <c r="F1156" s="76" t="n">
        <v>3</v>
      </c>
      <c r="G1156" s="146" t="n">
        <v>119600</v>
      </c>
      <c r="H1156" s="146" t="n">
        <v>15980</v>
      </c>
    </row>
    <row r="1157" hidden="1" s="21">
      <c r="A1157" s="24" t="inlineStr">
        <is>
          <t>네이버</t>
        </is>
      </c>
      <c r="B1157" s="24" t="inlineStr">
        <is>
          <t>가공식품</t>
        </is>
      </c>
      <c r="C1157" s="24" t="inlineStr">
        <is>
          <t>신기농원</t>
        </is>
      </c>
      <c r="D1157" s="136" t="inlineStr">
        <is>
          <t>540-25-00229</t>
        </is>
      </c>
      <c r="E1157" s="76" t="inlineStr">
        <is>
          <t>애플링 딸기칩 10봉 국산100% 동결건조 / 아기부터 온가족 건강간식</t>
        </is>
      </c>
      <c r="F1157" s="76" t="n">
        <v>89</v>
      </c>
      <c r="G1157" s="146" t="n">
        <v>3591460</v>
      </c>
      <c r="H1157" s="146" t="n">
        <v>432940</v>
      </c>
    </row>
    <row r="1158" hidden="1" s="21">
      <c r="A1158" s="24" t="inlineStr">
        <is>
          <t>네이버</t>
        </is>
      </c>
      <c r="B1158" s="24" t="inlineStr">
        <is>
          <t>가공식품</t>
        </is>
      </c>
      <c r="C1158" s="24" t="inlineStr">
        <is>
          <t>신기농원</t>
        </is>
      </c>
      <c r="D1158" s="136" t="inlineStr">
        <is>
          <t>540-25-00229</t>
        </is>
      </c>
      <c r="E1158" s="76" t="inlineStr">
        <is>
          <t>애플링 동결건조 사과 배칩20g 딸기칩15g 3팩 국산100% 무첨가 간식</t>
        </is>
      </c>
      <c r="F1158" s="76" t="n">
        <v>240</v>
      </c>
      <c r="G1158" s="146" t="n">
        <v>4341850</v>
      </c>
      <c r="H1158" s="146" t="n">
        <v>387360</v>
      </c>
    </row>
    <row r="1159" hidden="1" s="21">
      <c r="A1159" s="24" t="inlineStr">
        <is>
          <t>네이버</t>
        </is>
      </c>
      <c r="B1159" s="24" t="inlineStr">
        <is>
          <t>가공식품</t>
        </is>
      </c>
      <c r="C1159" s="24" t="inlineStr">
        <is>
          <t>신기농원</t>
        </is>
      </c>
      <c r="D1159" s="136" t="inlineStr">
        <is>
          <t>540-25-00229</t>
        </is>
      </c>
      <c r="E1159" s="76" t="inlineStr">
        <is>
          <t>애플링 국내산 동결건조 사과칩 20g x3봉/ 아기간식 건강과일간식</t>
        </is>
      </c>
      <c r="F1159" s="76" t="n">
        <v>11</v>
      </c>
      <c r="G1159" s="146" t="n">
        <v>182100</v>
      </c>
      <c r="H1159" s="146" t="n">
        <v>6600</v>
      </c>
    </row>
    <row r="1160" hidden="1" s="21">
      <c r="A1160" s="24" t="inlineStr">
        <is>
          <t>네이버</t>
        </is>
      </c>
      <c r="B1160" s="24" t="inlineStr">
        <is>
          <t>가공식품</t>
        </is>
      </c>
      <c r="C1160" s="24" t="inlineStr">
        <is>
          <t>신기농원</t>
        </is>
      </c>
      <c r="D1160" s="136" t="inlineStr">
        <is>
          <t>540-25-00229</t>
        </is>
      </c>
      <c r="E1160" s="76" t="inlineStr">
        <is>
          <t>애플링 국산 동결건조 사과칩·배칩 자유구성 / 유아 휴대용 건강간식</t>
        </is>
      </c>
      <c r="F1160" s="76" t="n">
        <v>29</v>
      </c>
      <c r="G1160" s="146" t="n">
        <v>1033220</v>
      </c>
      <c r="H1160" s="146" t="n">
        <v>76360</v>
      </c>
    </row>
    <row r="1161" hidden="1" s="21">
      <c r="A1161" s="24" t="inlineStr">
        <is>
          <t>네이버</t>
        </is>
      </c>
      <c r="B1161" s="24" t="inlineStr">
        <is>
          <t>가공식품</t>
        </is>
      </c>
      <c r="C1161" s="24" t="inlineStr">
        <is>
          <t>신기농원</t>
        </is>
      </c>
      <c r="D1161" s="136" t="inlineStr">
        <is>
          <t>540-25-00229</t>
        </is>
      </c>
      <c r="E1161" s="76" t="inlineStr">
        <is>
          <t>애플링 국산 동결건조 배칩 3팩 / 무첨가 건강간식 아기간식</t>
        </is>
      </c>
      <c r="F1161" s="76" t="n">
        <v>3</v>
      </c>
      <c r="G1161" s="146" t="n">
        <v>33000</v>
      </c>
      <c r="H1161" s="146" t="n">
        <v>2200</v>
      </c>
    </row>
    <row r="1162" hidden="1" s="21">
      <c r="A1162" s="24" t="inlineStr">
        <is>
          <t>네이버</t>
        </is>
      </c>
      <c r="B1162" s="24" t="inlineStr">
        <is>
          <t>가공식품</t>
        </is>
      </c>
      <c r="C1162" s="24" t="inlineStr">
        <is>
          <t>신기농원</t>
        </is>
      </c>
      <c r="D1162" s="136" t="inlineStr">
        <is>
          <t>540-25-00229</t>
        </is>
      </c>
      <c r="E1162" s="76" t="inlineStr">
        <is>
          <t>애플링 국산 딸기칩3봉 무첨가 동결건조 과일칩 어린이 유아 건강간식</t>
        </is>
      </c>
      <c r="F1162" s="76" t="n">
        <v>21</v>
      </c>
      <c r="G1162" s="146" t="n">
        <v>375700</v>
      </c>
      <c r="H1162" s="146" t="n">
        <v>34200</v>
      </c>
    </row>
    <row r="1163" hidden="1" s="21">
      <c r="A1163" s="24" t="inlineStr">
        <is>
          <t>네이버</t>
        </is>
      </c>
      <c r="B1163" s="24" t="inlineStr">
        <is>
          <t>가공식품</t>
        </is>
      </c>
      <c r="C1163" s="24" t="inlineStr">
        <is>
          <t>신기농원</t>
        </is>
      </c>
      <c r="D1163" s="136" t="inlineStr">
        <is>
          <t>540-25-00229</t>
        </is>
      </c>
      <c r="E1163" s="76" t="inlineStr">
        <is>
          <t>애플링 하루 한 팩 모듬과일칩 4g 사과·배·딸기혼합/국산 동결건조 /어린이 건강간식</t>
        </is>
      </c>
      <c r="F1163" s="76" t="n">
        <v>5</v>
      </c>
      <c r="G1163" s="146" t="n">
        <v>96900</v>
      </c>
      <c r="H1163" s="146" t="inlineStr">
        <is>
          <t>-</t>
        </is>
      </c>
    </row>
    <row r="1164" hidden="1" s="21">
      <c r="A1164" s="24" t="inlineStr">
        <is>
          <t>네이버</t>
        </is>
      </c>
      <c r="B1164" s="24" t="inlineStr">
        <is>
          <t>가공식품</t>
        </is>
      </c>
      <c r="C1164" s="24" t="inlineStr">
        <is>
          <t>신기농원</t>
        </is>
      </c>
      <c r="D1164" s="136" t="inlineStr">
        <is>
          <t>540-25-00229</t>
        </is>
      </c>
      <c r="E1164" s="76" t="inlineStr">
        <is>
          <t>애플링 국산 동결건조 사과·배칩 3팩 자유선택 유아 어린이 건강간식 .다이어트</t>
        </is>
      </c>
      <c r="F1164" s="76" t="n">
        <v>20</v>
      </c>
      <c r="G1164" s="146" t="n">
        <v>310200</v>
      </c>
      <c r="H1164" s="146" t="n">
        <v>33000</v>
      </c>
    </row>
    <row r="1165" hidden="1" s="21">
      <c r="A1165" s="24" t="inlineStr">
        <is>
          <t>네이버</t>
        </is>
      </c>
      <c r="B1165" s="24" t="inlineStr">
        <is>
          <t>가공식품</t>
        </is>
      </c>
      <c r="C1165" s="24" t="inlineStr">
        <is>
          <t>농업회사법인 혜성주식회사</t>
        </is>
      </c>
      <c r="D1165" s="136" t="inlineStr">
        <is>
          <t>834-86-00464</t>
        </is>
      </c>
      <c r="E1165" s="76" t="inlineStr">
        <is>
          <t>답운농장 큰며느리 유기농고춧가루 250g</t>
        </is>
      </c>
      <c r="F1165" s="76" t="n">
        <v>1</v>
      </c>
      <c r="G1165" s="146" t="n">
        <v>44000</v>
      </c>
      <c r="H1165" s="146" t="n">
        <v>8800</v>
      </c>
    </row>
    <row r="1166" hidden="1" s="21">
      <c r="A1166" s="24" t="inlineStr">
        <is>
          <t>네이버</t>
        </is>
      </c>
      <c r="B1166" s="24" t="inlineStr">
        <is>
          <t>가공식품</t>
        </is>
      </c>
      <c r="C1166" s="24" t="inlineStr">
        <is>
          <t>농업회사법인 혜성주식회사</t>
        </is>
      </c>
      <c r="D1166" s="136" t="inlineStr">
        <is>
          <t>834-86-00464</t>
        </is>
      </c>
      <c r="E1166" s="76" t="inlineStr">
        <is>
          <t>울진군 해풍맞은 벌집꿀 [사양벌꿀] 450g</t>
        </is>
      </c>
      <c r="F1166" s="76" t="n">
        <v>0</v>
      </c>
      <c r="G1166" s="146" t="inlineStr">
        <is>
          <t>-</t>
        </is>
      </c>
      <c r="H1166" s="146" t="inlineStr">
        <is>
          <t>-</t>
        </is>
      </c>
    </row>
    <row r="1167" hidden="1" s="21">
      <c r="A1167" s="24" t="inlineStr">
        <is>
          <t>네이버</t>
        </is>
      </c>
      <c r="B1167" s="24" t="inlineStr">
        <is>
          <t>가공식품</t>
        </is>
      </c>
      <c r="C1167" s="24" t="inlineStr">
        <is>
          <t>농업회사법인 혜성주식회사</t>
        </is>
      </c>
      <c r="D1167" s="136" t="inlineStr">
        <is>
          <t>834-86-00464</t>
        </is>
      </c>
      <c r="E1167" s="76" t="inlineStr">
        <is>
          <t>답운농장 큰며느리가 정성으로 만든 영양가득 [홍삼누룽지외 5종 세트상품 ]</t>
        </is>
      </c>
      <c r="F1167" s="76" t="n">
        <v>0</v>
      </c>
      <c r="G1167" s="146" t="inlineStr">
        <is>
          <t>-</t>
        </is>
      </c>
      <c r="H1167" s="146" t="inlineStr">
        <is>
          <t>-</t>
        </is>
      </c>
    </row>
    <row r="1168" hidden="1" s="21">
      <c r="A1168" s="24" t="inlineStr">
        <is>
          <t>네이버</t>
        </is>
      </c>
      <c r="B1168" s="24" t="inlineStr">
        <is>
          <t>가공식품</t>
        </is>
      </c>
      <c r="C1168" s="24" t="inlineStr">
        <is>
          <t>농업회사법인 혜성주식회사</t>
        </is>
      </c>
      <c r="D1168" s="136" t="inlineStr">
        <is>
          <t>834-86-00464</t>
        </is>
      </c>
      <c r="E1168" s="76" t="inlineStr">
        <is>
          <t>답운농장 큰며느리 차3종세트 20티백 3종 세트</t>
        </is>
      </c>
      <c r="F1168" s="76" t="n">
        <v>2</v>
      </c>
      <c r="G1168" s="146" t="n">
        <v>40000</v>
      </c>
      <c r="H1168" s="146" t="inlineStr">
        <is>
          <t>-</t>
        </is>
      </c>
    </row>
    <row r="1169" hidden="1" s="21">
      <c r="A1169" s="24" t="inlineStr">
        <is>
          <t>네이버</t>
        </is>
      </c>
      <c r="B1169" s="24" t="inlineStr">
        <is>
          <t>가공식품</t>
        </is>
      </c>
      <c r="C1169" s="24" t="inlineStr">
        <is>
          <t>농업회사법인 혜성주식회사</t>
        </is>
      </c>
      <c r="D1169" s="136" t="inlineStr">
        <is>
          <t>834-86-00464</t>
        </is>
      </c>
      <c r="E1169" s="76" t="inlineStr">
        <is>
          <t>울진군 해풍맞은 스틱벌꿀 [토종벌꿀] 1포 10g이상 총30개 스틱</t>
        </is>
      </c>
      <c r="F1169" s="76" t="n">
        <v>1</v>
      </c>
      <c r="G1169" s="146" t="n">
        <v>90000</v>
      </c>
      <c r="H1169" s="146" t="inlineStr">
        <is>
          <t>-</t>
        </is>
      </c>
    </row>
    <row r="1170" hidden="1" s="21">
      <c r="A1170" s="24" t="inlineStr">
        <is>
          <t>네이버</t>
        </is>
      </c>
      <c r="B1170" s="24" t="inlineStr">
        <is>
          <t>농산물</t>
        </is>
      </c>
      <c r="C1170" s="24" t="inlineStr">
        <is>
          <t>달아유과수원</t>
        </is>
      </c>
      <c r="D1170" s="136" t="inlineStr">
        <is>
          <t>821-15-02618</t>
        </is>
      </c>
      <c r="E1170" s="76" t="inlineStr">
        <is>
          <t>달과 복숭아 1.5kg | 특대과 5~7입 | 프리미엄 백도 | 선물용</t>
        </is>
      </c>
      <c r="F1170" s="76" t="n">
        <v>82</v>
      </c>
      <c r="G1170" s="146" t="n">
        <v>2990300</v>
      </c>
      <c r="H1170" s="146" t="n">
        <v>199940</v>
      </c>
    </row>
    <row r="1171" hidden="1" s="21">
      <c r="A1171" s="24" t="inlineStr">
        <is>
          <t>네이버</t>
        </is>
      </c>
      <c r="B1171" s="24" t="inlineStr">
        <is>
          <t>농산물</t>
        </is>
      </c>
      <c r="C1171" s="24" t="inlineStr">
        <is>
          <t>현대농장 수퍼방토</t>
        </is>
      </c>
      <c r="D1171" s="136" t="inlineStr">
        <is>
          <t>586-91-01888</t>
        </is>
      </c>
      <c r="E1171" s="76" t="inlineStr">
        <is>
          <t>대추방울토마토 GAP 신선한 산지직송 3kg 1.5kg 로얄과 현대농장 방울 토마토</t>
        </is>
      </c>
      <c r="F1171" s="76" t="n">
        <v>278</v>
      </c>
      <c r="G1171" s="146" t="n">
        <v>5079090</v>
      </c>
      <c r="H1171" s="146" t="n">
        <v>562140</v>
      </c>
    </row>
    <row r="1172" hidden="1" s="21">
      <c r="A1172" s="24" t="inlineStr">
        <is>
          <t>네이버</t>
        </is>
      </c>
      <c r="B1172" s="24" t="inlineStr">
        <is>
          <t>농산물</t>
        </is>
      </c>
      <c r="C1172" s="24" t="inlineStr">
        <is>
          <t>현대농장 수퍼방토</t>
        </is>
      </c>
      <c r="D1172" s="136" t="inlineStr">
        <is>
          <t>586-91-01888</t>
        </is>
      </c>
      <c r="E1172" s="76" t="inlineStr">
        <is>
          <t>GAP 현대농장 수퍼방토 1.5kg 산지직송 신선보장 대추 방울 토마토</t>
        </is>
      </c>
      <c r="F1172" s="76" t="n">
        <v>18</v>
      </c>
      <c r="G1172" s="146" t="n">
        <v>193500</v>
      </c>
      <c r="H1172" s="146" t="n">
        <v>19160</v>
      </c>
    </row>
    <row r="1173" hidden="1" s="21">
      <c r="A1173" s="24" t="inlineStr">
        <is>
          <t>네이버</t>
        </is>
      </c>
      <c r="B1173" s="24" t="inlineStr">
        <is>
          <t>농산물</t>
        </is>
      </c>
      <c r="C1173" s="24" t="inlineStr">
        <is>
          <t>현대농장 수퍼방토</t>
        </is>
      </c>
      <c r="D1173" s="136" t="inlineStr">
        <is>
          <t>586-91-01888</t>
        </is>
      </c>
      <c r="E1173" s="76" t="inlineStr">
        <is>
          <t>오색 대추 방울 토마토 GAP 3kg 1.5kg 현대농장 수퍼방토</t>
        </is>
      </c>
      <c r="F1173" s="76" t="n">
        <v>9</v>
      </c>
      <c r="G1173" s="146" t="n">
        <v>215500</v>
      </c>
      <c r="H1173" s="146" t="n">
        <v>19200</v>
      </c>
    </row>
    <row r="1174" hidden="1" s="21">
      <c r="A1174" s="24" t="inlineStr">
        <is>
          <t>네이버</t>
        </is>
      </c>
      <c r="B1174" s="24" t="inlineStr">
        <is>
          <t>농산물</t>
        </is>
      </c>
      <c r="C1174" s="24" t="inlineStr">
        <is>
          <t>현대농장 수퍼방토</t>
        </is>
      </c>
      <c r="D1174" s="136" t="inlineStr">
        <is>
          <t>586-91-01888</t>
        </is>
      </c>
      <c r="E1174" s="76" t="inlineStr">
        <is>
          <t>1.5kg - mix 오색+빨강 대추 방울 토마토 GAP 현대농장 수퍼방토</t>
        </is>
      </c>
      <c r="F1174" s="76" t="n">
        <v>3</v>
      </c>
      <c r="G1174" s="146" t="n">
        <v>35500</v>
      </c>
      <c r="H1174" s="146" t="n">
        <v>2400</v>
      </c>
    </row>
    <row r="1175" hidden="1" s="21">
      <c r="A1175" s="24" t="inlineStr">
        <is>
          <t>네이버</t>
        </is>
      </c>
      <c r="B1175" s="24" t="inlineStr">
        <is>
          <t>농산물</t>
        </is>
      </c>
      <c r="C1175" s="24" t="inlineStr">
        <is>
          <t>쌈바쌈바</t>
        </is>
      </c>
      <c r="D1175" s="136" t="inlineStr">
        <is>
          <t>505-21-96189</t>
        </is>
      </c>
      <c r="E1175" s="76" t="inlineStr">
        <is>
          <t>수경재배 당일수확 청상추 2kg 4kg [원산지 - 경남 고성]</t>
        </is>
      </c>
      <c r="F1175" s="76" t="n">
        <v>301</v>
      </c>
      <c r="G1175" s="146" t="n">
        <v>7819500</v>
      </c>
      <c r="H1175" s="146" t="n">
        <v>814500</v>
      </c>
    </row>
    <row r="1176" hidden="1" s="21">
      <c r="A1176" s="24" t="inlineStr">
        <is>
          <t>네이버</t>
        </is>
      </c>
      <c r="B1176" s="24" t="inlineStr">
        <is>
          <t>농산물</t>
        </is>
      </c>
      <c r="C1176" s="24" t="inlineStr">
        <is>
          <t>쌈바쌈바</t>
        </is>
      </c>
      <c r="D1176" s="136" t="inlineStr">
        <is>
          <t>505-21-96189</t>
        </is>
      </c>
      <c r="E1176" s="76" t="inlineStr">
        <is>
          <t>수경재배 당일수확 꽃상추 2kg 4kg [원산지 - 경남 고성]</t>
        </is>
      </c>
      <c r="F1176" s="76" t="n">
        <v>24</v>
      </c>
      <c r="G1176" s="146" t="n">
        <v>536500</v>
      </c>
      <c r="H1176" s="146" t="n">
        <v>30260</v>
      </c>
    </row>
    <row r="1177" hidden="1" s="21">
      <c r="A1177" s="24" t="inlineStr">
        <is>
          <t>네이버</t>
        </is>
      </c>
      <c r="B1177" s="24" t="inlineStr">
        <is>
          <t>농산물</t>
        </is>
      </c>
      <c r="C1177" s="24" t="inlineStr">
        <is>
          <t>제주점순이네</t>
        </is>
      </c>
      <c r="D1177" s="136" t="inlineStr">
        <is>
          <t>372-94-01830</t>
        </is>
      </c>
      <c r="E1177" s="76" t="inlineStr">
        <is>
          <t>제주 미니밤단호박 못난이단호박 하우스단호박 1kg 2kg 3kg 5kg 10kg 가정용 산지직송</t>
        </is>
      </c>
      <c r="F1177" s="76" t="n">
        <v>73</v>
      </c>
      <c r="G1177" s="146" t="n">
        <v>2527000</v>
      </c>
      <c r="H1177" s="146" t="n">
        <v>174580</v>
      </c>
    </row>
    <row r="1178" hidden="1" s="21">
      <c r="A1178" s="24" t="inlineStr">
        <is>
          <t>네이버</t>
        </is>
      </c>
      <c r="B1178" s="24" t="inlineStr">
        <is>
          <t>농산물</t>
        </is>
      </c>
      <c r="C1178" s="24" t="inlineStr">
        <is>
          <t>제주점순이네</t>
        </is>
      </c>
      <c r="D1178" s="136" t="inlineStr">
        <is>
          <t>372-94-01830</t>
        </is>
      </c>
      <c r="E1178" s="76" t="inlineStr">
        <is>
          <t>[제주점순이네]제주 대정 마늘 햇마늘 알마늘 1kg 2.5kg 4.5kg 9kg</t>
        </is>
      </c>
      <c r="F1178" s="76" t="n">
        <v>23</v>
      </c>
      <c r="G1178" s="146" t="n">
        <v>1184000</v>
      </c>
      <c r="H1178" s="146" t="n">
        <v>73600</v>
      </c>
    </row>
    <row r="1179" hidden="1" s="21">
      <c r="A1179" s="24" t="inlineStr">
        <is>
          <t>네이버</t>
        </is>
      </c>
      <c r="B1179" s="24" t="inlineStr">
        <is>
          <t>농산물</t>
        </is>
      </c>
      <c r="C1179" s="24" t="inlineStr">
        <is>
          <t>제주점순이네</t>
        </is>
      </c>
      <c r="D1179" s="136" t="inlineStr">
        <is>
          <t>372-94-01830</t>
        </is>
      </c>
      <c r="E1179" s="76" t="inlineStr">
        <is>
          <t>쪽파 종구 10kg 쪽파 종구 10kg 1개</t>
        </is>
      </c>
      <c r="F1179" s="76" t="n">
        <v>0</v>
      </c>
      <c r="G1179" s="146" t="inlineStr">
        <is>
          <t>-</t>
        </is>
      </c>
      <c r="H1179" s="146" t="inlineStr">
        <is>
          <t>-</t>
        </is>
      </c>
    </row>
    <row r="1180" hidden="1" s="21">
      <c r="A1180" s="24" t="inlineStr">
        <is>
          <t>네이버</t>
        </is>
      </c>
      <c r="B1180" s="24" t="inlineStr">
        <is>
          <t>농산물</t>
        </is>
      </c>
      <c r="C1180" s="24" t="inlineStr">
        <is>
          <t>파밍데이즈</t>
        </is>
      </c>
      <c r="D1180" s="136" t="inlineStr">
        <is>
          <t>888-94-01728</t>
        </is>
      </c>
      <c r="E1180" s="76" t="inlineStr">
        <is>
          <t>산지직송 달콤한 코코벨 대추방울토마토 [GAP] 하루방토 파밍데이즈 로얄과 1kg 2kg</t>
        </is>
      </c>
      <c r="F1180" s="76" t="n">
        <v>30</v>
      </c>
      <c r="G1180" s="146" t="n">
        <v>599700</v>
      </c>
      <c r="H1180" s="146" t="n">
        <v>33980</v>
      </c>
    </row>
    <row r="1181" hidden="1" s="21">
      <c r="A1181" s="24" t="inlineStr">
        <is>
          <t>네이버</t>
        </is>
      </c>
      <c r="B1181" s="24" t="inlineStr">
        <is>
          <t>가공식품</t>
        </is>
      </c>
      <c r="C1181" s="24" t="inlineStr">
        <is>
          <t>(주)한마당</t>
        </is>
      </c>
      <c r="D1181" s="136" t="inlineStr">
        <is>
          <t>670-81-01262</t>
        </is>
      </c>
      <c r="E1181" s="76" t="inlineStr">
        <is>
          <t>오동리 들기름막국수 글루텐프리 쫄깃한 식감의 국내산 100% 메밀 막국수</t>
        </is>
      </c>
      <c r="F1181" s="76" t="n">
        <v>5</v>
      </c>
      <c r="G1181" s="146" t="n">
        <v>220000</v>
      </c>
      <c r="H1181" s="146" t="n">
        <v>26000</v>
      </c>
    </row>
    <row r="1182" hidden="1" s="21">
      <c r="A1182" s="24" t="inlineStr">
        <is>
          <t>네이버</t>
        </is>
      </c>
      <c r="B1182" s="24" t="inlineStr">
        <is>
          <t>가공식품</t>
        </is>
      </c>
      <c r="C1182" s="24" t="inlineStr">
        <is>
          <t>(주)한마당</t>
        </is>
      </c>
      <c r="D1182" s="136" t="inlineStr">
        <is>
          <t>670-81-01262</t>
        </is>
      </c>
      <c r="E1182" s="76" t="inlineStr">
        <is>
          <t>파주장단콩으로 만든 걸쭉하고 고소한 콩국물(1년 상온보관)</t>
        </is>
      </c>
      <c r="F1182" s="76" t="n">
        <v>54</v>
      </c>
      <c r="G1182" s="146" t="n">
        <v>1097100</v>
      </c>
      <c r="H1182" s="146" t="n">
        <v>59320</v>
      </c>
    </row>
    <row r="1183" hidden="1" s="21">
      <c r="A1183" s="24" t="inlineStr">
        <is>
          <t>네이버</t>
        </is>
      </c>
      <c r="B1183" s="24" t="inlineStr">
        <is>
          <t>가공식품</t>
        </is>
      </c>
      <c r="C1183" s="24" t="inlineStr">
        <is>
          <t>(주)한마당</t>
        </is>
      </c>
      <c r="D1183" s="136" t="inlineStr">
        <is>
          <t>670-81-01262</t>
        </is>
      </c>
      <c r="E1183" s="76" t="inlineStr">
        <is>
          <t>파주장단콩 진하고 걸쭉한 생면 콩국수 680g</t>
        </is>
      </c>
      <c r="F1183" s="76" t="n">
        <v>59</v>
      </c>
      <c r="G1183" s="146" t="n">
        <v>1249500</v>
      </c>
      <c r="H1183" s="146" t="n">
        <v>61000</v>
      </c>
    </row>
    <row r="1184" hidden="1" s="21">
      <c r="A1184" s="24" t="inlineStr">
        <is>
          <t>네이버</t>
        </is>
      </c>
      <c r="B1184" s="24" t="inlineStr">
        <is>
          <t>가공식품</t>
        </is>
      </c>
      <c r="C1184" s="24" t="inlineStr">
        <is>
          <t>(주)한마당</t>
        </is>
      </c>
      <c r="D1184" s="136" t="inlineStr">
        <is>
          <t>670-81-01262</t>
        </is>
      </c>
      <c r="E1184" s="76" t="inlineStr">
        <is>
          <t>글루텐프리 국산 100% 메밀면 콩국수 660g</t>
        </is>
      </c>
      <c r="F1184" s="76" t="n">
        <v>3</v>
      </c>
      <c r="G1184" s="146" t="n">
        <v>63000</v>
      </c>
      <c r="H1184" s="146" t="n">
        <v>4200</v>
      </c>
    </row>
    <row r="1185" hidden="1" s="21">
      <c r="A1185" s="24" t="inlineStr">
        <is>
          <t>네이버</t>
        </is>
      </c>
      <c r="B1185" s="24" t="inlineStr">
        <is>
          <t>가공식품</t>
        </is>
      </c>
      <c r="C1185" s="24" t="inlineStr">
        <is>
          <t>(주)한마당</t>
        </is>
      </c>
      <c r="D1185" s="136" t="inlineStr">
        <is>
          <t>670-81-01262</t>
        </is>
      </c>
      <c r="E1185" s="76" t="inlineStr">
        <is>
          <t>짜먹는 걸쭉한 파주장단콩 콩국물 5팩(150g/팩 상온보관)</t>
        </is>
      </c>
      <c r="F1185" s="76" t="n">
        <v>3</v>
      </c>
      <c r="G1185" s="146" t="n">
        <v>42000</v>
      </c>
      <c r="H1185" s="146" t="inlineStr">
        <is>
          <t>-</t>
        </is>
      </c>
    </row>
    <row r="1186" hidden="1" s="21">
      <c r="A1186" s="24" t="inlineStr">
        <is>
          <t>네이버</t>
        </is>
      </c>
      <c r="B1186" s="24" t="inlineStr">
        <is>
          <t>가공식품</t>
        </is>
      </c>
      <c r="C1186" s="24" t="inlineStr">
        <is>
          <t>(주)한마당</t>
        </is>
      </c>
      <c r="D1186" s="136" t="inlineStr">
        <is>
          <t>670-81-01262</t>
        </is>
      </c>
      <c r="E1186" s="76" t="inlineStr">
        <is>
          <t>소이밀 파주장단콩과 양평유기농쌀로 만든 식물성 고단백 영양식 5팩(150g/1팩 상온보관)</t>
        </is>
      </c>
      <c r="F1186" s="76" t="n">
        <v>1</v>
      </c>
      <c r="G1186" s="146" t="n">
        <v>14000</v>
      </c>
      <c r="H1186" s="146" t="n">
        <v>2800</v>
      </c>
    </row>
    <row r="1187" hidden="1" s="21">
      <c r="A1187" s="24" t="inlineStr">
        <is>
          <t>네이버</t>
        </is>
      </c>
      <c r="B1187" s="24" t="inlineStr">
        <is>
          <t>가공식품</t>
        </is>
      </c>
      <c r="C1187" s="24" t="inlineStr">
        <is>
          <t>(주)한마당</t>
        </is>
      </c>
      <c r="D1187" s="136" t="inlineStr">
        <is>
          <t>670-81-01262</t>
        </is>
      </c>
      <c r="E1187" s="76" t="inlineStr">
        <is>
          <t>오동리팥죽 국내산 팥과 찹쌀로 만든 달지 않은 동지새알팥죽(680g 1~2인분)</t>
        </is>
      </c>
      <c r="F1187" s="76" t="n">
        <v>52</v>
      </c>
      <c r="G1187" s="146" t="n">
        <v>1863000</v>
      </c>
      <c r="H1187" s="146" t="n">
        <v>163600</v>
      </c>
    </row>
    <row r="1188" hidden="1" s="21">
      <c r="A1188" s="24" t="inlineStr">
        <is>
          <t>네이버</t>
        </is>
      </c>
      <c r="B1188" s="24" t="inlineStr">
        <is>
          <t>가공식품</t>
        </is>
      </c>
      <c r="C1188" s="24" t="inlineStr">
        <is>
          <t>(주)한마당</t>
        </is>
      </c>
      <c r="D1188" s="136" t="inlineStr">
        <is>
          <t>670-81-01262</t>
        </is>
      </c>
      <c r="E1188" s="76" t="inlineStr">
        <is>
          <t>오동리 팥물 국내산 팥만으로 만든 달지않은 팥물(상온보관 500ml)</t>
        </is>
      </c>
      <c r="F1188" s="76" t="n">
        <v>18</v>
      </c>
      <c r="G1188" s="146" t="n">
        <v>585500</v>
      </c>
      <c r="H1188" s="146" t="n">
        <v>48500</v>
      </c>
    </row>
    <row r="1189" hidden="1" s="21">
      <c r="A1189" s="24" t="inlineStr">
        <is>
          <t>네이버</t>
        </is>
      </c>
      <c r="B1189" s="24" t="inlineStr">
        <is>
          <t>가공식품</t>
        </is>
      </c>
      <c r="C1189" s="24" t="inlineStr">
        <is>
          <t>(주)한마당</t>
        </is>
      </c>
      <c r="D1189" s="136" t="inlineStr">
        <is>
          <t>670-81-01262</t>
        </is>
      </c>
      <c r="E1189" s="76" t="inlineStr">
        <is>
          <t>오동리 건강한팥물 국내산 팥으로 만든 무설탕 무소금 팥물(상온보관 500ml)</t>
        </is>
      </c>
      <c r="F1189" s="76" t="n">
        <v>3</v>
      </c>
      <c r="G1189" s="146" t="n">
        <v>51500</v>
      </c>
      <c r="H1189" s="146" t="inlineStr">
        <is>
          <t>-</t>
        </is>
      </c>
    </row>
    <row r="1190" hidden="1" s="21">
      <c r="A1190" s="24" t="inlineStr">
        <is>
          <t>네이버</t>
        </is>
      </c>
      <c r="B1190" s="24" t="inlineStr">
        <is>
          <t>가공식품</t>
        </is>
      </c>
      <c r="C1190" s="24" t="inlineStr">
        <is>
          <t>(주)한마당</t>
        </is>
      </c>
      <c r="D1190" s="136" t="inlineStr">
        <is>
          <t>670-81-01262</t>
        </is>
      </c>
      <c r="E1190" s="76" t="inlineStr">
        <is>
          <t>국내산 찹쌀로 만든 쫀득한 오동리 새알심 1.8kg (180gx10팩)</t>
        </is>
      </c>
      <c r="F1190" s="76" t="n">
        <v>5</v>
      </c>
      <c r="G1190" s="146" t="n">
        <v>210000</v>
      </c>
      <c r="H1190" s="146" t="n">
        <v>21000</v>
      </c>
    </row>
    <row r="1191" hidden="1" s="21">
      <c r="A1191" s="24" t="inlineStr">
        <is>
          <t>네이버</t>
        </is>
      </c>
      <c r="B1191" s="24" t="inlineStr">
        <is>
          <t>가공식품</t>
        </is>
      </c>
      <c r="C1191" s="24" t="inlineStr">
        <is>
          <t>(주)한마당</t>
        </is>
      </c>
      <c r="D1191" s="136" t="inlineStr">
        <is>
          <t>670-81-01262</t>
        </is>
      </c>
      <c r="E1191" s="76" t="inlineStr">
        <is>
          <t>국내산 팥으로 만든 자가생면 팥칼국수(700g)</t>
        </is>
      </c>
      <c r="F1191" s="76" t="n">
        <v>15</v>
      </c>
      <c r="G1191" s="146" t="n">
        <v>306000</v>
      </c>
      <c r="H1191" s="146" t="n">
        <v>10800</v>
      </c>
    </row>
    <row r="1192" hidden="1" s="21">
      <c r="A1192" s="24" t="inlineStr">
        <is>
          <t>네이버</t>
        </is>
      </c>
      <c r="B1192" s="24" t="inlineStr">
        <is>
          <t>가공식품</t>
        </is>
      </c>
      <c r="C1192" s="24" t="inlineStr">
        <is>
          <t>(주)한마당</t>
        </is>
      </c>
      <c r="D1192" s="136" t="inlineStr">
        <is>
          <t>670-81-01262</t>
        </is>
      </c>
      <c r="E1192" s="76" t="inlineStr">
        <is>
          <t>오동리 메밀팥칼국수 글루텐프리 국산 100% 메밀면 팥칼국수(660g)</t>
        </is>
      </c>
      <c r="F1192" s="76" t="n">
        <v>1</v>
      </c>
      <c r="G1192" s="146" t="n">
        <v>12000</v>
      </c>
      <c r="H1192" s="146" t="n">
        <v>2400</v>
      </c>
    </row>
    <row r="1193" hidden="1" s="21">
      <c r="A1193" s="24" t="inlineStr">
        <is>
          <t>네이버</t>
        </is>
      </c>
      <c r="B1193" s="24" t="inlineStr">
        <is>
          <t>가공식품</t>
        </is>
      </c>
      <c r="C1193" s="24" t="inlineStr">
        <is>
          <t>인천로컬푸드생산자협동조합</t>
        </is>
      </c>
      <c r="D1193" s="24" t="inlineStr">
        <is>
          <t>131-86-58421</t>
        </is>
      </c>
      <c r="E1193" s="76" t="inlineStr">
        <is>
          <t>[인천직구] 인천드레 강화 천연 벌꿀 아카시아꿀 잡화꿀 500g</t>
        </is>
      </c>
      <c r="F1193" s="76" t="n">
        <v>0</v>
      </c>
      <c r="G1193" s="146" t="inlineStr">
        <is>
          <t>-</t>
        </is>
      </c>
      <c r="H1193" s="146" t="inlineStr">
        <is>
          <t>-</t>
        </is>
      </c>
    </row>
    <row r="1194" hidden="1" s="21">
      <c r="A1194" s="24" t="inlineStr">
        <is>
          <t>네이버</t>
        </is>
      </c>
      <c r="B1194" s="24" t="inlineStr">
        <is>
          <t>농산물</t>
        </is>
      </c>
      <c r="C1194" s="24" t="inlineStr">
        <is>
          <t>상주곶감대장</t>
        </is>
      </c>
      <c r="D1194" s="24" t="inlineStr">
        <is>
          <t>511-90-56233</t>
        </is>
      </c>
      <c r="E1194" s="76" t="inlineStr">
        <is>
          <t>상주곶감 명절선물세트 대봉 건시 반건시 가정용 못난이곶감 실속형</t>
        </is>
      </c>
      <c r="F1194" s="76" t="n">
        <v>371</v>
      </c>
      <c r="G1194" s="146" t="n">
        <v>13000800</v>
      </c>
      <c r="H1194" s="146" t="n">
        <v>1218420</v>
      </c>
    </row>
    <row r="1195" hidden="1" s="21">
      <c r="A1195" s="24" t="inlineStr">
        <is>
          <t>네이버</t>
        </is>
      </c>
      <c r="B1195" s="24" t="inlineStr">
        <is>
          <t>농산물</t>
        </is>
      </c>
      <c r="C1195" s="24" t="inlineStr">
        <is>
          <t>상주곶감대장</t>
        </is>
      </c>
      <c r="D1195" s="24" t="inlineStr">
        <is>
          <t>511-90-56233</t>
        </is>
      </c>
      <c r="E1195" s="76" t="inlineStr">
        <is>
          <t>상주곶감 명절선물세트 흑인삼 먹고 자란 대봉 건시 반건시 곶감 프리미엄 보자기 포장</t>
        </is>
      </c>
      <c r="F1195" s="76" t="n">
        <v>37</v>
      </c>
      <c r="G1195" s="146" t="n">
        <v>1844400</v>
      </c>
      <c r="H1195" s="146" t="n">
        <v>230990</v>
      </c>
    </row>
    <row r="1196" hidden="1" s="21">
      <c r="A1196" s="24" t="inlineStr">
        <is>
          <t>네이버</t>
        </is>
      </c>
      <c r="B1196" s="24" t="inlineStr">
        <is>
          <t>농산물</t>
        </is>
      </c>
      <c r="C1196" s="24" t="inlineStr">
        <is>
          <t>상주곶감대장</t>
        </is>
      </c>
      <c r="D1196" s="24" t="inlineStr">
        <is>
          <t>511-90-56233</t>
        </is>
      </c>
      <c r="E1196" s="76" t="inlineStr">
        <is>
          <t>자연건조 대봉반건시 설 추석 명절 선물세트 곶감대장 상주곶감 반건시 프리미엄 보자기포장</t>
        </is>
      </c>
      <c r="F1196" s="76" t="n">
        <v>2</v>
      </c>
      <c r="G1196" s="146" t="n">
        <v>113800</v>
      </c>
      <c r="H1196" s="146" t="n">
        <v>20000</v>
      </c>
    </row>
    <row r="1197" hidden="1" s="21">
      <c r="A1197" s="24" t="inlineStr">
        <is>
          <t>네이버</t>
        </is>
      </c>
      <c r="B1197" s="24" t="inlineStr">
        <is>
          <t>농산물</t>
        </is>
      </c>
      <c r="C1197" s="24" t="inlineStr">
        <is>
          <t>상주곶감대장</t>
        </is>
      </c>
      <c r="D1197" s="24" t="inlineStr">
        <is>
          <t>511-90-56233</t>
        </is>
      </c>
      <c r="E1197" s="76" t="inlineStr">
        <is>
          <t>상주 곶감 건시 대봉 반건시 설날 추석 명절 혼합 선물세트 보자기포장</t>
        </is>
      </c>
      <c r="F1197" s="76" t="n">
        <v>0</v>
      </c>
      <c r="G1197" s="146" t="inlineStr">
        <is>
          <t>-</t>
        </is>
      </c>
      <c r="H1197" s="146" t="inlineStr">
        <is>
          <t>-</t>
        </is>
      </c>
    </row>
    <row r="1198" hidden="1" s="21">
      <c r="A1198" s="24" t="inlineStr">
        <is>
          <t>네이버</t>
        </is>
      </c>
      <c r="B1198" s="24" t="inlineStr">
        <is>
          <t>농산물</t>
        </is>
      </c>
      <c r="C1198" s="24" t="inlineStr">
        <is>
          <t>상주곶감대장</t>
        </is>
      </c>
      <c r="D1198" s="24" t="inlineStr">
        <is>
          <t>511-90-56233</t>
        </is>
      </c>
      <c r="E1198" s="76" t="inlineStr">
        <is>
          <t>상주 곶감 설날 추석 명품 개별포장 건시 반건시 용과 선물세트</t>
        </is>
      </c>
      <c r="F1198" s="76" t="n">
        <v>1</v>
      </c>
      <c r="G1198" s="146" t="n">
        <v>57900</v>
      </c>
      <c r="H1198" s="146" t="n">
        <v>9580</v>
      </c>
    </row>
    <row r="1199" hidden="1" s="21">
      <c r="A1199" s="24" t="inlineStr">
        <is>
          <t>네이버</t>
        </is>
      </c>
      <c r="B1199" s="24" t="inlineStr">
        <is>
          <t>농산물</t>
        </is>
      </c>
      <c r="C1199" s="24" t="inlineStr">
        <is>
          <t>영농조합법인아농이</t>
        </is>
      </c>
      <c r="D1199" s="24" t="inlineStr">
        <is>
          <t>308-81-31629</t>
        </is>
      </c>
      <c r="E1199" s="76" t="inlineStr">
        <is>
          <t>신비복숭아 복숭아 대극천 납작 천도 거반도 딱딱이 옐로드림 황도 백도 1kg</t>
        </is>
      </c>
      <c r="F1199" s="76" t="n">
        <v>108</v>
      </c>
      <c r="G1199" s="146" t="n">
        <v>2834100</v>
      </c>
      <c r="H1199" s="146" t="n">
        <v>241400</v>
      </c>
    </row>
    <row r="1200" hidden="1" s="21">
      <c r="A1200" s="24" t="inlineStr">
        <is>
          <t>네이버</t>
        </is>
      </c>
      <c r="B1200" s="24" t="inlineStr">
        <is>
          <t>가공식품</t>
        </is>
      </c>
      <c r="C1200" s="24" t="inlineStr">
        <is>
          <t>땡큐베리블루팜</t>
        </is>
      </c>
      <c r="D1200" s="24" t="inlineStr">
        <is>
          <t>721-34-00290</t>
        </is>
      </c>
      <c r="E1200" s="76" t="inlineStr">
        <is>
          <t>블루베리콩포트 블루베리잼 150g 3병</t>
        </is>
      </c>
      <c r="F1200" s="76" t="n">
        <v>0</v>
      </c>
      <c r="G1200" s="146" t="inlineStr">
        <is>
          <t>-</t>
        </is>
      </c>
      <c r="H1200" s="146" t="inlineStr">
        <is>
          <t>-</t>
        </is>
      </c>
    </row>
    <row r="1201" hidden="1" s="21">
      <c r="A1201" s="24" t="inlineStr">
        <is>
          <t>네이버</t>
        </is>
      </c>
      <c r="B1201" s="24" t="inlineStr">
        <is>
          <t>가공식품</t>
        </is>
      </c>
      <c r="C1201" s="24" t="inlineStr">
        <is>
          <t>땡큐베리블루팜</t>
        </is>
      </c>
      <c r="D1201" s="24" t="inlineStr">
        <is>
          <t>721-34-00290</t>
        </is>
      </c>
      <c r="E1201" s="76" t="inlineStr">
        <is>
          <t>블루베리가 알알이 살아있는 콩포트잼 블루베리잼 500g</t>
        </is>
      </c>
      <c r="F1201" s="76" t="n">
        <v>3</v>
      </c>
      <c r="G1201" s="146" t="n">
        <v>135000</v>
      </c>
      <c r="H1201" s="146" t="n">
        <v>23000</v>
      </c>
    </row>
    <row r="1202" hidden="1" s="21">
      <c r="A1202" s="24" t="inlineStr">
        <is>
          <t>네이버</t>
        </is>
      </c>
      <c r="B1202" s="24" t="inlineStr">
        <is>
          <t>가공식품</t>
        </is>
      </c>
      <c r="C1202" s="24" t="inlineStr">
        <is>
          <t>땡큐베리블루팜</t>
        </is>
      </c>
      <c r="D1202" s="24" t="inlineStr">
        <is>
          <t>721-34-00290</t>
        </is>
      </c>
      <c r="E1202" s="76" t="inlineStr">
        <is>
          <t>블루베리에 퐁당 빠진 딸기잼 콩포트 150g 3병 상품</t>
        </is>
      </c>
      <c r="F1202" s="76" t="n">
        <v>0</v>
      </c>
      <c r="G1202" s="146" t="inlineStr">
        <is>
          <t>-</t>
        </is>
      </c>
      <c r="H1202" s="146" t="inlineStr">
        <is>
          <t>-</t>
        </is>
      </c>
    </row>
    <row r="1203" hidden="1" s="21">
      <c r="A1203" s="24" t="inlineStr">
        <is>
          <t>네이버</t>
        </is>
      </c>
      <c r="B1203" s="24" t="inlineStr">
        <is>
          <t>가공식품</t>
        </is>
      </c>
      <c r="C1203" s="24" t="inlineStr">
        <is>
          <t>땡큐베리블루팜</t>
        </is>
      </c>
      <c r="D1203" s="24" t="inlineStr">
        <is>
          <t>721-34-00290</t>
        </is>
      </c>
      <c r="E1203" s="76" t="inlineStr">
        <is>
          <t>블루베리에 퐁당 빠진 딸기잼 콩포트 500g 블딸잼</t>
        </is>
      </c>
      <c r="F1203" s="76" t="n">
        <v>0</v>
      </c>
      <c r="G1203" s="146" t="inlineStr">
        <is>
          <t>-</t>
        </is>
      </c>
      <c r="H1203" s="146" t="inlineStr">
        <is>
          <t>-</t>
        </is>
      </c>
    </row>
    <row r="1204" hidden="1" s="21">
      <c r="A1204" s="24" t="inlineStr">
        <is>
          <t>네이버</t>
        </is>
      </c>
      <c r="B1204" s="24" t="inlineStr">
        <is>
          <t>가공식품</t>
        </is>
      </c>
      <c r="C1204" s="24" t="inlineStr">
        <is>
          <t>땡큐베리블루팜</t>
        </is>
      </c>
      <c r="D1204" s="24" t="inlineStr">
        <is>
          <t>721-34-00290</t>
        </is>
      </c>
      <c r="E1204" s="76" t="inlineStr">
        <is>
          <t>달콤한 참외 동결건조 후레이크 18g 10봉</t>
        </is>
      </c>
      <c r="F1204" s="76" t="n">
        <v>5</v>
      </c>
      <c r="G1204" s="146" t="n">
        <v>100000</v>
      </c>
      <c r="H1204" s="146" t="n">
        <v>4000</v>
      </c>
    </row>
    <row r="1205" hidden="1" s="21">
      <c r="A1205" s="24" t="inlineStr">
        <is>
          <t>네이버</t>
        </is>
      </c>
      <c r="B1205" s="24" t="inlineStr">
        <is>
          <t>가공식품</t>
        </is>
      </c>
      <c r="C1205" s="24" t="inlineStr">
        <is>
          <t>땡큐베리블루팜</t>
        </is>
      </c>
      <c r="D1205" s="24" t="inlineStr">
        <is>
          <t>721-34-00290</t>
        </is>
      </c>
      <c r="E1205" s="76" t="inlineStr">
        <is>
          <t>딸기 동결건조 칩 후레이크 15g 10봉</t>
        </is>
      </c>
      <c r="F1205" s="76" t="n">
        <v>5</v>
      </c>
      <c r="G1205" s="146" t="n">
        <v>210000</v>
      </c>
      <c r="H1205" s="146" t="n">
        <v>18000</v>
      </c>
    </row>
    <row r="1206" hidden="1" s="21">
      <c r="A1206" s="24" t="inlineStr">
        <is>
          <t>네이버</t>
        </is>
      </c>
      <c r="B1206" s="24" t="inlineStr">
        <is>
          <t>가공식품</t>
        </is>
      </c>
      <c r="C1206" s="24" t="inlineStr">
        <is>
          <t>땡큐베리블루팜</t>
        </is>
      </c>
      <c r="D1206" s="24" t="inlineStr">
        <is>
          <t>721-34-00290</t>
        </is>
      </c>
      <c r="E1206" s="76" t="inlineStr">
        <is>
          <t>블루베리에 퐁당 빠진 잼 3종 콩포트 세트 땡큐베리블루팜</t>
        </is>
      </c>
      <c r="F1206" s="76" t="n">
        <v>0</v>
      </c>
      <c r="G1206" s="146" t="inlineStr">
        <is>
          <t>-</t>
        </is>
      </c>
      <c r="H1206" s="146" t="inlineStr">
        <is>
          <t>-</t>
        </is>
      </c>
    </row>
    <row r="1207" hidden="1" s="21">
      <c r="A1207" s="24" t="inlineStr">
        <is>
          <t>네이버</t>
        </is>
      </c>
      <c r="B1207" s="24" t="inlineStr">
        <is>
          <t>가공식품</t>
        </is>
      </c>
      <c r="C1207" s="24" t="inlineStr">
        <is>
          <t>땡큐베리블루팜</t>
        </is>
      </c>
      <c r="D1207" s="24" t="inlineStr">
        <is>
          <t>721-34-00290</t>
        </is>
      </c>
      <c r="E1207" s="76" t="inlineStr">
        <is>
          <t>땡큐베리딸기잼 콩포트 530g 땡큐베리블루팜</t>
        </is>
      </c>
      <c r="F1207" s="76" t="n">
        <v>2</v>
      </c>
      <c r="G1207" s="146" t="n">
        <v>36000</v>
      </c>
      <c r="H1207" s="146" t="n">
        <v>4800</v>
      </c>
    </row>
    <row r="1208" hidden="1" s="21">
      <c r="A1208" s="24" t="inlineStr">
        <is>
          <t>네이버</t>
        </is>
      </c>
      <c r="B1208" s="24" t="inlineStr">
        <is>
          <t>농산물</t>
        </is>
      </c>
      <c r="C1208" s="24" t="inlineStr">
        <is>
          <t>제이제이</t>
        </is>
      </c>
      <c r="D1208" s="24" t="inlineStr">
        <is>
          <t>448-93-01936</t>
        </is>
      </c>
      <c r="E1208" s="76" t="inlineStr">
        <is>
          <t>[왕특대과] 복숭아 황도 백도 딱딱이 부드러운 4kg</t>
        </is>
      </c>
      <c r="F1208" s="76" t="n">
        <v>14</v>
      </c>
      <c r="G1208" s="146" t="n">
        <v>386510</v>
      </c>
      <c r="H1208" s="146" t="n">
        <v>17390</v>
      </c>
    </row>
    <row r="1209" hidden="1" s="21">
      <c r="A1209" s="24" t="inlineStr">
        <is>
          <t>네이버</t>
        </is>
      </c>
      <c r="B1209" s="24" t="inlineStr">
        <is>
          <t>농산물</t>
        </is>
      </c>
      <c r="C1209" s="24" t="inlineStr">
        <is>
          <t>제이제이</t>
        </is>
      </c>
      <c r="D1209" s="24" t="inlineStr">
        <is>
          <t>448-93-01936</t>
        </is>
      </c>
      <c r="E1209" s="76" t="inlineStr">
        <is>
          <t>씨없는 청도 반시 감말랭이 500g 1kg</t>
        </is>
      </c>
      <c r="F1209" s="76" t="n">
        <v>70</v>
      </c>
      <c r="G1209" s="146" t="n">
        <v>1388480</v>
      </c>
      <c r="H1209" s="146" t="n">
        <v>262950</v>
      </c>
    </row>
    <row r="1210" hidden="1" s="21">
      <c r="A1210" s="24" t="inlineStr">
        <is>
          <t>네이버</t>
        </is>
      </c>
      <c r="B1210" s="24" t="inlineStr">
        <is>
          <t>농산물</t>
        </is>
      </c>
      <c r="C1210" s="24" t="inlineStr">
        <is>
          <t>제이제이</t>
        </is>
      </c>
      <c r="D1210" s="24" t="inlineStr">
        <is>
          <t>448-93-01936</t>
        </is>
      </c>
      <c r="E1210" s="76" t="inlineStr">
        <is>
          <t>부드러운 말랭이 복숭아 1.5kg</t>
        </is>
      </c>
      <c r="F1210" s="76" t="n">
        <v>0</v>
      </c>
      <c r="G1210" s="146" t="inlineStr">
        <is>
          <t>-</t>
        </is>
      </c>
      <c r="H1210" s="146" t="inlineStr">
        <is>
          <t>-</t>
        </is>
      </c>
    </row>
    <row r="1211" hidden="1" s="21">
      <c r="A1211" s="24" t="inlineStr">
        <is>
          <t>네이버</t>
        </is>
      </c>
      <c r="B1211" s="24" t="inlineStr">
        <is>
          <t>농산물</t>
        </is>
      </c>
      <c r="C1211" s="24" t="inlineStr">
        <is>
          <t>제이제이</t>
        </is>
      </c>
      <c r="D1211" s="24" t="inlineStr">
        <is>
          <t>448-93-01936</t>
        </is>
      </c>
      <c r="E1211" s="76" t="inlineStr">
        <is>
          <t>청도 복숭아 왕특대과 특대과 특판전! 16과 (물복 딱복 부드러운 말랭이 말랑이 말랭 말랑 딱딱이 아삭이 털 복숭아) 4kg</t>
        </is>
      </c>
      <c r="F1211" s="76" t="n">
        <v>8</v>
      </c>
      <c r="G1211" s="146" t="n">
        <v>225200</v>
      </c>
      <c r="H1211" s="146" t="n">
        <v>39660</v>
      </c>
    </row>
    <row r="1212" hidden="1" s="21">
      <c r="A1212" s="24" t="inlineStr">
        <is>
          <t>네이버</t>
        </is>
      </c>
      <c r="B1212" s="24" t="inlineStr">
        <is>
          <t>농산물</t>
        </is>
      </c>
      <c r="C1212" s="24" t="inlineStr">
        <is>
          <t>제이제이</t>
        </is>
      </c>
      <c r="D1212" s="24" t="inlineStr">
        <is>
          <t>448-93-01936</t>
        </is>
      </c>
      <c r="E1212" s="76" t="inlineStr">
        <is>
          <t>청도 복숭아 왕특대과 특대과 특판전! 14과 (물복 딱복 부드러운 말랭이 말랑이 말랭 말랑 딱딱이 아삭이 털 복숭아) 4kg</t>
        </is>
      </c>
      <c r="F1212" s="76" t="n">
        <v>0</v>
      </c>
      <c r="G1212" s="146" t="inlineStr">
        <is>
          <t>-</t>
        </is>
      </c>
      <c r="H1212" s="146" t="inlineStr">
        <is>
          <t>-</t>
        </is>
      </c>
    </row>
    <row r="1213" hidden="1" s="21">
      <c r="A1213" s="24" t="inlineStr">
        <is>
          <t>네이버</t>
        </is>
      </c>
      <c r="B1213" s="24" t="inlineStr">
        <is>
          <t>농산물</t>
        </is>
      </c>
      <c r="C1213" s="24" t="inlineStr">
        <is>
          <t>제이제이</t>
        </is>
      </c>
      <c r="D1213" s="24" t="inlineStr">
        <is>
          <t>448-93-01936</t>
        </is>
      </c>
      <c r="E1213" s="76" t="inlineStr">
        <is>
          <t>청도 복숭아 왕특대과 특대과 특판전! 12과 (물복 딱복 부드러운 말랭이 말랑이 말랭 말랑 딱딱이 아삭이 털 복숭아) 4kg</t>
        </is>
      </c>
      <c r="F1213" s="76" t="n">
        <v>3</v>
      </c>
      <c r="G1213" s="146" t="n">
        <v>106880</v>
      </c>
      <c r="H1213" s="146" t="n">
        <v>7200</v>
      </c>
    </row>
    <row r="1214" hidden="1" s="21">
      <c r="A1214" s="24" t="inlineStr">
        <is>
          <t>네이버</t>
        </is>
      </c>
      <c r="B1214" s="24" t="inlineStr">
        <is>
          <t>농산물</t>
        </is>
      </c>
      <c r="C1214" s="24" t="inlineStr">
        <is>
          <t>제이제이</t>
        </is>
      </c>
      <c r="D1214" s="24" t="inlineStr">
        <is>
          <t>448-93-01936</t>
        </is>
      </c>
      <c r="E1214" s="76" t="inlineStr">
        <is>
          <t>신비복숭아 복숭아 산지직송 털 없는 제철복숭아 2kg</t>
        </is>
      </c>
      <c r="F1214" s="76" t="n">
        <v>0</v>
      </c>
      <c r="G1214" s="146" t="inlineStr">
        <is>
          <t>-</t>
        </is>
      </c>
      <c r="H1214" s="146" t="inlineStr">
        <is>
          <t>-</t>
        </is>
      </c>
    </row>
    <row r="1215" hidden="1" s="21">
      <c r="A1215" s="24" t="inlineStr">
        <is>
          <t>네이버</t>
        </is>
      </c>
      <c r="B1215" s="24" t="inlineStr">
        <is>
          <t>농산물</t>
        </is>
      </c>
      <c r="C1215" s="24" t="inlineStr">
        <is>
          <t>제이제이</t>
        </is>
      </c>
      <c r="D1215" s="24" t="inlineStr">
        <is>
          <t>448-93-01936</t>
        </is>
      </c>
      <c r="E1215" s="76" t="inlineStr">
        <is>
          <t>청도 씨없는 감말랭이 지퍼팩 500g 1개</t>
        </is>
      </c>
      <c r="F1215" s="76" t="n">
        <v>0</v>
      </c>
      <c r="G1215" s="146" t="inlineStr">
        <is>
          <t>-</t>
        </is>
      </c>
      <c r="H1215" s="146" t="inlineStr">
        <is>
          <t>-</t>
        </is>
      </c>
    </row>
    <row r="1216" hidden="1" s="21">
      <c r="A1216" s="24" t="inlineStr">
        <is>
          <t>네이버</t>
        </is>
      </c>
      <c r="B1216" s="24" t="inlineStr">
        <is>
          <t>농산물</t>
        </is>
      </c>
      <c r="C1216" s="24" t="inlineStr">
        <is>
          <t>제이제이</t>
        </is>
      </c>
      <c r="D1216" s="24" t="inlineStr">
        <is>
          <t>448-93-01936</t>
        </is>
      </c>
      <c r="E1216" s="76" t="inlineStr">
        <is>
          <t>청도 씨없는 감말랭이 지퍼팩 1kg 1개</t>
        </is>
      </c>
      <c r="F1216" s="76" t="n">
        <v>0</v>
      </c>
      <c r="G1216" s="146" t="inlineStr">
        <is>
          <t>-</t>
        </is>
      </c>
      <c r="H1216" s="146" t="inlineStr">
        <is>
          <t>-</t>
        </is>
      </c>
    </row>
    <row r="1217" hidden="1" s="21">
      <c r="A1217" s="24" t="inlineStr">
        <is>
          <t>네이버</t>
        </is>
      </c>
      <c r="B1217" s="24" t="inlineStr">
        <is>
          <t>농산물</t>
        </is>
      </c>
      <c r="C1217" s="24" t="inlineStr">
        <is>
          <t>제이제이</t>
        </is>
      </c>
      <c r="D1217" s="24" t="inlineStr">
        <is>
          <t>448-93-01936</t>
        </is>
      </c>
      <c r="E1217" s="76" t="inlineStr">
        <is>
          <t>씨없는 청도반시 감 연시 약시 홍시 5kg</t>
        </is>
      </c>
      <c r="F1217" s="76" t="n">
        <v>0</v>
      </c>
      <c r="G1217" s="146" t="inlineStr">
        <is>
          <t>-</t>
        </is>
      </c>
      <c r="H1217" s="146" t="inlineStr">
        <is>
          <t>-</t>
        </is>
      </c>
    </row>
    <row r="1218" hidden="1" s="21">
      <c r="A1218" s="24" t="inlineStr">
        <is>
          <t>네이버</t>
        </is>
      </c>
      <c r="B1218" s="24" t="inlineStr">
        <is>
          <t>농산물</t>
        </is>
      </c>
      <c r="C1218" s="24" t="inlineStr">
        <is>
          <t>별마루농원</t>
        </is>
      </c>
      <c r="D1218" s="24" t="inlineStr">
        <is>
          <t>508-90-95905</t>
        </is>
      </c>
      <c r="E1218" s="76" t="inlineStr">
        <is>
          <t>복숭아 황도복숭아 백도 쫀득이 딱딱이 3kg 별마루농원</t>
        </is>
      </c>
      <c r="F1218" s="76" t="n">
        <v>4847</v>
      </c>
      <c r="G1218" s="146" t="n">
        <v>195587000</v>
      </c>
      <c r="H1218" s="146" t="n">
        <v>4883600</v>
      </c>
    </row>
    <row r="1219" hidden="1" s="21">
      <c r="A1219" s="24" t="inlineStr">
        <is>
          <t>네이버</t>
        </is>
      </c>
      <c r="B1219" s="24" t="inlineStr">
        <is>
          <t>농산물</t>
        </is>
      </c>
      <c r="C1219" s="24" t="inlineStr">
        <is>
          <t>농업회사법인주식회사파밍</t>
        </is>
      </c>
      <c r="D1219" s="24" t="inlineStr">
        <is>
          <t>664-81-03697</t>
        </is>
      </c>
      <c r="E1219" s="76" t="inlineStr">
        <is>
          <t>[오플룻트] 유럽종 완숙 못난이 토마토 델라토 5kg</t>
        </is>
      </c>
      <c r="F1219" s="76" t="n">
        <v>10</v>
      </c>
      <c r="G1219" s="146" t="n">
        <v>201000</v>
      </c>
      <c r="H1219" s="146" t="n">
        <v>4200</v>
      </c>
    </row>
    <row r="1220" hidden="1" s="21">
      <c r="A1220" s="24" t="inlineStr">
        <is>
          <t>네이버</t>
        </is>
      </c>
      <c r="B1220" s="24" t="inlineStr">
        <is>
          <t>농산물</t>
        </is>
      </c>
      <c r="C1220" s="24" t="inlineStr">
        <is>
          <t>팜(Farm) 166</t>
        </is>
      </c>
      <c r="D1220" s="24" t="inlineStr">
        <is>
          <t>593-91-01533</t>
        </is>
      </c>
      <c r="E1220" s="76" t="inlineStr">
        <is>
          <t>자두 대석 5kg GAP 노지 의성 옥자두 로얄대석 고당도 임산부 당일수확 산지직송</t>
        </is>
      </c>
      <c r="F1220" s="76" t="n">
        <v>19</v>
      </c>
      <c r="G1220" s="146" t="n">
        <v>750000</v>
      </c>
      <c r="H1220" s="146" t="n">
        <v>90580</v>
      </c>
    </row>
    <row r="1221" hidden="1" s="21">
      <c r="A1221" s="24" t="inlineStr">
        <is>
          <t>네이버</t>
        </is>
      </c>
      <c r="B1221" s="24" t="inlineStr">
        <is>
          <t>농산물</t>
        </is>
      </c>
      <c r="C1221" s="24" t="inlineStr">
        <is>
          <t>팜(Farm) 166</t>
        </is>
      </c>
      <c r="D1221" s="24" t="inlineStr">
        <is>
          <t>593-91-01533</t>
        </is>
      </c>
      <c r="E1221" s="76" t="inlineStr">
        <is>
          <t>자두 후무사 도담자두 의성옥자두 3kg 5kg GAP</t>
        </is>
      </c>
      <c r="F1221" s="76" t="n">
        <v>351</v>
      </c>
      <c r="G1221" s="146" t="n">
        <v>15124760</v>
      </c>
      <c r="H1221" s="146" t="n">
        <v>1106700</v>
      </c>
    </row>
    <row r="1222" hidden="1" s="21">
      <c r="A1222" s="24" t="inlineStr">
        <is>
          <t>네이버</t>
        </is>
      </c>
      <c r="B1222" s="24" t="inlineStr">
        <is>
          <t>농산물</t>
        </is>
      </c>
      <c r="C1222" s="24" t="inlineStr">
        <is>
          <t>팜(Farm) 166</t>
        </is>
      </c>
      <c r="D1222" s="24" t="inlineStr">
        <is>
          <t>593-91-01533</t>
        </is>
      </c>
      <c r="E1222" s="76" t="inlineStr">
        <is>
          <t>복숭아 마도카 납작 황도 백도 의성 딱딱이 고당도 산지직송 4kg 제철 말랑이 딱복</t>
        </is>
      </c>
      <c r="F1222" s="76" t="n">
        <v>748</v>
      </c>
      <c r="G1222" s="146" t="n">
        <v>24845040</v>
      </c>
      <c r="H1222" s="146" t="n">
        <v>2964040</v>
      </c>
    </row>
    <row r="1223" hidden="1" s="21">
      <c r="A1223" s="24" t="inlineStr">
        <is>
          <t>네이버</t>
        </is>
      </c>
      <c r="B1223" s="24" t="inlineStr">
        <is>
          <t>농산물</t>
        </is>
      </c>
      <c r="C1223" s="24" t="inlineStr">
        <is>
          <t>팜(Farm) 166</t>
        </is>
      </c>
      <c r="D1223" s="24" t="inlineStr">
        <is>
          <t>593-91-01533</t>
        </is>
      </c>
      <c r="E1223" s="76" t="inlineStr">
        <is>
          <t>복숭아 납작 거반도 의성 GAP 유럽 도넛 ufo복숭아 2kg</t>
        </is>
      </c>
      <c r="F1223" s="76" t="n">
        <v>1</v>
      </c>
      <c r="G1223" s="146" t="n">
        <v>35900</v>
      </c>
      <c r="H1223" s="146" t="inlineStr">
        <is>
          <t>-</t>
        </is>
      </c>
    </row>
    <row r="1224" hidden="1" s="21">
      <c r="A1224" s="24" t="inlineStr">
        <is>
          <t>네이버</t>
        </is>
      </c>
      <c r="B1224" s="24" t="inlineStr">
        <is>
          <t>가공식품</t>
        </is>
      </c>
      <c r="C1224" s="24" t="inlineStr">
        <is>
          <t>영프로식품</t>
        </is>
      </c>
      <c r="D1224" s="24" t="inlineStr">
        <is>
          <t>185-96-01074</t>
        </is>
      </c>
      <c r="E1224" s="76" t="inlineStr">
        <is>
          <t>단양 전통 집고추장 마늘쫑장아찌 400g</t>
        </is>
      </c>
      <c r="F1224" s="76" t="n">
        <v>8</v>
      </c>
      <c r="G1224" s="146" t="n">
        <v>164400</v>
      </c>
      <c r="H1224" s="146" t="n">
        <v>10720</v>
      </c>
    </row>
    <row r="1225" hidden="1" s="21">
      <c r="A1225" s="24" t="inlineStr">
        <is>
          <t>네이버</t>
        </is>
      </c>
      <c r="B1225" s="24" t="inlineStr">
        <is>
          <t>가공식품</t>
        </is>
      </c>
      <c r="C1225" s="24" t="inlineStr">
        <is>
          <t>영프로식품</t>
        </is>
      </c>
      <c r="D1225" s="24" t="inlineStr">
        <is>
          <t>185-96-01074</t>
        </is>
      </c>
      <c r="E1225" s="76" t="inlineStr">
        <is>
          <t>영프로 전통 재래식 시골 집된장 고추장 간장 선물세트</t>
        </is>
      </c>
      <c r="F1225" s="76" t="n">
        <v>0</v>
      </c>
      <c r="G1225" s="146" t="inlineStr">
        <is>
          <t>-</t>
        </is>
      </c>
      <c r="H1225" s="146" t="inlineStr">
        <is>
          <t>-</t>
        </is>
      </c>
    </row>
    <row r="1226" hidden="1" s="21">
      <c r="A1226" s="24" t="inlineStr">
        <is>
          <t>네이버</t>
        </is>
      </c>
      <c r="B1226" s="24" t="inlineStr">
        <is>
          <t>가공식품</t>
        </is>
      </c>
      <c r="C1226" s="24" t="inlineStr">
        <is>
          <t>영프로식품</t>
        </is>
      </c>
      <c r="D1226" s="24" t="inlineStr">
        <is>
          <t>185-96-01074</t>
        </is>
      </c>
      <c r="E1226" s="76" t="inlineStr">
        <is>
          <t>단양 3년 숙성 국산 콩 전통 재래식 시골 집된장 500g</t>
        </is>
      </c>
      <c r="F1226" s="76" t="n">
        <v>0</v>
      </c>
      <c r="G1226" s="146" t="inlineStr">
        <is>
          <t>-</t>
        </is>
      </c>
      <c r="H1226" s="146" t="inlineStr">
        <is>
          <t>-</t>
        </is>
      </c>
    </row>
    <row r="1227" hidden="1" s="21">
      <c r="A1227" s="24" t="inlineStr">
        <is>
          <t>네이버</t>
        </is>
      </c>
      <c r="B1227" s="24" t="inlineStr">
        <is>
          <t>가공식품</t>
        </is>
      </c>
      <c r="C1227" s="24" t="inlineStr">
        <is>
          <t>영프로식품</t>
        </is>
      </c>
      <c r="D1227" s="24" t="inlineStr">
        <is>
          <t>185-96-01074</t>
        </is>
      </c>
      <c r="E1227" s="76" t="inlineStr">
        <is>
          <t>단양 4년 숙성 국산 콩 전통 재래식 시골 집 진간장 350ml</t>
        </is>
      </c>
      <c r="F1227" s="76" t="n">
        <v>1</v>
      </c>
      <c r="G1227" s="146" t="n">
        <v>9000</v>
      </c>
      <c r="H1227" s="146" t="n">
        <v>1800</v>
      </c>
    </row>
    <row r="1228" hidden="1" s="21">
      <c r="A1228" s="24" t="inlineStr">
        <is>
          <t>네이버</t>
        </is>
      </c>
      <c r="B1228" s="24" t="inlineStr">
        <is>
          <t>가공식품</t>
        </is>
      </c>
      <c r="C1228" s="24" t="inlineStr">
        <is>
          <t>영프로식품</t>
        </is>
      </c>
      <c r="D1228" s="24" t="inlineStr">
        <is>
          <t>185-96-01074</t>
        </is>
      </c>
      <c r="E1228" s="76" t="inlineStr">
        <is>
          <t>단양 4년 숙성 국산 콩 전통 재래식 시골 집 진간장 500ml</t>
        </is>
      </c>
      <c r="F1228" s="76" t="n">
        <v>8</v>
      </c>
      <c r="G1228" s="146" t="n">
        <v>147900</v>
      </c>
      <c r="H1228" s="146" t="inlineStr">
        <is>
          <t>-</t>
        </is>
      </c>
    </row>
    <row r="1229" hidden="1" s="21">
      <c r="A1229" s="24" t="inlineStr">
        <is>
          <t>네이버</t>
        </is>
      </c>
      <c r="B1229" s="24" t="inlineStr">
        <is>
          <t>가공식품</t>
        </is>
      </c>
      <c r="C1229" s="24" t="inlineStr">
        <is>
          <t>영프로식품</t>
        </is>
      </c>
      <c r="D1229" s="24" t="inlineStr">
        <is>
          <t>185-96-01074</t>
        </is>
      </c>
      <c r="E1229" s="76" t="inlineStr">
        <is>
          <t>국내산 전통 한식 간장으로 담은 수제 밑반찬 두릅장아찌 800g</t>
        </is>
      </c>
      <c r="F1229" s="76" t="n">
        <v>1</v>
      </c>
      <c r="G1229" s="146" t="n">
        <v>31800</v>
      </c>
      <c r="H1229" s="146" t="n">
        <v>6360</v>
      </c>
    </row>
    <row r="1230" hidden="1" s="21">
      <c r="A1230" s="24" t="inlineStr">
        <is>
          <t>네이버</t>
        </is>
      </c>
      <c r="B1230" s="24" t="inlineStr">
        <is>
          <t>가공식품</t>
        </is>
      </c>
      <c r="C1230" s="24" t="inlineStr">
        <is>
          <t>영프로식품</t>
        </is>
      </c>
      <c r="D1230" s="24" t="inlineStr">
        <is>
          <t>185-96-01074</t>
        </is>
      </c>
      <c r="E1230" s="76" t="inlineStr">
        <is>
          <t>단양 전통 한식 집간장으로 담은 두릅장아찌 400g</t>
        </is>
      </c>
      <c r="F1230" s="76" t="n">
        <v>0</v>
      </c>
      <c r="G1230" s="146" t="inlineStr">
        <is>
          <t>-</t>
        </is>
      </c>
      <c r="H1230" s="146" t="inlineStr">
        <is>
          <t>-</t>
        </is>
      </c>
    </row>
    <row r="1231" hidden="1" s="21">
      <c r="A1231" s="24" t="inlineStr">
        <is>
          <t>네이버</t>
        </is>
      </c>
      <c r="B1231" s="24" t="inlineStr">
        <is>
          <t>가공식품</t>
        </is>
      </c>
      <c r="C1231" s="24" t="inlineStr">
        <is>
          <t>영프로식품</t>
        </is>
      </c>
      <c r="D1231" s="24" t="inlineStr">
        <is>
          <t>185-96-01074</t>
        </is>
      </c>
      <c r="E1231" s="76" t="inlineStr">
        <is>
          <t>단양 5년 숙성 국산 콩 전통 재래식 시골 집된장 2kg</t>
        </is>
      </c>
      <c r="F1231" s="76" t="n">
        <v>5</v>
      </c>
      <c r="G1231" s="146" t="n">
        <v>220900</v>
      </c>
      <c r="H1231" s="146" t="n">
        <v>16600</v>
      </c>
    </row>
    <row r="1232" hidden="1" s="21">
      <c r="A1232" s="24" t="inlineStr">
        <is>
          <t>네이버</t>
        </is>
      </c>
      <c r="B1232" s="24" t="inlineStr">
        <is>
          <t>가공식품</t>
        </is>
      </c>
      <c r="C1232" s="24" t="inlineStr">
        <is>
          <t>영프로식품</t>
        </is>
      </c>
      <c r="D1232" s="24" t="inlineStr">
        <is>
          <t>185-96-01074</t>
        </is>
      </c>
      <c r="E1232" s="76" t="inlineStr">
        <is>
          <t>단양 전통 집고추장 국산 마늘장아찌 400g</t>
        </is>
      </c>
      <c r="F1232" s="76" t="n">
        <v>0</v>
      </c>
      <c r="G1232" s="146" t="inlineStr">
        <is>
          <t>-</t>
        </is>
      </c>
      <c r="H1232" s="146" t="inlineStr">
        <is>
          <t>-</t>
        </is>
      </c>
    </row>
    <row r="1233" hidden="1" s="21">
      <c r="A1233" s="24" t="inlineStr">
        <is>
          <t>네이버</t>
        </is>
      </c>
      <c r="B1233" s="24" t="inlineStr">
        <is>
          <t>가공식품</t>
        </is>
      </c>
      <c r="C1233" s="24" t="inlineStr">
        <is>
          <t>영프로식품</t>
        </is>
      </c>
      <c r="D1233" s="24" t="inlineStr">
        <is>
          <t>185-96-01074</t>
        </is>
      </c>
      <c r="E1233" s="76" t="inlineStr">
        <is>
          <t>단양 전통 집고추장 국산 마늘장아찌 800g</t>
        </is>
      </c>
      <c r="F1233" s="76" t="n">
        <v>3</v>
      </c>
      <c r="G1233" s="146" t="n">
        <v>83600</v>
      </c>
      <c r="H1233" s="146" t="inlineStr">
        <is>
          <t>-</t>
        </is>
      </c>
    </row>
    <row r="1234" hidden="1" s="21">
      <c r="A1234" s="24" t="inlineStr">
        <is>
          <t>네이버</t>
        </is>
      </c>
      <c r="B1234" s="24" t="inlineStr">
        <is>
          <t>가공식품</t>
        </is>
      </c>
      <c r="C1234" s="24" t="inlineStr">
        <is>
          <t>영프로식품</t>
        </is>
      </c>
      <c r="D1234" s="24" t="inlineStr">
        <is>
          <t>185-96-01074</t>
        </is>
      </c>
      <c r="E1234" s="76" t="inlineStr">
        <is>
          <t>전통 한식 집 간장으로 담은 뽕잎 장아찌 800g</t>
        </is>
      </c>
      <c r="F1234" s="76" t="n">
        <v>0</v>
      </c>
      <c r="G1234" s="146" t="inlineStr">
        <is>
          <t>-</t>
        </is>
      </c>
      <c r="H1234" s="146" t="inlineStr">
        <is>
          <t>-</t>
        </is>
      </c>
    </row>
    <row r="1235" hidden="1" s="21">
      <c r="A1235" s="24" t="inlineStr">
        <is>
          <t>네이버</t>
        </is>
      </c>
      <c r="B1235" s="24" t="inlineStr">
        <is>
          <t>가공식품</t>
        </is>
      </c>
      <c r="C1235" s="24" t="inlineStr">
        <is>
          <t>영프로식품</t>
        </is>
      </c>
      <c r="D1235" s="24" t="inlineStr">
        <is>
          <t>185-96-01074</t>
        </is>
      </c>
      <c r="E1235" s="76" t="inlineStr">
        <is>
          <t>단양 전통 한식 집 간장 할라피뇨 국산 궁채 모듬장아찌 800g</t>
        </is>
      </c>
      <c r="F1235" s="76" t="n">
        <v>2</v>
      </c>
      <c r="G1235" s="146" t="n">
        <v>64200</v>
      </c>
      <c r="H1235" s="146" t="inlineStr">
        <is>
          <t>-</t>
        </is>
      </c>
    </row>
    <row r="1236" hidden="1" s="21">
      <c r="A1236" s="24" t="inlineStr">
        <is>
          <t>네이버</t>
        </is>
      </c>
      <c r="B1236" s="24" t="inlineStr">
        <is>
          <t>가공식품</t>
        </is>
      </c>
      <c r="C1236" s="24" t="inlineStr">
        <is>
          <t>영프로식품</t>
        </is>
      </c>
      <c r="D1236" s="24" t="inlineStr">
        <is>
          <t>185-96-01074</t>
        </is>
      </c>
      <c r="E1236" s="76" t="inlineStr">
        <is>
          <t>단양 국산 전통 발효 옛날 보리고추장 2kg</t>
        </is>
      </c>
      <c r="F1236" s="76" t="n">
        <v>2</v>
      </c>
      <c r="G1236" s="146" t="n">
        <v>89600</v>
      </c>
      <c r="H1236" s="146" t="n">
        <v>17920</v>
      </c>
    </row>
    <row r="1237" hidden="1" s="21">
      <c r="A1237" s="24" t="inlineStr">
        <is>
          <t>네이버</t>
        </is>
      </c>
      <c r="B1237" s="24" t="inlineStr">
        <is>
          <t>가공식품</t>
        </is>
      </c>
      <c r="C1237" s="24" t="inlineStr">
        <is>
          <t>영프로식품</t>
        </is>
      </c>
      <c r="D1237" s="24" t="inlineStr">
        <is>
          <t>185-96-01074</t>
        </is>
      </c>
      <c r="E1237" s="76" t="inlineStr">
        <is>
          <t>전통 집간장으로 담은 뽕잎장아찌 400g</t>
        </is>
      </c>
      <c r="F1237" s="76" t="n">
        <v>1</v>
      </c>
      <c r="G1237" s="146" t="n">
        <v>13400</v>
      </c>
      <c r="H1237" s="146" t="n">
        <v>2680</v>
      </c>
    </row>
    <row r="1238" hidden="1" s="21">
      <c r="A1238" s="24" t="inlineStr">
        <is>
          <t>네이버</t>
        </is>
      </c>
      <c r="B1238" s="24" t="inlineStr">
        <is>
          <t>가공식품</t>
        </is>
      </c>
      <c r="C1238" s="24" t="inlineStr">
        <is>
          <t>영프로식품</t>
        </is>
      </c>
      <c r="D1238" s="24" t="inlineStr">
        <is>
          <t>185-96-01074</t>
        </is>
      </c>
      <c r="E1238" s="76" t="inlineStr">
        <is>
          <t>단양 전통 시골 집고추장 마늘쫑장아찌 800g</t>
        </is>
      </c>
      <c r="F1238" s="76" t="n">
        <v>0</v>
      </c>
      <c r="G1238" s="146" t="inlineStr">
        <is>
          <t>-</t>
        </is>
      </c>
      <c r="H1238" s="146" t="inlineStr">
        <is>
          <t>-</t>
        </is>
      </c>
    </row>
    <row r="1239" hidden="1" s="21">
      <c r="A1239" s="24" t="inlineStr">
        <is>
          <t>네이버</t>
        </is>
      </c>
      <c r="B1239" s="24" t="inlineStr">
        <is>
          <t>가공식품</t>
        </is>
      </c>
      <c r="C1239" s="24" t="inlineStr">
        <is>
          <t>영프로식품</t>
        </is>
      </c>
      <c r="D1239" s="24" t="inlineStr">
        <is>
          <t>185-96-01074</t>
        </is>
      </c>
      <c r="E1239" s="76" t="inlineStr">
        <is>
          <t>단양 3년 숙성 국산 콩 전통 수제 재래식 시골 집된장 2kg</t>
        </is>
      </c>
      <c r="F1239" s="76" t="n">
        <v>1</v>
      </c>
      <c r="G1239" s="146" t="n">
        <v>38400</v>
      </c>
      <c r="H1239" s="146" t="inlineStr">
        <is>
          <t>-</t>
        </is>
      </c>
    </row>
    <row r="1240" hidden="1" s="21">
      <c r="A1240" s="24" t="inlineStr">
        <is>
          <t>네이버</t>
        </is>
      </c>
      <c r="B1240" s="24" t="inlineStr">
        <is>
          <t>가공식품</t>
        </is>
      </c>
      <c r="C1240" s="24" t="inlineStr">
        <is>
          <t>영프로식품</t>
        </is>
      </c>
      <c r="D1240" s="24" t="inlineStr">
        <is>
          <t>185-96-01074</t>
        </is>
      </c>
      <c r="E1240" s="76" t="inlineStr">
        <is>
          <t>단양 영프로식품 1년 숙성 전통 집 보리고추장 1kg</t>
        </is>
      </c>
      <c r="F1240" s="76" t="n">
        <v>3</v>
      </c>
      <c r="G1240" s="146" t="n">
        <v>114500</v>
      </c>
      <c r="H1240" s="146" t="n">
        <v>22900</v>
      </c>
    </row>
    <row r="1241" hidden="1" s="21">
      <c r="A1241" s="24" t="inlineStr">
        <is>
          <t>네이버</t>
        </is>
      </c>
      <c r="B1241" s="24" t="inlineStr">
        <is>
          <t>가공식품</t>
        </is>
      </c>
      <c r="C1241" s="24" t="inlineStr">
        <is>
          <t>영프로식품</t>
        </is>
      </c>
      <c r="D1241" s="24" t="inlineStr">
        <is>
          <t>185-96-01074</t>
        </is>
      </c>
      <c r="E1241" s="76" t="inlineStr">
        <is>
          <t>영프로 100% 국내산 콩 전통 3년 숙성 재래식 시골 집 된장 1kg</t>
        </is>
      </c>
      <c r="F1241" s="76" t="n">
        <v>5</v>
      </c>
      <c r="G1241" s="146" t="n">
        <v>99000</v>
      </c>
      <c r="H1241" s="146" t="n">
        <v>11880</v>
      </c>
    </row>
    <row r="1242" hidden="1" s="21">
      <c r="A1242" s="24" t="inlineStr">
        <is>
          <t>네이버</t>
        </is>
      </c>
      <c r="B1242" s="24" t="inlineStr">
        <is>
          <t>가공식품</t>
        </is>
      </c>
      <c r="C1242" s="24" t="inlineStr">
        <is>
          <t>시즌드시즌</t>
        </is>
      </c>
      <c r="D1242" s="24" t="inlineStr">
        <is>
          <t>677-87-02304</t>
        </is>
      </c>
      <c r="E1242" s="76" t="inlineStr">
        <is>
          <t>수면에 좋은 카페인 없는 차 - '사계'차 선물세트 [프리미엄 티하우스 시즌드시즌]</t>
        </is>
      </c>
      <c r="F1242" s="76" t="n">
        <v>5</v>
      </c>
      <c r="G1242" s="146" t="n">
        <v>416000</v>
      </c>
      <c r="H1242" s="146" t="n">
        <v>7200</v>
      </c>
    </row>
    <row r="1243" hidden="1" s="21">
      <c r="A1243" s="24" t="inlineStr">
        <is>
          <t>네이버</t>
        </is>
      </c>
      <c r="B1243" s="24" t="inlineStr">
        <is>
          <t>가공식품</t>
        </is>
      </c>
      <c r="C1243" s="24" t="inlineStr">
        <is>
          <t>시즌드시즌</t>
        </is>
      </c>
      <c r="D1243" s="24" t="inlineStr">
        <is>
          <t>677-87-02304</t>
        </is>
      </c>
      <c r="E1243" s="76" t="inlineStr">
        <is>
          <t>수면에 좋은 카페인 없는 차 - 프리미엄 7종 샘플러: 봄 여름 가을 겨울 아침 오후 밤</t>
        </is>
      </c>
      <c r="F1243" s="76" t="n">
        <v>3</v>
      </c>
      <c r="G1243" s="146" t="n">
        <v>137900</v>
      </c>
      <c r="H1243" s="146" t="n">
        <v>7880</v>
      </c>
    </row>
    <row r="1244" hidden="1" s="21">
      <c r="A1244" s="24" t="inlineStr">
        <is>
          <t>네이버</t>
        </is>
      </c>
      <c r="B1244" s="24" t="inlineStr">
        <is>
          <t>가공식품</t>
        </is>
      </c>
      <c r="C1244" s="24" t="inlineStr">
        <is>
          <t>시즌드시즌</t>
        </is>
      </c>
      <c r="D1244" s="24" t="inlineStr">
        <is>
          <t>677-87-02304</t>
        </is>
      </c>
      <c r="E1244" s="76" t="inlineStr">
        <is>
          <t>수면에 좋은 카페인 없는 차 - 봄 여름 가을 겨울_프리미엄 티하우스 시즌드시즌 '사계'티</t>
        </is>
      </c>
      <c r="F1244" s="76" t="n">
        <v>2</v>
      </c>
      <c r="G1244" s="146" t="n">
        <v>58000</v>
      </c>
      <c r="H1244" s="146" t="inlineStr">
        <is>
          <t>-</t>
        </is>
      </c>
    </row>
    <row r="1245" hidden="1" s="21">
      <c r="A1245" s="24" t="inlineStr">
        <is>
          <t>네이버</t>
        </is>
      </c>
      <c r="B1245" s="24" t="inlineStr">
        <is>
          <t>가공식품</t>
        </is>
      </c>
      <c r="C1245" s="24" t="inlineStr">
        <is>
          <t>시즌드시즌</t>
        </is>
      </c>
      <c r="D1245" s="24" t="inlineStr">
        <is>
          <t>677-87-02304</t>
        </is>
      </c>
      <c r="E1245" s="76" t="inlineStr">
        <is>
          <t>수면에 좋은 카페인 없는 차 - 아침 오후 밤- 시즌드시즌 '하루'티</t>
        </is>
      </c>
      <c r="F1245" s="76" t="n">
        <v>3</v>
      </c>
      <c r="G1245" s="146" t="n">
        <v>87000</v>
      </c>
      <c r="H1245" s="146" t="inlineStr">
        <is>
          <t>-</t>
        </is>
      </c>
    </row>
    <row r="1246" hidden="1" s="21">
      <c r="A1246" s="24" t="inlineStr">
        <is>
          <t>네이버</t>
        </is>
      </c>
      <c r="B1246" s="24" t="inlineStr">
        <is>
          <t>가공식품</t>
        </is>
      </c>
      <c r="C1246" s="24" t="inlineStr">
        <is>
          <t>슬기로운 청년농부</t>
        </is>
      </c>
      <c r="D1246" s="24" t="inlineStr">
        <is>
          <t>145-29-01924</t>
        </is>
      </c>
      <c r="E1246" s="76" t="inlineStr">
        <is>
          <t>리트리 배즙 착즙주스 배주스 원액 100% 120ml 15개입</t>
        </is>
      </c>
      <c r="F1246" s="76" t="n">
        <v>3</v>
      </c>
      <c r="G1246" s="146" t="n">
        <v>83700</v>
      </c>
      <c r="H1246" s="146" t="n">
        <v>5580</v>
      </c>
    </row>
    <row r="1247" hidden="1" s="21">
      <c r="A1247" s="24" t="inlineStr">
        <is>
          <t>네이버</t>
        </is>
      </c>
      <c r="B1247" s="24" t="inlineStr">
        <is>
          <t>가공식품</t>
        </is>
      </c>
      <c r="C1247" s="24" t="inlineStr">
        <is>
          <t>영프로식품</t>
        </is>
      </c>
      <c r="D1247" s="24" t="inlineStr">
        <is>
          <t>185-96-01074</t>
        </is>
      </c>
      <c r="E1247" s="76" t="inlineStr">
        <is>
          <t>단양 영프로 1년숙성 전통 시골 집 보리고추장 500g</t>
        </is>
      </c>
      <c r="F1247" s="76" t="n">
        <v>0</v>
      </c>
      <c r="G1247" s="146" t="inlineStr">
        <is>
          <t>-</t>
        </is>
      </c>
      <c r="H1247" s="146" t="inlineStr">
        <is>
          <t>-</t>
        </is>
      </c>
    </row>
    <row r="1248" hidden="1" s="21">
      <c r="A1248" s="24" t="inlineStr">
        <is>
          <t>네이버</t>
        </is>
      </c>
      <c r="B1248" s="24" t="inlineStr">
        <is>
          <t>가공식품</t>
        </is>
      </c>
      <c r="C1248" s="24" t="inlineStr">
        <is>
          <t>(주)페어베이커리</t>
        </is>
      </c>
      <c r="D1248" s="24" t="inlineStr">
        <is>
          <t>116-81-97167</t>
        </is>
      </c>
      <c r="E1248" s="76" t="inlineStr">
        <is>
          <t>신선한 우리밀 앉은키밀 공정무역 우리밀 한입스콘 구움과자 디저트 플레인 100g 1개</t>
        </is>
      </c>
      <c r="F1248" s="76" t="n">
        <v>5</v>
      </c>
      <c r="G1248" s="146" t="n">
        <v>71600</v>
      </c>
      <c r="H1248" s="146" t="inlineStr">
        <is>
          <t>-</t>
        </is>
      </c>
    </row>
    <row r="1249" hidden="1" s="21">
      <c r="A1249" s="24" t="inlineStr">
        <is>
          <t>네이버</t>
        </is>
      </c>
      <c r="B1249" s="24" t="inlineStr">
        <is>
          <t>가공식품</t>
        </is>
      </c>
      <c r="C1249" s="24" t="inlineStr">
        <is>
          <t>(주)페어베이커리</t>
        </is>
      </c>
      <c r="D1249" s="24" t="inlineStr">
        <is>
          <t>116-81-97167</t>
        </is>
      </c>
      <c r="E1249" s="76" t="inlineStr">
        <is>
          <t>신선한 우리밀 앉은키밀 공정무역 우리밀 한입스콘 구움과자 디저트 초코칩 100g 1개</t>
        </is>
      </c>
      <c r="F1249" s="76" t="n">
        <v>2</v>
      </c>
      <c r="G1249" s="146" t="n">
        <v>25920</v>
      </c>
      <c r="H1249" s="146" t="n">
        <v>3890</v>
      </c>
    </row>
    <row r="1250" hidden="1" s="21">
      <c r="A1250" s="24" t="inlineStr">
        <is>
          <t>네이버</t>
        </is>
      </c>
      <c r="B1250" s="24" t="inlineStr">
        <is>
          <t>가공식품</t>
        </is>
      </c>
      <c r="C1250" s="24" t="inlineStr">
        <is>
          <t>(주)페어베이커리</t>
        </is>
      </c>
      <c r="D1250" s="24" t="inlineStr">
        <is>
          <t>116-81-97167</t>
        </is>
      </c>
      <c r="E1250" s="76" t="inlineStr">
        <is>
          <t>신선한 우리밀 앉은키밀 공정무역 우리밀 한입스콘 구움과자 디저트 바다김 100g 1개</t>
        </is>
      </c>
      <c r="F1250" s="76" t="n">
        <v>1</v>
      </c>
      <c r="G1250" s="146" t="n">
        <v>6480</v>
      </c>
      <c r="H1250" s="146" t="inlineStr">
        <is>
          <t>-</t>
        </is>
      </c>
    </row>
    <row r="1251" hidden="1" s="21">
      <c r="A1251" s="24" t="inlineStr">
        <is>
          <t>네이버</t>
        </is>
      </c>
      <c r="B1251" s="24" t="inlineStr">
        <is>
          <t>가공식품</t>
        </is>
      </c>
      <c r="C1251" s="24" t="inlineStr">
        <is>
          <t>(주)페어베이커리</t>
        </is>
      </c>
      <c r="D1251" s="24" t="inlineStr">
        <is>
          <t>116-81-97167</t>
        </is>
      </c>
      <c r="E1251" s="76" t="inlineStr">
        <is>
          <t>통밀 식이섬유 공정무역 우리밀 한입스콘 구움과자 디저트 오트밀 레이즌 100g 1개</t>
        </is>
      </c>
      <c r="F1251" s="76" t="n">
        <v>4</v>
      </c>
      <c r="G1251" s="146" t="n">
        <v>24480</v>
      </c>
      <c r="H1251" s="146" t="inlineStr">
        <is>
          <t>-</t>
        </is>
      </c>
    </row>
    <row r="1252" hidden="1" s="21">
      <c r="A1252" s="24" t="inlineStr">
        <is>
          <t>네이버</t>
        </is>
      </c>
      <c r="B1252" s="24" t="inlineStr">
        <is>
          <t>가공식품</t>
        </is>
      </c>
      <c r="C1252" s="24" t="inlineStr">
        <is>
          <t>(주)페어베이커리</t>
        </is>
      </c>
      <c r="D1252" s="24" t="inlineStr">
        <is>
          <t>116-81-97167</t>
        </is>
      </c>
      <c r="E1252" s="76" t="inlineStr">
        <is>
          <t>신선한 우리밀 앉은키밀 공정무역 우리밀 한입스콘 구움과자 디저트 쑥고물 100g 1개</t>
        </is>
      </c>
      <c r="F1252" s="76" t="n">
        <v>1</v>
      </c>
      <c r="G1252" s="146" t="n">
        <v>6480</v>
      </c>
      <c r="H1252" s="146" t="inlineStr">
        <is>
          <t>-</t>
        </is>
      </c>
    </row>
    <row r="1253" hidden="1" s="21">
      <c r="A1253" s="24" t="inlineStr">
        <is>
          <t>네이버</t>
        </is>
      </c>
      <c r="B1253" s="24" t="inlineStr">
        <is>
          <t>가공식품</t>
        </is>
      </c>
      <c r="C1253" s="24" t="inlineStr">
        <is>
          <t>(주)페어베이커리</t>
        </is>
      </c>
      <c r="D1253" s="24" t="inlineStr">
        <is>
          <t>116-81-97167</t>
        </is>
      </c>
      <c r="E1253" s="76" t="inlineStr">
        <is>
          <t>햇밀 공정무역 우리밀 한입스콘 구움과자 5종 세트</t>
        </is>
      </c>
      <c r="F1253" s="76" t="n">
        <v>2</v>
      </c>
      <c r="G1253" s="146" t="n">
        <v>85260</v>
      </c>
      <c r="H1253" s="146" t="inlineStr">
        <is>
          <t>-</t>
        </is>
      </c>
    </row>
    <row r="1254" hidden="1" s="21">
      <c r="A1254" s="24" t="inlineStr">
        <is>
          <t>네이버</t>
        </is>
      </c>
      <c r="B1254" s="24" t="inlineStr">
        <is>
          <t>농산물</t>
        </is>
      </c>
      <c r="C1254" s="24" t="inlineStr">
        <is>
          <t>그로운</t>
        </is>
      </c>
      <c r="D1254" s="24" t="inlineStr">
        <is>
          <t>570-93-01757</t>
        </is>
      </c>
      <c r="E1254" s="76" t="inlineStr">
        <is>
          <t>[그로운] 뿌리가 살아있는 무농약 유러피안 샐러드 상추6종 산지직송 유럽 상추 로메인 버터헤드</t>
        </is>
      </c>
      <c r="F1254" s="76" t="n">
        <v>247</v>
      </c>
      <c r="G1254" s="146" t="n">
        <v>2356800</v>
      </c>
      <c r="H1254" s="146" t="n">
        <v>221980</v>
      </c>
    </row>
    <row r="1255" hidden="1" s="21">
      <c r="A1255" s="24" t="inlineStr">
        <is>
          <t>네이버</t>
        </is>
      </c>
      <c r="B1255" s="24" t="inlineStr">
        <is>
          <t>농산물</t>
        </is>
      </c>
      <c r="C1255" s="24" t="inlineStr">
        <is>
          <t>짱아찌네농장</t>
        </is>
      </c>
      <c r="D1255" s="24" t="inlineStr">
        <is>
          <t>280-90-00306</t>
        </is>
      </c>
      <c r="E1255" s="76" t="inlineStr">
        <is>
          <t>농장직송 케일 쌈 그린스무디 2kg 1개</t>
        </is>
      </c>
      <c r="F1255" s="76" t="n">
        <v>34</v>
      </c>
      <c r="G1255" s="146" t="n">
        <v>1555000</v>
      </c>
      <c r="H1255" s="146" t="n">
        <v>295000</v>
      </c>
    </row>
    <row r="1256" hidden="1" s="21">
      <c r="A1256" s="24" t="inlineStr">
        <is>
          <t>네이버</t>
        </is>
      </c>
      <c r="B1256" s="24" t="inlineStr">
        <is>
          <t>농산물</t>
        </is>
      </c>
      <c r="C1256" s="24" t="inlineStr">
        <is>
          <t>짱아찌네농장</t>
        </is>
      </c>
      <c r="D1256" s="24" t="inlineStr">
        <is>
          <t>280-90-00306</t>
        </is>
      </c>
      <c r="E1256" s="76" t="inlineStr">
        <is>
          <t>농장직송 케일 쌈 그린스무디 1kg 1개</t>
        </is>
      </c>
      <c r="F1256" s="76" t="n">
        <v>3</v>
      </c>
      <c r="G1256" s="146" t="n">
        <v>28000</v>
      </c>
      <c r="H1256" s="146" t="inlineStr">
        <is>
          <t>-</t>
        </is>
      </c>
    </row>
    <row r="1257" hidden="1" s="21">
      <c r="A1257" s="24" t="inlineStr">
        <is>
          <t>네이버</t>
        </is>
      </c>
      <c r="B1257" s="24" t="inlineStr">
        <is>
          <t>농산물</t>
        </is>
      </c>
      <c r="C1257" s="24" t="inlineStr">
        <is>
          <t>짱아찌네농장</t>
        </is>
      </c>
      <c r="D1257" s="24" t="inlineStr">
        <is>
          <t>280-90-00306</t>
        </is>
      </c>
      <c r="E1257" s="76" t="inlineStr">
        <is>
          <t>농장직송 케일 쌈 그린스무디 500g 1개</t>
        </is>
      </c>
      <c r="F1257" s="76" t="n">
        <v>2</v>
      </c>
      <c r="G1257" s="146" t="n">
        <v>14000</v>
      </c>
      <c r="H1257" s="146" t="inlineStr">
        <is>
          <t>-</t>
        </is>
      </c>
    </row>
    <row r="1258" hidden="1" s="21">
      <c r="A1258" s="24" t="inlineStr">
        <is>
          <t>네이버</t>
        </is>
      </c>
      <c r="B1258" s="24" t="inlineStr">
        <is>
          <t>농산물</t>
        </is>
      </c>
      <c r="C1258" s="24" t="inlineStr">
        <is>
          <t>짱아찌네농장</t>
        </is>
      </c>
      <c r="D1258" s="24" t="inlineStr">
        <is>
          <t>280-90-00306</t>
        </is>
      </c>
      <c r="E1258" s="76" t="inlineStr">
        <is>
          <t>농장직송 적근대 2kg 1개</t>
        </is>
      </c>
      <c r="F1258" s="76" t="n">
        <v>20</v>
      </c>
      <c r="G1258" s="146" t="n">
        <v>770000</v>
      </c>
      <c r="H1258" s="146" t="n">
        <v>125940</v>
      </c>
    </row>
    <row r="1259" hidden="1" s="21">
      <c r="A1259" s="24" t="inlineStr">
        <is>
          <t>네이버</t>
        </is>
      </c>
      <c r="B1259" s="24" t="inlineStr">
        <is>
          <t>농산물</t>
        </is>
      </c>
      <c r="C1259" s="24" t="inlineStr">
        <is>
          <t>짱아찌네농장</t>
        </is>
      </c>
      <c r="D1259" s="24" t="inlineStr">
        <is>
          <t>280-90-00306</t>
        </is>
      </c>
      <c r="E1259" s="76" t="inlineStr">
        <is>
          <t>농장직송 적근대 1kg 1개</t>
        </is>
      </c>
      <c r="F1259" s="76" t="n">
        <v>8</v>
      </c>
      <c r="G1259" s="146" t="n">
        <v>144000</v>
      </c>
      <c r="H1259" s="146" t="n">
        <v>17400</v>
      </c>
    </row>
    <row r="1260" hidden="1" s="21">
      <c r="A1260" s="24" t="inlineStr">
        <is>
          <t>네이버</t>
        </is>
      </c>
      <c r="B1260" s="24" t="inlineStr">
        <is>
          <t>농산물</t>
        </is>
      </c>
      <c r="C1260" s="24" t="inlineStr">
        <is>
          <t>짱아찌네농장</t>
        </is>
      </c>
      <c r="D1260" s="24" t="inlineStr">
        <is>
          <t>280-90-00306</t>
        </is>
      </c>
      <c r="E1260" s="76" t="inlineStr">
        <is>
          <t>농장직송 적근대 500g 1개</t>
        </is>
      </c>
      <c r="F1260" s="76" t="n">
        <v>1</v>
      </c>
      <c r="G1260" s="146" t="n">
        <v>5000</v>
      </c>
      <c r="H1260" s="146" t="inlineStr">
        <is>
          <t>-</t>
        </is>
      </c>
    </row>
    <row r="1261" hidden="1" s="21">
      <c r="A1261" s="24" t="inlineStr">
        <is>
          <t>네이버</t>
        </is>
      </c>
      <c r="B1261" s="24" t="inlineStr">
        <is>
          <t>농산물</t>
        </is>
      </c>
      <c r="C1261" s="24" t="inlineStr">
        <is>
          <t>짱아찌네농장</t>
        </is>
      </c>
      <c r="D1261" s="24" t="inlineStr">
        <is>
          <t>280-90-00306</t>
        </is>
      </c>
      <c r="E1261" s="76" t="inlineStr">
        <is>
          <t>농장직송 적근대 300g 1개</t>
        </is>
      </c>
      <c r="F1261" s="76" t="n">
        <v>6</v>
      </c>
      <c r="G1261" s="146" t="n">
        <v>27000</v>
      </c>
      <c r="H1261" s="146" t="inlineStr">
        <is>
          <t>-</t>
        </is>
      </c>
    </row>
    <row r="1262" hidden="1" s="21">
      <c r="A1262" s="24" t="inlineStr">
        <is>
          <t>네이버</t>
        </is>
      </c>
      <c r="B1262" s="24" t="inlineStr">
        <is>
          <t>농산물</t>
        </is>
      </c>
      <c r="C1262" s="24" t="inlineStr">
        <is>
          <t>짱아찌네농장</t>
        </is>
      </c>
      <c r="D1262" s="24" t="inlineStr">
        <is>
          <t>280-90-00306</t>
        </is>
      </c>
      <c r="E1262" s="76" t="inlineStr">
        <is>
          <t>농장직송 적겨자 잎 쌈채소 2kg 1개</t>
        </is>
      </c>
      <c r="F1262" s="76" t="n">
        <v>0</v>
      </c>
      <c r="G1262" s="146" t="inlineStr">
        <is>
          <t>-</t>
        </is>
      </c>
      <c r="H1262" s="146" t="inlineStr">
        <is>
          <t>-</t>
        </is>
      </c>
    </row>
    <row r="1263" hidden="1" s="21">
      <c r="A1263" s="24" t="inlineStr">
        <is>
          <t>네이버</t>
        </is>
      </c>
      <c r="B1263" s="24" t="inlineStr">
        <is>
          <t>농산물</t>
        </is>
      </c>
      <c r="C1263" s="24" t="inlineStr">
        <is>
          <t>짱아찌네농장</t>
        </is>
      </c>
      <c r="D1263" s="24" t="inlineStr">
        <is>
          <t>280-90-00306</t>
        </is>
      </c>
      <c r="E1263" s="76" t="inlineStr">
        <is>
          <t>농장직송 적겨자 잎 쌈채소 1kg 1개</t>
        </is>
      </c>
      <c r="F1263" s="76" t="n">
        <v>0</v>
      </c>
      <c r="G1263" s="146" t="inlineStr">
        <is>
          <t>-</t>
        </is>
      </c>
      <c r="H1263" s="146" t="inlineStr">
        <is>
          <t>-</t>
        </is>
      </c>
    </row>
    <row r="1264" hidden="1" s="21">
      <c r="A1264" s="24" t="inlineStr">
        <is>
          <t>네이버</t>
        </is>
      </c>
      <c r="B1264" s="24" t="inlineStr">
        <is>
          <t>농산물</t>
        </is>
      </c>
      <c r="C1264" s="24" t="inlineStr">
        <is>
          <t>짱아찌네농장</t>
        </is>
      </c>
      <c r="D1264" s="24" t="inlineStr">
        <is>
          <t>280-90-00306</t>
        </is>
      </c>
      <c r="E1264" s="76" t="inlineStr">
        <is>
          <t>농장직송 적겨자 잎 쌈채소 500g 1개</t>
        </is>
      </c>
      <c r="F1264" s="76" t="n">
        <v>1</v>
      </c>
      <c r="G1264" s="146" t="n">
        <v>9000</v>
      </c>
      <c r="H1264" s="146" t="inlineStr">
        <is>
          <t>-</t>
        </is>
      </c>
    </row>
    <row r="1265" hidden="1" s="21">
      <c r="A1265" s="24" t="inlineStr">
        <is>
          <t>네이버</t>
        </is>
      </c>
      <c r="B1265" s="24" t="inlineStr">
        <is>
          <t>농산물</t>
        </is>
      </c>
      <c r="C1265" s="24" t="inlineStr">
        <is>
          <t>짱아찌네농장</t>
        </is>
      </c>
      <c r="D1265" s="24" t="inlineStr">
        <is>
          <t>280-90-00306</t>
        </is>
      </c>
      <c r="E1265" s="76" t="inlineStr">
        <is>
          <t>농장직송 적겨자 잎 쌈채소 300g 1개</t>
        </is>
      </c>
      <c r="F1265" s="76" t="n">
        <v>0</v>
      </c>
      <c r="G1265" s="146" t="inlineStr">
        <is>
          <t>-</t>
        </is>
      </c>
      <c r="H1265" s="146" t="inlineStr">
        <is>
          <t>-</t>
        </is>
      </c>
    </row>
    <row r="1266" hidden="1" s="21">
      <c r="A1266" s="24" t="inlineStr">
        <is>
          <t>네이버</t>
        </is>
      </c>
      <c r="B1266" s="24" t="inlineStr">
        <is>
          <t>농산물</t>
        </is>
      </c>
      <c r="C1266" s="24" t="inlineStr">
        <is>
          <t>짱아찌네농장</t>
        </is>
      </c>
      <c r="D1266" s="24" t="inlineStr">
        <is>
          <t>280-90-00306</t>
        </is>
      </c>
      <c r="E1266" s="76" t="inlineStr">
        <is>
          <t>당일수확 생바질 스위트 식용허브 1kg 1개</t>
        </is>
      </c>
      <c r="F1266" s="76" t="n">
        <v>9</v>
      </c>
      <c r="G1266" s="146" t="n">
        <v>390000</v>
      </c>
      <c r="H1266" s="146" t="n">
        <v>66000</v>
      </c>
    </row>
    <row r="1267" hidden="1" s="21">
      <c r="A1267" s="24" t="inlineStr">
        <is>
          <t>네이버</t>
        </is>
      </c>
      <c r="B1267" s="24" t="inlineStr">
        <is>
          <t>농산물</t>
        </is>
      </c>
      <c r="C1267" s="24" t="inlineStr">
        <is>
          <t>짱아찌네농장</t>
        </is>
      </c>
      <c r="D1267" s="24" t="inlineStr">
        <is>
          <t>280-90-00306</t>
        </is>
      </c>
      <c r="E1267" s="76" t="inlineStr">
        <is>
          <t>당일수확 생바질 스위트 식용허브 500g 1개</t>
        </is>
      </c>
      <c r="F1267" s="76" t="n">
        <v>5</v>
      </c>
      <c r="G1267" s="146" t="n">
        <v>117000</v>
      </c>
      <c r="H1267" s="146" t="n">
        <v>12800</v>
      </c>
    </row>
    <row r="1268" hidden="1" s="21">
      <c r="A1268" s="24" t="inlineStr">
        <is>
          <t>네이버</t>
        </is>
      </c>
      <c r="B1268" s="24" t="inlineStr">
        <is>
          <t>농산물</t>
        </is>
      </c>
      <c r="C1268" s="24" t="inlineStr">
        <is>
          <t>짱아찌네농장</t>
        </is>
      </c>
      <c r="D1268" s="24" t="inlineStr">
        <is>
          <t>280-90-00306</t>
        </is>
      </c>
      <c r="E1268" s="76" t="inlineStr">
        <is>
          <t>당일수확 생바질 스위트 식용허브 300g 1개</t>
        </is>
      </c>
      <c r="F1268" s="76" t="n">
        <v>5</v>
      </c>
      <c r="G1268" s="146" t="n">
        <v>103000</v>
      </c>
      <c r="H1268" s="146" t="n">
        <v>10000</v>
      </c>
    </row>
    <row r="1269" hidden="1" s="21">
      <c r="A1269" s="24" t="inlineStr">
        <is>
          <t>네이버</t>
        </is>
      </c>
      <c r="B1269" s="24" t="inlineStr">
        <is>
          <t>농산물</t>
        </is>
      </c>
      <c r="C1269" s="24" t="inlineStr">
        <is>
          <t>짱아찌네농장</t>
        </is>
      </c>
      <c r="D1269" s="24" t="inlineStr">
        <is>
          <t>280-90-00306</t>
        </is>
      </c>
      <c r="E1269" s="76" t="inlineStr">
        <is>
          <t>당일수확 생바질 스위트 식용허브 100g 1개</t>
        </is>
      </c>
      <c r="F1269" s="76" t="n">
        <v>1</v>
      </c>
      <c r="G1269" s="146" t="n">
        <v>4500</v>
      </c>
      <c r="H1269" s="146" t="inlineStr">
        <is>
          <t>-</t>
        </is>
      </c>
    </row>
    <row r="1270" hidden="1" s="21">
      <c r="A1270" s="24" t="inlineStr">
        <is>
          <t>네이버</t>
        </is>
      </c>
      <c r="B1270" s="24" t="inlineStr">
        <is>
          <t>농산물</t>
        </is>
      </c>
      <c r="C1270" s="24" t="inlineStr">
        <is>
          <t>짱아찌네농장</t>
        </is>
      </c>
      <c r="D1270" s="24" t="inlineStr">
        <is>
          <t>280-90-00306</t>
        </is>
      </c>
      <c r="E1270" s="76" t="inlineStr">
        <is>
          <t>농장직송 와일드루꼴라 300g 1개</t>
        </is>
      </c>
      <c r="F1270" s="76" t="n">
        <v>16</v>
      </c>
      <c r="G1270" s="146" t="n">
        <v>206000</v>
      </c>
      <c r="H1270" s="146" t="n">
        <v>12000</v>
      </c>
    </row>
    <row r="1271" hidden="1" s="21">
      <c r="A1271" s="24" t="inlineStr">
        <is>
          <t>네이버</t>
        </is>
      </c>
      <c r="B1271" s="24" t="inlineStr">
        <is>
          <t>농산물</t>
        </is>
      </c>
      <c r="C1271" s="24" t="inlineStr">
        <is>
          <t>짱아찌네농장</t>
        </is>
      </c>
      <c r="D1271" s="24" t="inlineStr">
        <is>
          <t>280-90-00306</t>
        </is>
      </c>
      <c r="E1271" s="76" t="inlineStr">
        <is>
          <t>농장직송 와일드루꼴라 500g 1개</t>
        </is>
      </c>
      <c r="F1271" s="76" t="n">
        <v>42</v>
      </c>
      <c r="G1271" s="146" t="n">
        <v>1030000</v>
      </c>
      <c r="H1271" s="146" t="n">
        <v>126300</v>
      </c>
    </row>
    <row r="1272" hidden="1" s="21">
      <c r="A1272" s="24" t="inlineStr">
        <is>
          <t>네이버</t>
        </is>
      </c>
      <c r="B1272" s="24" t="inlineStr">
        <is>
          <t>농산물</t>
        </is>
      </c>
      <c r="C1272" s="24" t="inlineStr">
        <is>
          <t>짱아찌네농장</t>
        </is>
      </c>
      <c r="D1272" s="24" t="inlineStr">
        <is>
          <t>280-90-00306</t>
        </is>
      </c>
      <c r="E1272" s="76" t="inlineStr">
        <is>
          <t>농장직송 와일드루꼴라 1kg 1개</t>
        </is>
      </c>
      <c r="F1272" s="76" t="n">
        <v>85</v>
      </c>
      <c r="G1272" s="146" t="n">
        <v>3276000</v>
      </c>
      <c r="H1272" s="146" t="n">
        <v>511400</v>
      </c>
    </row>
    <row r="1273" hidden="1" s="21">
      <c r="A1273" s="24" t="inlineStr">
        <is>
          <t>네이버</t>
        </is>
      </c>
      <c r="B1273" s="24" t="inlineStr">
        <is>
          <t>농산물</t>
        </is>
      </c>
      <c r="C1273" s="24" t="inlineStr">
        <is>
          <t>짱아찌네농장</t>
        </is>
      </c>
      <c r="D1273" s="24" t="inlineStr">
        <is>
          <t>280-90-00306</t>
        </is>
      </c>
      <c r="E1273" s="76" t="inlineStr">
        <is>
          <t>농장직송 케일 쌈 주스 그린스무디 쌈채소 샐러드야채 당일수확 2kg 1개</t>
        </is>
      </c>
      <c r="F1273" s="76" t="n">
        <v>29</v>
      </c>
      <c r="G1273" s="146" t="n">
        <v>1552000</v>
      </c>
      <c r="H1273" s="146" t="n">
        <v>119800</v>
      </c>
    </row>
    <row r="1274" hidden="1" s="21">
      <c r="A1274" s="24" t="inlineStr">
        <is>
          <t>네이버</t>
        </is>
      </c>
      <c r="B1274" s="24" t="inlineStr">
        <is>
          <t>농산물</t>
        </is>
      </c>
      <c r="C1274" s="24" t="inlineStr">
        <is>
          <t>짱아찌네농장</t>
        </is>
      </c>
      <c r="D1274" s="24" t="inlineStr">
        <is>
          <t>280-90-00306</t>
        </is>
      </c>
      <c r="E1274" s="76" t="inlineStr">
        <is>
          <t>농장직송 케일 쌈 주스 그린스무디 쌈채소 샐러드야채 당일수확 1kg 1개</t>
        </is>
      </c>
      <c r="F1274" s="76" t="n">
        <v>21</v>
      </c>
      <c r="G1274" s="146" t="n">
        <v>246000</v>
      </c>
      <c r="H1274" s="146" t="n">
        <v>19000</v>
      </c>
    </row>
    <row r="1275" hidden="1" s="21">
      <c r="A1275" s="24" t="inlineStr">
        <is>
          <t>네이버</t>
        </is>
      </c>
      <c r="B1275" s="24" t="inlineStr">
        <is>
          <t>농산물</t>
        </is>
      </c>
      <c r="C1275" s="24" t="inlineStr">
        <is>
          <t>짱아찌네농장</t>
        </is>
      </c>
      <c r="D1275" s="24" t="inlineStr">
        <is>
          <t>280-90-00306</t>
        </is>
      </c>
      <c r="E1275" s="76" t="inlineStr">
        <is>
          <t>농장직송 케일 쌈 주스 그린스무디 쌈채소 샐러드야채 당일수확 500g 1개</t>
        </is>
      </c>
      <c r="F1275" s="76" t="n">
        <v>16</v>
      </c>
      <c r="G1275" s="146" t="n">
        <v>107000</v>
      </c>
      <c r="H1275" s="146" t="n">
        <v>2200</v>
      </c>
    </row>
    <row r="1276" hidden="1" s="21">
      <c r="A1276" s="24" t="inlineStr">
        <is>
          <t>네이버</t>
        </is>
      </c>
      <c r="B1276" s="24" t="inlineStr">
        <is>
          <t>가공식품</t>
        </is>
      </c>
      <c r="C1276" s="24" t="inlineStr">
        <is>
          <t>짱아찌네농장</t>
        </is>
      </c>
      <c r="D1276" s="24" t="inlineStr">
        <is>
          <t>280-90-00306</t>
        </is>
      </c>
      <c r="E1276" s="76" t="inlineStr">
        <is>
          <t>딜 허브 생잎 차지키소스 레몬딜버터 50g 100g</t>
        </is>
      </c>
      <c r="F1276" s="76" t="n">
        <v>16</v>
      </c>
      <c r="G1276" s="146" t="n">
        <v>167000</v>
      </c>
      <c r="H1276" s="146" t="n">
        <v>5000</v>
      </c>
    </row>
    <row r="1277" hidden="1" s="21">
      <c r="A1277" s="24" t="inlineStr">
        <is>
          <t>네이버</t>
        </is>
      </c>
      <c r="B1277" s="24" t="inlineStr">
        <is>
          <t>농산물</t>
        </is>
      </c>
      <c r="C1277" s="24" t="inlineStr">
        <is>
          <t>짱아찌네농장</t>
        </is>
      </c>
      <c r="D1277" s="24" t="inlineStr">
        <is>
          <t>280-90-00306</t>
        </is>
      </c>
      <c r="E1277" s="76" t="inlineStr">
        <is>
          <t>비타민채소 그린비타민 다채 샐러드야채 특수야채 이유식재료 1kg 500g</t>
        </is>
      </c>
      <c r="F1277" s="76" t="n">
        <v>17</v>
      </c>
      <c r="G1277" s="146" t="n">
        <v>361000</v>
      </c>
      <c r="H1277" s="146" t="n">
        <v>54000</v>
      </c>
    </row>
    <row r="1278" hidden="1" s="21">
      <c r="A1278" s="24" t="inlineStr">
        <is>
          <t>네이버</t>
        </is>
      </c>
      <c r="B1278" s="24" t="inlineStr">
        <is>
          <t>농산물</t>
        </is>
      </c>
      <c r="C1278" s="24" t="inlineStr">
        <is>
          <t>짱아찌네농장</t>
        </is>
      </c>
      <c r="D1278" s="24" t="inlineStr">
        <is>
          <t>280-90-00306</t>
        </is>
      </c>
      <c r="E1278" s="76" t="inlineStr">
        <is>
          <t>로메인 적로메인 농장직송 발송당일수확 1kg 2kg 샐러드야채 쌈채소</t>
        </is>
      </c>
      <c r="F1278" s="76" t="n">
        <v>17</v>
      </c>
      <c r="G1278" s="146" t="n">
        <v>367000</v>
      </c>
      <c r="H1278" s="146" t="n">
        <v>36800</v>
      </c>
    </row>
    <row r="1279" hidden="1" s="21">
      <c r="A1279" s="24" t="inlineStr">
        <is>
          <t>네이버</t>
        </is>
      </c>
      <c r="B1279" s="24" t="inlineStr">
        <is>
          <t>농산물</t>
        </is>
      </c>
      <c r="C1279" s="24" t="inlineStr">
        <is>
          <t>짱아찌네농장</t>
        </is>
      </c>
      <c r="D1279" s="24" t="inlineStr">
        <is>
          <t>280-90-00306</t>
        </is>
      </c>
      <c r="E1279" s="76" t="inlineStr">
        <is>
          <t>로메인 청로메인 500g 1kg 농장직송 당일수확</t>
        </is>
      </c>
      <c r="F1279" s="76" t="n">
        <v>74</v>
      </c>
      <c r="G1279" s="146" t="n">
        <v>1197000</v>
      </c>
      <c r="H1279" s="146" t="n">
        <v>96400</v>
      </c>
    </row>
    <row r="1280" hidden="1" s="21">
      <c r="A1280" s="24" t="inlineStr">
        <is>
          <t>네이버</t>
        </is>
      </c>
      <c r="B1280" s="24" t="inlineStr">
        <is>
          <t>농산물</t>
        </is>
      </c>
      <c r="C1280" s="24" t="inlineStr">
        <is>
          <t>짱아찌네농장</t>
        </is>
      </c>
      <c r="D1280" s="24" t="inlineStr">
        <is>
          <t>280-90-00306</t>
        </is>
      </c>
      <c r="E1280" s="76" t="inlineStr">
        <is>
          <t>루꼴라 로켓 로케트 300g 1개</t>
        </is>
      </c>
      <c r="F1280" s="76" t="n">
        <v>4</v>
      </c>
      <c r="G1280" s="146" t="n">
        <v>30000</v>
      </c>
      <c r="H1280" s="146" t="inlineStr">
        <is>
          <t>-</t>
        </is>
      </c>
    </row>
    <row r="1281" hidden="1" s="21">
      <c r="A1281" s="24" t="inlineStr">
        <is>
          <t>네이버</t>
        </is>
      </c>
      <c r="B1281" s="24" t="inlineStr">
        <is>
          <t>농산물</t>
        </is>
      </c>
      <c r="C1281" s="24" t="inlineStr">
        <is>
          <t>짱아찌네농장</t>
        </is>
      </c>
      <c r="D1281" s="24" t="inlineStr">
        <is>
          <t>280-90-00306</t>
        </is>
      </c>
      <c r="E1281" s="76" t="inlineStr">
        <is>
          <t>루꼴라 로켓 로케트 500g 1개</t>
        </is>
      </c>
      <c r="F1281" s="76" t="n">
        <v>12</v>
      </c>
      <c r="G1281" s="146" t="n">
        <v>274000</v>
      </c>
      <c r="H1281" s="146" t="n">
        <v>15000</v>
      </c>
    </row>
    <row r="1282" hidden="1" s="21">
      <c r="A1282" s="24" t="inlineStr">
        <is>
          <t>네이버</t>
        </is>
      </c>
      <c r="B1282" s="24" t="inlineStr">
        <is>
          <t>농산물</t>
        </is>
      </c>
      <c r="C1282" s="24" t="inlineStr">
        <is>
          <t>짱아찌네농장</t>
        </is>
      </c>
      <c r="D1282" s="24" t="inlineStr">
        <is>
          <t>280-90-00306</t>
        </is>
      </c>
      <c r="E1282" s="76" t="inlineStr">
        <is>
          <t>루꼴라 로켓 로케트 1kg 1개</t>
        </is>
      </c>
      <c r="F1282" s="76" t="n">
        <v>62</v>
      </c>
      <c r="G1282" s="146" t="n">
        <v>2864000</v>
      </c>
      <c r="H1282" s="146" t="n">
        <v>352600</v>
      </c>
    </row>
    <row r="1283" hidden="1" s="21">
      <c r="A1283" s="24" t="inlineStr">
        <is>
          <t>네이버</t>
        </is>
      </c>
      <c r="B1283" s="24" t="inlineStr">
        <is>
          <t>농산물</t>
        </is>
      </c>
      <c r="C1283" s="24" t="inlineStr">
        <is>
          <t>짱아찌네농장</t>
        </is>
      </c>
      <c r="D1283" s="24" t="inlineStr">
        <is>
          <t>280-90-00306</t>
        </is>
      </c>
      <c r="E1283" s="76" t="inlineStr">
        <is>
          <t>로즈마리생잎 모히또용 데코용 허브 농장직송 당일수확 - 50g 100g</t>
        </is>
      </c>
      <c r="F1283" s="76" t="n">
        <v>3</v>
      </c>
      <c r="G1283" s="146" t="n">
        <v>19000</v>
      </c>
      <c r="H1283" s="146" t="n">
        <v>1800</v>
      </c>
    </row>
    <row r="1284" hidden="1" s="21">
      <c r="A1284" s="24" t="inlineStr">
        <is>
          <t>네이버</t>
        </is>
      </c>
      <c r="B1284" s="24" t="inlineStr">
        <is>
          <t>농산물</t>
        </is>
      </c>
      <c r="C1284" s="24" t="inlineStr">
        <is>
          <t>짱아찌네농장</t>
        </is>
      </c>
      <c r="D1284" s="24" t="inlineStr">
        <is>
          <t>280-90-00306</t>
        </is>
      </c>
      <c r="E1284" s="76" t="inlineStr">
        <is>
          <t>로즈마리 허브 생잎 50g 100g 모히또용 데코용 농장직송 당일수확</t>
        </is>
      </c>
      <c r="F1284" s="76" t="n">
        <v>1</v>
      </c>
      <c r="G1284" s="146" t="n">
        <v>9000</v>
      </c>
      <c r="H1284" s="146" t="inlineStr">
        <is>
          <t>-</t>
        </is>
      </c>
    </row>
    <row r="1285" hidden="1" s="21">
      <c r="A1285" s="24" t="inlineStr">
        <is>
          <t>네이버</t>
        </is>
      </c>
      <c r="B1285" s="24" t="inlineStr">
        <is>
          <t>농산물</t>
        </is>
      </c>
      <c r="C1285" s="24" t="inlineStr">
        <is>
          <t>짱아찌네농장</t>
        </is>
      </c>
      <c r="D1285" s="24" t="inlineStr">
        <is>
          <t>280-90-00306</t>
        </is>
      </c>
      <c r="E1285" s="76" t="inlineStr">
        <is>
          <t>농장직송 치커리 쌈채소 샐러드야채 500g 1개</t>
        </is>
      </c>
      <c r="F1285" s="76" t="n">
        <v>35</v>
      </c>
      <c r="G1285" s="146" t="n">
        <v>353500</v>
      </c>
      <c r="H1285" s="146" t="n">
        <v>8200</v>
      </c>
    </row>
    <row r="1286" hidden="1" s="21">
      <c r="A1286" s="24" t="inlineStr">
        <is>
          <t>네이버</t>
        </is>
      </c>
      <c r="B1286" s="24" t="inlineStr">
        <is>
          <t>농산물</t>
        </is>
      </c>
      <c r="C1286" s="24" t="inlineStr">
        <is>
          <t>상황조은농장</t>
        </is>
      </c>
      <c r="D1286" s="24" t="inlineStr">
        <is>
          <t>531-92-00800</t>
        </is>
      </c>
      <c r="E1286" s="76" t="inlineStr">
        <is>
          <t>국내산 상황버섯 실속형(연천 상황조은농장 상황버섯) 200g</t>
        </is>
      </c>
      <c r="F1286" s="76" t="n">
        <v>1</v>
      </c>
      <c r="G1286" s="146" t="n">
        <v>40000</v>
      </c>
      <c r="H1286" s="146" t="n">
        <v>8000</v>
      </c>
    </row>
    <row r="1287" hidden="1" s="21">
      <c r="A1287" s="24" t="inlineStr">
        <is>
          <t>네이버</t>
        </is>
      </c>
      <c r="B1287" s="24" t="inlineStr">
        <is>
          <t>농산물</t>
        </is>
      </c>
      <c r="C1287" s="24" t="inlineStr">
        <is>
          <t>상황조은농장</t>
        </is>
      </c>
      <c r="D1287" s="24" t="inlineStr">
        <is>
          <t>531-92-00800</t>
        </is>
      </c>
      <c r="E1287" s="76" t="inlineStr">
        <is>
          <t>국내산 상황버섯 실속형(연천 상황조은농장 상황버섯) 500g</t>
        </is>
      </c>
      <c r="F1287" s="76" t="n">
        <v>2</v>
      </c>
      <c r="G1287" s="146" t="n">
        <v>200000</v>
      </c>
      <c r="H1287" s="146" t="n">
        <v>10000</v>
      </c>
    </row>
    <row r="1288" hidden="1" s="21">
      <c r="A1288" s="24" t="inlineStr">
        <is>
          <t>네이버</t>
        </is>
      </c>
      <c r="B1288" s="24" t="inlineStr">
        <is>
          <t>농산물</t>
        </is>
      </c>
      <c r="C1288" s="24" t="inlineStr">
        <is>
          <t>담아토</t>
        </is>
      </c>
      <c r="D1288" s="24" t="inlineStr">
        <is>
          <t>623-92-02179</t>
        </is>
      </c>
      <c r="E1288" s="76" t="inlineStr">
        <is>
          <t>토마토</t>
        </is>
      </c>
      <c r="F1288" s="76" t="n">
        <v>0</v>
      </c>
      <c r="G1288" s="146" t="inlineStr">
        <is>
          <t>-</t>
        </is>
      </c>
      <c r="H1288" s="146" t="inlineStr">
        <is>
          <t>-</t>
        </is>
      </c>
    </row>
    <row r="1289" hidden="1" s="21">
      <c r="A1289" s="24" t="inlineStr">
        <is>
          <t>네이버</t>
        </is>
      </c>
      <c r="B1289" s="24" t="inlineStr">
        <is>
          <t>가공식품</t>
        </is>
      </c>
      <c r="C1289" s="24" t="inlineStr">
        <is>
          <t>농업회사법인 자연애에프앤비(주)</t>
        </is>
      </c>
      <c r="D1289" s="24" t="inlineStr">
        <is>
          <t>123-86-43136</t>
        </is>
      </c>
      <c r="E1289" s="76" t="inlineStr">
        <is>
          <t>전통 진명차 수제한차 2종 국산 목에 좋은 차 교수님 건강 선물 세트 20티백</t>
        </is>
      </c>
      <c r="F1289" s="76" t="n">
        <v>96</v>
      </c>
      <c r="G1289" s="146" t="n">
        <v>3003500</v>
      </c>
      <c r="H1289" s="146" t="n">
        <v>86600</v>
      </c>
    </row>
    <row r="1290" hidden="1" s="21">
      <c r="A1290" s="24" t="inlineStr">
        <is>
          <t>네이버</t>
        </is>
      </c>
      <c r="B1290" s="24" t="inlineStr">
        <is>
          <t>가공식품</t>
        </is>
      </c>
      <c r="C1290" s="24" t="inlineStr">
        <is>
          <t>농업회사법인 자연애에프앤비(주)</t>
        </is>
      </c>
      <c r="D1290" s="24" t="inlineStr">
        <is>
          <t>123-86-43136</t>
        </is>
      </c>
      <c r="E1290" s="76" t="inlineStr">
        <is>
          <t>교수님 무카페인 귤피 도라지 박하 목에 좋은 3종 차선물세트 선물용차 60티백</t>
        </is>
      </c>
      <c r="F1290" s="76" t="n">
        <v>47</v>
      </c>
      <c r="G1290" s="146" t="n">
        <v>1120000</v>
      </c>
      <c r="H1290" s="146" t="n">
        <v>70000</v>
      </c>
    </row>
    <row r="1291" hidden="1" s="21">
      <c r="A1291" s="24" t="inlineStr">
        <is>
          <t>네이버</t>
        </is>
      </c>
      <c r="B1291" s="24" t="inlineStr">
        <is>
          <t>가공식품</t>
        </is>
      </c>
      <c r="C1291" s="24" t="inlineStr">
        <is>
          <t>농업회사법인 자연애에프앤비(주)</t>
        </is>
      </c>
      <c r="D1291" s="24" t="inlineStr">
        <is>
          <t>123-86-43136</t>
        </is>
      </c>
      <c r="E1291" s="76" t="inlineStr">
        <is>
          <t>고급 티백 전통차 어르신 남자친구 부모님 인사 진명차 한차 4호 선물 세트</t>
        </is>
      </c>
      <c r="F1291" s="76" t="n">
        <v>168</v>
      </c>
      <c r="G1291" s="146" t="n">
        <v>7561000</v>
      </c>
      <c r="H1291" s="146" t="n">
        <v>230000</v>
      </c>
    </row>
    <row r="1292" hidden="1" s="21">
      <c r="A1292" s="24" t="inlineStr">
        <is>
          <t>네이버</t>
        </is>
      </c>
      <c r="B1292" s="24" t="inlineStr">
        <is>
          <t>가공식품</t>
        </is>
      </c>
      <c r="C1292" s="24" t="inlineStr">
        <is>
          <t>농업회사법인 자연애에프앤비(주)</t>
        </is>
      </c>
      <c r="D1292" s="24" t="inlineStr">
        <is>
          <t>123-86-43136</t>
        </is>
      </c>
      <c r="E1292" s="76" t="inlineStr">
        <is>
          <t>선물하기 좋은 카페인 없는 마시는 프리미엄 블렌딩 차 3종 선물세트 30티백</t>
        </is>
      </c>
      <c r="F1292" s="76" t="n">
        <v>11</v>
      </c>
      <c r="G1292" s="146" t="n">
        <v>271100</v>
      </c>
      <c r="H1292" s="146" t="n">
        <v>22620</v>
      </c>
    </row>
    <row r="1293" hidden="1" s="21">
      <c r="A1293" s="24" t="inlineStr">
        <is>
          <t>네이버</t>
        </is>
      </c>
      <c r="B1293" s="24" t="inlineStr">
        <is>
          <t>가공식품</t>
        </is>
      </c>
      <c r="C1293" s="24" t="inlineStr">
        <is>
          <t>농업회사법인 자연애에프앤비(주)</t>
        </is>
      </c>
      <c r="D1293" s="24" t="inlineStr">
        <is>
          <t>123-86-43136</t>
        </is>
      </c>
      <c r="E1293" s="76" t="inlineStr">
        <is>
          <t>국내산 설탕 없어 달지 않은 생강차 50티백</t>
        </is>
      </c>
      <c r="F1293" s="76" t="n">
        <v>16</v>
      </c>
      <c r="G1293" s="146" t="n">
        <v>247000</v>
      </c>
      <c r="H1293" s="146" t="n">
        <v>15000</v>
      </c>
    </row>
    <row r="1294" hidden="1" s="21">
      <c r="A1294" s="24" t="inlineStr">
        <is>
          <t>네이버</t>
        </is>
      </c>
      <c r="B1294" s="24" t="inlineStr">
        <is>
          <t>가공식품</t>
        </is>
      </c>
      <c r="C1294" s="24" t="inlineStr">
        <is>
          <t>농업회사법인 자연애에프앤비(주)</t>
        </is>
      </c>
      <c r="D1294" s="24" t="inlineStr">
        <is>
          <t>123-86-43136</t>
        </is>
      </c>
      <c r="E1294" s="76" t="inlineStr">
        <is>
          <t>국내산 임산부 달지 않은 수제 건 대추 차 티백 50개입 1개</t>
        </is>
      </c>
      <c r="F1294" s="76" t="n">
        <v>12</v>
      </c>
      <c r="G1294" s="146" t="n">
        <v>195000</v>
      </c>
      <c r="H1294" s="146" t="n">
        <v>6000</v>
      </c>
    </row>
    <row r="1295" hidden="1" s="21">
      <c r="A1295" s="24" t="inlineStr">
        <is>
          <t>네이버</t>
        </is>
      </c>
      <c r="B1295" s="24" t="inlineStr">
        <is>
          <t>가공식품</t>
        </is>
      </c>
      <c r="C1295" s="24" t="inlineStr">
        <is>
          <t>농업회사법인 자연애에프앤비(주)</t>
        </is>
      </c>
      <c r="D1295" s="24" t="inlineStr">
        <is>
          <t>123-86-43136</t>
        </is>
      </c>
      <c r="E1295" s="76" t="inlineStr">
        <is>
          <t>국내산 국산 구수한 볶은 작두콩차 티백 50개입 1개</t>
        </is>
      </c>
      <c r="F1295" s="76" t="n">
        <v>2</v>
      </c>
      <c r="G1295" s="146" t="n">
        <v>30000</v>
      </c>
      <c r="H1295" s="146" t="n">
        <v>3000</v>
      </c>
    </row>
    <row r="1296" hidden="1" s="21">
      <c r="A1296" s="24" t="inlineStr">
        <is>
          <t>네이버</t>
        </is>
      </c>
      <c r="B1296" s="24" t="inlineStr">
        <is>
          <t>가공식품</t>
        </is>
      </c>
      <c r="C1296" s="24" t="inlineStr">
        <is>
          <t>농업회사법인 자연애에프앤비(주)</t>
        </is>
      </c>
      <c r="D1296" s="24" t="inlineStr">
        <is>
          <t>123-86-43136</t>
        </is>
      </c>
      <c r="E1296" s="76" t="inlineStr">
        <is>
          <t>구수한 국산 뽕나무잎 상엽차 50티백</t>
        </is>
      </c>
      <c r="F1296" s="76" t="n">
        <v>4</v>
      </c>
      <c r="G1296" s="146" t="n">
        <v>90000</v>
      </c>
      <c r="H1296" s="146" t="n">
        <v>6000</v>
      </c>
    </row>
    <row r="1297" hidden="1" s="21">
      <c r="A1297" s="24" t="inlineStr">
        <is>
          <t>네이버</t>
        </is>
      </c>
      <c r="B1297" s="24" t="inlineStr">
        <is>
          <t>가공식품</t>
        </is>
      </c>
      <c r="C1297" s="24" t="inlineStr">
        <is>
          <t>농업회사법인 자연애에프앤비(주)</t>
        </is>
      </c>
      <c r="D1297" s="24" t="inlineStr">
        <is>
          <t>123-86-43136</t>
        </is>
      </c>
      <c r="E1297" s="76" t="inlineStr">
        <is>
          <t>운동할때 마시는 국내산 구수한 우엉차 티백 50개입 1개</t>
        </is>
      </c>
      <c r="F1297" s="76" t="n">
        <v>4</v>
      </c>
      <c r="G1297" s="146" t="n">
        <v>120000</v>
      </c>
      <c r="H1297" s="146" t="n">
        <v>8940</v>
      </c>
    </row>
    <row r="1298" hidden="1" s="21">
      <c r="A1298" s="24" t="inlineStr">
        <is>
          <t>네이버</t>
        </is>
      </c>
      <c r="B1298" s="24" t="inlineStr">
        <is>
          <t>가공식품</t>
        </is>
      </c>
      <c r="C1298" s="24" t="inlineStr">
        <is>
          <t>농업회사법인 자연애에프앤비(주)</t>
        </is>
      </c>
      <c r="D1298" s="24" t="inlineStr">
        <is>
          <t>123-86-43136</t>
        </is>
      </c>
      <c r="E1298" s="76" t="inlineStr">
        <is>
          <t>한국식 페퍼민트 국내산 목에 좋은 코뻥 박하차 티백 50개입 1개</t>
        </is>
      </c>
      <c r="F1298" s="76" t="n">
        <v>4</v>
      </c>
      <c r="G1298" s="146" t="n">
        <v>59000</v>
      </c>
      <c r="H1298" s="146" t="inlineStr">
        <is>
          <t>-</t>
        </is>
      </c>
    </row>
    <row r="1299" hidden="1" s="21">
      <c r="A1299" s="24" t="inlineStr">
        <is>
          <t>네이버</t>
        </is>
      </c>
      <c r="B1299" s="24" t="inlineStr">
        <is>
          <t>가공식품</t>
        </is>
      </c>
      <c r="C1299" s="24" t="inlineStr">
        <is>
          <t>농업회사법인 자연애에프앤비(주)</t>
        </is>
      </c>
      <c r="D1299" s="24" t="inlineStr">
        <is>
          <t>123-86-43136</t>
        </is>
      </c>
      <c r="E1299" s="76" t="inlineStr">
        <is>
          <t>국내산 밤티 밤속껍질 율피 밤차 50티백</t>
        </is>
      </c>
      <c r="F1299" s="76" t="n">
        <v>4</v>
      </c>
      <c r="G1299" s="146" t="n">
        <v>68000</v>
      </c>
      <c r="H1299" s="146" t="inlineStr">
        <is>
          <t>-</t>
        </is>
      </c>
    </row>
    <row r="1300" hidden="1" s="21">
      <c r="A1300" s="24" t="inlineStr">
        <is>
          <t>네이버</t>
        </is>
      </c>
      <c r="B1300" s="24" t="inlineStr">
        <is>
          <t>가공식품</t>
        </is>
      </c>
      <c r="C1300" s="24" t="inlineStr">
        <is>
          <t>농업회사법인 자연애에프앤비(주)</t>
        </is>
      </c>
      <c r="D1300" s="24" t="inlineStr">
        <is>
          <t>123-86-43136</t>
        </is>
      </c>
      <c r="E1300" s="76" t="inlineStr">
        <is>
          <t>물대신 마시기 좋은 향긋한 귤피차 50티백</t>
        </is>
      </c>
      <c r="F1300" s="76" t="n">
        <v>3</v>
      </c>
      <c r="G1300" s="146" t="n">
        <v>38000</v>
      </c>
      <c r="H1300" s="146" t="n">
        <v>3000</v>
      </c>
    </row>
    <row r="1301" hidden="1" s="21">
      <c r="A1301" s="24" t="inlineStr">
        <is>
          <t>네이버</t>
        </is>
      </c>
      <c r="B1301" s="24" t="inlineStr">
        <is>
          <t>가공식품</t>
        </is>
      </c>
      <c r="C1301" s="24" t="inlineStr">
        <is>
          <t>농업회사법인 자연애에프앤비(주)</t>
        </is>
      </c>
      <c r="D1301" s="24" t="inlineStr">
        <is>
          <t>123-86-43136</t>
        </is>
      </c>
      <c r="E1301" s="76" t="inlineStr">
        <is>
          <t>당 없는 호박 현미 팥 차 20티백</t>
        </is>
      </c>
      <c r="F1301" s="76" t="n">
        <v>13</v>
      </c>
      <c r="G1301" s="146" t="n">
        <v>182000</v>
      </c>
      <c r="H1301" s="146" t="n">
        <v>10400</v>
      </c>
    </row>
    <row r="1302" hidden="1" s="21">
      <c r="A1302" s="24" t="inlineStr">
        <is>
          <t>네이버</t>
        </is>
      </c>
      <c r="B1302" s="24" t="inlineStr">
        <is>
          <t>가공식품</t>
        </is>
      </c>
      <c r="C1302" s="24" t="inlineStr">
        <is>
          <t>농업회사법인 자연애에프앤비(주)</t>
        </is>
      </c>
      <c r="D1302" s="24" t="inlineStr">
        <is>
          <t>123-86-43136</t>
        </is>
      </c>
      <c r="E1302" s="76" t="inlineStr">
        <is>
          <t>몸에 좋은 대추 생강 차 20티백</t>
        </is>
      </c>
      <c r="F1302" s="76" t="n">
        <v>7</v>
      </c>
      <c r="G1302" s="146" t="n">
        <v>221000</v>
      </c>
      <c r="H1302" s="146" t="n">
        <v>23000</v>
      </c>
    </row>
    <row r="1303" hidden="1" s="21">
      <c r="A1303" s="24" t="inlineStr">
        <is>
          <t>네이버</t>
        </is>
      </c>
      <c r="B1303" s="24" t="inlineStr">
        <is>
          <t>가공식품</t>
        </is>
      </c>
      <c r="C1303" s="24" t="inlineStr">
        <is>
          <t>농업회사법인 자연애에프앤비(주)</t>
        </is>
      </c>
      <c r="D1303" s="24" t="inlineStr">
        <is>
          <t>123-86-43136</t>
        </is>
      </c>
      <c r="E1303" s="76" t="inlineStr">
        <is>
          <t>미세먼지 목에 좋은 도라지 작두콩 차 20티백</t>
        </is>
      </c>
      <c r="F1303" s="76" t="n">
        <v>0</v>
      </c>
      <c r="G1303" s="146" t="inlineStr">
        <is>
          <t>-</t>
        </is>
      </c>
      <c r="H1303" s="146" t="inlineStr">
        <is>
          <t>-</t>
        </is>
      </c>
    </row>
    <row r="1304" hidden="1" s="21">
      <c r="A1304" s="24" t="inlineStr">
        <is>
          <t>네이버</t>
        </is>
      </c>
      <c r="B1304" s="24" t="inlineStr">
        <is>
          <t>농산물</t>
        </is>
      </c>
      <c r="C1304" s="24" t="inlineStr">
        <is>
          <t>문경초록마을</t>
        </is>
      </c>
      <c r="D1304" s="24" t="inlineStr">
        <is>
          <t>319-94-01654</t>
        </is>
      </c>
      <c r="E1304" s="76" t="inlineStr">
        <is>
          <t>문경초록마을 2025년 GAP 백두대간의 자연담수로 재배한 우렁이쌀 4kg</t>
        </is>
      </c>
      <c r="F1304" s="76" t="n">
        <v>3</v>
      </c>
      <c r="G1304" s="146" t="n">
        <v>70000</v>
      </c>
      <c r="H1304" s="146" t="n">
        <v>9000</v>
      </c>
    </row>
    <row r="1305" hidden="1" s="21">
      <c r="A1305" s="24" t="inlineStr">
        <is>
          <t>네이버</t>
        </is>
      </c>
      <c r="B1305" s="24" t="inlineStr">
        <is>
          <t>농산물</t>
        </is>
      </c>
      <c r="C1305" s="24" t="inlineStr">
        <is>
          <t>문경초록마을</t>
        </is>
      </c>
      <c r="D1305" s="24" t="inlineStr">
        <is>
          <t>319-94-01654</t>
        </is>
      </c>
      <c r="E1305" s="76" t="inlineStr">
        <is>
          <t>문경초록마을 2025년 GAP 백두대간 자연담수로 재배한 문경 청정미 우렁이쌀 3kg</t>
        </is>
      </c>
      <c r="F1305" s="76" t="n">
        <v>0</v>
      </c>
      <c r="G1305" s="146" t="inlineStr">
        <is>
          <t>-</t>
        </is>
      </c>
      <c r="H1305" s="146" t="inlineStr">
        <is>
          <t>-</t>
        </is>
      </c>
    </row>
    <row r="1306" hidden="1" s="21">
      <c r="A1306" s="24" t="inlineStr">
        <is>
          <t>네이버</t>
        </is>
      </c>
      <c r="B1306" s="24" t="inlineStr">
        <is>
          <t>농산물</t>
        </is>
      </c>
      <c r="C1306" s="24" t="inlineStr">
        <is>
          <t>문경초록마을</t>
        </is>
      </c>
      <c r="D1306" s="24" t="inlineStr">
        <is>
          <t>319-94-01654</t>
        </is>
      </c>
      <c r="E1306" s="76" t="inlineStr">
        <is>
          <t>문경초록마을 2025년 GAP 우렁이농업으로 재배한 백두대간 청정미 향미쌀 4kg</t>
        </is>
      </c>
      <c r="F1306" s="76" t="n">
        <v>0</v>
      </c>
      <c r="G1306" s="146" t="inlineStr">
        <is>
          <t>-</t>
        </is>
      </c>
      <c r="H1306" s="146" t="inlineStr">
        <is>
          <t>-</t>
        </is>
      </c>
    </row>
    <row r="1307" hidden="1" s="21">
      <c r="A1307" s="24" t="inlineStr">
        <is>
          <t>네이버</t>
        </is>
      </c>
      <c r="B1307" s="24" t="inlineStr">
        <is>
          <t>농산물</t>
        </is>
      </c>
      <c r="C1307" s="24" t="inlineStr">
        <is>
          <t>문경초록마을</t>
        </is>
      </c>
      <c r="D1307" s="24" t="inlineStr">
        <is>
          <t>319-94-01654</t>
        </is>
      </c>
      <c r="E1307" s="76" t="inlineStr">
        <is>
          <t>문경초록마을 흙속의 진주 금왕감자 5kg 혼합</t>
        </is>
      </c>
      <c r="F1307" s="76" t="n">
        <v>0</v>
      </c>
      <c r="G1307" s="146" t="inlineStr">
        <is>
          <t>-</t>
        </is>
      </c>
      <c r="H1307" s="146" t="inlineStr">
        <is>
          <t>-</t>
        </is>
      </c>
    </row>
    <row r="1308" hidden="1" s="21">
      <c r="A1308" s="24" t="inlineStr">
        <is>
          <t>네이버</t>
        </is>
      </c>
      <c r="B1308" s="24" t="inlineStr">
        <is>
          <t>농산물</t>
        </is>
      </c>
      <c r="C1308" s="24" t="inlineStr">
        <is>
          <t>문경초록마을</t>
        </is>
      </c>
      <c r="D1308" s="24" t="inlineStr">
        <is>
          <t>319-94-01654</t>
        </is>
      </c>
      <c r="E1308" s="76" t="inlineStr">
        <is>
          <t>문경초록마을 엄마손 콩 국내산 100% 서리태 속청 1kg 2kg</t>
        </is>
      </c>
      <c r="F1308" s="76" t="n">
        <v>1</v>
      </c>
      <c r="G1308" s="146" t="n">
        <v>32000</v>
      </c>
      <c r="H1308" s="146" t="inlineStr">
        <is>
          <t>-</t>
        </is>
      </c>
    </row>
    <row r="1309" hidden="1" s="21">
      <c r="A1309" s="24" t="inlineStr">
        <is>
          <t>네이버</t>
        </is>
      </c>
      <c r="B1309" s="24" t="inlineStr">
        <is>
          <t>농산물</t>
        </is>
      </c>
      <c r="C1309" s="24" t="inlineStr">
        <is>
          <t>복숭아집밤비네</t>
        </is>
      </c>
      <c r="D1309" s="24" t="inlineStr">
        <is>
          <t>543-88-02648</t>
        </is>
      </c>
      <c r="E1309" s="76" t="inlineStr">
        <is>
          <t>(Signature) 밤비네 햇사레 복숭아</t>
        </is>
      </c>
      <c r="F1309" s="76" t="n">
        <v>0</v>
      </c>
      <c r="G1309" s="146" t="inlineStr">
        <is>
          <t>-</t>
        </is>
      </c>
      <c r="H1309" s="146" t="inlineStr">
        <is>
          <t>-</t>
        </is>
      </c>
    </row>
    <row r="1310" hidden="1" s="21">
      <c r="A1310" s="24" t="inlineStr">
        <is>
          <t>네이버</t>
        </is>
      </c>
      <c r="B1310" s="24" t="inlineStr">
        <is>
          <t>가공식품</t>
        </is>
      </c>
      <c r="C1310" s="24" t="inlineStr">
        <is>
          <t>농업회사법인 곤충킹(주)</t>
        </is>
      </c>
      <c r="D1310" s="24" t="inlineStr">
        <is>
          <t>268-86-01730</t>
        </is>
      </c>
      <c r="E1310" s="76" t="inlineStr">
        <is>
          <t>고소애 초코칩쿠키 패키지상품(50g 5개입)</t>
        </is>
      </c>
      <c r="F1310" s="76" t="n">
        <v>0</v>
      </c>
      <c r="G1310" s="146" t="inlineStr">
        <is>
          <t>-</t>
        </is>
      </c>
      <c r="H1310" s="146" t="inlineStr">
        <is>
          <t>-</t>
        </is>
      </c>
    </row>
    <row r="1311" hidden="1" s="21">
      <c r="A1311" s="24" t="inlineStr">
        <is>
          <t>네이버</t>
        </is>
      </c>
      <c r="B1311" s="24" t="inlineStr">
        <is>
          <t>가공식품</t>
        </is>
      </c>
      <c r="C1311" s="24" t="inlineStr">
        <is>
          <t>농업회사법인 곤충킹(주)</t>
        </is>
      </c>
      <c r="D1311" s="24" t="inlineStr">
        <is>
          <t>268-86-01730</t>
        </is>
      </c>
      <c r="E1311" s="76" t="inlineStr">
        <is>
          <t>고소애 아몬드쿠키 패키지상품(50g 5개입)</t>
        </is>
      </c>
      <c r="F1311" s="76" t="n">
        <v>0</v>
      </c>
      <c r="G1311" s="146" t="inlineStr">
        <is>
          <t>-</t>
        </is>
      </c>
      <c r="H1311" s="146" t="inlineStr">
        <is>
          <t>-</t>
        </is>
      </c>
    </row>
    <row r="1312" hidden="1" s="21">
      <c r="A1312" s="24" t="inlineStr">
        <is>
          <t>네이버</t>
        </is>
      </c>
      <c r="B1312" s="24" t="inlineStr">
        <is>
          <t>농산물</t>
        </is>
      </c>
      <c r="C1312" s="24" t="inlineStr">
        <is>
          <t>문경초록마을</t>
        </is>
      </c>
      <c r="D1312" s="24" t="inlineStr">
        <is>
          <t>319-94-01654</t>
        </is>
      </c>
      <c r="E1312" s="76" t="inlineStr">
        <is>
          <t>문경초록마을 청정자연에서 자란 흙속의 진주 금왕감자 10kg 혼합</t>
        </is>
      </c>
      <c r="F1312" s="76" t="n">
        <v>0</v>
      </c>
      <c r="G1312" s="146" t="inlineStr">
        <is>
          <t>-</t>
        </is>
      </c>
      <c r="H1312" s="146" t="inlineStr">
        <is>
          <t>-</t>
        </is>
      </c>
    </row>
    <row r="1313" hidden="1" s="21">
      <c r="A1313" s="24" t="inlineStr">
        <is>
          <t>네이버</t>
        </is>
      </c>
      <c r="B1313" s="24" t="inlineStr">
        <is>
          <t>농산물</t>
        </is>
      </c>
      <c r="C1313" s="24" t="inlineStr">
        <is>
          <t>오복농산영농조합법인</t>
        </is>
      </c>
      <c r="D1313" s="24" t="inlineStr">
        <is>
          <t>404-81-37601</t>
        </is>
      </c>
      <c r="E1313" s="76" t="inlineStr">
        <is>
          <t>[오복농산]전북고창 2026년 햇 오디 냉동 생과 5kg [진공포장] 뽕나무 열매</t>
        </is>
      </c>
      <c r="F1313" s="76" t="n">
        <v>51</v>
      </c>
      <c r="G1313" s="146" t="n">
        <v>2568620</v>
      </c>
      <c r="H1313" s="146" t="n">
        <v>239260</v>
      </c>
    </row>
    <row r="1314" hidden="1" s="21">
      <c r="A1314" s="24" t="inlineStr">
        <is>
          <t>네이버</t>
        </is>
      </c>
      <c r="B1314" s="24" t="inlineStr">
        <is>
          <t>가공식품</t>
        </is>
      </c>
      <c r="C1314" s="24" t="inlineStr">
        <is>
          <t>오복농산영농조합법인</t>
        </is>
      </c>
      <c r="D1314" s="24" t="inlineStr">
        <is>
          <t>404-81-37601</t>
        </is>
      </c>
      <c r="E1314" s="76" t="inlineStr">
        <is>
          <t>[오복농산] 구수하게 볶은 돼지감자/ 돼지감자차 150g</t>
        </is>
      </c>
      <c r="F1314" s="76" t="n">
        <v>2</v>
      </c>
      <c r="G1314" s="146" t="n">
        <v>31600</v>
      </c>
      <c r="H1314" s="146" t="n">
        <v>5340</v>
      </c>
    </row>
    <row r="1315" hidden="1" s="21">
      <c r="A1315" s="24" t="inlineStr">
        <is>
          <t>네이버</t>
        </is>
      </c>
      <c r="B1315" s="24" t="inlineStr">
        <is>
          <t>가공식품</t>
        </is>
      </c>
      <c r="C1315" s="24" t="inlineStr">
        <is>
          <t>오복농산영농조합법인</t>
        </is>
      </c>
      <c r="D1315" s="24" t="inlineStr">
        <is>
          <t>404-81-37601</t>
        </is>
      </c>
      <c r="E1315" s="76" t="inlineStr">
        <is>
          <t>[오복농산] 박 계영님의 건 여주 / 여주차</t>
        </is>
      </c>
      <c r="F1315" s="76" t="n">
        <v>1</v>
      </c>
      <c r="G1315" s="146" t="n">
        <v>6500</v>
      </c>
      <c r="H1315" s="146" t="inlineStr">
        <is>
          <t>-</t>
        </is>
      </c>
    </row>
    <row r="1316" hidden="1" s="21">
      <c r="A1316" s="24" t="inlineStr">
        <is>
          <t>네이버</t>
        </is>
      </c>
      <c r="B1316" s="24" t="inlineStr">
        <is>
          <t>농산물</t>
        </is>
      </c>
      <c r="C1316" s="24" t="inlineStr">
        <is>
          <t>피스팜</t>
        </is>
      </c>
      <c r="D1316" s="24" t="inlineStr">
        <is>
          <t>463-93-01691</t>
        </is>
      </c>
      <c r="E1316" s="76" t="inlineStr">
        <is>
          <t>가정용 가공용 배즙용 요리용 경기G마크 GAP 저탄소 농산물 평화농원 먹골배 15kg</t>
        </is>
      </c>
      <c r="F1316" s="76" t="n">
        <v>3</v>
      </c>
      <c r="G1316" s="146" t="n">
        <v>175000</v>
      </c>
      <c r="H1316" s="146" t="inlineStr">
        <is>
          <t>-</t>
        </is>
      </c>
    </row>
    <row r="1317" hidden="1" s="21">
      <c r="A1317" s="24" t="inlineStr">
        <is>
          <t>네이버</t>
        </is>
      </c>
      <c r="B1317" s="24" t="inlineStr">
        <is>
          <t>농산물</t>
        </is>
      </c>
      <c r="C1317" s="24" t="inlineStr">
        <is>
          <t>알찬연근팜</t>
        </is>
      </c>
      <c r="D1317" s="24" t="inlineStr">
        <is>
          <t>604-02-68674</t>
        </is>
      </c>
      <c r="E1317" s="76" t="inlineStr">
        <is>
          <t>거반도 유럽 복숭아 납작 신비복숭아 신선 천도 딱딱이 옐로드림</t>
        </is>
      </c>
      <c r="F1317" s="76" t="n">
        <v>4</v>
      </c>
      <c r="G1317" s="146" t="n">
        <v>146120</v>
      </c>
      <c r="H1317" s="146" t="n">
        <v>3780</v>
      </c>
    </row>
    <row r="1318" hidden="1" s="21">
      <c r="A1318" s="24" t="inlineStr">
        <is>
          <t>네이버</t>
        </is>
      </c>
      <c r="B1318" s="24" t="inlineStr">
        <is>
          <t>가공식품</t>
        </is>
      </c>
      <c r="C1318" s="24" t="inlineStr">
        <is>
          <t>시내들</t>
        </is>
      </c>
      <c r="D1318" s="24" t="inlineStr">
        <is>
          <t>112-28-97097</t>
        </is>
      </c>
      <c r="E1318" s="76" t="inlineStr">
        <is>
          <t>순희엄마 수제 천연발효 쓴맛없는 여주식초 선물세트 500mlX2개</t>
        </is>
      </c>
      <c r="F1318" s="76" t="n">
        <v>2</v>
      </c>
      <c r="G1318" s="146" t="n">
        <v>165000</v>
      </c>
      <c r="H1318" s="146" t="n">
        <v>20000</v>
      </c>
    </row>
    <row r="1319" hidden="1" s="21">
      <c r="A1319" s="24" t="inlineStr">
        <is>
          <t>네이버</t>
        </is>
      </c>
      <c r="B1319" s="24" t="inlineStr">
        <is>
          <t>가공식품</t>
        </is>
      </c>
      <c r="C1319" s="24" t="inlineStr">
        <is>
          <t>시내들</t>
        </is>
      </c>
      <c r="D1319" s="24" t="inlineStr">
        <is>
          <t>112-28-97097</t>
        </is>
      </c>
      <c r="E1319" s="76" t="inlineStr">
        <is>
          <t>순희엄마 순정마초 흑마늘 천연발효 식초 2병 1000ml 선물세트</t>
        </is>
      </c>
      <c r="F1319" s="76" t="n">
        <v>7</v>
      </c>
      <c r="G1319" s="146" t="n">
        <v>315000</v>
      </c>
      <c r="H1319" s="146" t="n">
        <v>27000</v>
      </c>
    </row>
    <row r="1320" hidden="1" s="21">
      <c r="A1320" s="24" t="inlineStr">
        <is>
          <t>네이버</t>
        </is>
      </c>
      <c r="B1320" s="24" t="inlineStr">
        <is>
          <t>가공식품</t>
        </is>
      </c>
      <c r="C1320" s="24" t="inlineStr">
        <is>
          <t>농업회사법인버섯마루유한회사</t>
        </is>
      </c>
      <c r="D1320" s="24" t="inlineStr">
        <is>
          <t>418-81-43306</t>
        </is>
      </c>
      <c r="E1320" s="76" t="inlineStr">
        <is>
          <t>가득 담은 버섯 영양밥 즉석밥 국산 무농약 고식이섬유 간편식 약밥 160g 4개</t>
        </is>
      </c>
      <c r="F1320" s="76" t="n">
        <v>38</v>
      </c>
      <c r="G1320" s="146" t="n">
        <v>456000</v>
      </c>
      <c r="H1320" s="146" t="n">
        <v>33600</v>
      </c>
    </row>
    <row r="1321" hidden="1" s="21">
      <c r="A1321" s="24" t="inlineStr">
        <is>
          <t>네이버</t>
        </is>
      </c>
      <c r="B1321" s="24" t="inlineStr">
        <is>
          <t>가공식품</t>
        </is>
      </c>
      <c r="C1321" s="24" t="inlineStr">
        <is>
          <t>농업회사법인버섯마루유한회사</t>
        </is>
      </c>
      <c r="D1321" s="24" t="inlineStr">
        <is>
          <t>418-81-43306</t>
        </is>
      </c>
      <c r="E1321" s="76" t="inlineStr">
        <is>
          <t>가득 담은 버섯 영양밥 즉석밥 국산 무농약 고식이섬유 간편식 약밥 160g 10개</t>
        </is>
      </c>
      <c r="F1321" s="76" t="n">
        <v>247</v>
      </c>
      <c r="G1321" s="146" t="n">
        <v>7084000</v>
      </c>
      <c r="H1321" s="146" t="n">
        <v>724940</v>
      </c>
    </row>
    <row r="1322" hidden="1" s="21">
      <c r="A1322" s="24" t="inlineStr">
        <is>
          <t>네이버</t>
        </is>
      </c>
      <c r="B1322" s="24" t="inlineStr">
        <is>
          <t>농산물</t>
        </is>
      </c>
      <c r="C1322" s="24" t="inlineStr">
        <is>
          <t>알찬연근팜</t>
        </is>
      </c>
      <c r="D1322" s="24" t="inlineStr">
        <is>
          <t>604-02-68674</t>
        </is>
      </c>
      <c r="E1322" s="76" t="inlineStr">
        <is>
          <t>달달 향긋한 경산 신품종 망고복숭아 옐로복숭아 900g 1.8kg</t>
        </is>
      </c>
      <c r="F1322" s="76" t="n">
        <v>5</v>
      </c>
      <c r="G1322" s="146" t="n">
        <v>179500</v>
      </c>
      <c r="H1322" s="146" t="inlineStr">
        <is>
          <t>-</t>
        </is>
      </c>
    </row>
    <row r="1323" hidden="1" s="21">
      <c r="A1323" s="24" t="inlineStr">
        <is>
          <t>네이버</t>
        </is>
      </c>
      <c r="B1323" s="24" t="inlineStr">
        <is>
          <t>농산물</t>
        </is>
      </c>
      <c r="C1323" s="24" t="inlineStr">
        <is>
          <t>농업회사법인버섯마루유한회사</t>
        </is>
      </c>
      <c r="D1323" s="24" t="inlineStr">
        <is>
          <t>418-81-43306</t>
        </is>
      </c>
      <c r="E1323" s="76" t="inlineStr">
        <is>
          <t>버섯 그대로 5종 국산 무농약 모둠 버섯 요리 키트 48g 1개</t>
        </is>
      </c>
      <c r="F1323" s="76" t="n">
        <v>24</v>
      </c>
      <c r="G1323" s="146" t="n">
        <v>356400</v>
      </c>
      <c r="H1323" s="146" t="n">
        <v>13860</v>
      </c>
    </row>
    <row r="1324" hidden="1" s="21">
      <c r="A1324" s="24" t="inlineStr">
        <is>
          <t>네이버</t>
        </is>
      </c>
      <c r="B1324" s="24" t="inlineStr">
        <is>
          <t>농산물</t>
        </is>
      </c>
      <c r="C1324" s="24" t="inlineStr">
        <is>
          <t>농업회사법인버섯마루유한회사</t>
        </is>
      </c>
      <c r="D1324" s="24" t="inlineStr">
        <is>
          <t>418-81-43306</t>
        </is>
      </c>
      <c r="E1324" s="76" t="inlineStr">
        <is>
          <t>버섯 그대로 5종 국산 무농약 모둠 버섯 요리 키트 48g 3개</t>
        </is>
      </c>
      <c r="F1324" s="76" t="n">
        <v>43</v>
      </c>
      <c r="G1324" s="146" t="n">
        <v>1149200</v>
      </c>
      <c r="H1324" s="146" t="n">
        <v>145380</v>
      </c>
    </row>
    <row r="1325" hidden="1" s="21">
      <c r="A1325" s="24" t="inlineStr">
        <is>
          <t>네이버</t>
        </is>
      </c>
      <c r="B1325" s="24" t="inlineStr">
        <is>
          <t>농산물</t>
        </is>
      </c>
      <c r="C1325" s="24" t="inlineStr">
        <is>
          <t>농업회사법인버섯마루유한회사</t>
        </is>
      </c>
      <c r="D1325" s="24" t="inlineStr">
        <is>
          <t>418-81-43306</t>
        </is>
      </c>
      <c r="E1325" s="76" t="inlineStr">
        <is>
          <t>버섯 그대로 5종 국산 무농약 모둠 버섯 요리 키트 48g 5개</t>
        </is>
      </c>
      <c r="F1325" s="76" t="n">
        <v>110</v>
      </c>
      <c r="G1325" s="146" t="n">
        <v>5041500</v>
      </c>
      <c r="H1325" s="146" t="n">
        <v>693030</v>
      </c>
    </row>
    <row r="1326" hidden="1" s="21">
      <c r="A1326" s="24" t="inlineStr">
        <is>
          <t>네이버</t>
        </is>
      </c>
      <c r="B1326" s="24" t="inlineStr">
        <is>
          <t>농산물</t>
        </is>
      </c>
      <c r="C1326" s="24" t="inlineStr">
        <is>
          <t>농업회사법인버섯마루유한회사</t>
        </is>
      </c>
      <c r="D1326" s="24" t="inlineStr">
        <is>
          <t>418-81-43306</t>
        </is>
      </c>
      <c r="E1326" s="76" t="inlineStr">
        <is>
          <t>버섯 그대로 톡톡 국산 무농약 말린 버섯 모둠 요리용</t>
        </is>
      </c>
      <c r="F1326" s="76" t="n">
        <v>56</v>
      </c>
      <c r="G1326" s="146" t="n">
        <v>1207800</v>
      </c>
      <c r="H1326" s="146" t="n">
        <v>95040</v>
      </c>
    </row>
    <row r="1327" hidden="1" s="21">
      <c r="A1327" s="24" t="inlineStr">
        <is>
          <t>네이버</t>
        </is>
      </c>
      <c r="B1327" s="24" t="inlineStr">
        <is>
          <t>가공식품</t>
        </is>
      </c>
      <c r="C1327" s="24" t="inlineStr">
        <is>
          <t>농업회사법인 주식회사 싸주아리</t>
        </is>
      </c>
      <c r="D1327" s="24" t="inlineStr">
        <is>
          <t>137-86-09516</t>
        </is>
      </c>
      <c r="E1327" s="76" t="inlineStr">
        <is>
          <t>쑥즙 강화약쑥즙 싸주아리 유기농 3년숙성 추출액 사자발쑥 인진 액기스 엑기스 진액 무농약</t>
        </is>
      </c>
      <c r="F1327" s="76" t="n">
        <v>78</v>
      </c>
      <c r="G1327" s="146" t="n">
        <v>3658450</v>
      </c>
      <c r="H1327" s="146" t="n">
        <v>412330</v>
      </c>
    </row>
    <row r="1328" hidden="1" s="21">
      <c r="A1328" s="24" t="inlineStr">
        <is>
          <t>네이버</t>
        </is>
      </c>
      <c r="B1328" s="24" t="inlineStr">
        <is>
          <t>가공식품</t>
        </is>
      </c>
      <c r="C1328" s="24" t="inlineStr">
        <is>
          <t>길경영농조합법인</t>
        </is>
      </c>
      <c r="D1328" s="24" t="inlineStr">
        <is>
          <t>126-86-80182</t>
        </is>
      </c>
      <c r="E1328" s="76" t="inlineStr">
        <is>
          <t>청청하루 무농약 도라지청 300g 1개</t>
        </is>
      </c>
      <c r="F1328" s="76" t="n">
        <v>40</v>
      </c>
      <c r="G1328" s="146" t="n">
        <v>1453500</v>
      </c>
      <c r="H1328" s="146" t="n">
        <v>178600</v>
      </c>
    </row>
    <row r="1329" hidden="1" s="21">
      <c r="A1329" s="24" t="inlineStr">
        <is>
          <t>네이버</t>
        </is>
      </c>
      <c r="B1329" s="24" t="inlineStr">
        <is>
          <t>가공식품</t>
        </is>
      </c>
      <c r="C1329" s="24" t="inlineStr">
        <is>
          <t>길경영농조합법인</t>
        </is>
      </c>
      <c r="D1329" s="24" t="inlineStr">
        <is>
          <t>126-86-80182</t>
        </is>
      </c>
      <c r="E1329" s="76" t="inlineStr">
        <is>
          <t>청청하루 무농약 도라지청 600g 1개</t>
        </is>
      </c>
      <c r="F1329" s="76" t="n">
        <v>11</v>
      </c>
      <c r="G1329" s="146" t="n">
        <v>651500</v>
      </c>
      <c r="H1329" s="146" t="n">
        <v>80000</v>
      </c>
    </row>
    <row r="1330" hidden="1" s="21">
      <c r="A1330" s="24" t="inlineStr">
        <is>
          <t>네이버</t>
        </is>
      </c>
      <c r="B1330" s="24" t="inlineStr">
        <is>
          <t>가공식품</t>
        </is>
      </c>
      <c r="C1330" s="24" t="inlineStr">
        <is>
          <t>길경영농조합법인</t>
        </is>
      </c>
      <c r="D1330" s="24" t="inlineStr">
        <is>
          <t>126-86-80182</t>
        </is>
      </c>
      <c r="E1330" s="76" t="inlineStr">
        <is>
          <t>길경농원 청청하루 무농약 도라지 분말 가루 100g</t>
        </is>
      </c>
      <c r="F1330" s="76" t="n">
        <v>13</v>
      </c>
      <c r="G1330" s="146" t="n">
        <v>374000</v>
      </c>
      <c r="H1330" s="146" t="n">
        <v>35200</v>
      </c>
    </row>
    <row r="1331" hidden="1" s="21">
      <c r="A1331" s="24" t="inlineStr">
        <is>
          <t>네이버</t>
        </is>
      </c>
      <c r="B1331" s="24" t="inlineStr">
        <is>
          <t>가공식품</t>
        </is>
      </c>
      <c r="C1331" s="24" t="inlineStr">
        <is>
          <t>길경영농조합법인</t>
        </is>
      </c>
      <c r="D1331" s="24" t="inlineStr">
        <is>
          <t>126-86-80182</t>
        </is>
      </c>
      <c r="E1331" s="76" t="inlineStr">
        <is>
          <t>길경농원 국산 식품명인 콩고물 도라지정과 250g</t>
        </is>
      </c>
      <c r="F1331" s="76" t="n">
        <v>25</v>
      </c>
      <c r="G1331" s="146" t="n">
        <v>1007000</v>
      </c>
      <c r="H1331" s="146" t="n">
        <v>107800</v>
      </c>
    </row>
    <row r="1332" hidden="1" s="21">
      <c r="A1332" s="24" t="inlineStr">
        <is>
          <t>네이버</t>
        </is>
      </c>
      <c r="B1332" s="24" t="inlineStr">
        <is>
          <t>가공식품</t>
        </is>
      </c>
      <c r="C1332" s="24" t="inlineStr">
        <is>
          <t>길경영농조합법인</t>
        </is>
      </c>
      <c r="D1332" s="24" t="inlineStr">
        <is>
          <t>126-86-80182</t>
        </is>
      </c>
      <c r="E1332" s="76" t="inlineStr">
        <is>
          <t>청청하루 식품명인 궁중 도라지정과 250g 2개</t>
        </is>
      </c>
      <c r="F1332" s="76" t="n">
        <v>8</v>
      </c>
      <c r="G1332" s="146" t="n">
        <v>405000</v>
      </c>
      <c r="H1332" s="146" t="n">
        <v>50000</v>
      </c>
    </row>
    <row r="1333" hidden="1" s="21">
      <c r="A1333" s="24" t="inlineStr">
        <is>
          <t>네이버</t>
        </is>
      </c>
      <c r="B1333" s="24" t="inlineStr">
        <is>
          <t>가공식품</t>
        </is>
      </c>
      <c r="C1333" s="24" t="inlineStr">
        <is>
          <t>길경영농조합법인</t>
        </is>
      </c>
      <c r="D1333" s="24" t="inlineStr">
        <is>
          <t>126-86-80182</t>
        </is>
      </c>
      <c r="E1333" s="76" t="inlineStr">
        <is>
          <t>길경농원 국산 도라지즙 3년근 6년근 도라지배즙 청청하루</t>
        </is>
      </c>
      <c r="F1333" s="76" t="n">
        <v>6</v>
      </c>
      <c r="G1333" s="146" t="n">
        <v>374000</v>
      </c>
      <c r="H1333" s="146" t="n">
        <v>39600</v>
      </c>
    </row>
    <row r="1334" hidden="1" s="21">
      <c r="A1334" s="24" t="inlineStr">
        <is>
          <t>네이버</t>
        </is>
      </c>
      <c r="B1334" s="24" t="inlineStr">
        <is>
          <t>가공식품</t>
        </is>
      </c>
      <c r="C1334" s="24" t="inlineStr">
        <is>
          <t>길경영농조합법인</t>
        </is>
      </c>
      <c r="D1334" s="24" t="inlineStr">
        <is>
          <t>126-86-80182</t>
        </is>
      </c>
      <c r="E1334" s="76" t="inlineStr">
        <is>
          <t>길경농원 청청하루 무농약 도라지청 150g 4병 명절 부모님 선물 세트</t>
        </is>
      </c>
      <c r="F1334" s="76" t="n">
        <v>2</v>
      </c>
      <c r="G1334" s="146" t="n">
        <v>160000</v>
      </c>
      <c r="H1334" s="146" t="n">
        <v>10000</v>
      </c>
    </row>
    <row r="1335" hidden="1" s="21">
      <c r="A1335" s="24" t="inlineStr">
        <is>
          <t>네이버</t>
        </is>
      </c>
      <c r="B1335" s="24" t="inlineStr">
        <is>
          <t>가공식품</t>
        </is>
      </c>
      <c r="C1335" s="24" t="inlineStr">
        <is>
          <t>길경영농조합법인</t>
        </is>
      </c>
      <c r="D1335" s="24" t="inlineStr">
        <is>
          <t>126-86-80182</t>
        </is>
      </c>
      <c r="E1335" s="76" t="inlineStr">
        <is>
          <t>식품명인 프리미엄 도라지 4종선물세트 도라지정과 도라지청 도라지차 명절 선물 답례품</t>
        </is>
      </c>
      <c r="F1335" s="76" t="n">
        <v>0</v>
      </c>
      <c r="G1335" s="146" t="inlineStr">
        <is>
          <t>-</t>
        </is>
      </c>
      <c r="H1335" s="146" t="inlineStr">
        <is>
          <t>-</t>
        </is>
      </c>
    </row>
    <row r="1336" hidden="1" s="21">
      <c r="A1336" s="24" t="inlineStr">
        <is>
          <t>네이버</t>
        </is>
      </c>
      <c r="B1336" s="24" t="inlineStr">
        <is>
          <t>가공식품</t>
        </is>
      </c>
      <c r="C1336" s="24" t="inlineStr">
        <is>
          <t>길경영농조합법인</t>
        </is>
      </c>
      <c r="D1336" s="24" t="inlineStr">
        <is>
          <t>126-86-80182</t>
        </is>
      </c>
      <c r="E1336" s="76" t="inlineStr">
        <is>
          <t>청청하루 무농약 구수한 도라지차 20티백 PLA 생분해망사</t>
        </is>
      </c>
      <c r="F1336" s="76" t="n">
        <v>0</v>
      </c>
      <c r="G1336" s="146" t="inlineStr">
        <is>
          <t>-</t>
        </is>
      </c>
      <c r="H1336" s="146" t="inlineStr">
        <is>
          <t>-</t>
        </is>
      </c>
    </row>
    <row r="1337" hidden="1" s="21">
      <c r="A1337" s="24" t="inlineStr">
        <is>
          <t>네이버</t>
        </is>
      </c>
      <c r="B1337" s="24" t="inlineStr">
        <is>
          <t>가공식품</t>
        </is>
      </c>
      <c r="C1337" s="24" t="inlineStr">
        <is>
          <t>길경영농조합법인</t>
        </is>
      </c>
      <c r="D1337" s="24" t="inlineStr">
        <is>
          <t>126-86-80182</t>
        </is>
      </c>
      <c r="E1337" s="76" t="inlineStr">
        <is>
          <t>식품명인 콩고물 도라지정과 도라지차 선물세트 250g 2개입</t>
        </is>
      </c>
      <c r="F1337" s="76" t="n">
        <v>3</v>
      </c>
      <c r="G1337" s="146" t="n">
        <v>228000</v>
      </c>
      <c r="H1337" s="146" t="n">
        <v>10000</v>
      </c>
    </row>
    <row r="1338" hidden="1" s="21">
      <c r="A1338" s="24" t="inlineStr">
        <is>
          <t>네이버</t>
        </is>
      </c>
      <c r="B1338" s="24" t="inlineStr">
        <is>
          <t>가공식품</t>
        </is>
      </c>
      <c r="C1338" s="24" t="inlineStr">
        <is>
          <t>길경영농조합법인</t>
        </is>
      </c>
      <c r="D1338" s="24" t="inlineStr">
        <is>
          <t>126-86-80182</t>
        </is>
      </c>
      <c r="E1338" s="76" t="inlineStr">
        <is>
          <t>길경농원 청청하루 도라지청 스틱 홍도라지청 키즈 국산 명절 선물</t>
        </is>
      </c>
      <c r="F1338" s="76" t="n">
        <v>7</v>
      </c>
      <c r="G1338" s="146" t="n">
        <v>474000</v>
      </c>
      <c r="H1338" s="146" t="n">
        <v>60000</v>
      </c>
    </row>
    <row r="1339" hidden="1" s="21">
      <c r="A1339" s="24" t="inlineStr">
        <is>
          <t>네이버</t>
        </is>
      </c>
      <c r="B1339" s="24" t="inlineStr">
        <is>
          <t>가공식품</t>
        </is>
      </c>
      <c r="C1339" s="24" t="inlineStr">
        <is>
          <t>길경영농조합법인</t>
        </is>
      </c>
      <c r="D1339" s="24" t="inlineStr">
        <is>
          <t>126-86-80182</t>
        </is>
      </c>
      <c r="E1339" s="76" t="inlineStr">
        <is>
          <t>청청하루 우리 아이 홍도라지청 스틱 어린이 도라지청 배도라지청</t>
        </is>
      </c>
      <c r="F1339" s="76" t="n">
        <v>3</v>
      </c>
      <c r="G1339" s="146" t="n">
        <v>150000</v>
      </c>
      <c r="H1339" s="146" t="n">
        <v>30000</v>
      </c>
    </row>
    <row r="1340" hidden="1" s="21">
      <c r="A1340" s="24" t="inlineStr">
        <is>
          <t>네이버</t>
        </is>
      </c>
      <c r="B1340" s="24" t="inlineStr">
        <is>
          <t>가공식품</t>
        </is>
      </c>
      <c r="C1340" s="24" t="inlineStr">
        <is>
          <t>길경영농조합법인</t>
        </is>
      </c>
      <c r="D1340" s="24" t="inlineStr">
        <is>
          <t>126-86-80182</t>
        </is>
      </c>
      <c r="E1340" s="76" t="inlineStr">
        <is>
          <t>식품명인 국산 도라지 선물세트 도라지청 도라지차 콩고물 도라지정과 상견례 답례품 명절</t>
        </is>
      </c>
      <c r="F1340" s="76" t="n">
        <v>14</v>
      </c>
      <c r="G1340" s="146" t="n">
        <v>889000</v>
      </c>
      <c r="H1340" s="146" t="n">
        <v>100000</v>
      </c>
    </row>
    <row r="1341" hidden="1" s="21">
      <c r="A1341" s="24" t="inlineStr">
        <is>
          <t>네이버</t>
        </is>
      </c>
      <c r="B1341" s="24" t="inlineStr">
        <is>
          <t>가공식품</t>
        </is>
      </c>
      <c r="C1341" s="24" t="inlineStr">
        <is>
          <t>길경영농조합법인</t>
        </is>
      </c>
      <c r="D1341" s="24" t="inlineStr">
        <is>
          <t>126-86-80182</t>
        </is>
      </c>
      <c r="E1341" s="76" t="inlineStr">
        <is>
          <t>길경농원 도라지 6년근 도라지즙 도라지엑기스 길경 청청하루</t>
        </is>
      </c>
      <c r="F1341" s="76" t="n">
        <v>7</v>
      </c>
      <c r="G1341" s="146" t="n">
        <v>712000</v>
      </c>
      <c r="H1341" s="146" t="n">
        <v>40000</v>
      </c>
    </row>
    <row r="1342" hidden="1" s="21">
      <c r="A1342" s="24" t="inlineStr">
        <is>
          <t>네이버</t>
        </is>
      </c>
      <c r="B1342" s="24" t="inlineStr">
        <is>
          <t>가공식품</t>
        </is>
      </c>
      <c r="C1342" s="24" t="inlineStr">
        <is>
          <t>길경영농조합법인</t>
        </is>
      </c>
      <c r="D1342" s="24" t="inlineStr">
        <is>
          <t>126-86-80182</t>
        </is>
      </c>
      <c r="E1342" s="76" t="inlineStr">
        <is>
          <t>청청하루 식품명인 궁중 도라지정과 250g 1개</t>
        </is>
      </c>
      <c r="F1342" s="76" t="n">
        <v>11</v>
      </c>
      <c r="G1342" s="146" t="n">
        <v>382000</v>
      </c>
      <c r="H1342" s="146" t="n">
        <v>75600</v>
      </c>
    </row>
    <row r="1343" hidden="1" s="21">
      <c r="A1343" s="24" t="inlineStr">
        <is>
          <t>네이버</t>
        </is>
      </c>
      <c r="B1343" s="24" t="inlineStr">
        <is>
          <t>가공식품</t>
        </is>
      </c>
      <c r="C1343" s="24" t="inlineStr">
        <is>
          <t>길경영농조합법인</t>
        </is>
      </c>
      <c r="D1343" s="24" t="inlineStr">
        <is>
          <t>126-86-80182</t>
        </is>
      </c>
      <c r="E1343" s="76" t="inlineStr">
        <is>
          <t>길경농원 국산 식품명인 도라지정과 선물세트 1kg 상견례 명절 이바지 선물</t>
        </is>
      </c>
      <c r="F1343" s="76" t="n">
        <v>1</v>
      </c>
      <c r="G1343" s="146" t="n">
        <v>159000</v>
      </c>
      <c r="H1343" s="146" t="n">
        <v>10000</v>
      </c>
    </row>
    <row r="1344" hidden="1" s="21">
      <c r="A1344" s="24" t="inlineStr">
        <is>
          <t>네이버</t>
        </is>
      </c>
      <c r="B1344" s="24" t="inlineStr">
        <is>
          <t>가공식품</t>
        </is>
      </c>
      <c r="C1344" s="24" t="inlineStr">
        <is>
          <t>길경영농조합법인</t>
        </is>
      </c>
      <c r="D1344" s="24" t="inlineStr">
        <is>
          <t>126-86-80182</t>
        </is>
      </c>
      <c r="E1344" s="76" t="inlineStr">
        <is>
          <t>길경농원 식품명인 국산 코코아 도라지정과 실속형</t>
        </is>
      </c>
      <c r="F1344" s="76" t="n">
        <v>8</v>
      </c>
      <c r="G1344" s="146" t="n">
        <v>287000</v>
      </c>
      <c r="H1344" s="146" t="n">
        <v>18000</v>
      </c>
    </row>
    <row r="1345" hidden="1" s="21">
      <c r="A1345" s="24" t="inlineStr">
        <is>
          <t>네이버</t>
        </is>
      </c>
      <c r="B1345" s="24" t="inlineStr">
        <is>
          <t>가공식품</t>
        </is>
      </c>
      <c r="C1345" s="24" t="inlineStr">
        <is>
          <t>길경영농조합법인</t>
        </is>
      </c>
      <c r="D1345" s="24" t="inlineStr">
        <is>
          <t>126-86-80182</t>
        </is>
      </c>
      <c r="E1345" s="76" t="inlineStr">
        <is>
          <t>길경농원 청청하루 꼬다리 도라지정과 120g</t>
        </is>
      </c>
      <c r="F1345" s="76" t="n">
        <v>4</v>
      </c>
      <c r="G1345" s="146" t="n">
        <v>165000</v>
      </c>
      <c r="H1345" s="146" t="n">
        <v>15000</v>
      </c>
    </row>
    <row r="1346" hidden="1" s="21">
      <c r="A1346" s="24" t="inlineStr">
        <is>
          <t>네이버</t>
        </is>
      </c>
      <c r="B1346" s="24" t="inlineStr">
        <is>
          <t>가공식품</t>
        </is>
      </c>
      <c r="C1346" s="24" t="inlineStr">
        <is>
          <t>농업회사법인연꽃정원(유)</t>
        </is>
      </c>
      <c r="D1346" s="24" t="inlineStr">
        <is>
          <t>351-81-01207</t>
        </is>
      </c>
      <c r="E1346" s="76" t="inlineStr">
        <is>
          <t>연꽃정원 유기농연근차 유기농연잎차</t>
        </is>
      </c>
      <c r="F1346" s="76" t="n">
        <v>3</v>
      </c>
      <c r="G1346" s="146" t="n">
        <v>87200</v>
      </c>
      <c r="H1346" s="146" t="n">
        <v>10000</v>
      </c>
    </row>
    <row r="1347" hidden="1" s="21">
      <c r="A1347" s="24" t="inlineStr">
        <is>
          <t>네이버</t>
        </is>
      </c>
      <c r="B1347" s="24" t="inlineStr">
        <is>
          <t>가공식품</t>
        </is>
      </c>
      <c r="C1347" s="24" t="inlineStr">
        <is>
          <t>농업회사법인연꽃정원(유)</t>
        </is>
      </c>
      <c r="D1347" s="24" t="inlineStr">
        <is>
          <t>351-81-01207</t>
        </is>
      </c>
      <c r="E1347" s="76" t="inlineStr">
        <is>
          <t>연꽃정원 연잎밥</t>
        </is>
      </c>
      <c r="F1347" s="76" t="n">
        <v>5</v>
      </c>
      <c r="G1347" s="146" t="n">
        <v>165000</v>
      </c>
      <c r="H1347" s="146" t="n">
        <v>31440</v>
      </c>
    </row>
    <row r="1348" hidden="1" s="21">
      <c r="A1348" s="24" t="inlineStr">
        <is>
          <t>네이버</t>
        </is>
      </c>
      <c r="B1348" s="24" t="inlineStr">
        <is>
          <t>가공식품</t>
        </is>
      </c>
      <c r="C1348" s="24" t="inlineStr">
        <is>
          <t>농업회사법인연꽃정원(유)</t>
        </is>
      </c>
      <c r="D1348" s="24" t="inlineStr">
        <is>
          <t>351-81-01207</t>
        </is>
      </c>
      <c r="E1348" s="76" t="inlineStr">
        <is>
          <t>연꽃정원 유기농 연근조림/연근조림</t>
        </is>
      </c>
      <c r="F1348" s="76" t="n">
        <v>4</v>
      </c>
      <c r="G1348" s="146" t="n">
        <v>41500</v>
      </c>
      <c r="H1348" s="146" t="n">
        <v>4800</v>
      </c>
    </row>
    <row r="1349" hidden="1" s="21">
      <c r="A1349" s="24" t="inlineStr">
        <is>
          <t>네이버</t>
        </is>
      </c>
      <c r="B1349" s="24" t="inlineStr">
        <is>
          <t>가공식품</t>
        </is>
      </c>
      <c r="C1349" s="24" t="inlineStr">
        <is>
          <t>하늘바라기</t>
        </is>
      </c>
      <c r="D1349" s="24" t="inlineStr">
        <is>
          <t>608-03-39557</t>
        </is>
      </c>
      <c r="E1349" s="76" t="inlineStr">
        <is>
          <t>유기농 꽃차 메리골드차 15g 7g 마리골드 금잔화</t>
        </is>
      </c>
      <c r="F1349" s="76" t="n">
        <v>15</v>
      </c>
      <c r="G1349" s="146" t="n">
        <v>599000</v>
      </c>
      <c r="H1349" s="146" t="n">
        <v>43800</v>
      </c>
    </row>
    <row r="1350" hidden="1" s="21">
      <c r="A1350" s="24" t="inlineStr">
        <is>
          <t>네이버</t>
        </is>
      </c>
      <c r="B1350" s="24" t="inlineStr">
        <is>
          <t>가공식품</t>
        </is>
      </c>
      <c r="C1350" s="24" t="inlineStr">
        <is>
          <t>하늘바라기</t>
        </is>
      </c>
      <c r="D1350" s="24" t="inlineStr">
        <is>
          <t>608-03-39557</t>
        </is>
      </c>
      <c r="E1350" s="76" t="inlineStr">
        <is>
          <t>덖음 수제차 목련 꽃차 9g 4g 신이화차</t>
        </is>
      </c>
      <c r="F1350" s="76" t="n">
        <v>2</v>
      </c>
      <c r="G1350" s="146" t="n">
        <v>88700</v>
      </c>
      <c r="H1350" s="146" t="n">
        <v>10000</v>
      </c>
    </row>
    <row r="1351" hidden="1" s="21">
      <c r="A1351" s="24" t="inlineStr">
        <is>
          <t>네이버</t>
        </is>
      </c>
      <c r="B1351" s="24" t="inlineStr">
        <is>
          <t>가공식품</t>
        </is>
      </c>
      <c r="C1351" s="24" t="inlineStr">
        <is>
          <t>하늘바라기</t>
        </is>
      </c>
      <c r="D1351" s="24" t="inlineStr">
        <is>
          <t>608-03-39557</t>
        </is>
      </c>
      <c r="E1351" s="76" t="inlineStr">
        <is>
          <t>유기농 수제차 당아욱 꽃차 4g 2g 블루멜로우티</t>
        </is>
      </c>
      <c r="F1351" s="76" t="n">
        <v>1</v>
      </c>
      <c r="G1351" s="146" t="n">
        <v>25900</v>
      </c>
      <c r="H1351" s="146" t="n">
        <v>5180</v>
      </c>
    </row>
    <row r="1352" hidden="1" s="21">
      <c r="A1352" s="24" t="inlineStr">
        <is>
          <t>네이버</t>
        </is>
      </c>
      <c r="B1352" s="24" t="inlineStr">
        <is>
          <t>가공식품</t>
        </is>
      </c>
      <c r="C1352" s="24" t="inlineStr">
        <is>
          <t>하늘바라기</t>
        </is>
      </c>
      <c r="D1352" s="24" t="inlineStr">
        <is>
          <t>608-03-39557</t>
        </is>
      </c>
      <c r="E1352" s="76" t="inlineStr">
        <is>
          <t>국화차 중 일품 홑겹꽃 감국차 33g</t>
        </is>
      </c>
      <c r="F1352" s="76" t="n">
        <v>4</v>
      </c>
      <c r="G1352" s="146" t="n">
        <v>299500</v>
      </c>
      <c r="H1352" s="146" t="n">
        <v>30000</v>
      </c>
    </row>
    <row r="1353" hidden="1" s="21">
      <c r="A1353" s="24" t="inlineStr">
        <is>
          <t>네이버</t>
        </is>
      </c>
      <c r="B1353" s="24" t="inlineStr">
        <is>
          <t>가공식품</t>
        </is>
      </c>
      <c r="C1353" s="24" t="inlineStr">
        <is>
          <t>하늘바라기</t>
        </is>
      </c>
      <c r="D1353" s="24" t="inlineStr">
        <is>
          <t>608-03-39557</t>
        </is>
      </c>
      <c r="E1353" s="76" t="inlineStr">
        <is>
          <t>덖음으로 향이 풍부한 맨드라미꽃차 7g 맨드라미차</t>
        </is>
      </c>
      <c r="F1353" s="76" t="n">
        <v>0</v>
      </c>
      <c r="G1353" s="146" t="inlineStr">
        <is>
          <t>-</t>
        </is>
      </c>
      <c r="H1353" s="146" t="inlineStr">
        <is>
          <t>-</t>
        </is>
      </c>
    </row>
    <row r="1354" hidden="1" s="21">
      <c r="A1354" s="24" t="inlineStr">
        <is>
          <t>네이버</t>
        </is>
      </c>
      <c r="B1354" s="24" t="inlineStr">
        <is>
          <t>가공식품</t>
        </is>
      </c>
      <c r="C1354" s="24" t="inlineStr">
        <is>
          <t>하늘바라기</t>
        </is>
      </c>
      <c r="D1354" s="24" t="inlineStr">
        <is>
          <t>608-03-39557</t>
        </is>
      </c>
      <c r="E1354" s="76" t="inlineStr">
        <is>
          <t>농부가 키운 유기농꽃차 구절초차 17g</t>
        </is>
      </c>
      <c r="F1354" s="76" t="n">
        <v>1</v>
      </c>
      <c r="G1354" s="146" t="n">
        <v>27900</v>
      </c>
      <c r="H1354" s="146" t="inlineStr">
        <is>
          <t>-</t>
        </is>
      </c>
    </row>
    <row r="1355" hidden="1" s="21">
      <c r="A1355" s="24" t="inlineStr">
        <is>
          <t>네이버</t>
        </is>
      </c>
      <c r="B1355" s="24" t="inlineStr">
        <is>
          <t>가공식품</t>
        </is>
      </c>
      <c r="C1355" s="24" t="inlineStr">
        <is>
          <t>하늘바라기</t>
        </is>
      </c>
      <c r="D1355" s="24" t="inlineStr">
        <is>
          <t>608-03-39557</t>
        </is>
      </c>
      <c r="E1355" s="76" t="inlineStr">
        <is>
          <t>유기농 전통차 당아욱 꽃차 2g 블루멜로우티</t>
        </is>
      </c>
      <c r="F1355" s="76" t="n">
        <v>7</v>
      </c>
      <c r="G1355" s="146" t="n">
        <v>118300</v>
      </c>
      <c r="H1355" s="146" t="n">
        <v>13520</v>
      </c>
    </row>
    <row r="1356" hidden="1" s="21">
      <c r="A1356" s="24" t="inlineStr">
        <is>
          <t>네이버</t>
        </is>
      </c>
      <c r="B1356" s="24" t="inlineStr">
        <is>
          <t>가공식품</t>
        </is>
      </c>
      <c r="C1356" s="24" t="inlineStr">
        <is>
          <t>하늘바라기</t>
        </is>
      </c>
      <c r="D1356" s="24" t="inlineStr">
        <is>
          <t>608-03-39557</t>
        </is>
      </c>
      <c r="E1356" s="76" t="inlineStr">
        <is>
          <t>진짜 국화차는 유기농 감국차 16g 33g</t>
        </is>
      </c>
      <c r="F1356" s="76" t="n">
        <v>2</v>
      </c>
      <c r="G1356" s="146" t="n">
        <v>119800</v>
      </c>
      <c r="H1356" s="146" t="n">
        <v>10000</v>
      </c>
    </row>
    <row r="1357" hidden="1" s="21">
      <c r="A1357" s="24" t="inlineStr">
        <is>
          <t>네이버</t>
        </is>
      </c>
      <c r="B1357" s="24" t="inlineStr">
        <is>
          <t>가공식품</t>
        </is>
      </c>
      <c r="C1357" s="24" t="inlineStr">
        <is>
          <t>하늘바라기</t>
        </is>
      </c>
      <c r="D1357" s="24" t="inlineStr">
        <is>
          <t>608-03-39557</t>
        </is>
      </c>
      <c r="E1357" s="76" t="inlineStr">
        <is>
          <t>유기농차 목련 꽃차 4g 신이화차</t>
        </is>
      </c>
      <c r="F1357" s="76" t="n">
        <v>1</v>
      </c>
      <c r="G1357" s="146" t="n">
        <v>15900</v>
      </c>
      <c r="H1357" s="146" t="inlineStr">
        <is>
          <t>-</t>
        </is>
      </c>
    </row>
    <row r="1358" hidden="1" s="21">
      <c r="A1358" s="24" t="inlineStr">
        <is>
          <t>네이버</t>
        </is>
      </c>
      <c r="B1358" s="24" t="inlineStr">
        <is>
          <t>가공식품</t>
        </is>
      </c>
      <c r="C1358" s="24" t="inlineStr">
        <is>
          <t>하늘바라기</t>
        </is>
      </c>
      <c r="D1358" s="24" t="inlineStr">
        <is>
          <t>608-03-39557</t>
        </is>
      </c>
      <c r="E1358" s="76" t="inlineStr">
        <is>
          <t>농부가 키운 유기농차 구절초차 8g</t>
        </is>
      </c>
      <c r="F1358" s="76" t="n">
        <v>0</v>
      </c>
      <c r="G1358" s="146" t="inlineStr">
        <is>
          <t>-</t>
        </is>
      </c>
      <c r="H1358" s="146" t="inlineStr">
        <is>
          <t>-</t>
        </is>
      </c>
    </row>
    <row r="1359" hidden="1" s="21">
      <c r="A1359" s="24" t="inlineStr">
        <is>
          <t>네이버</t>
        </is>
      </c>
      <c r="B1359" s="24" t="inlineStr">
        <is>
          <t>가공식품</t>
        </is>
      </c>
      <c r="C1359" s="24" t="inlineStr">
        <is>
          <t>하늘바라기</t>
        </is>
      </c>
      <c r="D1359" s="24" t="inlineStr">
        <is>
          <t>608-03-39557</t>
        </is>
      </c>
      <c r="E1359" s="76" t="inlineStr">
        <is>
          <t>유기농 맨드라미꽃차 3g 맨드라미차</t>
        </is>
      </c>
      <c r="F1359" s="76" t="n">
        <v>2</v>
      </c>
      <c r="G1359" s="146" t="n">
        <v>31800</v>
      </c>
      <c r="H1359" s="146" t="inlineStr">
        <is>
          <t>-</t>
        </is>
      </c>
    </row>
    <row r="1360" hidden="1" s="21">
      <c r="A1360" s="24" t="inlineStr">
        <is>
          <t>네이버</t>
        </is>
      </c>
      <c r="B1360" s="24" t="inlineStr">
        <is>
          <t>가공식품</t>
        </is>
      </c>
      <c r="C1360" s="24" t="inlineStr">
        <is>
          <t>하늘바라기</t>
        </is>
      </c>
      <c r="D1360" s="24" t="inlineStr">
        <is>
          <t>608-03-39557</t>
        </is>
      </c>
      <c r="E1360" s="76" t="inlineStr">
        <is>
          <t>유기농 꽃차 소드림 2종 선물세트(메리골드 당아욱꽃차 목련꽃)</t>
        </is>
      </c>
      <c r="F1360" s="76" t="n">
        <v>4</v>
      </c>
      <c r="G1360" s="146" t="n">
        <v>128000</v>
      </c>
      <c r="H1360" s="146" t="n">
        <v>10000</v>
      </c>
    </row>
    <row r="1361" hidden="1" s="21">
      <c r="A1361" s="24" t="inlineStr">
        <is>
          <t>네이버</t>
        </is>
      </c>
      <c r="B1361" s="24" t="inlineStr">
        <is>
          <t>가공식품</t>
        </is>
      </c>
      <c r="C1361" s="24" t="inlineStr">
        <is>
          <t>하늘바라기</t>
        </is>
      </c>
      <c r="D1361" s="24" t="inlineStr">
        <is>
          <t>608-03-39557</t>
        </is>
      </c>
      <c r="E1361" s="76" t="inlineStr">
        <is>
          <t>유기농 꽃차 다드림 2종 선물세트(메리골드 당아욱꽃차 목련꽃)</t>
        </is>
      </c>
      <c r="F1361" s="76" t="n">
        <v>1</v>
      </c>
      <c r="G1361" s="146" t="n">
        <v>39200</v>
      </c>
      <c r="H1361" s="146" t="n">
        <v>7840</v>
      </c>
    </row>
    <row r="1362" hidden="1" s="21">
      <c r="A1362" s="24" t="inlineStr">
        <is>
          <t>네이버</t>
        </is>
      </c>
      <c r="B1362" s="24" t="inlineStr">
        <is>
          <t>가공식품</t>
        </is>
      </c>
      <c r="C1362" s="24" t="inlineStr">
        <is>
          <t>하늘바라기</t>
        </is>
      </c>
      <c r="D1362" s="24" t="inlineStr">
        <is>
          <t>608-03-39557</t>
        </is>
      </c>
      <c r="E1362" s="76" t="inlineStr">
        <is>
          <t>균일가 유기농 꽃차 2종 선물세트(벚꽃 메리골드 당아욱 아카시아 등)</t>
        </is>
      </c>
      <c r="F1362" s="76" t="n">
        <v>10</v>
      </c>
      <c r="G1362" s="146" t="n">
        <v>236000</v>
      </c>
      <c r="H1362" s="146" t="n">
        <v>40800</v>
      </c>
    </row>
    <row r="1363" hidden="1" s="21">
      <c r="A1363" s="24" t="inlineStr">
        <is>
          <t>네이버</t>
        </is>
      </c>
      <c r="B1363" s="24" t="inlineStr">
        <is>
          <t>가공식품</t>
        </is>
      </c>
      <c r="C1363" s="24" t="inlineStr">
        <is>
          <t>하늘바라기</t>
        </is>
      </c>
      <c r="D1363" s="24" t="inlineStr">
        <is>
          <t>608-03-39557</t>
        </is>
      </c>
      <c r="E1363" s="76" t="inlineStr">
        <is>
          <t>유기농 3종 꽃차선물세트(메리골드차 국화차 목련 등)</t>
        </is>
      </c>
      <c r="F1363" s="76" t="n">
        <v>0</v>
      </c>
      <c r="G1363" s="146" t="inlineStr">
        <is>
          <t>-</t>
        </is>
      </c>
      <c r="H1363" s="146" t="inlineStr">
        <is>
          <t>-</t>
        </is>
      </c>
    </row>
    <row r="1364" hidden="1" s="21">
      <c r="A1364" s="24" t="inlineStr">
        <is>
          <t>네이버</t>
        </is>
      </c>
      <c r="B1364" s="24" t="inlineStr">
        <is>
          <t>가공식품</t>
        </is>
      </c>
      <c r="C1364" s="24" t="inlineStr">
        <is>
          <t>하늘바라기</t>
        </is>
      </c>
      <c r="D1364" s="24" t="inlineStr">
        <is>
          <t>608-03-39557</t>
        </is>
      </c>
      <c r="E1364" s="76" t="inlineStr">
        <is>
          <t>유기농 3종 꽃차세트(당아욱 메리골드꽃차 목련 아카시아 벚꽃)</t>
        </is>
      </c>
      <c r="F1364" s="76" t="n">
        <v>0</v>
      </c>
      <c r="G1364" s="146" t="inlineStr">
        <is>
          <t>-</t>
        </is>
      </c>
      <c r="H1364" s="146" t="inlineStr">
        <is>
          <t>-</t>
        </is>
      </c>
    </row>
    <row r="1365" hidden="1" s="21">
      <c r="A1365" s="24" t="inlineStr">
        <is>
          <t>네이버</t>
        </is>
      </c>
      <c r="B1365" s="24" t="inlineStr">
        <is>
          <t>가공식품</t>
        </is>
      </c>
      <c r="C1365" s="24" t="inlineStr">
        <is>
          <t>하늘바라기</t>
        </is>
      </c>
      <c r="D1365" s="24" t="inlineStr">
        <is>
          <t>608-03-39557</t>
        </is>
      </c>
      <c r="E1365" s="76" t="inlineStr">
        <is>
          <t>유기농 4종 꽃차세트(선택형) 감국 매화 메리골드 맨드라미 등</t>
        </is>
      </c>
      <c r="F1365" s="76" t="n">
        <v>0</v>
      </c>
      <c r="G1365" s="146" t="inlineStr">
        <is>
          <t>-</t>
        </is>
      </c>
      <c r="H1365" s="146" t="inlineStr">
        <is>
          <t>-</t>
        </is>
      </c>
    </row>
    <row r="1366" hidden="1" s="21">
      <c r="A1366" s="24" t="inlineStr">
        <is>
          <t>네이버</t>
        </is>
      </c>
      <c r="B1366" s="24" t="inlineStr">
        <is>
          <t>가공식품</t>
        </is>
      </c>
      <c r="C1366" s="24" t="inlineStr">
        <is>
          <t>하늘바라기</t>
        </is>
      </c>
      <c r="D1366" s="24" t="inlineStr">
        <is>
          <t>608-03-39557</t>
        </is>
      </c>
      <c r="E1366" s="76" t="inlineStr">
        <is>
          <t>국내산 유기농 꽃차 4종 선물세트(맨드라미3g + 메리골드7g + 목련4g + 당아욱2g)</t>
        </is>
      </c>
      <c r="F1366" s="76" t="n">
        <v>5</v>
      </c>
      <c r="G1366" s="146" t="n">
        <v>110600</v>
      </c>
      <c r="H1366" s="146" t="n">
        <v>18510</v>
      </c>
    </row>
    <row r="1367" hidden="1" s="21">
      <c r="A1367" s="24" t="inlineStr">
        <is>
          <t>네이버</t>
        </is>
      </c>
      <c r="B1367" s="24" t="inlineStr">
        <is>
          <t>가공식품</t>
        </is>
      </c>
      <c r="C1367" s="24" t="inlineStr">
        <is>
          <t>하늘바라기</t>
        </is>
      </c>
      <c r="D1367" s="24" t="inlineStr">
        <is>
          <t>608-03-39557</t>
        </is>
      </c>
      <c r="E1367" s="76" t="inlineStr">
        <is>
          <t>덖음차 유기농 햇 볶은 작두콩차 80g</t>
        </is>
      </c>
      <c r="F1367" s="76" t="n">
        <v>12</v>
      </c>
      <c r="G1367" s="146" t="n">
        <v>316800</v>
      </c>
      <c r="H1367" s="146" t="n">
        <v>51480</v>
      </c>
    </row>
    <row r="1368" hidden="1" s="21">
      <c r="A1368" s="24" t="inlineStr">
        <is>
          <t>네이버</t>
        </is>
      </c>
      <c r="B1368" s="24" t="inlineStr">
        <is>
          <t>가공식품</t>
        </is>
      </c>
      <c r="C1368" s="24" t="inlineStr">
        <is>
          <t>하늘바라기</t>
        </is>
      </c>
      <c r="D1368" s="24" t="inlineStr">
        <is>
          <t>608-03-39557</t>
        </is>
      </c>
      <c r="E1368" s="76" t="inlineStr">
        <is>
          <t>유기농꽃차 메리골드차 마리골드 금잔화 15g 4개</t>
        </is>
      </c>
      <c r="F1368" s="76" t="n">
        <v>0</v>
      </c>
      <c r="G1368" s="146" t="inlineStr">
        <is>
          <t>-</t>
        </is>
      </c>
      <c r="H1368" s="146" t="inlineStr">
        <is>
          <t>-</t>
        </is>
      </c>
    </row>
    <row r="1369" hidden="1" s="21">
      <c r="A1369" s="24" t="inlineStr">
        <is>
          <t>네이버</t>
        </is>
      </c>
      <c r="B1369" s="24" t="inlineStr">
        <is>
          <t>가공식품</t>
        </is>
      </c>
      <c r="C1369" s="24" t="inlineStr">
        <is>
          <t>하늘바라기</t>
        </is>
      </c>
      <c r="D1369" s="24" t="inlineStr">
        <is>
          <t>608-03-39557</t>
        </is>
      </c>
      <c r="E1369" s="76" t="inlineStr">
        <is>
          <t>덖음차 유기농 햇 볶은 작두콩차 80g 10개</t>
        </is>
      </c>
      <c r="F1369" s="76" t="n">
        <v>0</v>
      </c>
      <c r="G1369" s="146" t="inlineStr">
        <is>
          <t>-</t>
        </is>
      </c>
      <c r="H1369" s="146" t="inlineStr">
        <is>
          <t>-</t>
        </is>
      </c>
    </row>
    <row r="1370" hidden="1" s="21">
      <c r="A1370" s="24" t="inlineStr">
        <is>
          <t>네이버</t>
        </is>
      </c>
      <c r="B1370" s="24" t="inlineStr">
        <is>
          <t>농산물</t>
        </is>
      </c>
      <c r="C1370" s="24" t="inlineStr">
        <is>
          <t>도하팜</t>
        </is>
      </c>
      <c r="D1370" s="24" t="inlineStr">
        <is>
          <t>677-97-01944</t>
        </is>
      </c>
      <c r="E1370" s="76" t="inlineStr">
        <is>
          <t>도하팜 업소용 대용량 프릴아이스</t>
        </is>
      </c>
      <c r="F1370" s="76" t="n">
        <v>2</v>
      </c>
      <c r="G1370" s="146" t="n">
        <v>60300</v>
      </c>
      <c r="H1370" s="146" t="n">
        <v>12060</v>
      </c>
    </row>
    <row r="1371" hidden="1" s="21">
      <c r="A1371" s="24" t="inlineStr">
        <is>
          <t>네이버</t>
        </is>
      </c>
      <c r="B1371" s="24" t="inlineStr">
        <is>
          <t>농산물</t>
        </is>
      </c>
      <c r="C1371" s="24" t="inlineStr">
        <is>
          <t>도하팜</t>
        </is>
      </c>
      <c r="D1371" s="24" t="inlineStr">
        <is>
          <t>677-97-01944</t>
        </is>
      </c>
      <c r="E1371" s="76" t="inlineStr">
        <is>
          <t>[도하팜][버터헤드 단품] 수경재배 무농약 GAP 유럽샐러드 유럽 상추</t>
        </is>
      </c>
      <c r="F1371" s="76" t="n">
        <v>14</v>
      </c>
      <c r="G1371" s="146" t="n">
        <v>149600</v>
      </c>
      <c r="H1371" s="146" t="n">
        <v>12320</v>
      </c>
    </row>
    <row r="1372" hidden="1" s="21">
      <c r="A1372" s="24" t="inlineStr">
        <is>
          <t>네이버</t>
        </is>
      </c>
      <c r="B1372" s="24" t="inlineStr">
        <is>
          <t>농산물</t>
        </is>
      </c>
      <c r="C1372" s="24" t="inlineStr">
        <is>
          <t>도하팜</t>
        </is>
      </c>
      <c r="D1372" s="24" t="inlineStr">
        <is>
          <t>677-97-01944</t>
        </is>
      </c>
      <c r="E1372" s="76" t="inlineStr">
        <is>
          <t>[도하팜] [프릴아이스] 무농약 프리미엄 수경재배 유럽 샐러드채소 농장직송 유럽 상추</t>
        </is>
      </c>
      <c r="F1372" s="76" t="n">
        <v>6</v>
      </c>
      <c r="G1372" s="146" t="n">
        <v>82620</v>
      </c>
      <c r="H1372" s="146" t="n">
        <v>11820</v>
      </c>
    </row>
    <row r="1373" hidden="1" s="21">
      <c r="A1373" s="24" t="inlineStr">
        <is>
          <t>네이버</t>
        </is>
      </c>
      <c r="B1373" s="24" t="inlineStr">
        <is>
          <t>농산물</t>
        </is>
      </c>
      <c r="C1373" s="24" t="inlineStr">
        <is>
          <t>도하팜</t>
        </is>
      </c>
      <c r="D1373" s="24" t="inlineStr">
        <is>
          <t>677-97-01944</t>
        </is>
      </c>
      <c r="E1373" s="76" t="inlineStr">
        <is>
          <t>[도하팜] [유러피안 모듬 믹스] 무농약 채소 샐러드 쌈채소 유럽 상추</t>
        </is>
      </c>
      <c r="F1373" s="76" t="n">
        <v>66</v>
      </c>
      <c r="G1373" s="146" t="n">
        <v>607380</v>
      </c>
      <c r="H1373" s="146" t="n">
        <v>105420</v>
      </c>
    </row>
    <row r="1374" hidden="1" s="21">
      <c r="A1374" s="24" t="inlineStr">
        <is>
          <t>네이버</t>
        </is>
      </c>
      <c r="B1374" s="24" t="inlineStr">
        <is>
          <t>가공식품</t>
        </is>
      </c>
      <c r="C1374" s="24" t="inlineStr">
        <is>
          <t>시내들</t>
        </is>
      </c>
      <c r="D1374" s="24" t="inlineStr">
        <is>
          <t>112-28-97097</t>
        </is>
      </c>
      <c r="E1374" s="76" t="inlineStr">
        <is>
          <t>순희엄마 수제 천연발효 사과식초 애사비 1000ml 선물세트</t>
        </is>
      </c>
      <c r="F1374" s="76" t="n">
        <v>125</v>
      </c>
      <c r="G1374" s="146" t="n">
        <v>3673000</v>
      </c>
      <c r="H1374" s="146" t="n">
        <v>162040</v>
      </c>
    </row>
    <row r="1375" hidden="1" s="21">
      <c r="A1375" s="24" t="inlineStr">
        <is>
          <t>네이버</t>
        </is>
      </c>
      <c r="B1375" s="24" t="inlineStr">
        <is>
          <t>가공식품</t>
        </is>
      </c>
      <c r="C1375" s="24" t="inlineStr">
        <is>
          <t>길경영농조합법인</t>
        </is>
      </c>
      <c r="D1375" s="24" t="inlineStr">
        <is>
          <t>126-86-80182</t>
        </is>
      </c>
      <c r="E1375" s="76" t="inlineStr">
        <is>
          <t>청청하루 무농약 도라지청 300g 2개</t>
        </is>
      </c>
      <c r="F1375" s="76" t="n">
        <v>9</v>
      </c>
      <c r="G1375" s="146" t="n">
        <v>564300</v>
      </c>
      <c r="H1375" s="146" t="n">
        <v>60000</v>
      </c>
    </row>
    <row r="1376" hidden="1" s="21">
      <c r="A1376" s="24" t="inlineStr">
        <is>
          <t>네이버</t>
        </is>
      </c>
      <c r="B1376" s="24" t="inlineStr">
        <is>
          <t>가공식품</t>
        </is>
      </c>
      <c r="C1376" s="24" t="inlineStr">
        <is>
          <t>길경영농조합법인</t>
        </is>
      </c>
      <c r="D1376" s="24" t="inlineStr">
        <is>
          <t>126-86-80182</t>
        </is>
      </c>
      <c r="E1376" s="76" t="inlineStr">
        <is>
          <t>청청하루 무농약 도라지청 300g 3개</t>
        </is>
      </c>
      <c r="F1376" s="76" t="n">
        <v>7</v>
      </c>
      <c r="G1376" s="146" t="n">
        <v>539100</v>
      </c>
      <c r="H1376" s="146" t="n">
        <v>10000</v>
      </c>
    </row>
    <row r="1377" hidden="1" s="21">
      <c r="A1377" s="24" t="inlineStr">
        <is>
          <t>네이버</t>
        </is>
      </c>
      <c r="B1377" s="24" t="inlineStr">
        <is>
          <t>가공식품</t>
        </is>
      </c>
      <c r="C1377" s="24" t="inlineStr">
        <is>
          <t>길경영농조합법인</t>
        </is>
      </c>
      <c r="D1377" s="24" t="inlineStr">
        <is>
          <t>126-86-80182</t>
        </is>
      </c>
      <c r="E1377" s="76" t="inlineStr">
        <is>
          <t>청청하루 무농약 도라지청 600g 2개</t>
        </is>
      </c>
      <c r="F1377" s="76" t="n">
        <v>1</v>
      </c>
      <c r="G1377" s="146" t="n">
        <v>123500</v>
      </c>
      <c r="H1377" s="146" t="n">
        <v>10000</v>
      </c>
    </row>
    <row r="1378" hidden="1" s="21">
      <c r="A1378" s="24" t="inlineStr">
        <is>
          <t>네이버</t>
        </is>
      </c>
      <c r="B1378" s="24" t="inlineStr">
        <is>
          <t>가공식품</t>
        </is>
      </c>
      <c r="C1378" s="24" t="inlineStr">
        <is>
          <t>길경영농조합법인</t>
        </is>
      </c>
      <c r="D1378" s="24" t="inlineStr">
        <is>
          <t>126-86-80182</t>
        </is>
      </c>
      <c r="E1378" s="76" t="inlineStr">
        <is>
          <t>청청하루 무농약 도라지청 600g 3개</t>
        </is>
      </c>
      <c r="F1378" s="76" t="n">
        <v>0</v>
      </c>
      <c r="G1378" s="146" t="inlineStr">
        <is>
          <t>-</t>
        </is>
      </c>
      <c r="H1378" s="146" t="inlineStr">
        <is>
          <t>-</t>
        </is>
      </c>
    </row>
    <row r="1379" hidden="1" s="21">
      <c r="A1379" s="24" t="inlineStr">
        <is>
          <t>네이버</t>
        </is>
      </c>
      <c r="B1379" s="24" t="inlineStr">
        <is>
          <t>가공식품</t>
        </is>
      </c>
      <c r="C1379" s="24" t="inlineStr">
        <is>
          <t>길경영농조합법인</t>
        </is>
      </c>
      <c r="D1379" s="24" t="inlineStr">
        <is>
          <t>126-86-80182</t>
        </is>
      </c>
      <c r="E1379" s="76" t="inlineStr">
        <is>
          <t>청청하루 식품명인 궁중 도라지정과 250g 3개</t>
        </is>
      </c>
      <c r="F1379" s="76" t="n">
        <v>1</v>
      </c>
      <c r="G1379" s="146" t="n">
        <v>113400</v>
      </c>
      <c r="H1379" s="146" t="inlineStr">
        <is>
          <t>-</t>
        </is>
      </c>
    </row>
    <row r="1380" hidden="1" s="21">
      <c r="A1380" s="24" t="inlineStr">
        <is>
          <t>네이버</t>
        </is>
      </c>
      <c r="B1380" s="24" t="inlineStr">
        <is>
          <t>가공식품</t>
        </is>
      </c>
      <c r="C1380" s="24" t="inlineStr">
        <is>
          <t>길경영농조합법인</t>
        </is>
      </c>
      <c r="D1380" s="24" t="inlineStr">
        <is>
          <t>126-86-80182</t>
        </is>
      </c>
      <c r="E1380" s="76" t="inlineStr">
        <is>
          <t>청청하루 식품명인 궁중 도라지정과 500g 1개</t>
        </is>
      </c>
      <c r="F1380" s="76" t="n">
        <v>6</v>
      </c>
      <c r="G1380" s="146" t="n">
        <v>332000</v>
      </c>
      <c r="H1380" s="146" t="n">
        <v>10000</v>
      </c>
    </row>
    <row r="1381" hidden="1" s="21">
      <c r="A1381" s="24" t="inlineStr">
        <is>
          <t>네이버</t>
        </is>
      </c>
      <c r="B1381" s="24" t="inlineStr">
        <is>
          <t>가공식품</t>
        </is>
      </c>
      <c r="C1381" s="24" t="inlineStr">
        <is>
          <t>길경영농조합법인</t>
        </is>
      </c>
      <c r="D1381" s="24" t="inlineStr">
        <is>
          <t>126-86-80182</t>
        </is>
      </c>
      <c r="E1381" s="76" t="inlineStr">
        <is>
          <t>청청하루 식품명인 궁중 도라지정과 500g 2개</t>
        </is>
      </c>
      <c r="F1381" s="76" t="n">
        <v>0</v>
      </c>
      <c r="G1381" s="146" t="inlineStr">
        <is>
          <t>-</t>
        </is>
      </c>
      <c r="H1381" s="146" t="inlineStr">
        <is>
          <t>-</t>
        </is>
      </c>
    </row>
    <row r="1382" hidden="1" s="21">
      <c r="A1382" s="24" t="inlineStr">
        <is>
          <t>네이버</t>
        </is>
      </c>
      <c r="B1382" s="24" t="inlineStr">
        <is>
          <t>가공식품</t>
        </is>
      </c>
      <c r="C1382" s="24" t="inlineStr">
        <is>
          <t>길경영농조합법인</t>
        </is>
      </c>
      <c r="D1382" s="24" t="inlineStr">
        <is>
          <t>126-86-80182</t>
        </is>
      </c>
      <c r="E1382" s="76" t="inlineStr">
        <is>
          <t>청청하루 식품명인 궁중 도라지정과 500g 3개</t>
        </is>
      </c>
      <c r="F1382" s="76" t="n">
        <v>1</v>
      </c>
      <c r="G1382" s="146" t="n">
        <v>221400</v>
      </c>
      <c r="H1382" s="146" t="inlineStr">
        <is>
          <t>-</t>
        </is>
      </c>
    </row>
    <row r="1383" hidden="1" s="21">
      <c r="A1383" s="24" t="inlineStr">
        <is>
          <t>네이버</t>
        </is>
      </c>
      <c r="B1383" s="24" t="inlineStr">
        <is>
          <t>가공식품</t>
        </is>
      </c>
      <c r="C1383" s="24" t="inlineStr">
        <is>
          <t>길경영농조합법인</t>
        </is>
      </c>
      <c r="D1383" s="24" t="inlineStr">
        <is>
          <t>126-86-80182</t>
        </is>
      </c>
      <c r="E1383" s="76" t="inlineStr">
        <is>
          <t>청청하루 무농약 도라지 100% 도라지청</t>
        </is>
      </c>
      <c r="F1383" s="76" t="n">
        <v>1</v>
      </c>
      <c r="G1383" s="146" t="n">
        <v>32000</v>
      </c>
      <c r="H1383" s="146" t="inlineStr">
        <is>
          <t>-</t>
        </is>
      </c>
    </row>
    <row r="1384" hidden="1" s="21">
      <c r="A1384" s="24" t="inlineStr">
        <is>
          <t>네이버</t>
        </is>
      </c>
      <c r="B1384" s="24" t="inlineStr">
        <is>
          <t>농산물</t>
        </is>
      </c>
      <c r="C1384" s="24" t="inlineStr">
        <is>
          <t>맑은농장</t>
        </is>
      </c>
      <c r="D1384" s="24" t="inlineStr">
        <is>
          <t>577-94-01721</t>
        </is>
      </c>
      <c r="E1384" s="76" t="inlineStr">
        <is>
          <t>품질보장 황토밭 맑은농장 김천자두 3kg(왕왕특고당도) 도담자두</t>
        </is>
      </c>
      <c r="F1384" s="76" t="n">
        <v>27</v>
      </c>
      <c r="G1384" s="146" t="n">
        <v>1249200</v>
      </c>
      <c r="H1384" s="146" t="n">
        <v>54080</v>
      </c>
    </row>
    <row r="1385" hidden="1" s="21">
      <c r="A1385" s="24" t="inlineStr">
        <is>
          <t>네이버</t>
        </is>
      </c>
      <c r="B1385" s="24" t="inlineStr">
        <is>
          <t>농산물</t>
        </is>
      </c>
      <c r="C1385" s="24" t="inlineStr">
        <is>
          <t>맑은농장</t>
        </is>
      </c>
      <c r="D1385" s="24" t="inlineStr">
        <is>
          <t>577-94-01721</t>
        </is>
      </c>
      <c r="E1385" s="76" t="inlineStr">
        <is>
          <t>품질대박 황토밭 맑은농장 김천자두 5kg(왕왕특고당도) 도담자두</t>
        </is>
      </c>
      <c r="F1385" s="76" t="n">
        <v>29</v>
      </c>
      <c r="G1385" s="146" t="n">
        <v>1654000</v>
      </c>
      <c r="H1385" s="146" t="n">
        <v>50000</v>
      </c>
    </row>
    <row r="1386" hidden="1" s="21">
      <c r="A1386" s="24" t="inlineStr">
        <is>
          <t>네이버</t>
        </is>
      </c>
      <c r="B1386" s="24" t="inlineStr">
        <is>
          <t>가공식품</t>
        </is>
      </c>
      <c r="C1386" s="24" t="inlineStr">
        <is>
          <t>소유농장</t>
        </is>
      </c>
      <c r="D1386" s="24" t="inlineStr">
        <is>
          <t>208-22-52837</t>
        </is>
      </c>
      <c r="E1386" s="76" t="inlineStr">
        <is>
          <t>국산 무농약 상황버섯 건조+진액혼합세트 효도선물 GAP인증 친환경 부모님선물</t>
        </is>
      </c>
      <c r="F1386" s="76" t="n">
        <v>1</v>
      </c>
      <c r="G1386" s="146" t="n">
        <v>54000</v>
      </c>
      <c r="H1386" s="146" t="n">
        <v>10000</v>
      </c>
    </row>
    <row r="1387" hidden="1" s="21">
      <c r="A1387" s="24" t="inlineStr">
        <is>
          <t>네이버</t>
        </is>
      </c>
      <c r="B1387" s="24" t="inlineStr">
        <is>
          <t>가공식품</t>
        </is>
      </c>
      <c r="C1387" s="24" t="inlineStr">
        <is>
          <t>소유농장</t>
        </is>
      </c>
      <c r="D1387" s="24" t="inlineStr">
        <is>
          <t>208-22-52837</t>
        </is>
      </c>
      <c r="E1387" s="76" t="inlineStr">
        <is>
          <t>국내산 무농약 GAP 건조상황버섯 선물세트 150g 300g 부모님 추석선물</t>
        </is>
      </c>
      <c r="F1387" s="76" t="n">
        <v>8</v>
      </c>
      <c r="G1387" s="146" t="n">
        <v>528000</v>
      </c>
      <c r="H1387" s="146" t="n">
        <v>27530</v>
      </c>
    </row>
    <row r="1388" hidden="1" s="21">
      <c r="A1388" s="24" t="inlineStr">
        <is>
          <t>네이버</t>
        </is>
      </c>
      <c r="B1388" s="24" t="inlineStr">
        <is>
          <t>가공식품</t>
        </is>
      </c>
      <c r="C1388" s="24" t="inlineStr">
        <is>
          <t>소유농장</t>
        </is>
      </c>
      <c r="D1388" s="24" t="inlineStr">
        <is>
          <t>208-22-52837</t>
        </is>
      </c>
      <c r="E1388" s="76" t="inlineStr">
        <is>
          <t>국내산 무농약 GAP 인증 원료 상황버섯진액 부모님 추석선물 45포 1개</t>
        </is>
      </c>
      <c r="F1388" s="76" t="n">
        <v>17</v>
      </c>
      <c r="G1388" s="146" t="n">
        <v>960000</v>
      </c>
      <c r="H1388" s="146" t="n">
        <v>77200</v>
      </c>
    </row>
    <row r="1389" hidden="1" s="21">
      <c r="A1389" s="24" t="inlineStr">
        <is>
          <t>네이버</t>
        </is>
      </c>
      <c r="B1389" s="24" t="inlineStr">
        <is>
          <t>가공식품</t>
        </is>
      </c>
      <c r="C1389" s="24" t="inlineStr">
        <is>
          <t>소유농장</t>
        </is>
      </c>
      <c r="D1389" s="24" t="inlineStr">
        <is>
          <t>208-22-52837</t>
        </is>
      </c>
      <c r="E1389" s="76" t="inlineStr">
        <is>
          <t>국내산 무농약 GAP 인증 원료 상황버섯진액 부모님 추석선물 25포 1개</t>
        </is>
      </c>
      <c r="F1389" s="76" t="n">
        <v>3</v>
      </c>
      <c r="G1389" s="146" t="n">
        <v>87000</v>
      </c>
      <c r="H1389" s="146" t="inlineStr">
        <is>
          <t>-</t>
        </is>
      </c>
    </row>
    <row r="1390" hidden="1" s="21">
      <c r="A1390" s="24" t="inlineStr">
        <is>
          <t>네이버</t>
        </is>
      </c>
      <c r="B1390" s="24" t="inlineStr">
        <is>
          <t>가공식품</t>
        </is>
      </c>
      <c r="C1390" s="24" t="inlineStr">
        <is>
          <t>소유농장</t>
        </is>
      </c>
      <c r="D1390" s="24" t="inlineStr">
        <is>
          <t>208-22-52837</t>
        </is>
      </c>
      <c r="E1390" s="76" t="inlineStr">
        <is>
          <t>국내산 무농약 GAP 인증 원료 상황버섯진액 부모님 추석선물 15포 1개</t>
        </is>
      </c>
      <c r="F1390" s="76" t="n">
        <v>0</v>
      </c>
      <c r="G1390" s="146" t="inlineStr">
        <is>
          <t>-</t>
        </is>
      </c>
      <c r="H1390" s="146" t="inlineStr">
        <is>
          <t>-</t>
        </is>
      </c>
    </row>
    <row r="1391" hidden="1" s="21">
      <c r="A1391" s="24" t="inlineStr">
        <is>
          <t>네이버</t>
        </is>
      </c>
      <c r="B1391" s="24" t="inlineStr">
        <is>
          <t>가공식품</t>
        </is>
      </c>
      <c r="C1391" s="24" t="inlineStr">
        <is>
          <t>소유농장</t>
        </is>
      </c>
      <c r="D1391" s="24" t="inlineStr">
        <is>
          <t>208-22-52837</t>
        </is>
      </c>
      <c r="E1391" s="76" t="inlineStr">
        <is>
          <t>국내산 무농약 GAP인증 건조 상황버섯 70g 부모님 추석 선물세트</t>
        </is>
      </c>
      <c r="F1391" s="76" t="n">
        <v>0</v>
      </c>
      <c r="G1391" s="146" t="inlineStr">
        <is>
          <t>-</t>
        </is>
      </c>
      <c r="H1391" s="146" t="inlineStr">
        <is>
          <t>-</t>
        </is>
      </c>
    </row>
    <row r="1392" hidden="1" s="21">
      <c r="A1392" s="24" t="inlineStr">
        <is>
          <t>네이버</t>
        </is>
      </c>
      <c r="B1392" s="24" t="inlineStr">
        <is>
          <t>가공식품</t>
        </is>
      </c>
      <c r="C1392" s="24" t="inlineStr">
        <is>
          <t>소유농장</t>
        </is>
      </c>
      <c r="D1392" s="24" t="inlineStr">
        <is>
          <t>208-22-52837</t>
        </is>
      </c>
      <c r="E1392" s="76" t="inlineStr">
        <is>
          <t>국내산 무농약 GAP인증 건조 상황버섯 140g 부모님 추석 선물세트</t>
        </is>
      </c>
      <c r="F1392" s="76" t="n">
        <v>2</v>
      </c>
      <c r="G1392" s="146" t="n">
        <v>66000</v>
      </c>
      <c r="H1392" s="146" t="n">
        <v>6600</v>
      </c>
    </row>
    <row r="1393" hidden="1" s="21">
      <c r="A1393" s="24" t="inlineStr">
        <is>
          <t>네이버</t>
        </is>
      </c>
      <c r="B1393" s="24" t="inlineStr">
        <is>
          <t>농산물</t>
        </is>
      </c>
      <c r="C1393" s="24" t="inlineStr">
        <is>
          <t>안동기찬농원</t>
        </is>
      </c>
      <c r="D1393" s="24" t="inlineStr">
        <is>
          <t>317-39-00698</t>
        </is>
      </c>
      <c r="E1393" s="76" t="inlineStr">
        <is>
          <t>으랏차차 푸룬 - 빅퍼플</t>
        </is>
      </c>
      <c r="F1393" s="76" t="n">
        <v>0</v>
      </c>
      <c r="G1393" s="146" t="inlineStr">
        <is>
          <t>-</t>
        </is>
      </c>
      <c r="H1393" s="146" t="inlineStr">
        <is>
          <t>-</t>
        </is>
      </c>
    </row>
    <row r="1394" hidden="1" s="21">
      <c r="A1394" s="24" t="inlineStr">
        <is>
          <t>네이버</t>
        </is>
      </c>
      <c r="B1394" s="24" t="inlineStr">
        <is>
          <t>가공식품</t>
        </is>
      </c>
      <c r="C1394" s="24" t="inlineStr">
        <is>
          <t>해피메이킹</t>
        </is>
      </c>
      <c r="D1394" s="24" t="inlineStr">
        <is>
          <t>511-09-26842</t>
        </is>
      </c>
      <c r="E1394" s="76" t="inlineStr">
        <is>
          <t>문경 오미자 청 원액 생오미자 당절임 (흰설탕)</t>
        </is>
      </c>
      <c r="F1394" s="76" t="n">
        <v>238</v>
      </c>
      <c r="G1394" s="146" t="n">
        <v>27609300</v>
      </c>
      <c r="H1394" s="146" t="n">
        <v>1060000</v>
      </c>
    </row>
    <row r="1395" hidden="1" s="21">
      <c r="A1395" s="24" t="inlineStr">
        <is>
          <t>네이버</t>
        </is>
      </c>
      <c r="B1395" s="24" t="inlineStr">
        <is>
          <t>가공식품</t>
        </is>
      </c>
      <c r="C1395" s="24" t="inlineStr">
        <is>
          <t>해피메이킹</t>
        </is>
      </c>
      <c r="D1395" s="24" t="inlineStr">
        <is>
          <t>511-09-26842</t>
        </is>
      </c>
      <c r="E1395" s="76" t="inlineStr">
        <is>
          <t>문경 오미자 원액 행복한 오미자청 1.5L</t>
        </is>
      </c>
      <c r="F1395" s="76" t="n">
        <v>37</v>
      </c>
      <c r="G1395" s="146" t="n">
        <v>1833170</v>
      </c>
      <c r="H1395" s="146" t="n">
        <v>116180</v>
      </c>
    </row>
    <row r="1396" hidden="1" s="21">
      <c r="A1396" s="24" t="inlineStr">
        <is>
          <t>네이버</t>
        </is>
      </c>
      <c r="B1396" s="24" t="inlineStr">
        <is>
          <t>가공식품</t>
        </is>
      </c>
      <c r="C1396" s="24" t="inlineStr">
        <is>
          <t>해피메이킹</t>
        </is>
      </c>
      <c r="D1396" s="24" t="inlineStr">
        <is>
          <t>511-09-26842</t>
        </is>
      </c>
      <c r="E1396" s="76" t="inlineStr">
        <is>
          <t>문경 오미자 원액 행복한 오미자청 1.5L (흰설탕) 2병</t>
        </is>
      </c>
      <c r="F1396" s="76" t="n">
        <v>16</v>
      </c>
      <c r="G1396" s="146" t="n">
        <v>1088000</v>
      </c>
      <c r="H1396" s="146" t="n">
        <v>50000</v>
      </c>
    </row>
    <row r="1397" hidden="1" s="21">
      <c r="A1397" s="24" t="inlineStr">
        <is>
          <t>네이버</t>
        </is>
      </c>
      <c r="B1397" s="24" t="inlineStr">
        <is>
          <t>가공식품</t>
        </is>
      </c>
      <c r="C1397" s="24" t="inlineStr">
        <is>
          <t>해피메이킹</t>
        </is>
      </c>
      <c r="D1397" s="24" t="inlineStr">
        <is>
          <t>511-09-26842</t>
        </is>
      </c>
      <c r="E1397" s="76" t="inlineStr">
        <is>
          <t>문경 오미자 원액 행복한 오미자청 1.5L 4병</t>
        </is>
      </c>
      <c r="F1397" s="76" t="n">
        <v>46</v>
      </c>
      <c r="G1397" s="146" t="n">
        <v>6388000</v>
      </c>
      <c r="H1397" s="146" t="n">
        <v>140000</v>
      </c>
    </row>
    <row r="1398" hidden="1" s="21">
      <c r="A1398" s="24" t="inlineStr">
        <is>
          <t>네이버</t>
        </is>
      </c>
      <c r="B1398" s="24" t="inlineStr">
        <is>
          <t>가공식품</t>
        </is>
      </c>
      <c r="C1398" s="24" t="inlineStr">
        <is>
          <t>해피메이킹</t>
        </is>
      </c>
      <c r="D1398" s="24" t="inlineStr">
        <is>
          <t>511-09-26842</t>
        </is>
      </c>
      <c r="E1398" s="76" t="inlineStr">
        <is>
          <t>문경 오미자 2025년 생오미자 당절임 (원당)</t>
        </is>
      </c>
      <c r="F1398" s="76" t="n">
        <v>8</v>
      </c>
      <c r="G1398" s="146" t="n">
        <v>926010</v>
      </c>
      <c r="H1398" s="146" t="n">
        <v>20000</v>
      </c>
    </row>
    <row r="1399" hidden="1" s="21">
      <c r="A1399" s="24" t="inlineStr">
        <is>
          <t>네이버</t>
        </is>
      </c>
      <c r="B1399" s="24" t="inlineStr">
        <is>
          <t>가공식품</t>
        </is>
      </c>
      <c r="C1399" s="24" t="inlineStr">
        <is>
          <t>해피메이킹</t>
        </is>
      </c>
      <c r="D1399" s="24" t="inlineStr">
        <is>
          <t>511-09-26842</t>
        </is>
      </c>
      <c r="E1399" s="76" t="inlineStr">
        <is>
          <t>문경 오미자 원액 행복한 오미자청 1.5L (비정제 원당)</t>
        </is>
      </c>
      <c r="F1399" s="76" t="n">
        <v>30</v>
      </c>
      <c r="G1399" s="146" t="n">
        <v>1242700</v>
      </c>
      <c r="H1399" s="146" t="n">
        <v>113140</v>
      </c>
    </row>
    <row r="1400" hidden="1" s="21">
      <c r="A1400" s="24" t="inlineStr">
        <is>
          <t>네이버</t>
        </is>
      </c>
      <c r="B1400" s="24" t="inlineStr">
        <is>
          <t>가공식품</t>
        </is>
      </c>
      <c r="C1400" s="24" t="inlineStr">
        <is>
          <t>해피메이킹</t>
        </is>
      </c>
      <c r="D1400" s="24" t="inlineStr">
        <is>
          <t>511-09-26842</t>
        </is>
      </c>
      <c r="E1400" s="76" t="inlineStr">
        <is>
          <t>해피메이킹 문경 행복한 오미자 생 오미자 청</t>
        </is>
      </c>
      <c r="F1400" s="76" t="n">
        <v>5</v>
      </c>
      <c r="G1400" s="146" t="n">
        <v>162450</v>
      </c>
      <c r="H1400" s="146" t="n">
        <v>12760</v>
      </c>
    </row>
    <row r="1401" hidden="1" s="21">
      <c r="A1401" s="24" t="inlineStr">
        <is>
          <t>네이버</t>
        </is>
      </c>
      <c r="B1401" s="24" t="inlineStr">
        <is>
          <t>가공식품</t>
        </is>
      </c>
      <c r="C1401" s="24" t="inlineStr">
        <is>
          <t>해피메이킹</t>
        </is>
      </c>
      <c r="D1401" s="24" t="inlineStr">
        <is>
          <t>511-09-26842</t>
        </is>
      </c>
      <c r="E1401" s="76" t="inlineStr">
        <is>
          <t>문경 오미자 원액 오미자럽 오미자청 1.5L 4병</t>
        </is>
      </c>
      <c r="F1401" s="76" t="n">
        <v>5</v>
      </c>
      <c r="G1401" s="146" t="n">
        <v>540000</v>
      </c>
      <c r="H1401" s="146" t="n">
        <v>10000</v>
      </c>
    </row>
    <row r="1402" hidden="1" s="21">
      <c r="A1402" s="24" t="inlineStr">
        <is>
          <t>네이버</t>
        </is>
      </c>
      <c r="B1402" s="24" t="inlineStr">
        <is>
          <t>가공식품</t>
        </is>
      </c>
      <c r="C1402" s="24" t="inlineStr">
        <is>
          <t>해피메이킹</t>
        </is>
      </c>
      <c r="D1402" s="24" t="inlineStr">
        <is>
          <t>511-09-26842</t>
        </is>
      </c>
      <c r="E1402" s="76" t="inlineStr">
        <is>
          <t>문경 오미자 원액 행복한 오미자청 1.5L (비정제 원당) 2병</t>
        </is>
      </c>
      <c r="F1402" s="76" t="n">
        <v>14</v>
      </c>
      <c r="G1402" s="146" t="n">
        <v>966000</v>
      </c>
      <c r="H1402" s="146" t="n">
        <v>50000</v>
      </c>
    </row>
    <row r="1403" hidden="1" s="21">
      <c r="A1403" s="24" t="inlineStr">
        <is>
          <t>네이버</t>
        </is>
      </c>
      <c r="B1403" s="24" t="inlineStr">
        <is>
          <t>가공식품</t>
        </is>
      </c>
      <c r="C1403" s="24" t="inlineStr">
        <is>
          <t>해피메이킹</t>
        </is>
      </c>
      <c r="D1403" s="24" t="inlineStr">
        <is>
          <t>511-09-26842</t>
        </is>
      </c>
      <c r="E1403" s="76" t="inlineStr">
        <is>
          <t>문경 오미자 원액 오미자럽 오미자청 1.5L</t>
        </is>
      </c>
      <c r="F1403" s="76" t="n">
        <v>3</v>
      </c>
      <c r="G1403" s="146" t="n">
        <v>86000</v>
      </c>
      <c r="H1403" s="146" t="n">
        <v>11600</v>
      </c>
    </row>
    <row r="1404" hidden="1" s="21">
      <c r="A1404" s="24" t="inlineStr">
        <is>
          <t>네이버</t>
        </is>
      </c>
      <c r="B1404" s="24" t="inlineStr">
        <is>
          <t>가공식품</t>
        </is>
      </c>
      <c r="C1404" s="24" t="inlineStr">
        <is>
          <t>해피메이킹</t>
        </is>
      </c>
      <c r="D1404" s="24" t="inlineStr">
        <is>
          <t>511-09-26842</t>
        </is>
      </c>
      <c r="E1404" s="76" t="inlineStr">
        <is>
          <t>문경 오미자 원액 행복한 오미자청1.5L(비정제 원당) 4병</t>
        </is>
      </c>
      <c r="F1404" s="76" t="n">
        <v>3</v>
      </c>
      <c r="G1404" s="146" t="n">
        <v>668000</v>
      </c>
      <c r="H1404" s="146" t="n">
        <v>10000</v>
      </c>
    </row>
    <row r="1405" hidden="1" s="21">
      <c r="A1405" s="24" t="inlineStr">
        <is>
          <t>네이버</t>
        </is>
      </c>
      <c r="B1405" s="24" t="inlineStr">
        <is>
          <t>가공식품</t>
        </is>
      </c>
      <c r="C1405" s="24" t="inlineStr">
        <is>
          <t>해피메이킹</t>
        </is>
      </c>
      <c r="D1405" s="24" t="inlineStr">
        <is>
          <t>511-09-26842</t>
        </is>
      </c>
      <c r="E1405" s="76" t="inlineStr">
        <is>
          <t>문경 오미자 2025년 생오미자 당절임 (흰설탕)</t>
        </is>
      </c>
      <c r="F1405" s="76" t="n">
        <v>8</v>
      </c>
      <c r="G1405" s="146" t="n">
        <v>814120</v>
      </c>
      <c r="H1405" s="146" t="n">
        <v>30000</v>
      </c>
    </row>
    <row r="1406" hidden="1" s="21">
      <c r="A1406" s="24" t="inlineStr">
        <is>
          <t>네이버</t>
        </is>
      </c>
      <c r="B1406" s="24" t="inlineStr">
        <is>
          <t>가공식품</t>
        </is>
      </c>
      <c r="C1406" s="24" t="inlineStr">
        <is>
          <t>해피메이킹</t>
        </is>
      </c>
      <c r="D1406" s="24" t="inlineStr">
        <is>
          <t>511-09-26842</t>
        </is>
      </c>
      <c r="E1406" s="76" t="inlineStr">
        <is>
          <t>문경 오미자 원액 행복한 오미자청 500ml</t>
        </is>
      </c>
      <c r="F1406" s="76" t="n">
        <v>1</v>
      </c>
      <c r="G1406" s="146" t="n">
        <v>18900</v>
      </c>
      <c r="H1406" s="146" t="n">
        <v>3780</v>
      </c>
    </row>
    <row r="1407" hidden="1" s="21">
      <c r="A1407" s="24" t="inlineStr">
        <is>
          <t>네이버</t>
        </is>
      </c>
      <c r="B1407" s="24" t="inlineStr">
        <is>
          <t>가공식품</t>
        </is>
      </c>
      <c r="C1407" s="24" t="inlineStr">
        <is>
          <t>해피메이킹</t>
        </is>
      </c>
      <c r="D1407" s="24" t="inlineStr">
        <is>
          <t>511-09-26842</t>
        </is>
      </c>
      <c r="E1407" s="76" t="inlineStr">
        <is>
          <t>문경 오미자 원액 행복한 오미자청 500ml 두병</t>
        </is>
      </c>
      <c r="F1407" s="76" t="n">
        <v>1</v>
      </c>
      <c r="G1407" s="146" t="n">
        <v>32000</v>
      </c>
      <c r="H1407" s="146" t="inlineStr">
        <is>
          <t>-</t>
        </is>
      </c>
    </row>
    <row r="1408" hidden="1" s="21">
      <c r="A1408" s="24" t="inlineStr">
        <is>
          <t>네이버</t>
        </is>
      </c>
      <c r="B1408" s="24" t="inlineStr">
        <is>
          <t>가공식품</t>
        </is>
      </c>
      <c r="C1408" s="24" t="inlineStr">
        <is>
          <t>해피메이킹</t>
        </is>
      </c>
      <c r="D1408" s="24" t="inlineStr">
        <is>
          <t>511-09-26842</t>
        </is>
      </c>
      <c r="E1408" s="76" t="inlineStr">
        <is>
          <t>문경 오미자 원액 오미자럽 오미자청 1.5L 2병</t>
        </is>
      </c>
      <c r="F1408" s="76" t="n">
        <v>2</v>
      </c>
      <c r="G1408" s="146" t="n">
        <v>329000</v>
      </c>
      <c r="H1408" s="146" t="inlineStr">
        <is>
          <t>-</t>
        </is>
      </c>
    </row>
    <row r="1409" hidden="1" s="21">
      <c r="A1409" s="24" t="inlineStr">
        <is>
          <t>네이버</t>
        </is>
      </c>
      <c r="B1409" s="24" t="inlineStr">
        <is>
          <t>농산물</t>
        </is>
      </c>
      <c r="C1409" s="24" t="inlineStr">
        <is>
          <t>문경초록마을</t>
        </is>
      </c>
      <c r="D1409" s="24" t="inlineStr">
        <is>
          <t>319-94-01654</t>
        </is>
      </c>
      <c r="E1409" s="76" t="inlineStr">
        <is>
          <t>[예약] 추석선물 친환경 무농약 프리미엄 싱싱달콤 머스크 천적 멜론 메론 3수 7kg이상</t>
        </is>
      </c>
      <c r="F1409" s="76" t="n">
        <v>1</v>
      </c>
      <c r="G1409" s="146" t="n">
        <v>93000</v>
      </c>
      <c r="H1409" s="146" t="n">
        <v>10000</v>
      </c>
    </row>
    <row r="1410" hidden="1" s="21">
      <c r="A1410" s="24" t="inlineStr">
        <is>
          <t>네이버</t>
        </is>
      </c>
      <c r="B1410" s="24" t="inlineStr">
        <is>
          <t>가공식품</t>
        </is>
      </c>
      <c r="C1410" s="24" t="inlineStr">
        <is>
          <t>문경초록마을</t>
        </is>
      </c>
      <c r="D1410" s="24" t="inlineStr">
        <is>
          <t>319-94-01654</t>
        </is>
      </c>
      <c r="E1410" s="76" t="inlineStr">
        <is>
          <t>2022 문경 햇오미자 당절임 국내산 100%</t>
        </is>
      </c>
      <c r="F1410" s="76" t="n">
        <v>0</v>
      </c>
      <c r="G1410" s="146" t="inlineStr">
        <is>
          <t>-</t>
        </is>
      </c>
      <c r="H1410" s="146" t="inlineStr">
        <is>
          <t>-</t>
        </is>
      </c>
    </row>
    <row r="1411" hidden="1" s="21">
      <c r="A1411" s="24" t="inlineStr">
        <is>
          <t>네이버</t>
        </is>
      </c>
      <c r="B1411" s="24" t="inlineStr">
        <is>
          <t>농산물</t>
        </is>
      </c>
      <c r="C1411" s="24" t="inlineStr">
        <is>
          <t>문경초록마을</t>
        </is>
      </c>
      <c r="D1411" s="24" t="inlineStr">
        <is>
          <t>319-94-01654</t>
        </is>
      </c>
      <c r="E1411" s="76" t="inlineStr">
        <is>
          <t>[예약] 추석선물 프리미엄 무농약 고당도 산지직송 머스크 설향 하미과 천적 메론 멜론 2수</t>
        </is>
      </c>
      <c r="F1411" s="76" t="n">
        <v>1</v>
      </c>
      <c r="G1411" s="146" t="n">
        <v>62000</v>
      </c>
      <c r="H1411" s="146" t="inlineStr">
        <is>
          <t>-</t>
        </is>
      </c>
    </row>
    <row r="1412" hidden="1" s="21">
      <c r="A1412" s="24" t="inlineStr">
        <is>
          <t>네이버</t>
        </is>
      </c>
      <c r="B1412" s="24" t="inlineStr">
        <is>
          <t>농산물</t>
        </is>
      </c>
      <c r="C1412" s="24" t="inlineStr">
        <is>
          <t>알찬연근팜</t>
        </is>
      </c>
      <c r="D1412" s="24" t="inlineStr">
        <is>
          <t>604-02-68674</t>
        </is>
      </c>
      <c r="E1412" s="76" t="inlineStr">
        <is>
          <t>햇연근 무농약 흙연근 슬라이스 말린연근</t>
        </is>
      </c>
      <c r="F1412" s="76" t="n">
        <v>101</v>
      </c>
      <c r="G1412" s="146" t="n">
        <v>2421630</v>
      </c>
      <c r="H1412" s="146" t="n">
        <v>217410</v>
      </c>
    </row>
    <row r="1413" hidden="1" s="21">
      <c r="A1413" s="24" t="inlineStr">
        <is>
          <t>네이버</t>
        </is>
      </c>
      <c r="B1413" s="24" t="inlineStr">
        <is>
          <t>농산물</t>
        </is>
      </c>
      <c r="C1413" s="24" t="inlineStr">
        <is>
          <t>채씨네표고</t>
        </is>
      </c>
      <c r="D1413" s="24" t="inlineStr">
        <is>
          <t>449-92-01723</t>
        </is>
      </c>
      <c r="E1413" s="76" t="inlineStr">
        <is>
          <t>표고버섯 선물세트 흑화고 백화고 추석 설날 명절</t>
        </is>
      </c>
      <c r="F1413" s="76" t="n">
        <v>8</v>
      </c>
      <c r="G1413" s="146" t="n">
        <v>282000</v>
      </c>
      <c r="H1413" s="146" t="n">
        <v>43400</v>
      </c>
    </row>
    <row r="1414" hidden="1" s="21">
      <c r="A1414" s="24" t="inlineStr">
        <is>
          <t>네이버</t>
        </is>
      </c>
      <c r="B1414" s="24" t="inlineStr">
        <is>
          <t>농산물</t>
        </is>
      </c>
      <c r="C1414" s="24" t="inlineStr">
        <is>
          <t>채씨네표고</t>
        </is>
      </c>
      <c r="D1414" s="24" t="inlineStr">
        <is>
          <t>449-92-01723</t>
        </is>
      </c>
      <c r="E1414" s="76" t="inlineStr">
        <is>
          <t>채씨네 표고 버섯 선물세트 추석 설날 명절 참나무</t>
        </is>
      </c>
      <c r="F1414" s="76" t="n">
        <v>4</v>
      </c>
      <c r="G1414" s="146" t="n">
        <v>223500</v>
      </c>
      <c r="H1414" s="146" t="n">
        <v>15600</v>
      </c>
    </row>
    <row r="1415" hidden="1" s="21">
      <c r="A1415" s="24" t="inlineStr">
        <is>
          <t>네이버</t>
        </is>
      </c>
      <c r="B1415" s="24" t="inlineStr">
        <is>
          <t>농산물</t>
        </is>
      </c>
      <c r="C1415" s="24" t="inlineStr">
        <is>
          <t>채씨네표고</t>
        </is>
      </c>
      <c r="D1415" s="24" t="inlineStr">
        <is>
          <t>449-92-01723</t>
        </is>
      </c>
      <c r="E1415" s="76" t="inlineStr">
        <is>
          <t>채씨네 국내산 건 표고버섯 선물세트 백화고 흑화고 추석 명절 설날</t>
        </is>
      </c>
      <c r="F1415" s="76" t="n">
        <v>5</v>
      </c>
      <c r="G1415" s="146" t="n">
        <v>516000</v>
      </c>
      <c r="H1415" s="146" t="n">
        <v>26800</v>
      </c>
    </row>
    <row r="1416" hidden="1" s="21">
      <c r="A1416" s="24" t="inlineStr">
        <is>
          <t>네이버</t>
        </is>
      </c>
      <c r="B1416" s="24" t="inlineStr">
        <is>
          <t>농산물</t>
        </is>
      </c>
      <c r="C1416" s="24" t="inlineStr">
        <is>
          <t>채씨네표고</t>
        </is>
      </c>
      <c r="D1416" s="24" t="inlineStr">
        <is>
          <t>449-92-01723</t>
        </is>
      </c>
      <c r="E1416" s="76" t="inlineStr">
        <is>
          <t>표고버섯 선물세트 흑화고 500g</t>
        </is>
      </c>
      <c r="F1416" s="76" t="n">
        <v>0</v>
      </c>
      <c r="G1416" s="146" t="inlineStr">
        <is>
          <t>-</t>
        </is>
      </c>
      <c r="H1416" s="146" t="inlineStr">
        <is>
          <t>-</t>
        </is>
      </c>
    </row>
    <row r="1417" hidden="1" s="21">
      <c r="A1417" s="24" t="inlineStr">
        <is>
          <t>네이버</t>
        </is>
      </c>
      <c r="B1417" s="24" t="inlineStr">
        <is>
          <t>축산물</t>
        </is>
      </c>
      <c r="C1417" s="24" t="inlineStr">
        <is>
          <t>농업회사법인 유한회사 해오름팜농장</t>
        </is>
      </c>
      <c r="D1417" s="24" t="inlineStr">
        <is>
          <t>209-87-01228</t>
        </is>
      </c>
      <c r="E1417" s="76" t="inlineStr">
        <is>
          <t>농부가바로팜 무항생제 동물복지 유정란 초란 60구 신선계란 난각번호2번</t>
        </is>
      </c>
      <c r="F1417" s="76" t="n">
        <v>0</v>
      </c>
      <c r="G1417" s="146" t="inlineStr">
        <is>
          <t>-</t>
        </is>
      </c>
      <c r="H1417" s="146" t="inlineStr">
        <is>
          <t>-</t>
        </is>
      </c>
    </row>
    <row r="1418" hidden="1" s="21">
      <c r="A1418" s="24" t="inlineStr">
        <is>
          <t>네이버</t>
        </is>
      </c>
      <c r="B1418" s="24" t="inlineStr">
        <is>
          <t>축산물</t>
        </is>
      </c>
      <c r="C1418" s="24" t="inlineStr">
        <is>
          <t>농업회사법인 유한회사 해오름팜농장</t>
        </is>
      </c>
      <c r="D1418" s="24" t="inlineStr">
        <is>
          <t>209-87-01228</t>
        </is>
      </c>
      <c r="E1418" s="76" t="inlineStr">
        <is>
          <t>농부가바로팜 무항생제 Non-Gmo 동물복지 유정란 초란 60구 신선계란 난각번호2번</t>
        </is>
      </c>
      <c r="F1418" s="76" t="n">
        <v>0</v>
      </c>
      <c r="G1418" s="146" t="inlineStr">
        <is>
          <t>-</t>
        </is>
      </c>
      <c r="H1418" s="146" t="inlineStr">
        <is>
          <t>-</t>
        </is>
      </c>
    </row>
    <row r="1419" hidden="1" s="21">
      <c r="A1419" s="24" t="inlineStr">
        <is>
          <t>네이버</t>
        </is>
      </c>
      <c r="B1419" s="24" t="inlineStr">
        <is>
          <t>농산물</t>
        </is>
      </c>
      <c r="C1419" s="24" t="inlineStr">
        <is>
          <t>영흥농산영농조합법인</t>
        </is>
      </c>
      <c r="D1419" s="24" t="inlineStr">
        <is>
          <t>412-81-24086</t>
        </is>
      </c>
      <c r="E1419" s="76" t="inlineStr">
        <is>
          <t>[품질책임보상] 국내산 깐마늘 1kg 다진마늘 꼭지제거 햇 통마늘</t>
        </is>
      </c>
      <c r="F1419" s="76" t="n">
        <v>7916</v>
      </c>
      <c r="G1419" s="146" t="n">
        <v>127791700</v>
      </c>
      <c r="H1419" s="146" t="n">
        <v>4657460</v>
      </c>
    </row>
    <row r="1420" hidden="1" s="21">
      <c r="A1420" s="24" t="inlineStr">
        <is>
          <t>네이버</t>
        </is>
      </c>
      <c r="B1420" s="24" t="inlineStr">
        <is>
          <t>농산물</t>
        </is>
      </c>
      <c r="C1420" s="24" t="inlineStr">
        <is>
          <t>영흥농산영농조합법인</t>
        </is>
      </c>
      <c r="D1420" s="24" t="inlineStr">
        <is>
          <t>412-81-24086</t>
        </is>
      </c>
      <c r="E1420" s="76" t="inlineStr">
        <is>
          <t>[농할쿠폰20%] 국내산 양파 26년 햇양파 무안양파 3kg 5kg</t>
        </is>
      </c>
      <c r="F1420" s="76" t="n">
        <v>1512</v>
      </c>
      <c r="G1420" s="146" t="n">
        <v>15351300</v>
      </c>
      <c r="H1420" s="146" t="n">
        <v>374720</v>
      </c>
    </row>
    <row r="1421" hidden="1" s="21">
      <c r="A1421" s="24" t="inlineStr">
        <is>
          <t>네이버</t>
        </is>
      </c>
      <c r="B1421" s="24" t="inlineStr">
        <is>
          <t>농산물</t>
        </is>
      </c>
      <c r="C1421" s="24" t="inlineStr">
        <is>
          <t>청실농원</t>
        </is>
      </c>
      <c r="D1421" s="24" t="inlineStr">
        <is>
          <t>654-91-01691</t>
        </is>
      </c>
      <c r="E1421" s="76" t="inlineStr">
        <is>
          <t>먹골배 원황배 배 고당도 제철 햇배 국산 신품종 과일 5kg</t>
        </is>
      </c>
      <c r="F1421" s="76" t="n">
        <v>42</v>
      </c>
      <c r="G1421" s="146" t="n">
        <v>1769000</v>
      </c>
      <c r="H1421" s="146" t="n">
        <v>285800</v>
      </c>
    </row>
    <row r="1422" hidden="1" s="21">
      <c r="A1422" s="24" t="inlineStr">
        <is>
          <t>네이버</t>
        </is>
      </c>
      <c r="B1422" s="24" t="inlineStr">
        <is>
          <t>농산물</t>
        </is>
      </c>
      <c r="C1422" s="24" t="inlineStr">
        <is>
          <t>청실농원</t>
        </is>
      </c>
      <c r="D1422" s="24" t="inlineStr">
        <is>
          <t>654-91-01691</t>
        </is>
      </c>
      <c r="E1422" s="76" t="inlineStr">
        <is>
          <t>5kg 먹골배 선물용</t>
        </is>
      </c>
      <c r="F1422" s="76" t="n">
        <v>0</v>
      </c>
      <c r="G1422" s="146" t="inlineStr">
        <is>
          <t>-</t>
        </is>
      </c>
      <c r="H1422" s="146" t="inlineStr">
        <is>
          <t>-</t>
        </is>
      </c>
    </row>
    <row r="1423" hidden="1" s="21">
      <c r="A1423" s="24" t="inlineStr">
        <is>
          <t>네이버</t>
        </is>
      </c>
      <c r="B1423" s="24" t="inlineStr">
        <is>
          <t>농산물</t>
        </is>
      </c>
      <c r="C1423" s="24" t="inlineStr">
        <is>
          <t>청실농원</t>
        </is>
      </c>
      <c r="D1423" s="24" t="inlineStr">
        <is>
          <t>654-91-01691</t>
        </is>
      </c>
      <c r="E1423" s="76" t="inlineStr">
        <is>
          <t>먹골배 선물용 배 고당도 제철 햇배 국산 신품종 과일 7.5kg</t>
        </is>
      </c>
      <c r="F1423" s="76" t="n">
        <v>0</v>
      </c>
      <c r="G1423" s="146" t="inlineStr">
        <is>
          <t>-</t>
        </is>
      </c>
      <c r="H1423" s="146" t="inlineStr">
        <is>
          <t>-</t>
        </is>
      </c>
    </row>
    <row r="1424" hidden="1" s="21">
      <c r="A1424" s="24" t="inlineStr">
        <is>
          <t>네이버</t>
        </is>
      </c>
      <c r="B1424" s="24" t="inlineStr">
        <is>
          <t>농산물</t>
        </is>
      </c>
      <c r="C1424" s="24" t="inlineStr">
        <is>
          <t>청실농원</t>
        </is>
      </c>
      <c r="D1424" s="24" t="inlineStr">
        <is>
          <t>654-91-01691</t>
        </is>
      </c>
      <c r="E1424" s="76" t="inlineStr">
        <is>
          <t>먹골배 원황배 배 고당도 제철 햇배 국산 신품종 과일 7.5kg</t>
        </is>
      </c>
      <c r="F1424" s="76" t="n">
        <v>3</v>
      </c>
      <c r="G1424" s="146" t="n">
        <v>147000</v>
      </c>
      <c r="H1424" s="146" t="n">
        <v>9800</v>
      </c>
    </row>
    <row r="1425" hidden="1" s="21">
      <c r="A1425" s="24" t="inlineStr">
        <is>
          <t>네이버</t>
        </is>
      </c>
      <c r="B1425" s="24" t="inlineStr">
        <is>
          <t>농산물</t>
        </is>
      </c>
      <c r="C1425" s="24" t="inlineStr">
        <is>
          <t>제주점순이네</t>
        </is>
      </c>
      <c r="D1425" s="24" t="inlineStr">
        <is>
          <t>372-94-01830</t>
        </is>
      </c>
      <c r="E1425" s="76" t="inlineStr">
        <is>
          <t>제주산 땅콩호박 버터넛스쿼시 3kg 5kg 10kg</t>
        </is>
      </c>
      <c r="F1425" s="76" t="n">
        <v>38</v>
      </c>
      <c r="G1425" s="146" t="n">
        <v>1240000</v>
      </c>
      <c r="H1425" s="146" t="n">
        <v>43600</v>
      </c>
    </row>
    <row r="1426" hidden="1" s="21">
      <c r="A1426" s="24" t="inlineStr">
        <is>
          <t>네이버</t>
        </is>
      </c>
      <c r="B1426" s="24" t="inlineStr">
        <is>
          <t>농산물</t>
        </is>
      </c>
      <c r="C1426" s="24" t="inlineStr">
        <is>
          <t>문경초록마을</t>
        </is>
      </c>
      <c r="D1426" s="24" t="inlineStr">
        <is>
          <t>319-94-01654</t>
        </is>
      </c>
      <c r="E1426" s="76" t="inlineStr">
        <is>
          <t>멜론 3수</t>
        </is>
      </c>
      <c r="F1426" s="76" t="n">
        <v>0</v>
      </c>
      <c r="G1426" s="146" t="inlineStr">
        <is>
          <t>-</t>
        </is>
      </c>
      <c r="H1426" s="146" t="inlineStr">
        <is>
          <t>-</t>
        </is>
      </c>
    </row>
    <row r="1427" hidden="1" s="21">
      <c r="A1427" s="24" t="inlineStr">
        <is>
          <t>네이버</t>
        </is>
      </c>
      <c r="B1427" s="24" t="inlineStr">
        <is>
          <t>농산물</t>
        </is>
      </c>
      <c r="C1427" s="24" t="inlineStr">
        <is>
          <t>맑은농장</t>
        </is>
      </c>
      <c r="D1427" s="24" t="inlineStr">
        <is>
          <t>577-94-01721</t>
        </is>
      </c>
      <c r="E1427" s="76" t="inlineStr">
        <is>
          <t>품질대박 맑은농장 김천포도 4kg(특품) 미화희낭만홍안 미인포도</t>
        </is>
      </c>
      <c r="F1427" s="76" t="n">
        <v>0</v>
      </c>
      <c r="G1427" s="146" t="inlineStr">
        <is>
          <t>-</t>
        </is>
      </c>
      <c r="H1427" s="146" t="inlineStr">
        <is>
          <t>-</t>
        </is>
      </c>
    </row>
    <row r="1428" hidden="1" s="21">
      <c r="A1428" s="24" t="inlineStr">
        <is>
          <t>네이버</t>
        </is>
      </c>
      <c r="B1428" s="24" t="inlineStr">
        <is>
          <t>농산물</t>
        </is>
      </c>
      <c r="C1428" s="24" t="inlineStr">
        <is>
          <t>맑은농장</t>
        </is>
      </c>
      <c r="D1428" s="24" t="inlineStr">
        <is>
          <t>577-94-01721</t>
        </is>
      </c>
      <c r="E1428" s="76" t="inlineStr">
        <is>
          <t>품질보장 맑은농장 김천포도 2kg(특품) 미화희낭만홍안 미인포도</t>
        </is>
      </c>
      <c r="F1428" s="76" t="n">
        <v>1</v>
      </c>
      <c r="G1428" s="146" t="n">
        <v>43700</v>
      </c>
      <c r="H1428" s="146" t="inlineStr">
        <is>
          <t>-</t>
        </is>
      </c>
    </row>
    <row r="1429" hidden="1" s="21">
      <c r="A1429" s="24" t="inlineStr">
        <is>
          <t>네이버</t>
        </is>
      </c>
      <c r="B1429" s="24" t="inlineStr">
        <is>
          <t>농산물</t>
        </is>
      </c>
      <c r="C1429" s="24" t="inlineStr">
        <is>
          <t>맑은농장</t>
        </is>
      </c>
      <c r="D1429" s="24" t="inlineStr">
        <is>
          <t>577-94-01721</t>
        </is>
      </c>
      <c r="E1429" s="76" t="inlineStr">
        <is>
          <t>맑은농장 김천포도 4kg(못난이) 미화희낭만홍안 미인포도</t>
        </is>
      </c>
      <c r="F1429" s="76" t="n">
        <v>2</v>
      </c>
      <c r="G1429" s="146" t="n">
        <v>138000</v>
      </c>
      <c r="H1429" s="146" t="n">
        <v>19200</v>
      </c>
    </row>
    <row r="1430" hidden="1" s="21">
      <c r="A1430" s="24" t="inlineStr">
        <is>
          <t>네이버</t>
        </is>
      </c>
      <c r="B1430" s="24" t="inlineStr">
        <is>
          <t>농산물</t>
        </is>
      </c>
      <c r="C1430" s="24" t="inlineStr">
        <is>
          <t>맑은농장</t>
        </is>
      </c>
      <c r="D1430" s="24" t="inlineStr">
        <is>
          <t>577-94-01721</t>
        </is>
      </c>
      <c r="E1430" s="76" t="inlineStr">
        <is>
          <t>맑은농장 김천포도 4kg(상품) 미화희낭만홍안 미인포도 - 4수이하 8수이상</t>
        </is>
      </c>
      <c r="F1430" s="76" t="n">
        <v>0</v>
      </c>
      <c r="G1430" s="146" t="inlineStr">
        <is>
          <t>-</t>
        </is>
      </c>
      <c r="H1430" s="146" t="inlineStr">
        <is>
          <t>-</t>
        </is>
      </c>
    </row>
    <row r="1431" hidden="1" s="21">
      <c r="A1431" s="24" t="inlineStr">
        <is>
          <t>네이버</t>
        </is>
      </c>
      <c r="B1431" s="24" t="inlineStr">
        <is>
          <t>농산물</t>
        </is>
      </c>
      <c r="C1431" s="24" t="inlineStr">
        <is>
          <t>맑은농장</t>
        </is>
      </c>
      <c r="D1431" s="24" t="inlineStr">
        <is>
          <t>577-94-01721</t>
        </is>
      </c>
      <c r="E1431" s="76" t="inlineStr">
        <is>
          <t>맑은농장 김천포도 2kg(못난이) 미화희낭만홍안 미인포도</t>
        </is>
      </c>
      <c r="F1431" s="76" t="n">
        <v>3</v>
      </c>
      <c r="G1431" s="146" t="n">
        <v>86000</v>
      </c>
      <c r="H1431" s="146" t="n">
        <v>11600</v>
      </c>
    </row>
    <row r="1432" hidden="1" s="21">
      <c r="A1432" s="24" t="inlineStr">
        <is>
          <t>네이버</t>
        </is>
      </c>
      <c r="B1432" s="24" t="inlineStr">
        <is>
          <t>농산물</t>
        </is>
      </c>
      <c r="C1432" s="24" t="inlineStr">
        <is>
          <t>맑은농장</t>
        </is>
      </c>
      <c r="D1432" s="24" t="inlineStr">
        <is>
          <t>577-94-01721</t>
        </is>
      </c>
      <c r="E1432" s="76" t="inlineStr">
        <is>
          <t>맑은농장 김천포도 2kg(상품) 미화희낭만홍안 미인포도 - 2수또는5수이상</t>
        </is>
      </c>
      <c r="F1432" s="76" t="n">
        <v>2</v>
      </c>
      <c r="G1432" s="146" t="n">
        <v>79800</v>
      </c>
      <c r="H1432" s="146" t="n">
        <v>15960</v>
      </c>
    </row>
    <row r="1433" hidden="1" s="21">
      <c r="A1433" s="24" t="inlineStr">
        <is>
          <t>네이버</t>
        </is>
      </c>
      <c r="B1433" s="24" t="inlineStr">
        <is>
          <t>농산물</t>
        </is>
      </c>
      <c r="C1433" s="24" t="inlineStr">
        <is>
          <t>맑은농장</t>
        </is>
      </c>
      <c r="D1433" s="24" t="inlineStr">
        <is>
          <t>577-94-01721</t>
        </is>
      </c>
      <c r="E1433" s="76" t="inlineStr">
        <is>
          <t>맑은농장 김천포도 2kg(특품) 미화희낭만홍안 미인포도</t>
        </is>
      </c>
      <c r="F1433" s="76" t="n">
        <v>2</v>
      </c>
      <c r="G1433" s="146" t="n">
        <v>87400</v>
      </c>
      <c r="H1433" s="146" t="n">
        <v>17480</v>
      </c>
    </row>
    <row r="1434" hidden="1" s="21">
      <c r="A1434" s="24" t="inlineStr">
        <is>
          <t>네이버</t>
        </is>
      </c>
      <c r="B1434" s="24" t="inlineStr">
        <is>
          <t>가공식품</t>
        </is>
      </c>
      <c r="C1434" s="24" t="inlineStr">
        <is>
          <t>영프로식품</t>
        </is>
      </c>
      <c r="D1434" s="24" t="inlineStr">
        <is>
          <t>185-96-01074</t>
        </is>
      </c>
      <c r="E1434" s="76" t="inlineStr">
        <is>
          <t>영프로 100% 국내산 콩 전통 된장 1키로 시골 집 보리고추장 1키로 간장 500ml</t>
        </is>
      </c>
      <c r="F1434" s="76" t="n">
        <v>1</v>
      </c>
      <c r="G1434" s="146" t="n">
        <v>52700</v>
      </c>
      <c r="H1434" s="146" t="inlineStr">
        <is>
          <t>-</t>
        </is>
      </c>
    </row>
    <row r="1435" hidden="1" s="21">
      <c r="A1435" s="24" t="inlineStr">
        <is>
          <t>네이버</t>
        </is>
      </c>
      <c r="B1435" s="24" t="inlineStr">
        <is>
          <t>가공식품</t>
        </is>
      </c>
      <c r="C1435" s="24" t="inlineStr">
        <is>
          <t>영프로식품</t>
        </is>
      </c>
      <c r="D1435" s="24" t="inlineStr">
        <is>
          <t>185-96-01074</t>
        </is>
      </c>
      <c r="E1435" s="76" t="inlineStr">
        <is>
          <t>영프로 100% 국내산 콩 전통된장 1키로 시골 집 보리고추장1키로</t>
        </is>
      </c>
      <c r="F1435" s="76" t="n">
        <v>0</v>
      </c>
      <c r="G1435" s="146" t="inlineStr">
        <is>
          <t>-</t>
        </is>
      </c>
      <c r="H1435" s="146" t="inlineStr">
        <is>
          <t>-</t>
        </is>
      </c>
    </row>
    <row r="1436" hidden="1" s="21">
      <c r="A1436" s="24" t="inlineStr">
        <is>
          <t>네이버</t>
        </is>
      </c>
      <c r="B1436" s="24" t="inlineStr">
        <is>
          <t>가공식품</t>
        </is>
      </c>
      <c r="C1436" s="24" t="inlineStr">
        <is>
          <t>영프로식품</t>
        </is>
      </c>
      <c r="D1436" s="24" t="inlineStr">
        <is>
          <t>185-96-01074</t>
        </is>
      </c>
      <c r="E1436" s="76" t="inlineStr">
        <is>
          <t>영프로 100% 국내산 콩 전통 3년 숙성 재래식시골 집 된장 1kg 전통 간장 1.5L</t>
        </is>
      </c>
      <c r="F1436" s="76" t="n">
        <v>0</v>
      </c>
      <c r="G1436" s="146" t="inlineStr">
        <is>
          <t>-</t>
        </is>
      </c>
      <c r="H1436" s="146" t="inlineStr">
        <is>
          <t>-</t>
        </is>
      </c>
    </row>
    <row r="1437" hidden="1" s="21">
      <c r="A1437" s="24" t="inlineStr">
        <is>
          <t>네이버</t>
        </is>
      </c>
      <c r="B1437" s="24" t="inlineStr">
        <is>
          <t>가공식품</t>
        </is>
      </c>
      <c r="C1437" s="24" t="inlineStr">
        <is>
          <t>영프로식품</t>
        </is>
      </c>
      <c r="D1437" s="24" t="inlineStr">
        <is>
          <t>185-96-01074</t>
        </is>
      </c>
      <c r="E1437" s="76" t="inlineStr">
        <is>
          <t>영프로 100% 국내산 콩 전통 5년 숙성 재래식 시골 집 된장 2kg 전통 간장 1L</t>
        </is>
      </c>
      <c r="F1437" s="76" t="n">
        <v>0</v>
      </c>
      <c r="G1437" s="146" t="inlineStr">
        <is>
          <t>-</t>
        </is>
      </c>
      <c r="H1437" s="146" t="inlineStr">
        <is>
          <t>-</t>
        </is>
      </c>
    </row>
    <row r="1438" hidden="1" s="21">
      <c r="A1438" s="24" t="inlineStr">
        <is>
          <t>네이버</t>
        </is>
      </c>
      <c r="B1438" s="24" t="inlineStr">
        <is>
          <t>가공식품</t>
        </is>
      </c>
      <c r="C1438" s="24" t="inlineStr">
        <is>
          <t>영프로식품</t>
        </is>
      </c>
      <c r="D1438" s="24" t="inlineStr">
        <is>
          <t>185-96-01074</t>
        </is>
      </c>
      <c r="E1438" s="76" t="inlineStr">
        <is>
          <t>영프로 100% 국내산 콩 전통 3년 숙성 재래식 시골 집 된장 2kg 전통 간장 1L</t>
        </is>
      </c>
      <c r="F1438" s="76" t="n">
        <v>0</v>
      </c>
      <c r="G1438" s="146" t="inlineStr">
        <is>
          <t>-</t>
        </is>
      </c>
      <c r="H1438" s="146" t="inlineStr">
        <is>
          <t>-</t>
        </is>
      </c>
    </row>
    <row r="1439" hidden="1" s="21">
      <c r="A1439" s="24" t="inlineStr">
        <is>
          <t>네이버</t>
        </is>
      </c>
      <c r="B1439" s="24" t="inlineStr">
        <is>
          <t>가공식품</t>
        </is>
      </c>
      <c r="C1439" s="24" t="inlineStr">
        <is>
          <t>영프로식품</t>
        </is>
      </c>
      <c r="D1439" s="24" t="inlineStr">
        <is>
          <t>185-96-01074</t>
        </is>
      </c>
      <c r="E1439" s="76" t="inlineStr">
        <is>
          <t>영프로 전통 시골 집고추장 마늘쫑장아찌 400g 마늘장아찌 400g</t>
        </is>
      </c>
      <c r="F1439" s="76" t="n">
        <v>0</v>
      </c>
      <c r="G1439" s="146" t="inlineStr">
        <is>
          <t>-</t>
        </is>
      </c>
      <c r="H1439" s="146" t="inlineStr">
        <is>
          <t>-</t>
        </is>
      </c>
    </row>
    <row r="1440" hidden="1" s="21">
      <c r="A1440" s="24" t="inlineStr">
        <is>
          <t>네이버</t>
        </is>
      </c>
      <c r="B1440" s="24" t="inlineStr">
        <is>
          <t>가공식품</t>
        </is>
      </c>
      <c r="C1440" s="24" t="inlineStr">
        <is>
          <t>영프로식품</t>
        </is>
      </c>
      <c r="D1440" s="24" t="inlineStr">
        <is>
          <t>185-96-01074</t>
        </is>
      </c>
      <c r="E1440" s="76" t="inlineStr">
        <is>
          <t>영프로 전통 시골 집고추장 마늘쫑장아찌 800g 마늘장아찌 800g</t>
        </is>
      </c>
      <c r="F1440" s="76" t="n">
        <v>0</v>
      </c>
      <c r="G1440" s="146" t="inlineStr">
        <is>
          <t>-</t>
        </is>
      </c>
      <c r="H1440" s="146" t="inlineStr">
        <is>
          <t>-</t>
        </is>
      </c>
    </row>
    <row r="1441" hidden="1" s="21">
      <c r="A1441" s="24" t="inlineStr">
        <is>
          <t>네이버</t>
        </is>
      </c>
      <c r="B1441" s="24" t="inlineStr">
        <is>
          <t>농산물</t>
        </is>
      </c>
      <c r="C1441" s="24" t="inlineStr">
        <is>
          <t>피스팜</t>
        </is>
      </c>
      <c r="D1441" s="24" t="inlineStr">
        <is>
          <t>463-93-01691</t>
        </is>
      </c>
      <c r="E1441" s="76" t="inlineStr">
        <is>
          <t>종이포장 경기G마크 GAP 저탄소 농산물 평화농원 먹골배 신고배 명절과일 햇배 3kg</t>
        </is>
      </c>
      <c r="F1441" s="76" t="n">
        <v>1</v>
      </c>
      <c r="G1441" s="146" t="n">
        <v>25000</v>
      </c>
      <c r="H1441" s="146" t="inlineStr">
        <is>
          <t>-</t>
        </is>
      </c>
    </row>
    <row r="1442" hidden="1" s="21">
      <c r="A1442" s="12" t="inlineStr">
        <is>
          <t>네이버</t>
        </is>
      </c>
      <c r="B1442" s="24" t="inlineStr">
        <is>
          <t>농산물</t>
        </is>
      </c>
      <c r="C1442" s="12" t="inlineStr">
        <is>
          <t>피스팜</t>
        </is>
      </c>
      <c r="D1442" s="12" t="inlineStr">
        <is>
          <t>463-93-01691</t>
        </is>
      </c>
      <c r="E1442" s="12" t="inlineStr">
        <is>
          <t>경기G마크 GAP 저탄소 농산물 평화농원 먹골배 신고배 선물배 명절과일 햇배 5kg 7.5kg 15kg</t>
        </is>
      </c>
      <c r="F1442" s="142" t="n">
        <v>1</v>
      </c>
      <c r="G1442" s="142" t="n">
        <v>40000</v>
      </c>
      <c r="H1442" s="142" t="inlineStr">
        <is>
          <t>-</t>
        </is>
      </c>
    </row>
    <row r="1443" hidden="1" s="21">
      <c r="A1443" s="12" t="inlineStr">
        <is>
          <t>네이버</t>
        </is>
      </c>
      <c r="B1443" s="24" t="inlineStr">
        <is>
          <t>농산물</t>
        </is>
      </c>
      <c r="C1443" s="12" t="inlineStr">
        <is>
          <t>피스팜</t>
        </is>
      </c>
      <c r="D1443" s="12" t="inlineStr">
        <is>
          <t>463-93-01691</t>
        </is>
      </c>
      <c r="E1443" s="12" t="inlineStr">
        <is>
          <t>ESG 종이포장 경기G마크 GAP 저탄소 농산물 평화농원 먹골배 황금배 신고배 선물배 명절과일 햇배 7.5kg 15kg</t>
        </is>
      </c>
      <c r="F1443" s="142" t="inlineStr">
        <is>
          <t>-</t>
        </is>
      </c>
      <c r="G1443" s="142" t="inlineStr">
        <is>
          <t>-</t>
        </is>
      </c>
      <c r="H1443" s="142" t="inlineStr">
        <is>
          <t>-</t>
        </is>
      </c>
    </row>
    <row r="1444" hidden="1" s="21">
      <c r="A1444" s="12" t="inlineStr">
        <is>
          <t>네이버</t>
        </is>
      </c>
      <c r="B1444" s="12" t="inlineStr">
        <is>
          <t>가공식품</t>
        </is>
      </c>
      <c r="C1444" s="12" t="inlineStr">
        <is>
          <t>농업회사법인(주)운림가</t>
        </is>
      </c>
      <c r="D1444" s="12" t="inlineStr">
        <is>
          <t>412-81-31307</t>
        </is>
      </c>
      <c r="E1444" s="12" t="inlineStr">
        <is>
          <t>운림가 55년전통 대용량 전라도 국산 배추 김장 포기 김치 5kg</t>
        </is>
      </c>
      <c r="F1444" s="142" t="n">
        <v>5130</v>
      </c>
      <c r="G1444" s="142" t="n">
        <v>245782700</v>
      </c>
      <c r="H1444" s="142" t="n">
        <v>2090900</v>
      </c>
    </row>
    <row r="1445" hidden="1" s="21">
      <c r="A1445" s="12" t="inlineStr">
        <is>
          <t>네이버</t>
        </is>
      </c>
      <c r="B1445" s="12" t="inlineStr">
        <is>
          <t>가공식품</t>
        </is>
      </c>
      <c r="C1445" s="12" t="inlineStr">
        <is>
          <t>농업회사법인(주)운림가</t>
        </is>
      </c>
      <c r="D1445" s="12" t="inlineStr">
        <is>
          <t>412-81-31307</t>
        </is>
      </c>
      <c r="E1445" s="12" t="inlineStr">
        <is>
          <t>운림가 55년전통 국산 전라도 묵은지 2kg 저온 숙성 익은 김치</t>
        </is>
      </c>
      <c r="F1445" s="142" t="n">
        <v>5237</v>
      </c>
      <c r="G1445" s="142" t="n">
        <v>112206100</v>
      </c>
      <c r="H1445" s="142" t="n">
        <v>251360</v>
      </c>
    </row>
    <row r="1446" hidden="1" s="21">
      <c r="A1446" s="12" t="inlineStr">
        <is>
          <t>네이버</t>
        </is>
      </c>
      <c r="B1446" s="12" t="inlineStr">
        <is>
          <t>가공식품</t>
        </is>
      </c>
      <c r="C1446" s="12" t="inlineStr">
        <is>
          <t>농업회사법인(주)운림가</t>
        </is>
      </c>
      <c r="D1446" s="12" t="inlineStr">
        <is>
          <t>412-81-31307</t>
        </is>
      </c>
      <c r="E1446" s="12" t="inlineStr">
        <is>
          <t>운림가 55년전통 국산 전라도 쪽 파김치 1kg</t>
        </is>
      </c>
      <c r="F1446" s="142" t="n">
        <v>7082</v>
      </c>
      <c r="G1446" s="142" t="n">
        <v>151156600</v>
      </c>
      <c r="H1446" s="142" t="n">
        <v>191600</v>
      </c>
    </row>
    <row r="1447" hidden="1" s="21">
      <c r="A1447" s="12" t="inlineStr">
        <is>
          <t>네이버</t>
        </is>
      </c>
      <c r="B1447" s="12" t="inlineStr">
        <is>
          <t>가공식품</t>
        </is>
      </c>
      <c r="C1447" s="12" t="inlineStr">
        <is>
          <t>농업회사법인(주)운림가</t>
        </is>
      </c>
      <c r="D1447" s="12" t="inlineStr">
        <is>
          <t>412-81-31307</t>
        </is>
      </c>
      <c r="E1447" s="12" t="inlineStr">
        <is>
          <t>운림가 55년전통 국산 전라도 알타리 총각김치 2kg</t>
        </is>
      </c>
      <c r="F1447" s="142" t="n">
        <v>6507</v>
      </c>
      <c r="G1447" s="142" t="n">
        <v>124121400</v>
      </c>
      <c r="H1447" s="142" t="n">
        <v>164960</v>
      </c>
    </row>
    <row r="1448" hidden="1" s="21">
      <c r="A1448" s="12" t="inlineStr">
        <is>
          <t>네이버</t>
        </is>
      </c>
      <c r="B1448" s="12" t="inlineStr">
        <is>
          <t>가공식품</t>
        </is>
      </c>
      <c r="C1448" s="12" t="inlineStr">
        <is>
          <t>길경영농조합법인</t>
        </is>
      </c>
      <c r="D1448" s="12" t="inlineStr">
        <is>
          <t>126-86-80182</t>
        </is>
      </c>
      <c r="E1448" s="12" t="inlineStr">
        <is>
          <t>청청하루 무농약 도라지청 150g 1개</t>
        </is>
      </c>
      <c r="F1448" s="142" t="n">
        <v>9</v>
      </c>
      <c r="G1448" s="142" t="n">
        <v>203000</v>
      </c>
      <c r="H1448" s="142" t="n">
        <v>12000</v>
      </c>
    </row>
    <row r="1449" hidden="1" s="21">
      <c r="A1449" s="12" t="inlineStr">
        <is>
          <t>네이버</t>
        </is>
      </c>
      <c r="B1449" s="12" t="inlineStr">
        <is>
          <t>가공식품</t>
        </is>
      </c>
      <c r="C1449" s="12" t="inlineStr">
        <is>
          <t>길경영농조합법인</t>
        </is>
      </c>
      <c r="D1449" s="12" t="inlineStr">
        <is>
          <t>126-86-80182</t>
        </is>
      </c>
      <c r="E1449" s="12" t="inlineStr">
        <is>
          <t>식품명인 콩고물 도라지정과 선물세트 20g 10개입</t>
        </is>
      </c>
      <c r="F1449" s="142" t="n">
        <v>3</v>
      </c>
      <c r="G1449" s="142" t="n">
        <v>320000</v>
      </c>
      <c r="H1449" s="142" t="n">
        <v>8000</v>
      </c>
    </row>
    <row r="1450" hidden="1" s="21">
      <c r="A1450" s="12" t="inlineStr">
        <is>
          <t>네이버</t>
        </is>
      </c>
      <c r="B1450" s="12" t="inlineStr">
        <is>
          <t>농산물</t>
        </is>
      </c>
      <c r="C1450" s="12" t="inlineStr">
        <is>
          <t>참외쀼</t>
        </is>
      </c>
      <c r="D1450" s="107" t="inlineStr">
        <is>
          <t>210-97-02245</t>
        </is>
      </c>
      <c r="E1450" s="12" t="inlineStr">
        <is>
          <t>농부부부가 키운 고당도 성주 참외 당일수확 3.3KG</t>
        </is>
      </c>
      <c r="F1450" s="142" t="n">
        <v>1</v>
      </c>
      <c r="G1450" s="142" t="n">
        <v>26900</v>
      </c>
      <c r="H1450" s="142" t="n">
        <v>5380</v>
      </c>
    </row>
    <row r="1451" hidden="1" s="21">
      <c r="A1451" s="12" t="inlineStr">
        <is>
          <t>네이버</t>
        </is>
      </c>
      <c r="B1451" s="12" t="inlineStr">
        <is>
          <t>농산물</t>
        </is>
      </c>
      <c r="C1451" s="12" t="inlineStr">
        <is>
          <t>영농조합법인아농이</t>
        </is>
      </c>
      <c r="D1451" s="107" t="inlineStr">
        <is>
          <t>308-81-31629</t>
        </is>
      </c>
      <c r="E1451" s="12" t="inlineStr">
        <is>
          <t>수박 고당도 꿀 수박 프리미엄 당도선별 하우스 제철과일 고창 맹동 산지직송</t>
        </is>
      </c>
      <c r="F1451" s="142" t="n">
        <v>234</v>
      </c>
      <c r="G1451" s="142" t="n">
        <v>5887600</v>
      </c>
      <c r="H1451" s="142" t="inlineStr">
        <is>
          <t>-</t>
        </is>
      </c>
    </row>
    <row r="1452" hidden="1" s="21">
      <c r="A1452" s="12" t="inlineStr">
        <is>
          <t>네이버</t>
        </is>
      </c>
      <c r="B1452" s="12" t="inlineStr">
        <is>
          <t>농산물</t>
        </is>
      </c>
      <c r="C1452" s="12" t="inlineStr">
        <is>
          <t>영농조합법인아농이</t>
        </is>
      </c>
      <c r="D1452" s="107" t="inlineStr">
        <is>
          <t>308-81-31629</t>
        </is>
      </c>
      <c r="E1452" s="12" t="inlineStr">
        <is>
          <t>자두 후무사 도담 추희 피자두 고당도 와촌 김천 1kg</t>
        </is>
      </c>
      <c r="F1452" s="142" t="n">
        <v>98</v>
      </c>
      <c r="G1452" s="142" t="n">
        <v>2527900</v>
      </c>
      <c r="H1452" s="142" t="inlineStr">
        <is>
          <t>-</t>
        </is>
      </c>
    </row>
    <row r="1453" hidden="1" s="21">
      <c r="A1453" s="12" t="inlineStr">
        <is>
          <t>네이버</t>
        </is>
      </c>
      <c r="B1453" s="12" t="inlineStr">
        <is>
          <t>농산물</t>
        </is>
      </c>
      <c r="C1453" s="12" t="inlineStr">
        <is>
          <t>영농조합법인아농이</t>
        </is>
      </c>
      <c r="D1453" s="107" t="inlineStr">
        <is>
          <t>308-81-31629</t>
        </is>
      </c>
      <c r="E1453" s="12" t="inlineStr">
        <is>
          <t>메론 제철 설향 하미과 그린 골드 머스크메론 프리미엄 산지직송 고당도 멜론 선물세트 가정용</t>
        </is>
      </c>
      <c r="F1453" s="142" t="n">
        <v>1</v>
      </c>
      <c r="G1453" s="142" t="n">
        <v>31000</v>
      </c>
      <c r="H1453" s="142" t="inlineStr">
        <is>
          <t>-</t>
        </is>
      </c>
    </row>
    <row r="1454" hidden="1" s="21">
      <c r="A1454" s="12" t="inlineStr">
        <is>
          <t>네이버</t>
        </is>
      </c>
      <c r="B1454" s="12" t="inlineStr">
        <is>
          <t>농산물</t>
        </is>
      </c>
      <c r="C1454" s="12" t="inlineStr">
        <is>
          <t>참외쀼</t>
        </is>
      </c>
      <c r="D1454" s="12" t="inlineStr">
        <is>
          <t>210-97-02245</t>
        </is>
      </c>
      <c r="E1454" s="12" t="inlineStr">
        <is>
          <t>농부부부가 키운 고당도 성주 참외 당일수확 5.5kg</t>
        </is>
      </c>
      <c r="F1454" s="142" t="n">
        <v>1</v>
      </c>
      <c r="G1454" s="142" t="n">
        <v>35000</v>
      </c>
      <c r="H1454" s="142" t="inlineStr">
        <is>
          <t>-</t>
        </is>
      </c>
    </row>
  </sheetData>
  <autoFilter ref="A5:K1454">
    <filterColumn colId="0" hiddenButton="0" showButton="1">
      <filters>
        <filter val="지마켓"/>
      </filters>
    </filterColumn>
  </autoFilter>
  <conditionalFormatting sqref="B329">
    <cfRule type="duplicateValues" priority="3" dxfId="0"/>
  </conditionalFormatting>
  <conditionalFormatting sqref="C328:C329">
    <cfRule type="duplicateValues" priority="8" dxfId="0"/>
  </conditionalFormatting>
  <conditionalFormatting sqref="B262:B303">
    <cfRule type="duplicateValues" priority="2" dxfId="0"/>
  </conditionalFormatting>
  <conditionalFormatting sqref="C837:C840">
    <cfRule type="duplicateValues" priority="1" dxfId="0"/>
  </conditionalFormatting>
  <dataValidations count="1">
    <dataValidation sqref="B6:B281 B304:B1117 B1444:B1454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G3" sqref="G3"/>
    </sheetView>
  </sheetViews>
  <sheetFormatPr baseColWidth="8" defaultRowHeight="17.4"/>
  <cols>
    <col width="10.3984375" customWidth="1" style="21" min="1" max="1"/>
    <col width="8.19921875" customWidth="1" style="26" min="2" max="2"/>
    <col width="18.3984375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6.796875" bestFit="1" customWidth="1" style="26" min="9" max="9"/>
  </cols>
  <sheetData>
    <row r="1">
      <c r="F1" s="179" t="n">
        <v>280907</v>
      </c>
      <c r="G1" s="179" t="n">
        <v>1453132570</v>
      </c>
      <c r="H1" s="179" t="n">
        <v>44341569</v>
      </c>
      <c r="I1" s="180" t="n">
        <v>35</v>
      </c>
    </row>
    <row r="2">
      <c r="A2" s="50" t="inlineStr">
        <is>
          <t>NO</t>
        </is>
      </c>
      <c r="B2" s="50" t="inlineStr">
        <is>
          <t>구분</t>
        </is>
      </c>
      <c r="C2" s="50" t="inlineStr">
        <is>
          <t>사업자등록번호</t>
        </is>
      </c>
      <c r="D2" s="50" t="inlineStr">
        <is>
          <t>업체명</t>
        </is>
      </c>
      <c r="E2" s="50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218-86-00721</t>
        </is>
      </c>
      <c r="D3" s="76" t="inlineStr">
        <is>
          <t>주식회사 아인스</t>
        </is>
      </c>
      <c r="E3" s="24" t="inlineStr">
        <is>
          <t>오아시스</t>
        </is>
      </c>
      <c r="F3" s="170" t="n">
        <v>27317</v>
      </c>
      <c r="G3" s="170" t="n">
        <v>172019750</v>
      </c>
      <c r="H3" s="182" t="n">
        <v>2012484</v>
      </c>
      <c r="I3" s="183" t="inlineStr">
        <is>
          <t>O</t>
        </is>
      </c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225-90-26954</t>
        </is>
      </c>
      <c r="D4" s="76" t="inlineStr">
        <is>
          <t>풀무리농장</t>
        </is>
      </c>
      <c r="E4" s="24" t="inlineStr">
        <is>
          <t>네이버</t>
        </is>
      </c>
      <c r="F4" s="170" t="n">
        <v>423</v>
      </c>
      <c r="G4" s="170" t="n">
        <v>15579700</v>
      </c>
      <c r="H4" s="182" t="n">
        <v>1852660</v>
      </c>
      <c r="I4" s="183" t="inlineStr">
        <is>
          <t>O</t>
        </is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시작</t>
        </is>
      </c>
      <c r="C5" s="24" t="inlineStr">
        <is>
          <t>326-37-00548</t>
        </is>
      </c>
      <c r="D5" s="76" t="inlineStr">
        <is>
          <t>파미농원</t>
        </is>
      </c>
      <c r="E5" s="24" t="inlineStr">
        <is>
          <t>오아시스</t>
        </is>
      </c>
      <c r="F5" s="170" t="n">
        <v>1</v>
      </c>
      <c r="G5" s="170" t="n">
        <v>14400</v>
      </c>
      <c r="H5" s="182" t="n">
        <v>2880</v>
      </c>
      <c r="I5" s="183" t="inlineStr">
        <is>
          <t>O</t>
        </is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497-41-01341</t>
        </is>
      </c>
      <c r="D6" s="76" t="inlineStr">
        <is>
          <t>국가대표상황버섯</t>
        </is>
      </c>
      <c r="E6" s="24" t="inlineStr">
        <is>
          <t>오아시스</t>
        </is>
      </c>
      <c r="F6" s="170" t="n">
        <v>0</v>
      </c>
      <c r="G6" s="170" t="n">
        <v>0</v>
      </c>
      <c r="H6" s="182" t="n">
        <v>0</v>
      </c>
      <c r="I6" s="183" t="inlineStr"/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312-27-45552</t>
        </is>
      </c>
      <c r="D7" s="76" t="inlineStr">
        <is>
          <t>바우뜨락</t>
        </is>
      </c>
      <c r="E7" s="24" t="inlineStr">
        <is>
          <t>오아시스</t>
        </is>
      </c>
      <c r="F7" s="170" t="n">
        <v>44</v>
      </c>
      <c r="G7" s="170" t="n">
        <v>1787000</v>
      </c>
      <c r="H7" s="182" t="n">
        <v>155200</v>
      </c>
      <c r="I7" s="183" t="inlineStr">
        <is>
          <t>O</t>
        </is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24" t="inlineStr">
        <is>
          <t>201-86-47960</t>
        </is>
      </c>
      <c r="D8" s="76" t="inlineStr">
        <is>
          <t>다온365농업회사법인(주)</t>
        </is>
      </c>
      <c r="E8" s="24" t="inlineStr">
        <is>
          <t>오아시스</t>
        </is>
      </c>
      <c r="F8" s="170" t="n">
        <v>0</v>
      </c>
      <c r="G8" s="170" t="n">
        <v>0</v>
      </c>
      <c r="H8" s="182" t="n">
        <v>0</v>
      </c>
      <c r="I8" s="183" t="inlineStr"/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410-86-90042</t>
        </is>
      </c>
      <c r="D9" s="76" t="inlineStr">
        <is>
          <t>아름답게그린배영농조합법인</t>
        </is>
      </c>
      <c r="E9" s="24" t="inlineStr">
        <is>
          <t>네이버</t>
        </is>
      </c>
      <c r="F9" s="170" t="n">
        <v>40</v>
      </c>
      <c r="G9" s="170" t="n">
        <v>1322500</v>
      </c>
      <c r="H9" s="182" t="n">
        <v>207680</v>
      </c>
      <c r="I9" s="183" t="inlineStr">
        <is>
          <t>O</t>
        </is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512-13-21395</t>
        </is>
      </c>
      <c r="D10" s="76" t="inlineStr">
        <is>
          <t>현재농원</t>
        </is>
      </c>
      <c r="E10" s="24" t="inlineStr">
        <is>
          <t>네이버</t>
        </is>
      </c>
      <c r="F10" s="170" t="n">
        <v>8</v>
      </c>
      <c r="G10" s="170" t="n">
        <v>168650</v>
      </c>
      <c r="H10" s="182" t="n">
        <v>24730</v>
      </c>
      <c r="I10" s="183" t="inlineStr">
        <is>
          <t>O</t>
        </is>
      </c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도약</t>
        </is>
      </c>
      <c r="C11" s="24" t="inlineStr">
        <is>
          <t>745-96-00315</t>
        </is>
      </c>
      <c r="D11" s="76" t="inlineStr">
        <is>
          <t>해담는집</t>
        </is>
      </c>
      <c r="E11" s="24" t="inlineStr">
        <is>
          <t>오아시스</t>
        </is>
      </c>
      <c r="F11" s="170" t="n">
        <v>68</v>
      </c>
      <c r="G11" s="170" t="n">
        <v>1101800</v>
      </c>
      <c r="H11" s="182" t="n">
        <v>115480</v>
      </c>
      <c r="I11" s="183" t="inlineStr">
        <is>
          <t>O</t>
        </is>
      </c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386-96-00703</t>
        </is>
      </c>
      <c r="D12" s="76" t="inlineStr">
        <is>
          <t>여화원</t>
        </is>
      </c>
      <c r="E12" s="24" t="inlineStr">
        <is>
          <t>네이버</t>
        </is>
      </c>
      <c r="F12" s="170" t="n">
        <v>287</v>
      </c>
      <c r="G12" s="170" t="n">
        <v>9430500</v>
      </c>
      <c r="H12" s="182" t="n">
        <v>1015420</v>
      </c>
      <c r="I12" s="183" t="inlineStr">
        <is>
          <t>O</t>
        </is>
      </c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409-86-48791</t>
        </is>
      </c>
      <c r="D13" s="76" t="inlineStr">
        <is>
          <t>주식회사 유기농샵에프앤비</t>
        </is>
      </c>
      <c r="E13" s="24" t="inlineStr">
        <is>
          <t>오아시스</t>
        </is>
      </c>
      <c r="F13" s="170" t="n">
        <v>0</v>
      </c>
      <c r="G13" s="170" t="n">
        <v>0</v>
      </c>
      <c r="H13" s="182" t="n">
        <v>0</v>
      </c>
      <c r="I13" s="183" t="inlineStr"/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556-72-00266</t>
        </is>
      </c>
      <c r="D14" s="76" t="inlineStr">
        <is>
          <t>제주오가닉스</t>
        </is>
      </c>
      <c r="E14" s="24" t="inlineStr">
        <is>
          <t>오아시스</t>
        </is>
      </c>
      <c r="F14" s="170" t="n">
        <v>0</v>
      </c>
      <c r="G14" s="170" t="n">
        <v>0</v>
      </c>
      <c r="H14" s="182" t="n">
        <v>0</v>
      </c>
      <c r="I14" s="183" t="inlineStr"/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592-08-01799</t>
        </is>
      </c>
      <c r="D15" s="76" t="inlineStr">
        <is>
          <t>삼둥이농장</t>
        </is>
      </c>
      <c r="E15" s="24" t="inlineStr">
        <is>
          <t>오아시스</t>
        </is>
      </c>
      <c r="F15" s="170" t="n">
        <v>0</v>
      </c>
      <c r="G15" s="170" t="n">
        <v>0</v>
      </c>
      <c r="H15" s="182" t="n">
        <v>0</v>
      </c>
      <c r="I15" s="183" t="inlineStr"/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도약</t>
        </is>
      </c>
      <c r="C16" s="24" t="inlineStr">
        <is>
          <t>680-87-00224</t>
        </is>
      </c>
      <c r="D16" s="76" t="inlineStr">
        <is>
          <t>다원팜농업회사법인유한회사</t>
        </is>
      </c>
      <c r="E16" s="24" t="inlineStr">
        <is>
          <t>오아시스</t>
        </is>
      </c>
      <c r="F16" s="170" t="n">
        <v>21696</v>
      </c>
      <c r="G16" s="170" t="n">
        <v>45354130</v>
      </c>
      <c r="H16" s="182" t="n">
        <v>2157497</v>
      </c>
      <c r="I16" s="183" t="inlineStr">
        <is>
          <t>O</t>
        </is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도약</t>
        </is>
      </c>
      <c r="C17" s="24" t="inlineStr">
        <is>
          <t>402-81-54069</t>
        </is>
      </c>
      <c r="D17" s="76" t="inlineStr">
        <is>
          <t>참식품주식회사</t>
        </is>
      </c>
      <c r="E17" s="24" t="inlineStr">
        <is>
          <t>네이버</t>
        </is>
      </c>
      <c r="F17" s="170" t="n">
        <v>547</v>
      </c>
      <c r="G17" s="170" t="n">
        <v>14845800</v>
      </c>
      <c r="H17" s="182" t="n">
        <v>1669930</v>
      </c>
      <c r="I17" s="183" t="inlineStr">
        <is>
          <t>O</t>
        </is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시작</t>
        </is>
      </c>
      <c r="C18" s="24" t="inlineStr">
        <is>
          <t>252-86-02831</t>
        </is>
      </c>
      <c r="D18" s="76" t="inlineStr">
        <is>
          <t>농업회사법인주식회사한내담</t>
        </is>
      </c>
      <c r="E18" s="24" t="inlineStr">
        <is>
          <t>오아시스</t>
        </is>
      </c>
      <c r="F18" s="170" t="n">
        <v>0</v>
      </c>
      <c r="G18" s="170" t="n">
        <v>0</v>
      </c>
      <c r="H18" s="182" t="n">
        <v>0</v>
      </c>
      <c r="I18" s="183" t="inlineStr"/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성장</t>
        </is>
      </c>
      <c r="C19" s="24" t="inlineStr">
        <is>
          <t>566-81-02884</t>
        </is>
      </c>
      <c r="D19" s="76" t="inlineStr">
        <is>
          <t>농업회사법인 주식회사 여주능서농원</t>
        </is>
      </c>
      <c r="E19" s="24" t="inlineStr">
        <is>
          <t>네이버</t>
        </is>
      </c>
      <c r="F19" s="170" t="n">
        <v>258</v>
      </c>
      <c r="G19" s="170" t="n">
        <v>5728190</v>
      </c>
      <c r="H19" s="182" t="n">
        <v>669670</v>
      </c>
      <c r="I19" s="183" t="inlineStr">
        <is>
          <t>O</t>
        </is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도약</t>
        </is>
      </c>
      <c r="C20" s="24" t="inlineStr">
        <is>
          <t>580-88-02822</t>
        </is>
      </c>
      <c r="D20" s="76" t="inlineStr">
        <is>
          <t>농업회사법인 나무컴퍼니 주식회사</t>
        </is>
      </c>
      <c r="E20" s="24" t="inlineStr">
        <is>
          <t>네이버</t>
        </is>
      </c>
      <c r="F20" s="170" t="n">
        <v>4513</v>
      </c>
      <c r="G20" s="170" t="n">
        <v>81437410</v>
      </c>
      <c r="H20" s="182" t="n">
        <v>4726320</v>
      </c>
      <c r="I20" s="183" t="inlineStr">
        <is>
          <t>O</t>
        </is>
      </c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시작</t>
        </is>
      </c>
      <c r="C21" s="24" t="inlineStr">
        <is>
          <t>815-15-01628</t>
        </is>
      </c>
      <c r="D21" s="76" t="inlineStr">
        <is>
          <t>뭇별농장</t>
        </is>
      </c>
      <c r="E21" s="24" t="inlineStr">
        <is>
          <t>네이버</t>
        </is>
      </c>
      <c r="F21" s="170" t="n">
        <v>0</v>
      </c>
      <c r="G21" s="170" t="n">
        <v>0</v>
      </c>
      <c r="H21" s="182" t="n">
        <v>0</v>
      </c>
      <c r="I21" s="183" t="inlineStr"/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도약</t>
        </is>
      </c>
      <c r="C22" s="24" t="inlineStr">
        <is>
          <t>502-81-55602</t>
        </is>
      </c>
      <c r="D22" s="76" t="inlineStr">
        <is>
          <t>농업법인회사 (주)초록원</t>
        </is>
      </c>
      <c r="E22" s="24" t="inlineStr">
        <is>
          <t>오아시스</t>
        </is>
      </c>
      <c r="F22" s="170" t="n">
        <v>4106</v>
      </c>
      <c r="G22" s="170" t="n">
        <v>44964220</v>
      </c>
      <c r="H22" s="182" t="n">
        <v>1981384</v>
      </c>
      <c r="I22" s="183" t="inlineStr">
        <is>
          <t>O</t>
        </is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도약</t>
        </is>
      </c>
      <c r="C23" s="24" t="inlineStr">
        <is>
          <t>654-88-01503</t>
        </is>
      </c>
      <c r="D23" s="76" t="inlineStr">
        <is>
          <t>(주)밀알케이</t>
        </is>
      </c>
      <c r="E23" s="24" t="inlineStr">
        <is>
          <t>오아시스</t>
        </is>
      </c>
      <c r="F23" s="170" t="n">
        <v>1567</v>
      </c>
      <c r="G23" s="170" t="n">
        <v>7314600</v>
      </c>
      <c r="H23" s="182" t="n">
        <v>353700</v>
      </c>
      <c r="I23" s="183" t="inlineStr">
        <is>
          <t>O</t>
        </is>
      </c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774-11-01498</t>
        </is>
      </c>
      <c r="D24" s="76" t="inlineStr">
        <is>
          <t>경성표고버섯농장</t>
        </is>
      </c>
      <c r="E24" s="24" t="inlineStr">
        <is>
          <t>네이버</t>
        </is>
      </c>
      <c r="F24" s="170" t="n">
        <v>283</v>
      </c>
      <c r="G24" s="170" t="n">
        <v>5837350</v>
      </c>
      <c r="H24" s="182" t="n">
        <v>609310</v>
      </c>
      <c r="I24" s="183" t="inlineStr">
        <is>
          <t>O</t>
        </is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도약</t>
        </is>
      </c>
      <c r="C25" s="24" t="inlineStr">
        <is>
          <t>416-81-44143</t>
        </is>
      </c>
      <c r="D25" s="76" t="inlineStr">
        <is>
          <t>도울 F&amp;B</t>
        </is>
      </c>
      <c r="E25" s="24" t="inlineStr">
        <is>
          <t>오아시스</t>
        </is>
      </c>
      <c r="F25" s="170" t="n">
        <v>3243</v>
      </c>
      <c r="G25" s="170" t="n">
        <v>7528400</v>
      </c>
      <c r="H25" s="182" t="n">
        <v>612556</v>
      </c>
      <c r="I25" s="183" t="inlineStr">
        <is>
          <t>O</t>
        </is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754-88-00876</t>
        </is>
      </c>
      <c r="D26" s="76" t="inlineStr">
        <is>
          <t>베리네이처</t>
        </is>
      </c>
      <c r="E26" s="24" t="inlineStr">
        <is>
          <t>오아시스</t>
        </is>
      </c>
      <c r="F26" s="170" t="n">
        <v>14326</v>
      </c>
      <c r="G26" s="170" t="n">
        <v>41928380</v>
      </c>
      <c r="H26" s="182" t="n">
        <v>2130483</v>
      </c>
      <c r="I26" s="183" t="inlineStr">
        <is>
          <t>O</t>
        </is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507-81-09103</t>
        </is>
      </c>
      <c r="D27" s="76" t="inlineStr">
        <is>
          <t>나래친환경영농조합법인</t>
        </is>
      </c>
      <c r="E27" s="24" t="inlineStr">
        <is>
          <t>네이버</t>
        </is>
      </c>
      <c r="F27" s="170" t="n">
        <v>82</v>
      </c>
      <c r="G27" s="170" t="n">
        <v>4760000</v>
      </c>
      <c r="H27" s="182" t="n">
        <v>720000</v>
      </c>
      <c r="I27" s="183" t="inlineStr">
        <is>
          <t>O</t>
        </is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시작</t>
        </is>
      </c>
      <c r="C28" s="24" t="inlineStr">
        <is>
          <t>190-97-01151</t>
        </is>
      </c>
      <c r="D28" s="76" t="inlineStr">
        <is>
          <t>지구별농장</t>
        </is>
      </c>
      <c r="E28" s="24" t="inlineStr">
        <is>
          <t>네이버</t>
        </is>
      </c>
      <c r="F28" s="170" t="n">
        <v>0</v>
      </c>
      <c r="G28" s="170" t="n">
        <v>0</v>
      </c>
      <c r="H28" s="182" t="n">
        <v>0</v>
      </c>
      <c r="I28" s="183" t="inlineStr"/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성장</t>
        </is>
      </c>
      <c r="C29" s="24" t="inlineStr">
        <is>
          <t>706-01-03422</t>
        </is>
      </c>
      <c r="D29" s="76" t="inlineStr">
        <is>
          <t>아침농부</t>
        </is>
      </c>
      <c r="E29" s="24" t="inlineStr">
        <is>
          <t>네이버</t>
        </is>
      </c>
      <c r="F29" s="170" t="n">
        <v>520</v>
      </c>
      <c r="G29" s="170" t="n">
        <v>13123000</v>
      </c>
      <c r="H29" s="182" t="n">
        <v>1043580</v>
      </c>
      <c r="I29" s="183" t="inlineStr">
        <is>
          <t>O</t>
        </is>
      </c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도약</t>
        </is>
      </c>
      <c r="C30" s="24" t="inlineStr">
        <is>
          <t>761-46-00855</t>
        </is>
      </c>
      <c r="D30" s="76" t="inlineStr">
        <is>
          <t>코스모스길 옆 상황버</t>
        </is>
      </c>
      <c r="E30" s="24" t="inlineStr">
        <is>
          <t>네이버</t>
        </is>
      </c>
      <c r="F30" s="170" t="n">
        <v>0</v>
      </c>
      <c r="G30" s="170" t="n">
        <v>0</v>
      </c>
      <c r="H30" s="182" t="n">
        <v>0</v>
      </c>
      <c r="I30" s="183" t="inlineStr"/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성장</t>
        </is>
      </c>
      <c r="C31" s="24" t="inlineStr">
        <is>
          <t>522-17-00696</t>
        </is>
      </c>
      <c r="D31" s="76" t="inlineStr">
        <is>
          <t>엿공장</t>
        </is>
      </c>
      <c r="E31" s="24" t="inlineStr">
        <is>
          <t>오아시스</t>
        </is>
      </c>
      <c r="F31" s="170" t="n">
        <v>13</v>
      </c>
      <c r="G31" s="170" t="n">
        <v>249500</v>
      </c>
      <c r="H31" s="182" t="n">
        <v>36600</v>
      </c>
      <c r="I31" s="183" t="inlineStr">
        <is>
          <t>O</t>
        </is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685-88-00527</t>
        </is>
      </c>
      <c r="D32" s="76" t="inlineStr">
        <is>
          <t>농업회사법인주식회사다고</t>
        </is>
      </c>
      <c r="E32" s="24" t="inlineStr">
        <is>
          <t>오아시스</t>
        </is>
      </c>
      <c r="F32" s="170" t="n">
        <v>37</v>
      </c>
      <c r="G32" s="170" t="n">
        <v>555000</v>
      </c>
      <c r="H32" s="182" t="n">
        <v>103000</v>
      </c>
      <c r="I32" s="183" t="inlineStr">
        <is>
          <t>O</t>
        </is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132-81-55005</t>
        </is>
      </c>
      <c r="D33" s="76" t="inlineStr">
        <is>
          <t>농업회사법인 하늘농가(주)</t>
        </is>
      </c>
      <c r="E33" s="24" t="inlineStr">
        <is>
          <t>오아시스</t>
        </is>
      </c>
      <c r="F33" s="170" t="n">
        <v>0</v>
      </c>
      <c r="G33" s="170" t="n">
        <v>0</v>
      </c>
      <c r="H33" s="182" t="n">
        <v>0</v>
      </c>
      <c r="I33" s="183" t="inlineStr"/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도약</t>
        </is>
      </c>
      <c r="C34" s="24" t="inlineStr">
        <is>
          <t>515-81-53707</t>
        </is>
      </c>
      <c r="D34" s="76" t="inlineStr">
        <is>
          <t>농업회사법인 닥터애그 주식회사</t>
        </is>
      </c>
      <c r="E34" s="24" t="inlineStr">
        <is>
          <t>오아시스</t>
        </is>
      </c>
      <c r="F34" s="170" t="n">
        <v>162090</v>
      </c>
      <c r="G34" s="170" t="n">
        <v>121036230</v>
      </c>
      <c r="H34" s="182" t="n">
        <v>2211447</v>
      </c>
      <c r="I34" s="183" t="inlineStr">
        <is>
          <t>O</t>
        </is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성장</t>
        </is>
      </c>
      <c r="C35" s="24" t="inlineStr">
        <is>
          <t>220-88-07925</t>
        </is>
      </c>
      <c r="D35" s="76" t="inlineStr">
        <is>
          <t>농업회사법인 주식회사 떡찌니</t>
        </is>
      </c>
      <c r="E35" s="24" t="inlineStr">
        <is>
          <t>네이버</t>
        </is>
      </c>
      <c r="F35" s="170" t="n">
        <v>0</v>
      </c>
      <c r="G35" s="170" t="n">
        <v>0</v>
      </c>
      <c r="H35" s="182" t="n">
        <v>0</v>
      </c>
      <c r="I35" s="183" t="inlineStr"/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311-81-44794</t>
        </is>
      </c>
      <c r="D36" s="76" t="inlineStr">
        <is>
          <t>농업회사법인내포(주)</t>
        </is>
      </c>
      <c r="E36" s="24" t="inlineStr">
        <is>
          <t>오아시스</t>
        </is>
      </c>
      <c r="F36" s="170" t="n">
        <v>8</v>
      </c>
      <c r="G36" s="170" t="n">
        <v>218000</v>
      </c>
      <c r="H36" s="182" t="n">
        <v>43600</v>
      </c>
      <c r="I36" s="183" t="inlineStr">
        <is>
          <t>O</t>
        </is>
      </c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성장</t>
        </is>
      </c>
      <c r="C37" s="24" t="inlineStr">
        <is>
          <t>848-99-01346</t>
        </is>
      </c>
      <c r="D37" s="76" t="inlineStr">
        <is>
          <t>옥수농원</t>
        </is>
      </c>
      <c r="E37" s="24" t="inlineStr">
        <is>
          <t>네이버</t>
        </is>
      </c>
      <c r="F37" s="170" t="n">
        <v>0</v>
      </c>
      <c r="G37" s="170" t="n">
        <v>0</v>
      </c>
      <c r="H37" s="182" t="n">
        <v>0</v>
      </c>
      <c r="I37" s="183" t="inlineStr"/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성장</t>
        </is>
      </c>
      <c r="C38" s="24" t="inlineStr">
        <is>
          <t>829-88-01091</t>
        </is>
      </c>
      <c r="D38" s="76" t="inlineStr">
        <is>
          <t>스퀘어팜 농업회사법인주식회사</t>
        </is>
      </c>
      <c r="E38" s="24" t="inlineStr">
        <is>
          <t>오아시스</t>
        </is>
      </c>
      <c r="F38" s="170" t="n">
        <v>0</v>
      </c>
      <c r="G38" s="170" t="n">
        <v>0</v>
      </c>
      <c r="H38" s="182" t="n">
        <v>0</v>
      </c>
      <c r="I38" s="183" t="inlineStr"/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126-18-96934</t>
        </is>
      </c>
      <c r="D39" s="76" t="inlineStr">
        <is>
          <t>굿그레인즈</t>
        </is>
      </c>
      <c r="E39" s="24" t="inlineStr">
        <is>
          <t>오아시스</t>
        </is>
      </c>
      <c r="F39" s="170" t="n">
        <v>26055</v>
      </c>
      <c r="G39" s="170" t="n">
        <v>681718500</v>
      </c>
      <c r="H39" s="182" t="n">
        <v>2748795</v>
      </c>
      <c r="I39" s="183" t="inlineStr">
        <is>
          <t>O</t>
        </is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시작</t>
        </is>
      </c>
      <c r="C40" s="24" t="inlineStr">
        <is>
          <t>109-36-80203</t>
        </is>
      </c>
      <c r="D40" s="76" t="inlineStr">
        <is>
          <t>내추럴참푸드</t>
        </is>
      </c>
      <c r="E40" s="24" t="inlineStr">
        <is>
          <t>오아시스</t>
        </is>
      </c>
      <c r="F40" s="170" t="n">
        <v>544</v>
      </c>
      <c r="G40" s="170" t="n">
        <v>13688860</v>
      </c>
      <c r="H40" s="182" t="n">
        <v>1457959</v>
      </c>
      <c r="I40" s="183" t="inlineStr">
        <is>
          <t>O</t>
        </is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성장</t>
        </is>
      </c>
      <c r="C41" s="24" t="inlineStr">
        <is>
          <t>348-87-01289</t>
        </is>
      </c>
      <c r="D41" s="76" t="inlineStr">
        <is>
          <t>농업회사법인하누리영이(주)</t>
        </is>
      </c>
      <c r="E41" s="24" t="inlineStr">
        <is>
          <t>네이버</t>
        </is>
      </c>
      <c r="F41" s="170" t="n">
        <v>174</v>
      </c>
      <c r="G41" s="170" t="n">
        <v>4674000</v>
      </c>
      <c r="H41" s="182" t="n">
        <v>575800</v>
      </c>
      <c r="I41" s="183" t="inlineStr">
        <is>
          <t>O</t>
        </is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도약</t>
        </is>
      </c>
      <c r="C42" s="24" t="inlineStr">
        <is>
          <t>393-86-02715</t>
        </is>
      </c>
      <c r="D42" s="76" t="inlineStr">
        <is>
          <t>봉이땅엔농업회사법인주식회사</t>
        </is>
      </c>
      <c r="E42" s="24" t="inlineStr">
        <is>
          <t>오아시스</t>
        </is>
      </c>
      <c r="F42" s="170" t="n">
        <v>0</v>
      </c>
      <c r="G42" s="170" t="n">
        <v>0</v>
      </c>
      <c r="H42" s="182" t="n">
        <v>0</v>
      </c>
      <c r="I42" s="183" t="inlineStr"/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도약</t>
        </is>
      </c>
      <c r="C43" s="24" t="inlineStr">
        <is>
          <t>106-93-03082</t>
        </is>
      </c>
      <c r="D43" s="76" t="inlineStr">
        <is>
          <t>땅끝사랑농원</t>
        </is>
      </c>
      <c r="E43" s="24" t="inlineStr">
        <is>
          <t>네이버</t>
        </is>
      </c>
      <c r="F43" s="170" t="n">
        <v>2047</v>
      </c>
      <c r="G43" s="170" t="n">
        <v>63191000</v>
      </c>
      <c r="H43" s="182" t="n">
        <v>7617120</v>
      </c>
      <c r="I43" s="183" t="inlineStr">
        <is>
          <t>O</t>
        </is>
      </c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550-88-01948</t>
        </is>
      </c>
      <c r="D44" s="76" t="inlineStr">
        <is>
          <t>농업회사법인 올담농원(주)</t>
        </is>
      </c>
      <c r="E44" s="24" t="inlineStr">
        <is>
          <t>네이버</t>
        </is>
      </c>
      <c r="F44" s="170" t="n">
        <v>59</v>
      </c>
      <c r="G44" s="170" t="n">
        <v>2502300</v>
      </c>
      <c r="H44" s="182" t="n">
        <v>253260</v>
      </c>
      <c r="I44" s="183" t="inlineStr">
        <is>
          <t>O</t>
        </is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시작</t>
        </is>
      </c>
      <c r="C45" s="24" t="inlineStr">
        <is>
          <t>610-95-45023</t>
        </is>
      </c>
      <c r="D45" s="76" t="inlineStr">
        <is>
          <t>볕든날</t>
        </is>
      </c>
      <c r="E45" s="24" t="inlineStr">
        <is>
          <t>네이버</t>
        </is>
      </c>
      <c r="F45" s="170" t="n">
        <v>0</v>
      </c>
      <c r="G45" s="170" t="n">
        <v>0</v>
      </c>
      <c r="H45" s="182" t="n">
        <v>0</v>
      </c>
      <c r="I45" s="183" t="inlineStr"/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성장</t>
        </is>
      </c>
      <c r="C46" s="24" t="inlineStr">
        <is>
          <t>790-86-01687</t>
        </is>
      </c>
      <c r="D46" s="76" t="inlineStr">
        <is>
          <t>농업회사법인불원주식회사</t>
        </is>
      </c>
      <c r="E46" s="24" t="inlineStr">
        <is>
          <t>오아시스</t>
        </is>
      </c>
      <c r="F46" s="170" t="n">
        <v>0</v>
      </c>
      <c r="G46" s="170" t="n">
        <v>0</v>
      </c>
      <c r="H46" s="182" t="n">
        <v>0</v>
      </c>
      <c r="I46" s="183" t="inlineStr"/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142-08-14196</t>
        </is>
      </c>
      <c r="D47" s="76" t="inlineStr">
        <is>
          <t>푸르메다</t>
        </is>
      </c>
      <c r="E47" s="24" t="inlineStr">
        <is>
          <t>오아시스</t>
        </is>
      </c>
      <c r="F47" s="170" t="n">
        <v>2172</v>
      </c>
      <c r="G47" s="170" t="n">
        <v>16996050</v>
      </c>
      <c r="H47" s="182" t="n">
        <v>1827293</v>
      </c>
      <c r="I47" s="183" t="inlineStr">
        <is>
          <t>O</t>
        </is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847-88-01726</t>
        </is>
      </c>
      <c r="D48" s="76" t="inlineStr">
        <is>
          <t>농업회사법인주식회사구룡농원</t>
        </is>
      </c>
      <c r="E48" s="24" t="inlineStr">
        <is>
          <t>네이버</t>
        </is>
      </c>
      <c r="F48" s="170" t="n">
        <v>892</v>
      </c>
      <c r="G48" s="170" t="n">
        <v>30263600</v>
      </c>
      <c r="H48" s="182" t="n">
        <v>2593180</v>
      </c>
      <c r="I48" s="183" t="inlineStr">
        <is>
          <t>O</t>
        </is>
      </c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시작</t>
        </is>
      </c>
      <c r="C49" s="24" t="inlineStr">
        <is>
          <t>216-04-19795</t>
        </is>
      </c>
      <c r="D49" s="76" t="inlineStr">
        <is>
          <t>아그데뜰</t>
        </is>
      </c>
      <c r="E49" s="24" t="inlineStr">
        <is>
          <t>네이버</t>
        </is>
      </c>
      <c r="F49" s="170" t="n">
        <v>8</v>
      </c>
      <c r="G49" s="170" t="n">
        <v>347000</v>
      </c>
      <c r="H49" s="182" t="n">
        <v>26000</v>
      </c>
      <c r="I49" s="183" t="inlineStr">
        <is>
          <t>O</t>
        </is>
      </c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646-85-00365</t>
        </is>
      </c>
      <c r="D50" s="76" t="inlineStr">
        <is>
          <t>농업회사법인(주) 강화드림푸드</t>
        </is>
      </c>
      <c r="E50" s="24" t="inlineStr">
        <is>
          <t>오아시스</t>
        </is>
      </c>
      <c r="F50" s="170" t="n">
        <v>0</v>
      </c>
      <c r="G50" s="170" t="n">
        <v>0</v>
      </c>
      <c r="H50" s="182" t="n">
        <v>0</v>
      </c>
      <c r="I50" s="183" t="inlineStr"/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성장</t>
        </is>
      </c>
      <c r="C51" s="24" t="inlineStr">
        <is>
          <t>231-97-01414</t>
        </is>
      </c>
      <c r="D51" s="76" t="inlineStr">
        <is>
          <t>따순농장</t>
        </is>
      </c>
      <c r="E51" s="24" t="inlineStr">
        <is>
          <t>네이버</t>
        </is>
      </c>
      <c r="F51" s="170" t="n">
        <v>206</v>
      </c>
      <c r="G51" s="170" t="n">
        <v>4424250</v>
      </c>
      <c r="H51" s="182" t="n">
        <v>703630</v>
      </c>
      <c r="I51" s="183" t="inlineStr">
        <is>
          <t>O</t>
        </is>
      </c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시작</t>
        </is>
      </c>
      <c r="C52" s="24" t="inlineStr">
        <is>
          <t>221-81-21222</t>
        </is>
      </c>
      <c r="D52" s="76" t="inlineStr">
        <is>
          <t>영농조합법인강원유기농</t>
        </is>
      </c>
      <c r="E52" s="24" t="inlineStr">
        <is>
          <t>네이버</t>
        </is>
      </c>
      <c r="F52" s="170" t="n">
        <v>0</v>
      </c>
      <c r="G52" s="170" t="n">
        <v>0</v>
      </c>
      <c r="H52" s="182" t="n">
        <v>0</v>
      </c>
      <c r="I52" s="183" t="inlineStr"/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도약</t>
        </is>
      </c>
      <c r="C53" s="24" t="inlineStr">
        <is>
          <t>301-81-78225</t>
        </is>
      </c>
      <c r="D53" s="76" t="inlineStr">
        <is>
          <t>농업회사법인 팜에이트 주식회사</t>
        </is>
      </c>
      <c r="E53" s="24" t="inlineStr">
        <is>
          <t>오아시스</t>
        </is>
      </c>
      <c r="F53" s="170" t="n">
        <v>6722</v>
      </c>
      <c r="G53" s="170" t="n">
        <v>25131030</v>
      </c>
      <c r="H53" s="182" t="n">
        <v>2082921</v>
      </c>
      <c r="I53" s="183" t="inlineStr">
        <is>
          <t>O</t>
        </is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도약</t>
        </is>
      </c>
      <c r="C54" s="24" t="inlineStr">
        <is>
          <t>402-47-64035</t>
        </is>
      </c>
      <c r="D54" s="76" t="inlineStr">
        <is>
          <t>땅끝민지맘</t>
        </is>
      </c>
      <c r="E54" s="24" t="inlineStr">
        <is>
          <t>네이버</t>
        </is>
      </c>
      <c r="F54" s="170" t="n">
        <v>544</v>
      </c>
      <c r="G54" s="170" t="n">
        <v>13693470</v>
      </c>
      <c r="H54" s="182" t="n">
        <v>0</v>
      </c>
      <c r="I54" s="183" t="inlineStr">
        <is>
          <t>O</t>
        </is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시작</t>
        </is>
      </c>
      <c r="C55" s="24" t="inlineStr">
        <is>
          <t>122-93-29177</t>
        </is>
      </c>
      <c r="D55" s="76" t="inlineStr">
        <is>
          <t>버섯놀이터사천숲속표고</t>
        </is>
      </c>
      <c r="E55" s="24" t="inlineStr">
        <is>
          <t>네이버</t>
        </is>
      </c>
      <c r="F55" s="170" t="n">
        <v>7</v>
      </c>
      <c r="G55" s="170" t="n">
        <v>198000</v>
      </c>
      <c r="H55" s="182" t="n">
        <v>0</v>
      </c>
      <c r="I55" s="183" t="inlineStr">
        <is>
          <t>O</t>
        </is>
      </c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성장</t>
        </is>
      </c>
      <c r="C56" s="24" t="inlineStr">
        <is>
          <t>616-81-93905</t>
        </is>
      </c>
      <c r="D56" s="76" t="inlineStr">
        <is>
          <t>안덕친환경영농조합법인</t>
        </is>
      </c>
      <c r="E56" s="24" t="inlineStr">
        <is>
          <t>네이버</t>
        </is>
      </c>
      <c r="F56" s="170" t="n">
        <v>0</v>
      </c>
      <c r="G56" s="170" t="n">
        <v>0</v>
      </c>
      <c r="H56" s="182" t="n">
        <v>0</v>
      </c>
      <c r="I56" s="183" t="inlineStr"/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시작</t>
        </is>
      </c>
      <c r="C57" s="24" t="inlineStr">
        <is>
          <t>778-81-03657</t>
        </is>
      </c>
      <c r="D57" s="76" t="inlineStr">
        <is>
          <t>이강바이오컴퍼니 주식회사</t>
        </is>
      </c>
      <c r="E57" s="24" t="inlineStr">
        <is>
          <t>오아시스</t>
        </is>
      </c>
      <c r="F57" s="170" t="n">
        <v>0</v>
      </c>
      <c r="G57" s="170" t="n">
        <v>0</v>
      </c>
      <c r="H57" s="182" t="n">
        <v>0</v>
      </c>
      <c r="I57" s="183" t="inlineStr"/>
      <c r="J57" s="184">
        <f>H57/8000000</f>
        <v/>
      </c>
      <c r="K57" s="170">
        <f>8000000-H57</f>
        <v/>
      </c>
    </row>
  </sheetData>
  <conditionalFormatting sqref="A2:H2 J2:XFD2">
    <cfRule type="duplicateValues" priority="1" dxfId="0"/>
  </conditionalFormatting>
  <conditionalFormatting sqref="C1:C1048576">
    <cfRule type="duplicateValues" priority="11" dxfId="0"/>
    <cfRule type="duplicateValues" priority="12" dxfId="0"/>
    <cfRule type="duplicateValues" priority="18" dxfId="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7"/>
  <sheetViews>
    <sheetView zoomScaleNormal="100" zoomScaleSheetLayoutView="85" workbookViewId="0">
      <pane xSplit="1" ySplit="5" topLeftCell="B141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33.5" bestFit="1" customWidth="1" style="7" min="3" max="3"/>
    <col width="14.19921875" bestFit="1" customWidth="1" style="7" min="4" max="4"/>
    <col width="82.0976562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9" customWidth="1" style="7" min="9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52" t="n"/>
      <c r="G1" s="152" t="n"/>
      <c r="H1" s="20" t="n"/>
    </row>
    <row r="2" ht="26.25" customFormat="1" customHeight="1" s="57">
      <c r="A2" s="56" t="inlineStr">
        <is>
          <t>기간 : 07월 06일 ~ 08월 31일</t>
        </is>
      </c>
      <c r="F2" s="129" t="n"/>
      <c r="G2" s="129" t="n"/>
      <c r="H2" s="7" t="n"/>
    </row>
    <row r="3" customFormat="1" s="57">
      <c r="A3" s="4" t="n"/>
      <c r="F3" s="129" t="n"/>
      <c r="G3" s="129" t="n"/>
      <c r="H3" s="7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SUM(F6:F1000)</f>
        <v/>
      </c>
      <c r="G4" s="132">
        <f>SUM(G6:G1000)</f>
        <v/>
      </c>
      <c r="H4" s="132">
        <f>SUM(H6:H1000)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12" t="inlineStr">
        <is>
          <t>오아시스</t>
        </is>
      </c>
      <c r="B6" s="13" t="inlineStr">
        <is>
          <t>가공식품</t>
        </is>
      </c>
      <c r="C6" s="14" t="inlineStr">
        <is>
          <t>푸르메다</t>
        </is>
      </c>
      <c r="D6" s="14" t="inlineStr">
        <is>
          <t>142-08-14196</t>
        </is>
      </c>
      <c r="E6" s="15" t="inlineStr">
        <is>
          <t>우유와함께 제주녹차라떼</t>
        </is>
      </c>
      <c r="F6" s="153" t="n">
        <v>715</v>
      </c>
      <c r="G6" s="153" t="n">
        <v>4837900</v>
      </c>
      <c r="H6" s="153" t="n">
        <v>534820</v>
      </c>
    </row>
    <row r="7">
      <c r="A7" s="12" t="inlineStr">
        <is>
          <t>오아시스</t>
        </is>
      </c>
      <c r="B7" s="13" t="inlineStr">
        <is>
          <t>가공식품</t>
        </is>
      </c>
      <c r="C7" s="14" t="inlineStr">
        <is>
          <t>푸르메다</t>
        </is>
      </c>
      <c r="D7" s="14" t="inlineStr">
        <is>
          <t>142-08-14196</t>
        </is>
      </c>
      <c r="E7" s="15" t="inlineStr">
        <is>
          <t>3초 보리 순아이티 (15입)</t>
        </is>
      </c>
      <c r="F7" s="153" t="n">
        <v>1221</v>
      </c>
      <c r="G7" s="153" t="n">
        <v>7982150</v>
      </c>
      <c r="H7" s="153" t="n">
        <v>850218</v>
      </c>
    </row>
    <row r="8">
      <c r="A8" s="12" t="inlineStr">
        <is>
          <t>오아시스</t>
        </is>
      </c>
      <c r="B8" s="13" t="inlineStr">
        <is>
          <t>가공식품</t>
        </is>
      </c>
      <c r="C8" s="14" t="inlineStr">
        <is>
          <t>푸르메다</t>
        </is>
      </c>
      <c r="D8" s="14" t="inlineStr">
        <is>
          <t>142-08-14196</t>
        </is>
      </c>
      <c r="E8" s="15" t="inlineStr">
        <is>
          <t>유기농 제주 말차 ((20g×2입)×1개)</t>
        </is>
      </c>
      <c r="F8" s="153" t="n">
        <v>236</v>
      </c>
      <c r="G8" s="153" t="n">
        <v>4176000</v>
      </c>
      <c r="H8" s="153" t="n">
        <v>442255</v>
      </c>
    </row>
    <row r="9">
      <c r="A9" s="12" t="inlineStr">
        <is>
          <t>오아시스</t>
        </is>
      </c>
      <c r="B9" s="13" t="inlineStr">
        <is>
          <t>가공식품</t>
        </is>
      </c>
      <c r="C9" s="14" t="inlineStr">
        <is>
          <t>해담는집</t>
        </is>
      </c>
      <c r="D9" s="14" t="inlineStr">
        <is>
          <t>745-96-00315</t>
        </is>
      </c>
      <c r="E9" s="15" t="inlineStr">
        <is>
          <t>해담는집 유기농 고춧가루 500g/200g(순한맛/보통맛/매운맛)</t>
        </is>
      </c>
      <c r="F9" s="153" t="n">
        <v>11</v>
      </c>
      <c r="G9" s="153" t="n">
        <v>434900</v>
      </c>
      <c r="H9" s="153" t="n">
        <v>45006</v>
      </c>
    </row>
    <row r="10">
      <c r="A10" s="12" t="inlineStr">
        <is>
          <t>오아시스</t>
        </is>
      </c>
      <c r="B10" s="13" t="inlineStr">
        <is>
          <t>농산물</t>
        </is>
      </c>
      <c r="C10" s="14" t="inlineStr">
        <is>
          <t>해담는집</t>
        </is>
      </c>
      <c r="D10" s="14" t="inlineStr">
        <is>
          <t>745-96-00315</t>
        </is>
      </c>
      <c r="E10" s="15" t="inlineStr">
        <is>
          <t>[해담는집] 유기농 고추씨 500g</t>
        </is>
      </c>
      <c r="F10" s="153" t="n">
        <v>5</v>
      </c>
      <c r="G10" s="153" t="n">
        <v>69500</v>
      </c>
      <c r="H10" s="153" t="n">
        <v>7282</v>
      </c>
    </row>
    <row r="11">
      <c r="A11" s="12" t="inlineStr">
        <is>
          <t>오아시스</t>
        </is>
      </c>
      <c r="B11" s="13" t="inlineStr">
        <is>
          <t>농산물</t>
        </is>
      </c>
      <c r="C11" s="14" t="inlineStr">
        <is>
          <t>해담는집</t>
        </is>
      </c>
      <c r="D11" s="14" t="inlineStr">
        <is>
          <t>745-96-00315</t>
        </is>
      </c>
      <c r="E11" s="15" t="inlineStr">
        <is>
          <t>[해담는집] 유기농 들깨 500g</t>
        </is>
      </c>
      <c r="F11" s="153" t="n">
        <v>2</v>
      </c>
      <c r="G11" s="153" t="n">
        <v>41800</v>
      </c>
      <c r="H11" s="153" t="n">
        <v>2590</v>
      </c>
    </row>
    <row r="12">
      <c r="A12" s="12" t="inlineStr">
        <is>
          <t>오아시스</t>
        </is>
      </c>
      <c r="B12" s="13" t="inlineStr">
        <is>
          <t>가공식품</t>
        </is>
      </c>
      <c r="C12" s="14" t="inlineStr">
        <is>
          <t>해담는집</t>
        </is>
      </c>
      <c r="D12" s="14" t="inlineStr">
        <is>
          <t>745-96-00315</t>
        </is>
      </c>
      <c r="E12" s="15" t="inlineStr">
        <is>
          <t>[해담는집]유기농 크러쉬드 레드페퍼</t>
        </is>
      </c>
      <c r="F12" s="153" t="n">
        <v>41</v>
      </c>
      <c r="G12" s="153" t="n">
        <v>430500</v>
      </c>
      <c r="H12" s="153" t="n">
        <v>46702</v>
      </c>
    </row>
    <row r="13">
      <c r="A13" s="12" t="inlineStr">
        <is>
          <t>오아시스</t>
        </is>
      </c>
      <c r="B13" s="13" t="inlineStr">
        <is>
          <t>가공식품</t>
        </is>
      </c>
      <c r="C13" s="14" t="inlineStr">
        <is>
          <t>해담는집</t>
        </is>
      </c>
      <c r="D13" s="14" t="inlineStr">
        <is>
          <t>745-96-00315</t>
        </is>
      </c>
      <c r="E13" s="15" t="inlineStr">
        <is>
          <t>유기농 메리골드 건조차 50g/꽃차/생화/식용꽃</t>
        </is>
      </c>
      <c r="F13" s="153" t="n">
        <v>9</v>
      </c>
      <c r="G13" s="153" t="n">
        <v>125100</v>
      </c>
      <c r="H13" s="153" t="n">
        <v>13900</v>
      </c>
    </row>
    <row r="14">
      <c r="A14" s="12" t="inlineStr">
        <is>
          <t>오아시스</t>
        </is>
      </c>
      <c r="B14" s="13" t="inlineStr">
        <is>
          <t>가공식품</t>
        </is>
      </c>
      <c r="C14" s="14" t="inlineStr">
        <is>
          <t>주식회사 베리네이처</t>
        </is>
      </c>
      <c r="D14" s="14" t="inlineStr">
        <is>
          <t>754-88-00876</t>
        </is>
      </c>
      <c r="E14" s="15" t="inlineStr">
        <is>
          <t>유기농 토핑 야채큐브 다진 비트 45g</t>
        </is>
      </c>
      <c r="F14" s="153" t="n">
        <v>2024</v>
      </c>
      <c r="G14" s="153" t="n">
        <v>4857600</v>
      </c>
      <c r="H14" s="153" t="n">
        <v>269694</v>
      </c>
    </row>
    <row r="15">
      <c r="A15" s="12" t="inlineStr">
        <is>
          <t>오아시스</t>
        </is>
      </c>
      <c r="B15" s="13" t="inlineStr">
        <is>
          <t>가공식품</t>
        </is>
      </c>
      <c r="C15" s="14" t="inlineStr">
        <is>
          <t>주식회사 베리네이처</t>
        </is>
      </c>
      <c r="D15" s="14" t="inlineStr">
        <is>
          <t>754-88-00876</t>
        </is>
      </c>
      <c r="E15" s="15" t="inlineStr">
        <is>
          <t>유기농 토핑 야채큐브 다진 양배추 45g</t>
        </is>
      </c>
      <c r="F15" s="153" t="n">
        <v>1290</v>
      </c>
      <c r="G15" s="153" t="n">
        <v>2967000</v>
      </c>
      <c r="H15" s="153" t="n">
        <v>141606</v>
      </c>
    </row>
    <row r="16">
      <c r="A16" s="12" t="inlineStr">
        <is>
          <t>오아시스</t>
        </is>
      </c>
      <c r="B16" s="13" t="inlineStr">
        <is>
          <t>가공식품</t>
        </is>
      </c>
      <c r="C16" s="14" t="inlineStr">
        <is>
          <t>주식회사 베리네이처</t>
        </is>
      </c>
      <c r="D16" s="14" t="inlineStr">
        <is>
          <t>754-88-00876</t>
        </is>
      </c>
      <c r="E16" s="15" t="inlineStr">
        <is>
          <t>유기농 토핑 야채큐브 다진 무 45g</t>
        </is>
      </c>
      <c r="F16" s="153" t="n">
        <v>1079</v>
      </c>
      <c r="G16" s="153" t="n">
        <v>2697500</v>
      </c>
      <c r="H16" s="153" t="n">
        <v>121065</v>
      </c>
    </row>
    <row r="17">
      <c r="A17" s="12" t="inlineStr">
        <is>
          <t>오아시스</t>
        </is>
      </c>
      <c r="B17" s="13" t="inlineStr">
        <is>
          <t>가공식품</t>
        </is>
      </c>
      <c r="C17" s="14" t="inlineStr">
        <is>
          <t>주식회사 베리네이처</t>
        </is>
      </c>
      <c r="D17" s="14" t="inlineStr">
        <is>
          <t>754-88-00876</t>
        </is>
      </c>
      <c r="E17" s="15" t="inlineStr">
        <is>
          <t>무농약 토핑 야채큐브 다진 근대 45g</t>
        </is>
      </c>
      <c r="F17" s="153" t="n">
        <v>1161</v>
      </c>
      <c r="G17" s="153" t="n">
        <v>3250800</v>
      </c>
      <c r="H17" s="153" t="n">
        <v>168482</v>
      </c>
    </row>
    <row r="18">
      <c r="A18" s="12" t="inlineStr">
        <is>
          <t>오아시스</t>
        </is>
      </c>
      <c r="B18" s="13" t="inlineStr">
        <is>
          <t>가공식품</t>
        </is>
      </c>
      <c r="C18" s="14" t="inlineStr">
        <is>
          <t>주식회사 베리네이처</t>
        </is>
      </c>
      <c r="D18" s="14" t="inlineStr">
        <is>
          <t>754-88-00876</t>
        </is>
      </c>
      <c r="E18" s="15" t="inlineStr">
        <is>
          <t>무농약 토핑 야채큐브 다진 청경채 45g</t>
        </is>
      </c>
      <c r="F18" s="153" t="n">
        <v>1595</v>
      </c>
      <c r="G18" s="153" t="n">
        <v>4466000</v>
      </c>
      <c r="H18" s="153" t="n">
        <v>250968</v>
      </c>
    </row>
    <row r="19">
      <c r="A19" s="12" t="inlineStr">
        <is>
          <t>오아시스</t>
        </is>
      </c>
      <c r="B19" s="13" t="inlineStr">
        <is>
          <t>가공식품</t>
        </is>
      </c>
      <c r="C19" s="14" t="inlineStr">
        <is>
          <t>주식회사 베리네이처</t>
        </is>
      </c>
      <c r="D19" s="14" t="inlineStr">
        <is>
          <t>754-88-00876</t>
        </is>
      </c>
      <c r="E19" s="15" t="inlineStr">
        <is>
          <t>유기농 토핑 야채큐브 다진 시금치 45g</t>
        </is>
      </c>
      <c r="F19" s="153" t="n">
        <v>1812</v>
      </c>
      <c r="G19" s="153" t="n">
        <v>6342000</v>
      </c>
      <c r="H19" s="153" t="n">
        <v>291421</v>
      </c>
    </row>
    <row r="20">
      <c r="A20" s="12" t="inlineStr">
        <is>
          <t>오아시스</t>
        </is>
      </c>
      <c r="B20" s="13" t="inlineStr">
        <is>
          <t>가공식품</t>
        </is>
      </c>
      <c r="C20" s="14" t="inlineStr">
        <is>
          <t>주식회사 베리네이처</t>
        </is>
      </c>
      <c r="D20" s="14" t="inlineStr">
        <is>
          <t>754-88-00876</t>
        </is>
      </c>
      <c r="E20" s="15" t="inlineStr">
        <is>
          <t>무농약 토핑 야채큐브 다진 새송이버섯 45g</t>
        </is>
      </c>
      <c r="F20" s="153" t="n">
        <v>1164</v>
      </c>
      <c r="G20" s="153" t="n">
        <v>2060280</v>
      </c>
      <c r="H20" s="153" t="n">
        <v>99017</v>
      </c>
    </row>
    <row r="21">
      <c r="A21" s="12" t="inlineStr">
        <is>
          <t>오아시스</t>
        </is>
      </c>
      <c r="B21" s="13" t="inlineStr">
        <is>
          <t>가공식품</t>
        </is>
      </c>
      <c r="C21" s="14" t="inlineStr">
        <is>
          <t>주식회사 베리네이처</t>
        </is>
      </c>
      <c r="D21" s="14" t="inlineStr">
        <is>
          <t>754-88-00876</t>
        </is>
      </c>
      <c r="E21" s="15" t="inlineStr">
        <is>
          <t>유기농 토핑 야채큐브 다진 당근 45g</t>
        </is>
      </c>
      <c r="F21" s="153" t="n">
        <v>936</v>
      </c>
      <c r="G21" s="153" t="n">
        <v>2527200</v>
      </c>
      <c r="H21" s="153" t="n">
        <v>102269</v>
      </c>
    </row>
    <row r="22">
      <c r="A22" s="12" t="inlineStr">
        <is>
          <t>오아시스</t>
        </is>
      </c>
      <c r="B22" s="13" t="inlineStr">
        <is>
          <t>가공식품</t>
        </is>
      </c>
      <c r="C22" s="14" t="inlineStr">
        <is>
          <t>주식회사 베리네이처</t>
        </is>
      </c>
      <c r="D22" s="14" t="inlineStr">
        <is>
          <t>754-88-00876</t>
        </is>
      </c>
      <c r="E22" s="15" t="inlineStr">
        <is>
          <t>무농약 토핑 야채큐브 다진 애호박 45g</t>
        </is>
      </c>
      <c r="F22" s="153" t="n">
        <v>848</v>
      </c>
      <c r="G22" s="153" t="n">
        <v>2459200</v>
      </c>
      <c r="H22" s="153" t="n">
        <v>100078</v>
      </c>
    </row>
    <row r="23">
      <c r="A23" s="12" t="inlineStr">
        <is>
          <t>오아시스</t>
        </is>
      </c>
      <c r="B23" s="13" t="inlineStr">
        <is>
          <t>가공식품</t>
        </is>
      </c>
      <c r="C23" s="14" t="inlineStr">
        <is>
          <t>주식회사 베리네이처</t>
        </is>
      </c>
      <c r="D23" s="14" t="inlineStr">
        <is>
          <t>754-88-00876</t>
        </is>
      </c>
      <c r="E23" s="15" t="inlineStr">
        <is>
          <t>유기농 토핑 야채큐브 다진 단호박 45g</t>
        </is>
      </c>
      <c r="F23" s="153" t="n">
        <v>1110</v>
      </c>
      <c r="G23" s="153" t="n">
        <v>2664000</v>
      </c>
      <c r="H23" s="153" t="n">
        <v>135562</v>
      </c>
    </row>
    <row r="24">
      <c r="A24" s="12" t="inlineStr">
        <is>
          <t>오아시스</t>
        </is>
      </c>
      <c r="B24" s="13" t="inlineStr">
        <is>
          <t>축산물</t>
        </is>
      </c>
      <c r="C24" s="14" t="inlineStr">
        <is>
          <t>주식회사 베리네이처</t>
        </is>
      </c>
      <c r="D24" s="14" t="inlineStr">
        <is>
          <t>754-88-00876</t>
        </is>
      </c>
      <c r="E24" s="15" t="inlineStr">
        <is>
          <t>무항생제 닭 안심 다짐육 30g x 3구</t>
        </is>
      </c>
      <c r="F24" s="153" t="n">
        <v>798</v>
      </c>
      <c r="G24" s="153" t="n">
        <v>3910200</v>
      </c>
      <c r="H24" s="153" t="n">
        <v>188318</v>
      </c>
    </row>
    <row r="25">
      <c r="A25" s="12" t="inlineStr">
        <is>
          <t>오아시스</t>
        </is>
      </c>
      <c r="B25" s="13" t="inlineStr">
        <is>
          <t>축산물</t>
        </is>
      </c>
      <c r="C25" s="14" t="inlineStr">
        <is>
          <t>주식회사 베리네이처</t>
        </is>
      </c>
      <c r="D25" s="14" t="inlineStr">
        <is>
          <t>754-88-00876</t>
        </is>
      </c>
      <c r="E25" s="15" t="inlineStr">
        <is>
          <t>무항생제 한우 설도 다짐육 30g x 3구</t>
        </is>
      </c>
      <c r="F25" s="153" t="n">
        <v>509</v>
      </c>
      <c r="G25" s="153" t="n">
        <v>3726600</v>
      </c>
      <c r="H25" s="153" t="n">
        <v>262003</v>
      </c>
    </row>
    <row r="26">
      <c r="A26" s="12" t="inlineStr">
        <is>
          <t>오아시스</t>
        </is>
      </c>
      <c r="B26" s="13" t="inlineStr">
        <is>
          <t>가공식품</t>
        </is>
      </c>
      <c r="C26" s="14" t="inlineStr">
        <is>
          <t>농업회사법인(주)다고</t>
        </is>
      </c>
      <c r="D26" s="14" t="inlineStr">
        <is>
          <t>685-88-00527</t>
        </is>
      </c>
      <c r="E26" s="15" t="inlineStr">
        <is>
          <t>유기농 순돼지감자차 1박스 2g X 20포</t>
        </is>
      </c>
      <c r="F26" s="153" t="n">
        <v>34</v>
      </c>
      <c r="G26" s="153" t="n">
        <v>510000</v>
      </c>
      <c r="H26" s="153" t="n">
        <v>99000</v>
      </c>
    </row>
    <row r="27">
      <c r="A27" s="12" t="inlineStr">
        <is>
          <t>오아시스</t>
        </is>
      </c>
      <c r="B27" s="13" t="inlineStr">
        <is>
          <t>가공식품</t>
        </is>
      </c>
      <c r="C27" s="14" t="inlineStr">
        <is>
          <t>농업회사법인(주)다고</t>
        </is>
      </c>
      <c r="D27" s="14" t="inlineStr">
        <is>
          <t>685-88-00527</t>
        </is>
      </c>
      <c r="E27" s="15" t="inlineStr">
        <is>
          <t>유기농 순수블랙보리차 1박스 2g X 20포</t>
        </is>
      </c>
      <c r="F27" s="153" t="n">
        <v>3</v>
      </c>
      <c r="G27" s="153" t="n">
        <v>45000</v>
      </c>
      <c r="H27" s="153" t="n">
        <v>4000</v>
      </c>
    </row>
    <row r="28">
      <c r="A28" s="12" t="inlineStr">
        <is>
          <t>오아시스</t>
        </is>
      </c>
      <c r="B28" s="13" t="inlineStr">
        <is>
          <t>가공식품</t>
        </is>
      </c>
      <c r="C28" s="14" t="inlineStr">
        <is>
          <t>내추럴참푸드</t>
        </is>
      </c>
      <c r="D28" s="14" t="inlineStr">
        <is>
          <t>109-36-80203</t>
        </is>
      </c>
      <c r="E28" s="15" t="inlineStr">
        <is>
          <t>유기농 도라지 농축액(160g)</t>
        </is>
      </c>
      <c r="F28" s="153" t="n">
        <v>162</v>
      </c>
      <c r="G28" s="153" t="n">
        <v>4284960</v>
      </c>
      <c r="H28" s="153" t="n">
        <v>398576</v>
      </c>
    </row>
    <row r="29">
      <c r="A29" s="12" t="inlineStr">
        <is>
          <t>오아시스</t>
        </is>
      </c>
      <c r="B29" s="13" t="inlineStr">
        <is>
          <t>가공식품</t>
        </is>
      </c>
      <c r="C29" s="14" t="inlineStr">
        <is>
          <t>내추럴참푸드</t>
        </is>
      </c>
      <c r="D29" s="14" t="inlineStr">
        <is>
          <t>109-36-80203</t>
        </is>
      </c>
      <c r="E29" s="15" t="inlineStr">
        <is>
          <t>유기농 도라지배 농축액(220g)</t>
        </is>
      </c>
      <c r="F29" s="153" t="n">
        <v>198</v>
      </c>
      <c r="G29" s="153" t="n">
        <v>5511900</v>
      </c>
      <c r="H29" s="153" t="n">
        <v>565460</v>
      </c>
    </row>
    <row r="30">
      <c r="A30" s="12" t="inlineStr">
        <is>
          <t>오아시스</t>
        </is>
      </c>
      <c r="B30" s="13" t="inlineStr">
        <is>
          <t>가공식품</t>
        </is>
      </c>
      <c r="C30" s="14" t="inlineStr">
        <is>
          <t>내추럴참푸드</t>
        </is>
      </c>
      <c r="D30" s="14" t="inlineStr">
        <is>
          <t>109-36-80203</t>
        </is>
      </c>
      <c r="E30" s="15" t="inlineStr">
        <is>
          <t>[MD추천]유기농 도라지 홍삼청(10gx15)</t>
        </is>
      </c>
      <c r="F30" s="153" t="n">
        <v>31</v>
      </c>
      <c r="G30" s="153" t="n">
        <v>682000</v>
      </c>
      <c r="H30" s="153" t="n">
        <v>93600</v>
      </c>
    </row>
    <row r="31">
      <c r="A31" s="12" t="inlineStr">
        <is>
          <t>오아시스</t>
        </is>
      </c>
      <c r="B31" s="13" t="inlineStr">
        <is>
          <t>가공식품</t>
        </is>
      </c>
      <c r="C31" s="14" t="inlineStr">
        <is>
          <t>내추럴참푸드</t>
        </is>
      </c>
      <c r="D31" s="14" t="inlineStr">
        <is>
          <t>109-36-80203</t>
        </is>
      </c>
      <c r="E31" s="15" t="inlineStr">
        <is>
          <t>더조은 유기농 생강청 (160g)</t>
        </is>
      </c>
      <c r="F31" s="153" t="n">
        <v>52</v>
      </c>
      <c r="G31" s="153" t="n">
        <v>1341600</v>
      </c>
      <c r="H31" s="153" t="n">
        <v>149000</v>
      </c>
    </row>
    <row r="32">
      <c r="A32" s="12" t="inlineStr">
        <is>
          <t>오아시스</t>
        </is>
      </c>
      <c r="B32" s="13" t="inlineStr">
        <is>
          <t>가공식품</t>
        </is>
      </c>
      <c r="C32" s="14" t="inlineStr">
        <is>
          <t>내추럴참푸드</t>
        </is>
      </c>
      <c r="D32" s="14" t="inlineStr">
        <is>
          <t>109-36-80203</t>
        </is>
      </c>
      <c r="E32" s="15" t="inlineStr">
        <is>
          <t>유기농 양배추청(10gx30)</t>
        </is>
      </c>
      <c r="F32" s="153" t="n">
        <v>38</v>
      </c>
      <c r="G32" s="153" t="n">
        <v>684000</v>
      </c>
      <c r="H32" s="153" t="n">
        <v>107056</v>
      </c>
    </row>
    <row r="33">
      <c r="A33" s="12" t="inlineStr">
        <is>
          <t>오아시스</t>
        </is>
      </c>
      <c r="B33" s="12" t="inlineStr">
        <is>
          <t>가공식품</t>
        </is>
      </c>
      <c r="C33" s="14" t="inlineStr">
        <is>
          <t>내추럴참푸드</t>
        </is>
      </c>
      <c r="D33" s="14" t="inlineStr">
        <is>
          <t>109-36-80203</t>
        </is>
      </c>
      <c r="E33" s="15" t="inlineStr">
        <is>
          <t>유기농 양배추환 (170g)</t>
        </is>
      </c>
      <c r="F33" s="153" t="n">
        <v>63</v>
      </c>
      <c r="G33" s="153" t="n">
        <v>1184400</v>
      </c>
      <c r="H33" s="153" t="n">
        <v>144267</v>
      </c>
    </row>
    <row r="34">
      <c r="A34" s="12" t="inlineStr">
        <is>
          <t>오아시스</t>
        </is>
      </c>
      <c r="B34" s="12" t="inlineStr">
        <is>
          <t>농산물</t>
        </is>
      </c>
      <c r="C34" s="14" t="inlineStr">
        <is>
          <t>굿그레인즈</t>
        </is>
      </c>
      <c r="D34" s="14" t="inlineStr">
        <is>
          <t>126-18-96934</t>
        </is>
      </c>
      <c r="E34" s="15" t="inlineStr">
        <is>
          <t>유기농 백미(10kg/단일품종)</t>
        </is>
      </c>
      <c r="F34" s="153" t="n">
        <v>2893</v>
      </c>
      <c r="G34" s="153" t="n">
        <v>172760700</v>
      </c>
      <c r="H34" s="153" t="n">
        <v>869369</v>
      </c>
    </row>
    <row r="35">
      <c r="A35" s="12" t="inlineStr">
        <is>
          <t>오아시스</t>
        </is>
      </c>
      <c r="B35" s="12" t="inlineStr">
        <is>
          <t>농산물</t>
        </is>
      </c>
      <c r="C35" s="14" t="inlineStr">
        <is>
          <t>굿그레인즈</t>
        </is>
      </c>
      <c r="D35" s="14" t="inlineStr">
        <is>
          <t>126-18-96934</t>
        </is>
      </c>
      <c r="E35" s="15" t="inlineStr">
        <is>
          <t>유기농 백미(4kg/단일품종)</t>
        </is>
      </c>
      <c r="F35" s="153" t="n">
        <v>11062</v>
      </c>
      <c r="G35" s="153" t="n">
        <v>282690960</v>
      </c>
      <c r="H35" s="153" t="n">
        <v>744602</v>
      </c>
    </row>
    <row r="36">
      <c r="A36" s="12" t="inlineStr">
        <is>
          <t>오아시스</t>
        </is>
      </c>
      <c r="B36" s="12" t="inlineStr">
        <is>
          <t>농산물</t>
        </is>
      </c>
      <c r="C36" s="14" t="inlineStr">
        <is>
          <t>굿그레인즈</t>
        </is>
      </c>
      <c r="D36" s="14" t="inlineStr">
        <is>
          <t>126-18-96934</t>
        </is>
      </c>
      <c r="E36" s="15" t="inlineStr">
        <is>
          <t>유기농 백미(2kg/단일품종)</t>
        </is>
      </c>
      <c r="F36" s="153" t="n">
        <v>5048</v>
      </c>
      <c r="G36" s="153" t="n">
        <v>68065320</v>
      </c>
      <c r="H36" s="153" t="n">
        <v>292764</v>
      </c>
    </row>
    <row r="37">
      <c r="A37" s="12" t="inlineStr">
        <is>
          <t>오아시스</t>
        </is>
      </c>
      <c r="B37" s="12" t="inlineStr">
        <is>
          <t>농산물</t>
        </is>
      </c>
      <c r="C37" s="14" t="inlineStr">
        <is>
          <t>굿그레인즈</t>
        </is>
      </c>
      <c r="D37" s="14" t="inlineStr">
        <is>
          <t>126-18-96934</t>
        </is>
      </c>
      <c r="E37" s="15" t="inlineStr">
        <is>
          <t>유기농 현미(4kg/단일품종)</t>
        </is>
      </c>
      <c r="F37" s="153" t="n">
        <v>1954</v>
      </c>
      <c r="G37" s="153" t="n">
        <v>48742080</v>
      </c>
      <c r="H37" s="153" t="n">
        <v>230365</v>
      </c>
    </row>
    <row r="38">
      <c r="A38" s="12" t="inlineStr">
        <is>
          <t>오아시스</t>
        </is>
      </c>
      <c r="B38" s="12" t="inlineStr">
        <is>
          <t>농산물</t>
        </is>
      </c>
      <c r="C38" s="14" t="inlineStr">
        <is>
          <t>굿그레인즈</t>
        </is>
      </c>
      <c r="D38" s="14" t="inlineStr">
        <is>
          <t>126-18-96934</t>
        </is>
      </c>
      <c r="E38" s="15" t="inlineStr">
        <is>
          <t>유기농 현미 (2kg/단일품종)</t>
        </is>
      </c>
      <c r="F38" s="153" t="n">
        <v>1297</v>
      </c>
      <c r="G38" s="153" t="n">
        <v>17529140</v>
      </c>
      <c r="H38" s="153" t="n">
        <v>57235</v>
      </c>
    </row>
    <row r="39">
      <c r="A39" s="12" t="inlineStr">
        <is>
          <t>오아시스</t>
        </is>
      </c>
      <c r="B39" s="12" t="inlineStr">
        <is>
          <t>농산물</t>
        </is>
      </c>
      <c r="C39" s="14" t="inlineStr">
        <is>
          <t>굿그레인즈</t>
        </is>
      </c>
      <c r="D39" s="14" t="inlineStr">
        <is>
          <t>126-18-96934</t>
        </is>
      </c>
      <c r="E39" s="15" t="inlineStr">
        <is>
          <t>유기농 현미찹쌀(4kg)</t>
        </is>
      </c>
      <c r="F39" s="153" t="n">
        <v>199</v>
      </c>
      <c r="G39" s="153" t="n">
        <v>6930300</v>
      </c>
      <c r="H39" s="153" t="n">
        <v>60880</v>
      </c>
    </row>
    <row r="40">
      <c r="A40" s="12" t="inlineStr">
        <is>
          <t>오아시스</t>
        </is>
      </c>
      <c r="B40" s="12" t="inlineStr">
        <is>
          <t>농산물</t>
        </is>
      </c>
      <c r="C40" s="14" t="inlineStr">
        <is>
          <t>굿그레인즈</t>
        </is>
      </c>
      <c r="D40" s="14" t="inlineStr">
        <is>
          <t>126-18-96934</t>
        </is>
      </c>
      <c r="E40" s="15" t="inlineStr">
        <is>
          <t>유기농 현미찹쌀(2kg)</t>
        </is>
      </c>
      <c r="F40" s="153" t="n">
        <v>627</v>
      </c>
      <c r="G40" s="153" t="n">
        <v>10950000</v>
      </c>
      <c r="H40" s="153" t="n">
        <v>46147</v>
      </c>
    </row>
    <row r="41">
      <c r="A41" s="12" t="inlineStr">
        <is>
          <t>오아시스</t>
        </is>
      </c>
      <c r="B41" s="12" t="inlineStr">
        <is>
          <t>농산물</t>
        </is>
      </c>
      <c r="C41" s="14" t="inlineStr">
        <is>
          <t>굿그레인즈</t>
        </is>
      </c>
      <c r="D41" s="14" t="inlineStr">
        <is>
          <t>126-18-96934</t>
        </is>
      </c>
      <c r="E41" s="15" t="inlineStr">
        <is>
          <t>유기농 찹쌀(4kg)</t>
        </is>
      </c>
      <c r="F41" s="153" t="n">
        <v>151</v>
      </c>
      <c r="G41" s="153" t="n">
        <v>5277500</v>
      </c>
      <c r="H41" s="153" t="n">
        <v>30825</v>
      </c>
    </row>
    <row r="42">
      <c r="A42" s="12" t="inlineStr">
        <is>
          <t>오아시스</t>
        </is>
      </c>
      <c r="B42" s="12" t="inlineStr">
        <is>
          <t>농산물</t>
        </is>
      </c>
      <c r="C42" s="14" t="inlineStr">
        <is>
          <t>굿그레인즈</t>
        </is>
      </c>
      <c r="D42" s="14" t="inlineStr">
        <is>
          <t>126-18-96934</t>
        </is>
      </c>
      <c r="E42" s="15" t="inlineStr">
        <is>
          <t>유기농 찹쌀(2kg)</t>
        </is>
      </c>
      <c r="F42" s="153" t="n">
        <v>1100</v>
      </c>
      <c r="G42" s="153" t="n">
        <v>18940900</v>
      </c>
      <c r="H42" s="153" t="n">
        <v>150554</v>
      </c>
    </row>
    <row r="43">
      <c r="A43" s="12" t="inlineStr">
        <is>
          <t>오아시스</t>
        </is>
      </c>
      <c r="B43" s="12" t="inlineStr">
        <is>
          <t>농산물</t>
        </is>
      </c>
      <c r="C43" s="14" t="inlineStr">
        <is>
          <t>굿그레인즈</t>
        </is>
      </c>
      <c r="D43" s="14" t="inlineStr">
        <is>
          <t>126-18-96934</t>
        </is>
      </c>
      <c r="E43" s="15" t="inlineStr">
        <is>
          <t>유기농 혼합9곡(4kg)</t>
        </is>
      </c>
      <c r="F43" s="153" t="n">
        <v>647</v>
      </c>
      <c r="G43" s="153" t="n">
        <v>25168300</v>
      </c>
      <c r="H43" s="153" t="n">
        <v>146974</v>
      </c>
    </row>
    <row r="44">
      <c r="A44" s="12" t="inlineStr">
        <is>
          <t>오아시스</t>
        </is>
      </c>
      <c r="B44" s="12" t="inlineStr">
        <is>
          <t>농산물</t>
        </is>
      </c>
      <c r="C44" s="14" t="inlineStr">
        <is>
          <t>굿그레인즈</t>
        </is>
      </c>
      <c r="D44" s="14" t="inlineStr">
        <is>
          <t>126-18-96934</t>
        </is>
      </c>
      <c r="E44" s="15" t="inlineStr">
        <is>
          <t>유기농 혼합9곡(2kg)</t>
        </is>
      </c>
      <c r="F44" s="153" t="n">
        <v>1077</v>
      </c>
      <c r="G44" s="153" t="n">
        <v>24663300</v>
      </c>
      <c r="H44" s="153" t="n">
        <v>119080</v>
      </c>
    </row>
    <row r="45">
      <c r="A45" s="12" t="inlineStr">
        <is>
          <t>오아시스</t>
        </is>
      </c>
      <c r="B45" s="12" t="inlineStr">
        <is>
          <t>농산물</t>
        </is>
      </c>
      <c r="C45" s="14" t="inlineStr">
        <is>
          <t>다원팜</t>
        </is>
      </c>
      <c r="D45" s="14" t="inlineStr">
        <is>
          <t>680-87-00224</t>
        </is>
      </c>
      <c r="E45" s="15" t="inlineStr">
        <is>
          <t>GAP 무농약 고기느타리(300g)</t>
        </is>
      </c>
      <c r="F45" s="153" t="n">
        <v>5812</v>
      </c>
      <c r="G45" s="153" t="n">
        <v>17304560</v>
      </c>
      <c r="H45" s="153" t="n">
        <v>933549</v>
      </c>
    </row>
    <row r="46">
      <c r="A46" s="12" t="inlineStr">
        <is>
          <t>오아시스</t>
        </is>
      </c>
      <c r="B46" s="12" t="inlineStr">
        <is>
          <t>농산물</t>
        </is>
      </c>
      <c r="C46" s="14" t="inlineStr">
        <is>
          <t>다원팜</t>
        </is>
      </c>
      <c r="D46" s="14" t="inlineStr">
        <is>
          <t>680-87-00224</t>
        </is>
      </c>
      <c r="E46" s="15" t="inlineStr">
        <is>
          <t>GAP 무농약 삼색느타리(400g)</t>
        </is>
      </c>
      <c r="F46" s="153" t="n">
        <v>1082</v>
      </c>
      <c r="G46" s="153" t="n">
        <v>4844550</v>
      </c>
      <c r="H46" s="153" t="n">
        <v>241272</v>
      </c>
    </row>
    <row r="47">
      <c r="A47" s="12" t="inlineStr">
        <is>
          <t>오아시스</t>
        </is>
      </c>
      <c r="B47" s="12" t="inlineStr">
        <is>
          <t>농산물</t>
        </is>
      </c>
      <c r="C47" s="14" t="inlineStr">
        <is>
          <t>다원팜</t>
        </is>
      </c>
      <c r="D47" s="14" t="inlineStr">
        <is>
          <t>680-87-00224</t>
        </is>
      </c>
      <c r="E47" s="15" t="inlineStr">
        <is>
          <t>GAP 무농약 참타리버섯(350g내외)</t>
        </is>
      </c>
      <c r="F47" s="153" t="n">
        <v>5966</v>
      </c>
      <c r="G47" s="153" t="n">
        <v>13662140</v>
      </c>
      <c r="H47" s="153" t="n">
        <v>605756</v>
      </c>
    </row>
    <row r="48">
      <c r="A48" s="12" t="inlineStr">
        <is>
          <t>오아시스</t>
        </is>
      </c>
      <c r="B48" s="12" t="inlineStr">
        <is>
          <t>농산물</t>
        </is>
      </c>
      <c r="C48" s="14" t="inlineStr">
        <is>
          <t>다원팜</t>
        </is>
      </c>
      <c r="D48" s="14" t="inlineStr">
        <is>
          <t>680-87-00224</t>
        </is>
      </c>
      <c r="E48" s="15" t="inlineStr">
        <is>
          <t>GAP 무농약 참타리버섯(150g)</t>
        </is>
      </c>
      <c r="F48" s="153" t="n">
        <v>8836</v>
      </c>
      <c r="G48" s="153" t="n">
        <v>9542880</v>
      </c>
      <c r="H48" s="153" t="n">
        <v>376920</v>
      </c>
    </row>
    <row r="49">
      <c r="A49" s="12" t="inlineStr">
        <is>
          <t>오아시스</t>
        </is>
      </c>
      <c r="B49" s="12" t="inlineStr">
        <is>
          <t>가공식품</t>
        </is>
      </c>
      <c r="C49" s="14" t="inlineStr">
        <is>
          <t>농업회사법인내포(주) / 매헌생명창고</t>
        </is>
      </c>
      <c r="D49" s="14" t="inlineStr">
        <is>
          <t>311-81-44794</t>
        </is>
      </c>
      <c r="E49" s="15" t="inlineStr">
        <is>
          <t>매헌 생들기름</t>
        </is>
      </c>
      <c r="F49" s="153" t="n">
        <v>8</v>
      </c>
      <c r="G49" s="153" t="n">
        <v>218000</v>
      </c>
      <c r="H49" s="153" t="n">
        <v>43600</v>
      </c>
    </row>
    <row r="50">
      <c r="A50" s="12" t="inlineStr">
        <is>
          <t>오아시스</t>
        </is>
      </c>
      <c r="B50" s="12" t="inlineStr">
        <is>
          <t>가공식품</t>
        </is>
      </c>
      <c r="C50" s="14" t="inlineStr">
        <is>
          <t>엿공장</t>
        </is>
      </c>
      <c r="D50" s="14" t="inlineStr">
        <is>
          <t>522-17-00696</t>
        </is>
      </c>
      <c r="E50" s="15" t="inlineStr">
        <is>
          <t>[달콤한인생] 유기농 수수조청 280g</t>
        </is>
      </c>
      <c r="F50" s="153" t="n">
        <v>3</v>
      </c>
      <c r="G50" s="153" t="n">
        <v>43500</v>
      </c>
      <c r="H50" s="153" t="n">
        <v>2900</v>
      </c>
    </row>
    <row r="51">
      <c r="A51" s="12" t="inlineStr">
        <is>
          <t>오아시스</t>
        </is>
      </c>
      <c r="B51" s="12" t="inlineStr">
        <is>
          <t>가공식품</t>
        </is>
      </c>
      <c r="C51" s="14" t="inlineStr">
        <is>
          <t>엿공장</t>
        </is>
      </c>
      <c r="D51" s="14" t="inlineStr">
        <is>
          <t>522-17-00696</t>
        </is>
      </c>
      <c r="E51" s="15" t="inlineStr">
        <is>
          <t>[달콤한인생] 유기농 대추청 280g</t>
        </is>
      </c>
      <c r="F51" s="153" t="n">
        <v>1</v>
      </c>
      <c r="G51" s="153" t="n">
        <v>16000</v>
      </c>
      <c r="H51" s="153" t="inlineStr">
        <is>
          <t>-</t>
        </is>
      </c>
    </row>
    <row r="52">
      <c r="A52" s="12" t="inlineStr">
        <is>
          <t>오아시스</t>
        </is>
      </c>
      <c r="B52" s="12" t="inlineStr">
        <is>
          <t>가공식품</t>
        </is>
      </c>
      <c r="C52" s="14" t="inlineStr">
        <is>
          <t>엿공장</t>
        </is>
      </c>
      <c r="D52" s="14" t="inlineStr">
        <is>
          <t>522-17-00696</t>
        </is>
      </c>
      <c r="E52" s="15" t="inlineStr">
        <is>
          <t>[달콤한인생] 유기농 생강청 280g</t>
        </is>
      </c>
      <c r="F52" s="153" t="n">
        <v>2</v>
      </c>
      <c r="G52" s="153" t="n">
        <v>37000</v>
      </c>
      <c r="H52" s="153" t="n">
        <v>6974</v>
      </c>
    </row>
    <row r="53">
      <c r="A53" s="12" t="inlineStr">
        <is>
          <t>오아시스</t>
        </is>
      </c>
      <c r="B53" s="12" t="inlineStr">
        <is>
          <t>가공식품</t>
        </is>
      </c>
      <c r="C53" s="14" t="inlineStr">
        <is>
          <t>엿공장</t>
        </is>
      </c>
      <c r="D53" s="14" t="inlineStr">
        <is>
          <t>522-17-00696</t>
        </is>
      </c>
      <c r="E53" s="15" t="inlineStr">
        <is>
          <t>[달콤한인생] 유기농 홍도라지청 280g</t>
        </is>
      </c>
      <c r="F53" s="153" t="n">
        <v>5</v>
      </c>
      <c r="G53" s="153" t="n">
        <v>95000</v>
      </c>
      <c r="H53" s="153" t="n">
        <v>16726</v>
      </c>
    </row>
    <row r="54">
      <c r="A54" s="12" t="inlineStr">
        <is>
          <t>오아시스</t>
        </is>
      </c>
      <c r="B54" s="12" t="inlineStr">
        <is>
          <t>가공식품</t>
        </is>
      </c>
      <c r="C54" s="14" t="inlineStr">
        <is>
          <t>엿공장</t>
        </is>
      </c>
      <c r="D54" s="14" t="inlineStr">
        <is>
          <t>522-17-00696</t>
        </is>
      </c>
      <c r="E54" s="15" t="inlineStr">
        <is>
          <t>[달콤한인생] 유기농 생강청+대추청 선물세트</t>
        </is>
      </c>
      <c r="F54" s="153" t="inlineStr">
        <is>
          <t>-</t>
        </is>
      </c>
      <c r="G54" s="153" t="inlineStr">
        <is>
          <t>-</t>
        </is>
      </c>
      <c r="H54" s="153" t="inlineStr">
        <is>
          <t>-</t>
        </is>
      </c>
    </row>
    <row r="55">
      <c r="A55" s="12" t="inlineStr">
        <is>
          <t>오아시스</t>
        </is>
      </c>
      <c r="B55" s="12" t="inlineStr">
        <is>
          <t>가공식품</t>
        </is>
      </c>
      <c r="C55" s="14" t="inlineStr">
        <is>
          <t>엿공장</t>
        </is>
      </c>
      <c r="D55" s="14" t="inlineStr">
        <is>
          <t>522-17-00696</t>
        </is>
      </c>
      <c r="E55" s="15" t="inlineStr">
        <is>
          <t>[달콤한인생] 유기농 홍도라지청+생강청+대추청 선물세트</t>
        </is>
      </c>
      <c r="F55" s="153" t="n">
        <v>2</v>
      </c>
      <c r="G55" s="153" t="n">
        <v>58000</v>
      </c>
      <c r="H55" s="153" t="n">
        <v>10000</v>
      </c>
    </row>
    <row r="56">
      <c r="A56" s="12" t="inlineStr">
        <is>
          <t>오아시스</t>
        </is>
      </c>
      <c r="B56" s="12" t="inlineStr">
        <is>
          <t>가공식품</t>
        </is>
      </c>
      <c r="C56" s="14" t="inlineStr">
        <is>
          <t>도울에프앤비</t>
        </is>
      </c>
      <c r="D56" s="14" t="inlineStr">
        <is>
          <t>416-81-44143</t>
        </is>
      </c>
      <c r="E56" s="15" t="inlineStr">
        <is>
          <t>[아기과자1단계] 유기농 단호박 롱스틱 (25g)</t>
        </is>
      </c>
      <c r="F56" s="153" t="n">
        <v>917</v>
      </c>
      <c r="G56" s="153" t="n">
        <v>2109100</v>
      </c>
      <c r="H56" s="153" t="n">
        <v>190846</v>
      </c>
    </row>
    <row r="57">
      <c r="A57" s="12" t="inlineStr">
        <is>
          <t>오아시스</t>
        </is>
      </c>
      <c r="B57" s="12" t="inlineStr">
        <is>
          <t>가공식품</t>
        </is>
      </c>
      <c r="C57" s="14" t="inlineStr">
        <is>
          <t>도울에프앤비</t>
        </is>
      </c>
      <c r="D57" s="14" t="inlineStr">
        <is>
          <t>416-81-44143</t>
        </is>
      </c>
      <c r="E57" s="15" t="inlineStr">
        <is>
          <t>[아기과자3단계] 지구대장 유기농 옐로우 스틱 (45g)</t>
        </is>
      </c>
      <c r="F57" s="153" t="n">
        <v>429</v>
      </c>
      <c r="G57" s="153" t="n">
        <v>986700</v>
      </c>
      <c r="H57" s="153" t="n">
        <v>70840</v>
      </c>
    </row>
    <row r="58">
      <c r="A58" s="12" t="inlineStr">
        <is>
          <t>오아시스</t>
        </is>
      </c>
      <c r="B58" s="12" t="inlineStr">
        <is>
          <t>가공식품</t>
        </is>
      </c>
      <c r="C58" s="14" t="inlineStr">
        <is>
          <t>도울에프앤비</t>
        </is>
      </c>
      <c r="D58" s="14" t="inlineStr">
        <is>
          <t>416-81-44143</t>
        </is>
      </c>
      <c r="E58" s="15" t="inlineStr">
        <is>
          <t>[아기과자2단계] 지구대장 유기농 베리 롱스틱 (28g)</t>
        </is>
      </c>
      <c r="F58" s="153" t="n">
        <v>507</v>
      </c>
      <c r="G58" s="153" t="n">
        <v>1166100</v>
      </c>
      <c r="H58" s="153" t="n">
        <v>102580</v>
      </c>
    </row>
    <row r="59">
      <c r="A59" s="12" t="inlineStr">
        <is>
          <t>오아시스</t>
        </is>
      </c>
      <c r="B59" s="12" t="inlineStr">
        <is>
          <t>가공식품</t>
        </is>
      </c>
      <c r="C59" s="14" t="inlineStr">
        <is>
          <t>도울에프앤비</t>
        </is>
      </c>
      <c r="D59" s="14" t="inlineStr">
        <is>
          <t>416-81-44143</t>
        </is>
      </c>
      <c r="E59" s="15" t="inlineStr">
        <is>
          <t>유기농 핑크나나 뻥튀기 (25g/5입)</t>
        </is>
      </c>
      <c r="F59" s="153" t="n">
        <v>1390</v>
      </c>
      <c r="G59" s="153" t="n">
        <v>3266500</v>
      </c>
      <c r="H59" s="153" t="n">
        <v>248290</v>
      </c>
    </row>
    <row r="60">
      <c r="A60" s="12" t="inlineStr">
        <is>
          <t>오아시스</t>
        </is>
      </c>
      <c r="B60" s="12" t="inlineStr">
        <is>
          <t>가공식품</t>
        </is>
      </c>
      <c r="C60" s="14" t="inlineStr">
        <is>
          <t>농업회사법인 (주) 초록원</t>
        </is>
      </c>
      <c r="D60" s="14" t="inlineStr">
        <is>
          <t>502-81-55602</t>
        </is>
      </c>
      <c r="E60" s="15" t="inlineStr">
        <is>
          <t>유기농 매실엑기스 (660g)</t>
        </is>
      </c>
      <c r="F60" s="153" t="n">
        <v>796</v>
      </c>
      <c r="G60" s="153" t="n">
        <v>15760800</v>
      </c>
      <c r="H60" s="153" t="n">
        <v>782518</v>
      </c>
    </row>
    <row r="61">
      <c r="A61" s="12" t="inlineStr">
        <is>
          <t>오아시스</t>
        </is>
      </c>
      <c r="B61" s="12" t="inlineStr">
        <is>
          <t>가공식품</t>
        </is>
      </c>
      <c r="C61" s="14" t="inlineStr">
        <is>
          <t>농업회사법인 (주) 초록원</t>
        </is>
      </c>
      <c r="D61" s="14" t="inlineStr">
        <is>
          <t>502-81-55602</t>
        </is>
      </c>
      <c r="E61" s="15" t="inlineStr">
        <is>
          <t>초록원 유기농 딸기잼(580g)</t>
        </is>
      </c>
      <c r="F61" s="153" t="n">
        <v>1396</v>
      </c>
      <c r="G61" s="153" t="n">
        <v>12494200</v>
      </c>
      <c r="H61" s="153" t="n">
        <v>542370</v>
      </c>
    </row>
    <row r="62">
      <c r="A62" s="12" t="inlineStr">
        <is>
          <t>오아시스</t>
        </is>
      </c>
      <c r="B62" s="12" t="inlineStr">
        <is>
          <t>가공식품</t>
        </is>
      </c>
      <c r="C62" s="14" t="inlineStr">
        <is>
          <t>농업회사법인 (주) 초록원</t>
        </is>
      </c>
      <c r="D62" s="14" t="inlineStr">
        <is>
          <t>502-81-55602</t>
        </is>
      </c>
      <c r="E62" s="15" t="inlineStr">
        <is>
          <t>초록원 무농약 딸기로 만든 딸기잼(580g)</t>
        </is>
      </c>
      <c r="F62" s="153" t="n">
        <v>1914</v>
      </c>
      <c r="G62" s="153" t="n">
        <v>16709220</v>
      </c>
      <c r="H62" s="153" t="n">
        <v>656496</v>
      </c>
    </row>
    <row r="63">
      <c r="A63" s="12" t="inlineStr">
        <is>
          <t>오아시스</t>
        </is>
      </c>
      <c r="B63" s="12" t="inlineStr">
        <is>
          <t>가공식품</t>
        </is>
      </c>
      <c r="C63" s="14" t="inlineStr">
        <is>
          <t>주식회사 아인스</t>
        </is>
      </c>
      <c r="D63" s="14" t="inlineStr">
        <is>
          <t>218-86-00721</t>
        </is>
      </c>
      <c r="E63" s="15" t="inlineStr">
        <is>
          <t>유기농 쌀 떡국떡 (500g X 3개)</t>
        </is>
      </c>
      <c r="F63" s="153" t="n">
        <v>11893</v>
      </c>
      <c r="G63" s="153" t="n">
        <v>44675550</v>
      </c>
      <c r="H63" s="153" t="n">
        <v>537476</v>
      </c>
    </row>
    <row r="64">
      <c r="A64" s="12" t="inlineStr">
        <is>
          <t>오아시스</t>
        </is>
      </c>
      <c r="B64" s="12" t="inlineStr">
        <is>
          <t>가공식품</t>
        </is>
      </c>
      <c r="C64" s="14" t="inlineStr">
        <is>
          <t>주식회사 아인스</t>
        </is>
      </c>
      <c r="D64" s="14" t="inlineStr">
        <is>
          <t>218-86-00721</t>
        </is>
      </c>
      <c r="E64" s="15" t="inlineStr">
        <is>
          <t>유기농 쌀 떡볶이떡 (500g X 1개)</t>
        </is>
      </c>
      <c r="F64" s="153" t="n">
        <v>3976</v>
      </c>
      <c r="G64" s="153" t="n">
        <v>15122900</v>
      </c>
      <c r="H64" s="153" t="n">
        <v>168050</v>
      </c>
    </row>
    <row r="65">
      <c r="A65" s="12" t="inlineStr">
        <is>
          <t>오아시스</t>
        </is>
      </c>
      <c r="B65" s="12" t="inlineStr">
        <is>
          <t>가공식품</t>
        </is>
      </c>
      <c r="C65" s="14" t="inlineStr">
        <is>
          <t>주식회사 아인스</t>
        </is>
      </c>
      <c r="D65" s="14" t="inlineStr">
        <is>
          <t>218-86-00721</t>
        </is>
      </c>
      <c r="E65" s="15" t="inlineStr">
        <is>
          <t>유기농 현미로 만든 떡국떡 (500g X 3개)</t>
        </is>
      </c>
      <c r="F65" s="153" t="n">
        <v>4516</v>
      </c>
      <c r="G65" s="153" t="n">
        <v>18057600</v>
      </c>
      <c r="H65" s="153" t="n">
        <v>264320</v>
      </c>
    </row>
    <row r="66">
      <c r="A66" s="12" t="inlineStr">
        <is>
          <t>오아시스</t>
        </is>
      </c>
      <c r="B66" s="12" t="inlineStr">
        <is>
          <t>가공식품</t>
        </is>
      </c>
      <c r="C66" s="14" t="inlineStr">
        <is>
          <t>주식회사 아인스</t>
        </is>
      </c>
      <c r="D66" s="14" t="inlineStr">
        <is>
          <t>218-86-00721</t>
        </is>
      </c>
      <c r="E66" s="15" t="inlineStr">
        <is>
          <t>유기농 현미로 만든 떡볶이떡 (500g X 1개)</t>
        </is>
      </c>
      <c r="F66" s="153" t="n">
        <v>1895</v>
      </c>
      <c r="G66" s="153" t="n">
        <v>7331040</v>
      </c>
      <c r="H66" s="153" t="n">
        <v>83739</v>
      </c>
    </row>
    <row r="67">
      <c r="A67" s="12" t="inlineStr">
        <is>
          <t>오아시스</t>
        </is>
      </c>
      <c r="B67" s="12" t="inlineStr">
        <is>
          <t>가공식품</t>
        </is>
      </c>
      <c r="C67" s="14" t="inlineStr">
        <is>
          <t>주식회사 아인스</t>
        </is>
      </c>
      <c r="D67" s="14" t="inlineStr">
        <is>
          <t>218-86-00721</t>
        </is>
      </c>
      <c r="E67" s="15" t="inlineStr">
        <is>
          <t>유기농 영양12곡 미숫가루 (400g X 1개)</t>
        </is>
      </c>
      <c r="F67" s="153" t="n">
        <v>1260</v>
      </c>
      <c r="G67" s="153" t="n">
        <v>8394040</v>
      </c>
      <c r="H67" s="153" t="n">
        <v>50407</v>
      </c>
    </row>
    <row r="68">
      <c r="A68" s="12" t="inlineStr">
        <is>
          <t>오아시스</t>
        </is>
      </c>
      <c r="B68" s="12" t="inlineStr">
        <is>
          <t>농산물</t>
        </is>
      </c>
      <c r="C68" s="14" t="inlineStr">
        <is>
          <t>주식회사 아인스</t>
        </is>
      </c>
      <c r="D68" s="14" t="inlineStr">
        <is>
          <t>218-86-00721</t>
        </is>
      </c>
      <c r="E68" s="15" t="inlineStr">
        <is>
          <t>유기농 세척 영양 12곡 (2kg X 1개)</t>
        </is>
      </c>
      <c r="F68" s="153" t="n">
        <v>3774</v>
      </c>
      <c r="G68" s="153" t="n">
        <v>78405420</v>
      </c>
      <c r="H68" s="153" t="n">
        <v>901852</v>
      </c>
    </row>
    <row r="69">
      <c r="A69" s="12" t="inlineStr">
        <is>
          <t>오아시스</t>
        </is>
      </c>
      <c r="B69" s="12" t="inlineStr">
        <is>
          <t>농산물</t>
        </is>
      </c>
      <c r="C69" s="14" t="inlineStr">
        <is>
          <t>농업회사법인 팜에이트 주식회사</t>
        </is>
      </c>
      <c r="D69" s="14" t="inlineStr">
        <is>
          <t>301-81-78225</t>
        </is>
      </c>
      <c r="E69" s="15" t="inlineStr">
        <is>
          <t>가뿐한 무농약 로메인 샐러드믹스 210g(70g x 3입)</t>
        </is>
      </c>
      <c r="F69" s="153" t="n">
        <v>523</v>
      </c>
      <c r="G69" s="153" t="n">
        <v>2956680</v>
      </c>
      <c r="H69" s="153" t="n">
        <v>209074</v>
      </c>
    </row>
    <row r="70">
      <c r="A70" s="12" t="inlineStr">
        <is>
          <t>오아시스</t>
        </is>
      </c>
      <c r="B70" s="12" t="inlineStr">
        <is>
          <t>농산물</t>
        </is>
      </c>
      <c r="C70" s="14" t="inlineStr">
        <is>
          <t>농업회사법인 팜에이트 주식회사</t>
        </is>
      </c>
      <c r="D70" s="14" t="inlineStr">
        <is>
          <t>301-81-78225</t>
        </is>
      </c>
      <c r="E70" s="15" t="inlineStr">
        <is>
          <t>가뿐한 무농약 루꼴라 샐러드믹스 210g(70g x 3입)</t>
        </is>
      </c>
      <c r="F70" s="153" t="n">
        <v>438</v>
      </c>
      <c r="G70" s="153" t="n">
        <v>2610290</v>
      </c>
      <c r="H70" s="153" t="n">
        <v>239708</v>
      </c>
    </row>
    <row r="71">
      <c r="A71" s="12" t="inlineStr">
        <is>
          <t>오아시스</t>
        </is>
      </c>
      <c r="B71" s="12" t="inlineStr">
        <is>
          <t>농산물</t>
        </is>
      </c>
      <c r="C71" s="14" t="inlineStr">
        <is>
          <t>농업회사법인 팜에이트 주식회사</t>
        </is>
      </c>
      <c r="D71" s="14" t="inlineStr">
        <is>
          <t>301-81-78225</t>
        </is>
      </c>
      <c r="E71" s="15" t="inlineStr">
        <is>
          <t>무농약 스마트팜 소프트믹스 샐러드</t>
        </is>
      </c>
      <c r="F71" s="153" t="n">
        <v>873</v>
      </c>
      <c r="G71" s="153" t="n">
        <v>2595090</v>
      </c>
      <c r="H71" s="153" t="n">
        <v>236047</v>
      </c>
    </row>
    <row r="72">
      <c r="A72" s="12" t="inlineStr">
        <is>
          <t>오아시스</t>
        </is>
      </c>
      <c r="B72" s="12" t="inlineStr">
        <is>
          <t>농산물</t>
        </is>
      </c>
      <c r="C72" s="14" t="inlineStr">
        <is>
          <t>농업회사법인 팜에이트 주식회사</t>
        </is>
      </c>
      <c r="D72" s="14" t="inlineStr">
        <is>
          <t>301-81-78225</t>
        </is>
      </c>
      <c r="E72" s="15" t="inlineStr">
        <is>
          <t>무농약 스마트팜 트리플믹스 샐러드</t>
        </is>
      </c>
      <c r="F72" s="153" t="n">
        <v>962</v>
      </c>
      <c r="G72" s="153" t="n">
        <v>2857980</v>
      </c>
      <c r="H72" s="153" t="n">
        <v>257810</v>
      </c>
    </row>
    <row r="73">
      <c r="A73" s="12" t="inlineStr">
        <is>
          <t>오아시스</t>
        </is>
      </c>
      <c r="B73" s="12" t="inlineStr">
        <is>
          <t>농산물</t>
        </is>
      </c>
      <c r="C73" s="14" t="inlineStr">
        <is>
          <t>농업회사법인 팜에이트 주식회사</t>
        </is>
      </c>
      <c r="D73" s="14" t="inlineStr">
        <is>
          <t>301-81-78225</t>
        </is>
      </c>
      <c r="E73" s="15" t="inlineStr">
        <is>
          <t>[소용량] 무농약 손질 양상추 샐러드 (60g)</t>
        </is>
      </c>
      <c r="F73" s="153" t="n">
        <v>310</v>
      </c>
      <c r="G73" s="153" t="n">
        <v>718800</v>
      </c>
      <c r="H73" s="153" t="n">
        <v>43254</v>
      </c>
    </row>
    <row r="74">
      <c r="A74" s="12" t="inlineStr">
        <is>
          <t>오아시스</t>
        </is>
      </c>
      <c r="B74" s="12" t="inlineStr">
        <is>
          <t>농산물</t>
        </is>
      </c>
      <c r="C74" s="14" t="inlineStr">
        <is>
          <t>농업회사법인 팜에이트 주식회사</t>
        </is>
      </c>
      <c r="D74" s="14" t="inlineStr">
        <is>
          <t>301-81-78225</t>
        </is>
      </c>
      <c r="E74" s="15" t="inlineStr">
        <is>
          <t>무농약 스마트팜 손질 양상추</t>
        </is>
      </c>
      <c r="F74" s="153" t="n">
        <v>384</v>
      </c>
      <c r="G74" s="153" t="n">
        <v>1850580</v>
      </c>
      <c r="H74" s="153" t="n">
        <v>158506</v>
      </c>
    </row>
    <row r="75">
      <c r="A75" s="12" t="inlineStr">
        <is>
          <t>오아시스</t>
        </is>
      </c>
      <c r="B75" s="12" t="inlineStr">
        <is>
          <t>농산물</t>
        </is>
      </c>
      <c r="C75" s="14" t="inlineStr">
        <is>
          <t>농업회사법인 팜에이트 주식회사</t>
        </is>
      </c>
      <c r="D75" s="14" t="inlineStr">
        <is>
          <t>301-81-78225</t>
        </is>
      </c>
      <c r="E75" s="15" t="inlineStr">
        <is>
          <t>친환경 스마트팜 양상추 (1통, 150g)</t>
        </is>
      </c>
      <c r="F75" s="153" t="n">
        <v>1832</v>
      </c>
      <c r="G75" s="153" t="n">
        <v>5505140</v>
      </c>
      <c r="H75" s="153" t="n">
        <v>412760</v>
      </c>
    </row>
    <row r="76">
      <c r="A76" s="12" t="inlineStr">
        <is>
          <t>오아시스</t>
        </is>
      </c>
      <c r="B76" s="12" t="inlineStr">
        <is>
          <t>농산물</t>
        </is>
      </c>
      <c r="C76" s="14" t="inlineStr">
        <is>
          <t>농업회사법인 팜에이트 주식회사</t>
        </is>
      </c>
      <c r="D76" s="14" t="inlineStr">
        <is>
          <t>301-81-78225</t>
        </is>
      </c>
      <c r="E76" s="15" t="inlineStr">
        <is>
          <t>무농약 베이비 채소 샐러드 (100g)</t>
        </is>
      </c>
      <c r="F76" s="153" t="n">
        <v>600</v>
      </c>
      <c r="G76" s="153" t="n">
        <v>1838520</v>
      </c>
      <c r="H76" s="153" t="n">
        <v>174396</v>
      </c>
    </row>
    <row r="77">
      <c r="A77" s="12" t="inlineStr">
        <is>
          <t>오아시스</t>
        </is>
      </c>
      <c r="B77" s="12" t="inlineStr">
        <is>
          <t>농산물</t>
        </is>
      </c>
      <c r="C77" s="14" t="inlineStr">
        <is>
          <t>농업회사법인 팜에이트 주식회사</t>
        </is>
      </c>
      <c r="D77" s="14" t="inlineStr">
        <is>
          <t>301-81-78225</t>
        </is>
      </c>
      <c r="E77" s="15" t="inlineStr">
        <is>
          <t>국내산 무농약 후레쉬가든 샐러드 (250g X 1개)</t>
        </is>
      </c>
      <c r="F77" s="153" t="n">
        <v>800</v>
      </c>
      <c r="G77" s="153" t="n">
        <v>4197950</v>
      </c>
      <c r="H77" s="153" t="n">
        <v>351366</v>
      </c>
    </row>
    <row r="78">
      <c r="A78" s="12" t="inlineStr">
        <is>
          <t>오아시스</t>
        </is>
      </c>
      <c r="B78" s="12" t="inlineStr">
        <is>
          <t>농산물</t>
        </is>
      </c>
      <c r="C78" s="14" t="inlineStr">
        <is>
          <t>닥터애그</t>
        </is>
      </c>
      <c r="D78" s="14" t="inlineStr">
        <is>
          <t>515-81-53707</t>
        </is>
      </c>
      <c r="E78" s="15" t="inlineStr">
        <is>
          <t>GAP 무농약 느타리버섯 (200g x 1개)</t>
        </is>
      </c>
      <c r="F78" s="153" t="n">
        <v>47521</v>
      </c>
      <c r="G78" s="153" t="n">
        <v>57327010</v>
      </c>
      <c r="H78" s="153" t="n">
        <v>1438182</v>
      </c>
    </row>
    <row r="79">
      <c r="A79" s="12" t="inlineStr">
        <is>
          <t>오아시스</t>
        </is>
      </c>
      <c r="B79" s="12" t="inlineStr">
        <is>
          <t>농산물</t>
        </is>
      </c>
      <c r="C79" s="14" t="inlineStr">
        <is>
          <t>닥터애그</t>
        </is>
      </c>
      <c r="D79" s="14" t="inlineStr">
        <is>
          <t>515-81-53707</t>
        </is>
      </c>
      <c r="E79" s="15" t="inlineStr">
        <is>
          <t>GAP 무농약 팽이버섯 (360g)</t>
        </is>
      </c>
      <c r="F79" s="153" t="n">
        <v>11499</v>
      </c>
      <c r="G79" s="153" t="n">
        <v>12525960</v>
      </c>
      <c r="H79" s="153" t="n">
        <v>370151</v>
      </c>
    </row>
    <row r="80">
      <c r="A80" s="12" t="inlineStr">
        <is>
          <t>오아시스</t>
        </is>
      </c>
      <c r="B80" s="12" t="inlineStr">
        <is>
          <t>농산물</t>
        </is>
      </c>
      <c r="C80" s="14" t="inlineStr">
        <is>
          <t>닥터애그</t>
        </is>
      </c>
      <c r="D80" s="14" t="inlineStr">
        <is>
          <t>515-81-53707</t>
        </is>
      </c>
      <c r="E80" s="15" t="inlineStr">
        <is>
          <t>GAP 무농약 팽이버섯 (150g x 1개)</t>
        </is>
      </c>
      <c r="F80" s="153" t="n">
        <v>103070</v>
      </c>
      <c r="G80" s="153" t="n">
        <v>51183260</v>
      </c>
      <c r="H80" s="153" t="n">
        <v>403114</v>
      </c>
    </row>
    <row r="81">
      <c r="A81" s="12" t="inlineStr">
        <is>
          <t>오아시스</t>
        </is>
      </c>
      <c r="B81" s="12" t="inlineStr">
        <is>
          <t>농산물</t>
        </is>
      </c>
      <c r="C81" s="14" t="inlineStr">
        <is>
          <t>주식회사 아인스</t>
        </is>
      </c>
      <c r="D81" s="14" t="inlineStr">
        <is>
          <t>218-86-00721</t>
        </is>
      </c>
      <c r="E81" s="15" t="inlineStr">
        <is>
          <t>[밀리브] 유기농현미 1kg</t>
        </is>
      </c>
      <c r="F81" s="153" t="inlineStr">
        <is>
          <t>-</t>
        </is>
      </c>
      <c r="G81" s="153" t="inlineStr">
        <is>
          <t>-</t>
        </is>
      </c>
      <c r="H81" s="153" t="inlineStr">
        <is>
          <t>-</t>
        </is>
      </c>
    </row>
    <row r="82">
      <c r="A82" s="12" t="inlineStr">
        <is>
          <t>오아시스</t>
        </is>
      </c>
      <c r="B82" s="12" t="inlineStr">
        <is>
          <t>농산물</t>
        </is>
      </c>
      <c r="C82" s="14" t="inlineStr">
        <is>
          <t>주식회사 아인스</t>
        </is>
      </c>
      <c r="D82" s="14" t="inlineStr">
        <is>
          <t>218-86-00721</t>
        </is>
      </c>
      <c r="E82" s="15" t="inlineStr">
        <is>
          <t>[밀리브] 유기농현미 3kg</t>
        </is>
      </c>
      <c r="F82" s="153" t="inlineStr">
        <is>
          <t>-</t>
        </is>
      </c>
      <c r="G82" s="153" t="inlineStr">
        <is>
          <t>-</t>
        </is>
      </c>
      <c r="H82" s="153" t="inlineStr">
        <is>
          <t>-</t>
        </is>
      </c>
    </row>
    <row r="83">
      <c r="A83" s="12" t="inlineStr">
        <is>
          <t>오아시스</t>
        </is>
      </c>
      <c r="B83" s="12" t="inlineStr">
        <is>
          <t>농산물</t>
        </is>
      </c>
      <c r="C83" s="14" t="inlineStr">
        <is>
          <t>주식회사 아인스</t>
        </is>
      </c>
      <c r="D83" s="14" t="inlineStr">
        <is>
          <t>218-86-00721</t>
        </is>
      </c>
      <c r="E83" s="15" t="inlineStr">
        <is>
          <t>[밀리브] 유기농 찰현미 1kg</t>
        </is>
      </c>
      <c r="F83" s="153" t="inlineStr">
        <is>
          <t>-</t>
        </is>
      </c>
      <c r="G83" s="153" t="inlineStr">
        <is>
          <t>-</t>
        </is>
      </c>
      <c r="H83" s="153" t="inlineStr">
        <is>
          <t>-</t>
        </is>
      </c>
    </row>
    <row r="84">
      <c r="A84" s="12" t="inlineStr">
        <is>
          <t>오아시스</t>
        </is>
      </c>
      <c r="B84" s="12" t="inlineStr">
        <is>
          <t>농산물</t>
        </is>
      </c>
      <c r="C84" s="14" t="inlineStr">
        <is>
          <t>주식회사 아인스</t>
        </is>
      </c>
      <c r="D84" s="14" t="inlineStr">
        <is>
          <t>218-86-00721</t>
        </is>
      </c>
      <c r="E84" s="15" t="inlineStr">
        <is>
          <t>[밀리브] 유기농 찰흑미 1kg</t>
        </is>
      </c>
      <c r="F84" s="153" t="inlineStr">
        <is>
          <t>-</t>
        </is>
      </c>
      <c r="G84" s="153" t="inlineStr">
        <is>
          <t>-</t>
        </is>
      </c>
      <c r="H84" s="153" t="inlineStr">
        <is>
          <t>-</t>
        </is>
      </c>
    </row>
    <row r="85">
      <c r="A85" s="12" t="inlineStr">
        <is>
          <t>오아시스</t>
        </is>
      </c>
      <c r="B85" s="12" t="inlineStr">
        <is>
          <t>농산물</t>
        </is>
      </c>
      <c r="C85" s="14" t="inlineStr">
        <is>
          <t>주식회사 아인스</t>
        </is>
      </c>
      <c r="D85" s="14" t="inlineStr">
        <is>
          <t>218-86-00721</t>
        </is>
      </c>
      <c r="E85" s="15" t="inlineStr">
        <is>
          <t>[밀리브] 유기농 찰흑미 3kg</t>
        </is>
      </c>
      <c r="F85" s="153" t="inlineStr">
        <is>
          <t>-</t>
        </is>
      </c>
      <c r="G85" s="153" t="inlineStr">
        <is>
          <t>-</t>
        </is>
      </c>
      <c r="H85" s="153" t="inlineStr">
        <is>
          <t>-</t>
        </is>
      </c>
    </row>
    <row r="86">
      <c r="A86" s="12" t="inlineStr">
        <is>
          <t>오아시스</t>
        </is>
      </c>
      <c r="B86" s="12" t="inlineStr">
        <is>
          <t>농산물</t>
        </is>
      </c>
      <c r="C86" s="14" t="inlineStr">
        <is>
          <t>주식회사 아인스</t>
        </is>
      </c>
      <c r="D86" s="14" t="inlineStr">
        <is>
          <t>218-86-00721</t>
        </is>
      </c>
      <c r="E86" s="15" t="inlineStr">
        <is>
          <t>[밀리브] 유기농 새싹발아 현미 1kg</t>
        </is>
      </c>
      <c r="F86" s="153" t="n">
        <v>2</v>
      </c>
      <c r="G86" s="153" t="n">
        <v>20800</v>
      </c>
      <c r="H86" s="153" t="n">
        <v>4160</v>
      </c>
    </row>
    <row r="87">
      <c r="A87" s="12" t="inlineStr">
        <is>
          <t>오아시스</t>
        </is>
      </c>
      <c r="B87" s="12" t="inlineStr">
        <is>
          <t>농산물</t>
        </is>
      </c>
      <c r="C87" s="14" t="inlineStr">
        <is>
          <t>주식회사 아인스</t>
        </is>
      </c>
      <c r="D87" s="14" t="inlineStr">
        <is>
          <t>218-86-00721</t>
        </is>
      </c>
      <c r="E87" s="15" t="inlineStr">
        <is>
          <t>[밀리브] 유기농 새싹발아 찰현미 1kg</t>
        </is>
      </c>
      <c r="F87" s="153" t="n">
        <v>1</v>
      </c>
      <c r="G87" s="153" t="n">
        <v>12400</v>
      </c>
      <c r="H87" s="153" t="n">
        <v>2480</v>
      </c>
    </row>
    <row r="88">
      <c r="A88" s="12" t="inlineStr">
        <is>
          <t>오아시스</t>
        </is>
      </c>
      <c r="B88" s="12" t="inlineStr">
        <is>
          <t>농산물</t>
        </is>
      </c>
      <c r="C88" s="14" t="inlineStr">
        <is>
          <t>주식회사 아인스</t>
        </is>
      </c>
      <c r="D88" s="14" t="inlineStr">
        <is>
          <t>218-86-00721</t>
        </is>
      </c>
      <c r="E88" s="15" t="inlineStr">
        <is>
          <t>[밀리브] 유기농 새싹발아 찰흑미 1kg</t>
        </is>
      </c>
      <c r="F88" s="153" t="inlineStr">
        <is>
          <t>-</t>
        </is>
      </c>
      <c r="G88" s="153" t="inlineStr">
        <is>
          <t>-</t>
        </is>
      </c>
      <c r="H88" s="153" t="inlineStr">
        <is>
          <t>-</t>
        </is>
      </c>
    </row>
    <row r="89">
      <c r="A89" s="12" t="inlineStr">
        <is>
          <t>오아시스</t>
        </is>
      </c>
      <c r="B89" s="12" t="inlineStr">
        <is>
          <t>가공식품</t>
        </is>
      </c>
      <c r="C89" s="25" t="inlineStr">
        <is>
          <t>바우뜨락</t>
        </is>
      </c>
      <c r="D89" s="25" t="inlineStr">
        <is>
          <t>312-27-45552</t>
        </is>
      </c>
      <c r="E89" s="15" t="inlineStr">
        <is>
          <t>[바우뜨락] 유기농 흰민들레즙 (100ml*20팩)</t>
        </is>
      </c>
      <c r="F89" s="153" t="n">
        <v>3</v>
      </c>
      <c r="G89" s="153" t="n">
        <v>96000</v>
      </c>
      <c r="H89" s="153" t="inlineStr">
        <is>
          <t>-</t>
        </is>
      </c>
    </row>
    <row r="90">
      <c r="A90" s="12" t="inlineStr">
        <is>
          <t>오아시스</t>
        </is>
      </c>
      <c r="B90" s="12" t="inlineStr">
        <is>
          <t>가공식품</t>
        </is>
      </c>
      <c r="C90" s="25" t="inlineStr">
        <is>
          <t>바우뜨락</t>
        </is>
      </c>
      <c r="D90" s="25" t="inlineStr">
        <is>
          <t>312-27-45552</t>
        </is>
      </c>
      <c r="E90" s="15" t="inlineStr">
        <is>
          <t>[바우뜨락] 유기농 모과포도즙 (100ml*20봉)</t>
        </is>
      </c>
      <c r="F90" s="153" t="n">
        <v>4</v>
      </c>
      <c r="G90" s="153" t="n">
        <v>132000</v>
      </c>
      <c r="H90" s="153" t="n">
        <v>6600</v>
      </c>
    </row>
    <row r="91">
      <c r="A91" s="12" t="inlineStr">
        <is>
          <t>오아시스</t>
        </is>
      </c>
      <c r="B91" s="12" t="inlineStr">
        <is>
          <t>가공식품</t>
        </is>
      </c>
      <c r="C91" s="25" t="inlineStr">
        <is>
          <t>바우뜨락</t>
        </is>
      </c>
      <c r="D91" s="25" t="inlineStr">
        <is>
          <t>312-27-45552</t>
        </is>
      </c>
      <c r="E91" s="15" t="inlineStr">
        <is>
          <t>[바우뜨락] 유기농 와인초 오디차 (100ml*30팩)</t>
        </is>
      </c>
      <c r="F91" s="153" t="n">
        <v>1</v>
      </c>
      <c r="G91" s="153" t="n">
        <v>40000</v>
      </c>
      <c r="H91" s="153" t="n">
        <v>8000</v>
      </c>
    </row>
    <row r="92">
      <c r="A92" s="12" t="inlineStr">
        <is>
          <t>오아시스</t>
        </is>
      </c>
      <c r="B92" s="12" t="inlineStr">
        <is>
          <t>농산물</t>
        </is>
      </c>
      <c r="C92" s="25" t="inlineStr">
        <is>
          <t>바우뜨락</t>
        </is>
      </c>
      <c r="D92" s="25" t="inlineStr">
        <is>
          <t>312-27-45552</t>
        </is>
      </c>
      <c r="E92" s="15" t="inlineStr">
        <is>
          <t>바우뜨락 유기농 오디</t>
        </is>
      </c>
      <c r="F92" s="153" t="n">
        <v>24</v>
      </c>
      <c r="G92" s="153" t="n">
        <v>1032000</v>
      </c>
      <c r="H92" s="153" t="n">
        <v>77400</v>
      </c>
    </row>
    <row r="93">
      <c r="A93" s="12" t="inlineStr">
        <is>
          <t>오아시스</t>
        </is>
      </c>
      <c r="B93" s="12" t="inlineStr">
        <is>
          <t>가공식품</t>
        </is>
      </c>
      <c r="C93" s="25" t="inlineStr">
        <is>
          <t>바우뜨락</t>
        </is>
      </c>
      <c r="D93" s="25" t="inlineStr">
        <is>
          <t>312-27-45552</t>
        </is>
      </c>
      <c r="E93" s="15" t="inlineStr">
        <is>
          <t>[바우뜨락] 무알콜와인 뜨락에 꿈(프리미엄포도주스) 750ml</t>
        </is>
      </c>
      <c r="F93" s="153" t="n">
        <v>1</v>
      </c>
      <c r="G93" s="153" t="n">
        <v>25000</v>
      </c>
      <c r="H93" s="153" t="inlineStr">
        <is>
          <t>-</t>
        </is>
      </c>
    </row>
    <row r="94">
      <c r="A94" s="12" t="inlineStr">
        <is>
          <t>오아시스</t>
        </is>
      </c>
      <c r="B94" s="12" t="inlineStr">
        <is>
          <t>농산물</t>
        </is>
      </c>
      <c r="C94" s="25" t="inlineStr">
        <is>
          <t>바우뜨락</t>
        </is>
      </c>
      <c r="D94" s="25" t="inlineStr">
        <is>
          <t>312-27-45552</t>
        </is>
      </c>
      <c r="E94" s="15" t="inlineStr">
        <is>
          <t>[바우뜨락] 유기농 청포도</t>
        </is>
      </c>
      <c r="F94" s="153" t="n">
        <v>11</v>
      </c>
      <c r="G94" s="153" t="n">
        <v>462000</v>
      </c>
      <c r="H94" s="153" t="n">
        <v>63200</v>
      </c>
    </row>
    <row r="95">
      <c r="A95" s="12" t="inlineStr">
        <is>
          <t>오아시스</t>
        </is>
      </c>
      <c r="B95" s="12" t="inlineStr">
        <is>
          <t>가공식품</t>
        </is>
      </c>
      <c r="C95" s="25" t="inlineStr">
        <is>
          <t>(주)밀알케이</t>
        </is>
      </c>
      <c r="D95" s="25" t="inlineStr">
        <is>
          <t>654-88-01503</t>
        </is>
      </c>
      <c r="E95" s="15" t="inlineStr">
        <is>
          <t>유기농 파머스 팝콘 (70g x 1개)</t>
        </is>
      </c>
      <c r="F95" s="153" t="n">
        <v>1567</v>
      </c>
      <c r="G95" s="153" t="n">
        <v>7314600</v>
      </c>
      <c r="H95" s="153" t="n">
        <v>353700</v>
      </c>
    </row>
    <row r="96">
      <c r="A96" s="12" t="inlineStr">
        <is>
          <t>오아시스</t>
        </is>
      </c>
      <c r="B96" s="12" t="inlineStr">
        <is>
          <t>가공식품</t>
        </is>
      </c>
      <c r="C96" s="14" t="inlineStr">
        <is>
          <t>파미농원(파미가평강황)</t>
        </is>
      </c>
      <c r="D96" s="14" t="inlineStr">
        <is>
          <t>326-37-00548</t>
        </is>
      </c>
      <c r="E96" s="15" t="inlineStr">
        <is>
          <t>유기농 강황 식혜 150ml 10팩 2박스</t>
        </is>
      </c>
      <c r="F96" s="153" t="n">
        <v>1</v>
      </c>
      <c r="G96" s="153" t="n">
        <v>14400</v>
      </c>
      <c r="H96" s="153" t="n">
        <v>2880</v>
      </c>
    </row>
    <row r="97">
      <c r="A97" s="63" t="inlineStr">
        <is>
          <t>네이버</t>
        </is>
      </c>
      <c r="B97" s="64" t="inlineStr">
        <is>
          <t>가공식품</t>
        </is>
      </c>
      <c r="C97" s="64" t="inlineStr">
        <is>
          <t>현재농원</t>
        </is>
      </c>
      <c r="D97" s="147" t="inlineStr">
        <is>
          <t>512-13-21395</t>
        </is>
      </c>
      <c r="E97" s="63" t="inlineStr">
        <is>
          <t>[현재농원] 경북 영주 직접생산 유기농 고춧가루 500g 200g 90g (국산 100%) [굵기 : 보통/고운(고추장용)]</t>
        </is>
      </c>
      <c r="F97" s="148" t="n">
        <v>1</v>
      </c>
      <c r="G97" s="154" t="n">
        <v>21000</v>
      </c>
      <c r="H97" s="154" t="n">
        <v>4200</v>
      </c>
    </row>
    <row r="98">
      <c r="A98" s="63" t="inlineStr">
        <is>
          <t>네이버</t>
        </is>
      </c>
      <c r="B98" s="64" t="inlineStr">
        <is>
          <t>가공식품</t>
        </is>
      </c>
      <c r="C98" s="64" t="inlineStr">
        <is>
          <t>현재농원</t>
        </is>
      </c>
      <c r="D98" s="147" t="inlineStr">
        <is>
          <t>512-13-21395</t>
        </is>
      </c>
      <c r="E98" s="63" t="inlineStr">
        <is>
          <t>[현재농원] 경북 영주 유기농 고춧가루 90g (국산 100%)</t>
        </is>
      </c>
      <c r="F98" s="148" t="n">
        <v>1</v>
      </c>
      <c r="G98" s="154" t="n">
        <v>14950</v>
      </c>
      <c r="H98" s="154" t="n">
        <v>2990</v>
      </c>
    </row>
    <row r="99">
      <c r="A99" s="63" t="inlineStr">
        <is>
          <t>네이버</t>
        </is>
      </c>
      <c r="B99" s="64" t="inlineStr">
        <is>
          <t>농산물</t>
        </is>
      </c>
      <c r="C99" s="64" t="inlineStr">
        <is>
          <t>현재농원</t>
        </is>
      </c>
      <c r="D99" s="147" t="inlineStr">
        <is>
          <t>512-13-21395</t>
        </is>
      </c>
      <c r="E99" s="63" t="inlineStr">
        <is>
          <t>[현재농원] 경북 영주 무농약 청결 건고춧잎 건고추잎 30g</t>
        </is>
      </c>
      <c r="F99" s="148" t="n">
        <v>1</v>
      </c>
      <c r="G99" s="154" t="n">
        <v>22500</v>
      </c>
      <c r="H99" s="154" t="n">
        <v>4500</v>
      </c>
    </row>
    <row r="100">
      <c r="A100" s="63" t="inlineStr">
        <is>
          <t>네이버</t>
        </is>
      </c>
      <c r="B100" s="64" t="inlineStr">
        <is>
          <t>가공식품</t>
        </is>
      </c>
      <c r="C100" s="64" t="inlineStr">
        <is>
          <t>현재농원</t>
        </is>
      </c>
      <c r="D100" s="147" t="inlineStr">
        <is>
          <t>512-13-21395</t>
        </is>
      </c>
      <c r="E100" s="63" t="inlineStr">
        <is>
          <t>[현재농원] 경북 영주 유기농 고춧가루 200g (국산 100%) [굵기:보통]</t>
        </is>
      </c>
      <c r="F100" s="148" t="n">
        <v>2</v>
      </c>
      <c r="G100" s="154" t="n">
        <v>44000</v>
      </c>
      <c r="H100" s="154" t="n">
        <v>4400</v>
      </c>
    </row>
    <row r="101">
      <c r="A101" s="63" t="inlineStr">
        <is>
          <t>네이버</t>
        </is>
      </c>
      <c r="B101" s="64" t="inlineStr">
        <is>
          <t>농산물</t>
        </is>
      </c>
      <c r="C101" s="64" t="inlineStr">
        <is>
          <t>현재농원</t>
        </is>
      </c>
      <c r="D101" s="147" t="inlineStr">
        <is>
          <t>512-13-21395</t>
        </is>
      </c>
      <c r="E101" s="63" t="inlineStr">
        <is>
          <t>[현재농원] 유기농 백태 240g 500g</t>
        </is>
      </c>
      <c r="F101" s="148" t="inlineStr">
        <is>
          <t>-</t>
        </is>
      </c>
      <c r="G101" s="154" t="inlineStr">
        <is>
          <t>-</t>
        </is>
      </c>
      <c r="H101" s="154" t="inlineStr">
        <is>
          <t>-</t>
        </is>
      </c>
    </row>
    <row r="102">
      <c r="A102" s="63" t="inlineStr">
        <is>
          <t>네이버</t>
        </is>
      </c>
      <c r="B102" s="64" t="inlineStr">
        <is>
          <t>가공식품</t>
        </is>
      </c>
      <c r="C102" s="64" t="inlineStr">
        <is>
          <t>현재농원</t>
        </is>
      </c>
      <c r="D102" s="147" t="inlineStr">
        <is>
          <t>512-13-21395</t>
        </is>
      </c>
      <c r="E102" s="63" t="inlineStr">
        <is>
          <t>[현재농원] 유기농 청고춧가루 90g (국산 100%)</t>
        </is>
      </c>
      <c r="F102" s="148" t="inlineStr">
        <is>
          <t>-</t>
        </is>
      </c>
      <c r="G102" s="154" t="inlineStr">
        <is>
          <t>-</t>
        </is>
      </c>
      <c r="H102" s="154" t="inlineStr">
        <is>
          <t>-</t>
        </is>
      </c>
    </row>
    <row r="103">
      <c r="A103" s="63" t="inlineStr">
        <is>
          <t>네이버</t>
        </is>
      </c>
      <c r="B103" s="64" t="inlineStr">
        <is>
          <t>농산물</t>
        </is>
      </c>
      <c r="C103" s="64" t="inlineStr">
        <is>
          <t>현재농원</t>
        </is>
      </c>
      <c r="D103" s="147" t="inlineStr">
        <is>
          <t>512-13-21395</t>
        </is>
      </c>
      <c r="E103" s="63" t="inlineStr">
        <is>
          <t>[현재농원] 국산 100% 유기농 표고버섯 백화고 50g 100g</t>
        </is>
      </c>
      <c r="F103" s="148" t="n">
        <v>1</v>
      </c>
      <c r="G103" s="154" t="n">
        <v>43200</v>
      </c>
      <c r="H103" s="154" t="n">
        <v>8640</v>
      </c>
    </row>
    <row r="104">
      <c r="A104" s="63" t="inlineStr">
        <is>
          <t>네이버</t>
        </is>
      </c>
      <c r="B104" s="64" t="inlineStr">
        <is>
          <t>농산물</t>
        </is>
      </c>
      <c r="C104" s="64" t="inlineStr">
        <is>
          <t>현재농원</t>
        </is>
      </c>
      <c r="D104" s="147" t="inlineStr">
        <is>
          <t>512-13-21395</t>
        </is>
      </c>
      <c r="E104" s="63" t="inlineStr">
        <is>
          <t>[현재농원] 국산 유기농 통들깨 100g / 국산 유기농 볶음 통들깨 80g (간식 추천)</t>
        </is>
      </c>
      <c r="F104" s="148" t="n">
        <v>2</v>
      </c>
      <c r="G104" s="154" t="n">
        <v>23000</v>
      </c>
      <c r="H104" s="154" t="inlineStr">
        <is>
          <t>-</t>
        </is>
      </c>
    </row>
    <row r="105">
      <c r="A105" s="63" t="inlineStr">
        <is>
          <t>네이버</t>
        </is>
      </c>
      <c r="B105" s="64" t="inlineStr">
        <is>
          <t>가공식품</t>
        </is>
      </c>
      <c r="C105" s="64" t="inlineStr">
        <is>
          <t>현재농원</t>
        </is>
      </c>
      <c r="D105" s="147" t="inlineStr">
        <is>
          <t>512-13-21395</t>
        </is>
      </c>
      <c r="E105" s="63" t="inlineStr">
        <is>
          <t>[현재농원] 유기농 날콩 천연조미료가루 200g (국산 100%)</t>
        </is>
      </c>
      <c r="F105" s="148" t="inlineStr">
        <is>
          <t>-</t>
        </is>
      </c>
      <c r="G105" s="154" t="inlineStr">
        <is>
          <t>-</t>
        </is>
      </c>
      <c r="H105" s="154" t="inlineStr">
        <is>
          <t>-</t>
        </is>
      </c>
    </row>
    <row r="106">
      <c r="A106" s="63" t="inlineStr">
        <is>
          <t>네이버</t>
        </is>
      </c>
      <c r="B106" s="64" t="inlineStr">
        <is>
          <t>가공식품</t>
        </is>
      </c>
      <c r="C106" s="64" t="inlineStr">
        <is>
          <t>현재농원</t>
        </is>
      </c>
      <c r="D106" s="147" t="inlineStr">
        <is>
          <t>512-13-21395</t>
        </is>
      </c>
      <c r="E106" s="63" t="inlineStr">
        <is>
          <t>[현재농원] 유기농 볶음콩 천연조미료가루 200g (국산 100%)</t>
        </is>
      </c>
      <c r="F106" s="148" t="inlineStr">
        <is>
          <t>-</t>
        </is>
      </c>
      <c r="G106" s="154" t="inlineStr">
        <is>
          <t>-</t>
        </is>
      </c>
      <c r="H106" s="154" t="inlineStr">
        <is>
          <t>-</t>
        </is>
      </c>
    </row>
    <row r="107">
      <c r="A107" s="63" t="inlineStr">
        <is>
          <t>네이버</t>
        </is>
      </c>
      <c r="B107" s="24" t="inlineStr">
        <is>
          <t>농산물</t>
        </is>
      </c>
      <c r="C107" s="64" t="inlineStr">
        <is>
          <t>여화원</t>
        </is>
      </c>
      <c r="D107" s="147" t="inlineStr">
        <is>
          <t>386-96-00703</t>
        </is>
      </c>
      <c r="E107" s="63" t="inlineStr">
        <is>
          <t>유기농 반건조 청무화과 말랭이 100g /국산 유기농 명인 건무화과 건과일 말린 건조과일</t>
        </is>
      </c>
      <c r="F107" s="148" t="n">
        <v>204</v>
      </c>
      <c r="G107" s="154" t="n">
        <v>6816400</v>
      </c>
      <c r="H107" s="154" t="n">
        <v>688300</v>
      </c>
    </row>
    <row r="108">
      <c r="A108" s="63" t="inlineStr">
        <is>
          <t>네이버</t>
        </is>
      </c>
      <c r="B108" s="24" t="inlineStr">
        <is>
          <t>농산물</t>
        </is>
      </c>
      <c r="C108" s="64" t="inlineStr">
        <is>
          <t>여화원</t>
        </is>
      </c>
      <c r="D108" s="147" t="inlineStr">
        <is>
          <t>386-96-00703</t>
        </is>
      </c>
      <c r="E108" s="63" t="inlineStr">
        <is>
          <t>유기농 명인 청무화과 말랭이 200g 낱개포장 /건무화과 말린 반건조 말린 건과과일</t>
        </is>
      </c>
      <c r="F108" s="148" t="n">
        <v>49</v>
      </c>
      <c r="G108" s="154" t="n">
        <v>1599500</v>
      </c>
      <c r="H108" s="154" t="n">
        <v>221800</v>
      </c>
    </row>
    <row r="109">
      <c r="A109" s="63" t="inlineStr">
        <is>
          <t>네이버</t>
        </is>
      </c>
      <c r="B109" s="24" t="inlineStr">
        <is>
          <t>농산물</t>
        </is>
      </c>
      <c r="C109" s="64" t="inlineStr">
        <is>
          <t>여화원</t>
        </is>
      </c>
      <c r="D109" s="147" t="inlineStr">
        <is>
          <t>386-96-00703</t>
        </is>
      </c>
      <c r="E109" s="63" t="inlineStr">
        <is>
          <t>유기농 수제 청무화과말랭이 300g / 반건조 건조무화과 건과일 건무화과 말린과일 건조과일</t>
        </is>
      </c>
      <c r="F109" s="148" t="n">
        <v>26</v>
      </c>
      <c r="G109" s="154" t="n">
        <v>916000</v>
      </c>
      <c r="H109" s="154" t="n">
        <v>98000</v>
      </c>
    </row>
    <row r="110">
      <c r="A110" s="63" t="inlineStr">
        <is>
          <t>네이버</t>
        </is>
      </c>
      <c r="B110" s="64" t="inlineStr">
        <is>
          <t>농산물</t>
        </is>
      </c>
      <c r="C110" s="64" t="inlineStr">
        <is>
          <t>여화원</t>
        </is>
      </c>
      <c r="D110" s="147" t="inlineStr">
        <is>
          <t>386-96-00703</t>
        </is>
      </c>
      <c r="E110" s="63" t="inlineStr">
        <is>
          <t>[여화원]프라이빗 가든 유기농 로즈마리 잎차 40g 티인퓨져 저온건조 선물세트</t>
        </is>
      </c>
      <c r="F110" s="148" t="inlineStr">
        <is>
          <t>-</t>
        </is>
      </c>
      <c r="G110" s="154" t="inlineStr">
        <is>
          <t>-</t>
        </is>
      </c>
      <c r="H110" s="154" t="inlineStr">
        <is>
          <t>-</t>
        </is>
      </c>
    </row>
    <row r="111">
      <c r="A111" s="63" t="inlineStr">
        <is>
          <t>네이버</t>
        </is>
      </c>
      <c r="B111" s="64" t="inlineStr">
        <is>
          <t>농산물</t>
        </is>
      </c>
      <c r="C111" s="64" t="inlineStr">
        <is>
          <t>여화원</t>
        </is>
      </c>
      <c r="D111" s="147" t="inlineStr">
        <is>
          <t>386-96-00703</t>
        </is>
      </c>
      <c r="E111" s="63" t="inlineStr">
        <is>
          <t>[여화원]국산 유기농 로즈마리홀 허브 말린 건잎 40g /허브잎 향신료 허브차 허브티</t>
        </is>
      </c>
      <c r="F111" s="148" t="n">
        <v>4</v>
      </c>
      <c r="G111" s="154" t="n">
        <v>59600</v>
      </c>
      <c r="H111" s="154" t="n">
        <v>4980</v>
      </c>
    </row>
    <row r="112">
      <c r="A112" s="63" t="inlineStr">
        <is>
          <t>네이버</t>
        </is>
      </c>
      <c r="B112" s="64" t="inlineStr">
        <is>
          <t>농산물</t>
        </is>
      </c>
      <c r="C112" s="64" t="inlineStr">
        <is>
          <t>여화원</t>
        </is>
      </c>
      <c r="D112" s="147" t="inlineStr">
        <is>
          <t>386-96-00703</t>
        </is>
      </c>
      <c r="E112" s="63" t="inlineStr">
        <is>
          <t>[여화원]유기농명인이 직접 키우는 유기농 로즈마리 생잎 50g</t>
        </is>
      </c>
      <c r="F112" s="148" t="n">
        <v>4</v>
      </c>
      <c r="G112" s="154" t="n">
        <v>39000</v>
      </c>
      <c r="H112" s="154" t="n">
        <v>2340</v>
      </c>
    </row>
    <row r="113">
      <c r="A113" s="63" t="inlineStr">
        <is>
          <t>네이버</t>
        </is>
      </c>
      <c r="B113" s="64" t="inlineStr">
        <is>
          <t>가공식품</t>
        </is>
      </c>
      <c r="C113" s="64" t="inlineStr">
        <is>
          <t>농업회사법인 올담농원(주)</t>
        </is>
      </c>
      <c r="D113" s="147" t="inlineStr">
        <is>
          <t>550-88-01948</t>
        </is>
      </c>
      <c r="E113" s="63" t="inlineStr">
        <is>
          <t>히카마 올담농원 거제산 히카마 뿌리차 고소하고 부드러운 국산 티백차 60티백 40티백 20티백</t>
        </is>
      </c>
      <c r="F113" s="148" t="n">
        <v>59</v>
      </c>
      <c r="G113" s="154" t="n">
        <v>2502300</v>
      </c>
      <c r="H113" s="154" t="n">
        <v>253260</v>
      </c>
    </row>
    <row r="114">
      <c r="A114" s="63" t="inlineStr">
        <is>
          <t>네이버</t>
        </is>
      </c>
      <c r="B114" s="64" t="inlineStr">
        <is>
          <t>가공식품</t>
        </is>
      </c>
      <c r="C114" s="64" t="inlineStr">
        <is>
          <t>아름답게그린배영농조합법인</t>
        </is>
      </c>
      <c r="D114" s="147" t="inlineStr">
        <is>
          <t>410-86-90042</t>
        </is>
      </c>
      <c r="E114" s="63" t="inlineStr">
        <is>
          <t>농촌융복합 최우수상 [꼬샤꼬샤] 유기농 보리차 100ml 스파우트형 30개입 1개</t>
        </is>
      </c>
      <c r="F114" s="148" t="n">
        <v>23</v>
      </c>
      <c r="G114" s="154" t="n">
        <v>503700</v>
      </c>
      <c r="H114" s="154" t="n">
        <v>51760</v>
      </c>
    </row>
    <row r="115">
      <c r="A115" s="63" t="inlineStr">
        <is>
          <t>네이버</t>
        </is>
      </c>
      <c r="B115" s="64" t="inlineStr">
        <is>
          <t>가공식품</t>
        </is>
      </c>
      <c r="C115" s="64" t="inlineStr">
        <is>
          <t>아름답게그린배영농조합법인</t>
        </is>
      </c>
      <c r="D115" s="147" t="inlineStr">
        <is>
          <t>410-86-90042</t>
        </is>
      </c>
      <c r="E115" s="63" t="inlineStr">
        <is>
          <t>농촌융복합 최우수상 [꼬샤꼬샤] 유기농 보리차 100ml 스파우트형 30개입 2개</t>
        </is>
      </c>
      <c r="F115" s="148" t="n">
        <v>5</v>
      </c>
      <c r="G115" s="154" t="n">
        <v>190000</v>
      </c>
      <c r="H115" s="154" t="n">
        <v>38000</v>
      </c>
    </row>
    <row r="116">
      <c r="A116" s="63" t="inlineStr">
        <is>
          <t>네이버</t>
        </is>
      </c>
      <c r="B116" s="64" t="inlineStr">
        <is>
          <t>가공식품</t>
        </is>
      </c>
      <c r="C116" s="64" t="inlineStr">
        <is>
          <t>아름답게그린배영농조합법인</t>
        </is>
      </c>
      <c r="D116" s="147" t="inlineStr">
        <is>
          <t>410-86-90042</t>
        </is>
      </c>
      <c r="E116" s="63" t="inlineStr">
        <is>
          <t>농촌융복합 최우수상 [꼬샤꼬샤] 유기농 보리차 100ml 스파우트형 30개입 3개</t>
        </is>
      </c>
      <c r="F116" s="148" t="n">
        <v>12</v>
      </c>
      <c r="G116" s="154" t="n">
        <v>628800</v>
      </c>
      <c r="H116" s="154" t="n">
        <v>117920</v>
      </c>
    </row>
    <row r="117">
      <c r="A117" s="67" t="inlineStr">
        <is>
          <t>네이버</t>
        </is>
      </c>
      <c r="B117" s="68" t="inlineStr">
        <is>
          <t>농산물</t>
        </is>
      </c>
      <c r="C117" s="68" t="inlineStr">
        <is>
          <t>경성표고버섯농장</t>
        </is>
      </c>
      <c r="D117" s="149" t="inlineStr">
        <is>
          <t>774-11-01498</t>
        </is>
      </c>
      <c r="E117" s="67" t="inlineStr">
        <is>
          <t>참나무 표고버섯 유기농 슬라이스 건표고버섯 통 건표고버섯(200g)</t>
        </is>
      </c>
      <c r="F117" s="150" t="n">
        <v>211</v>
      </c>
      <c r="G117" s="154" t="n">
        <v>4592800</v>
      </c>
      <c r="H117" s="154" t="n">
        <v>503080</v>
      </c>
    </row>
    <row r="118">
      <c r="A118" s="67" t="inlineStr">
        <is>
          <t>네이버</t>
        </is>
      </c>
      <c r="B118" s="68" t="inlineStr">
        <is>
          <t>농산물</t>
        </is>
      </c>
      <c r="C118" s="68" t="inlineStr">
        <is>
          <t>경성표고버섯농장</t>
        </is>
      </c>
      <c r="D118" s="149" t="inlineStr">
        <is>
          <t>774-11-01498</t>
        </is>
      </c>
      <c r="E118" s="67" t="inlineStr">
        <is>
          <t>유기농 건표고버섯 슬라이스 통버섯 100g</t>
        </is>
      </c>
      <c r="F118" s="150" t="n">
        <v>16</v>
      </c>
      <c r="G118" s="154" t="n">
        <v>291120</v>
      </c>
      <c r="H118" s="154" t="n">
        <v>23370</v>
      </c>
    </row>
    <row r="119">
      <c r="A119" s="67" t="inlineStr">
        <is>
          <t>네이버</t>
        </is>
      </c>
      <c r="B119" s="68" t="inlineStr">
        <is>
          <t>농산물</t>
        </is>
      </c>
      <c r="C119" s="68" t="inlineStr">
        <is>
          <t>경성표고버섯농장</t>
        </is>
      </c>
      <c r="D119" s="149" t="inlineStr">
        <is>
          <t>774-11-01498</t>
        </is>
      </c>
      <c r="E119" s="67" t="inlineStr">
        <is>
          <t>유기농 표고칩 건표고버섯(80g) 참나무 표고버섯</t>
        </is>
      </c>
      <c r="F119" s="150" t="n">
        <v>16</v>
      </c>
      <c r="G119" s="154" t="n">
        <v>244730</v>
      </c>
      <c r="H119" s="154" t="n">
        <v>24780</v>
      </c>
    </row>
    <row r="120">
      <c r="A120" s="67" t="inlineStr">
        <is>
          <t>네이버</t>
        </is>
      </c>
      <c r="B120" s="68" t="inlineStr">
        <is>
          <t>가공식품</t>
        </is>
      </c>
      <c r="C120" s="68" t="inlineStr">
        <is>
          <t>경성표고버섯농장</t>
        </is>
      </c>
      <c r="D120" s="149" t="inlineStr">
        <is>
          <t>774-11-01498</t>
        </is>
      </c>
      <c r="E120" s="67" t="inlineStr">
        <is>
          <t>참나무 표고버섯으로 만든 표고버섯 분말 80g</t>
        </is>
      </c>
      <c r="F120" s="150" t="n">
        <v>17</v>
      </c>
      <c r="G120" s="154" t="n">
        <v>211200</v>
      </c>
      <c r="H120" s="154" t="n">
        <v>13400</v>
      </c>
    </row>
    <row r="121">
      <c r="A121" s="67" t="inlineStr">
        <is>
          <t>네이버</t>
        </is>
      </c>
      <c r="B121" s="68" t="inlineStr">
        <is>
          <t>농산물</t>
        </is>
      </c>
      <c r="C121" s="68" t="inlineStr">
        <is>
          <t>경성표고버섯농장</t>
        </is>
      </c>
      <c r="D121" s="149" t="inlineStr">
        <is>
          <t>774-11-01498</t>
        </is>
      </c>
      <c r="E121" s="67" t="inlineStr">
        <is>
          <t>더 편리한 표고버섯 3종 세트(통버섯 슬라이스 표고칩)</t>
        </is>
      </c>
      <c r="F121" s="150" t="n">
        <v>1</v>
      </c>
      <c r="G121" s="154" t="n">
        <v>32900</v>
      </c>
      <c r="H121" s="154" t="inlineStr">
        <is>
          <t>-</t>
        </is>
      </c>
    </row>
    <row r="122">
      <c r="A122" s="8" t="inlineStr">
        <is>
          <t>네이버</t>
        </is>
      </c>
      <c r="B122" s="9" t="inlineStr">
        <is>
          <t>농산물</t>
        </is>
      </c>
      <c r="C122" s="9" t="inlineStr">
        <is>
          <t>경성표고버섯농장</t>
        </is>
      </c>
      <c r="D122" s="134" t="inlineStr">
        <is>
          <t>774-11-01498</t>
        </is>
      </c>
      <c r="E122" s="8" t="inlineStr">
        <is>
          <t>유기농 동고 3종 표고버섯 선물세트(250g 통버섯 표고칩 슬라이스)</t>
        </is>
      </c>
      <c r="F122" s="140" t="inlineStr">
        <is>
          <t>-</t>
        </is>
      </c>
      <c r="G122" s="146" t="inlineStr">
        <is>
          <t>-</t>
        </is>
      </c>
      <c r="H122" s="146" t="inlineStr">
        <is>
          <t>-</t>
        </is>
      </c>
    </row>
    <row r="123">
      <c r="A123" s="8" t="inlineStr">
        <is>
          <t>네이버</t>
        </is>
      </c>
      <c r="B123" s="9" t="inlineStr">
        <is>
          <t>농산물</t>
        </is>
      </c>
      <c r="C123" s="9" t="inlineStr">
        <is>
          <t>경성표고버섯농장</t>
        </is>
      </c>
      <c r="D123" s="134" t="inlineStr">
        <is>
          <t>774-11-01498</t>
        </is>
      </c>
      <c r="E123" s="8" t="inlineStr">
        <is>
          <t>참나무 표고버섯 유기농 슬라이스 건표고버섯(200g)</t>
        </is>
      </c>
      <c r="F123" s="140" t="n">
        <v>9</v>
      </c>
      <c r="G123" s="146" t="n">
        <v>154200</v>
      </c>
      <c r="H123" s="146" t="n">
        <v>20760</v>
      </c>
    </row>
    <row r="124">
      <c r="A124" s="76" t="inlineStr">
        <is>
          <t>네이버</t>
        </is>
      </c>
      <c r="B124" s="24" t="inlineStr">
        <is>
          <t>농산물</t>
        </is>
      </c>
      <c r="C124" s="76" t="inlineStr">
        <is>
          <t>경성표고버섯농장</t>
        </is>
      </c>
      <c r="D124" s="136" t="inlineStr">
        <is>
          <t>774-11-01498</t>
        </is>
      </c>
      <c r="E124" s="76" t="inlineStr">
        <is>
          <t>참나무 표고버섯 유기농 통 건표고버섯(200g)</t>
        </is>
      </c>
      <c r="F124" s="76" t="n">
        <v>13</v>
      </c>
      <c r="G124" s="146" t="n">
        <v>310400</v>
      </c>
      <c r="H124" s="146" t="n">
        <v>23920</v>
      </c>
    </row>
    <row r="125">
      <c r="A125" s="76" t="inlineStr">
        <is>
          <t>네이버</t>
        </is>
      </c>
      <c r="B125" s="24" t="inlineStr">
        <is>
          <t>농산물</t>
        </is>
      </c>
      <c r="C125" s="76" t="inlineStr">
        <is>
          <t>경성표고버섯농장</t>
        </is>
      </c>
      <c r="D125" s="136" t="inlineStr">
        <is>
          <t>774-11-01498</t>
        </is>
      </c>
      <c r="E125" s="76" t="inlineStr">
        <is>
          <t>명장이 선택한 백화고 흑화고 슬라이스 표고버섯 선물세트 4종</t>
        </is>
      </c>
      <c r="F125" s="76" t="n">
        <v>0</v>
      </c>
      <c r="G125" s="146" t="inlineStr">
        <is>
          <t>-</t>
        </is>
      </c>
      <c r="H125" s="146" t="inlineStr">
        <is>
          <t>-</t>
        </is>
      </c>
    </row>
    <row r="126">
      <c r="A126" s="76" t="inlineStr">
        <is>
          <t>네이버</t>
        </is>
      </c>
      <c r="B126" s="24" t="inlineStr">
        <is>
          <t>가공식품</t>
        </is>
      </c>
      <c r="C126" s="76" t="inlineStr">
        <is>
          <t>농업회사법인하누리영이(주)</t>
        </is>
      </c>
      <c r="D126" s="136" t="inlineStr">
        <is>
          <t>348-87-01289</t>
        </is>
      </c>
      <c r="E126" s="76" t="inlineStr">
        <is>
          <t>하누리 영이천 직접재배 유기농 스테비아( 농축액 감미료) 10ml 10포 1개</t>
        </is>
      </c>
      <c r="F126" s="76" t="n">
        <v>5</v>
      </c>
      <c r="G126" s="146" t="n">
        <v>65000</v>
      </c>
      <c r="H126" s="146" t="inlineStr">
        <is>
          <t>-</t>
        </is>
      </c>
    </row>
    <row r="127">
      <c r="A127" s="76" t="inlineStr">
        <is>
          <t>네이버</t>
        </is>
      </c>
      <c r="B127" s="24" t="inlineStr">
        <is>
          <t>가공식품</t>
        </is>
      </c>
      <c r="C127" s="76" t="inlineStr">
        <is>
          <t>농업회사법인하누리영이(주)</t>
        </is>
      </c>
      <c r="D127" s="136" t="inlineStr">
        <is>
          <t>348-87-01289</t>
        </is>
      </c>
      <c r="E127" s="76" t="inlineStr">
        <is>
          <t>하누리영이 직접 재배 영이천 유비아 스틱 (유기농 스테비아&amp; 아로니아) 3g 10개</t>
        </is>
      </c>
      <c r="F127" s="76" t="n">
        <v>4</v>
      </c>
      <c r="G127" s="146" t="n">
        <v>52000</v>
      </c>
      <c r="H127" s="146" t="inlineStr">
        <is>
          <t>-</t>
        </is>
      </c>
    </row>
    <row r="128">
      <c r="A128" s="76" t="inlineStr">
        <is>
          <t>네이버</t>
        </is>
      </c>
      <c r="B128" s="24" t="inlineStr">
        <is>
          <t>가공식품</t>
        </is>
      </c>
      <c r="C128" s="76" t="inlineStr">
        <is>
          <t>농업회사법인하누리영이(주)</t>
        </is>
      </c>
      <c r="D128" s="136" t="inlineStr">
        <is>
          <t>348-87-01289</t>
        </is>
      </c>
      <c r="E128" s="76" t="inlineStr">
        <is>
          <t>하누리영이천 국내산 직접재배 유기농 아로니아 분말 가루 파우더 200g</t>
        </is>
      </c>
      <c r="F128" s="76" t="n">
        <v>163</v>
      </c>
      <c r="G128" s="146" t="n">
        <v>4420000</v>
      </c>
      <c r="H128" s="146" t="n">
        <v>557200</v>
      </c>
    </row>
    <row r="129">
      <c r="A129" s="76" t="inlineStr">
        <is>
          <t>네이버</t>
        </is>
      </c>
      <c r="B129" s="24" t="inlineStr">
        <is>
          <t>가공식품</t>
        </is>
      </c>
      <c r="C129" s="76" t="inlineStr">
        <is>
          <t>농업회사법인하누리영이(주)</t>
        </is>
      </c>
      <c r="D129" s="136" t="inlineStr">
        <is>
          <t>348-87-01289</t>
        </is>
      </c>
      <c r="E129" s="76" t="inlineStr">
        <is>
          <t>유삼비아(6년근 유기농 흑삼액&amp;스테비아+아로니아) 15ml 30개</t>
        </is>
      </c>
      <c r="F129" s="76" t="n">
        <v>1</v>
      </c>
      <c r="G129" s="146" t="n">
        <v>94000</v>
      </c>
      <c r="H129" s="146" t="n">
        <v>10000</v>
      </c>
    </row>
    <row r="130">
      <c r="A130" s="76" t="inlineStr">
        <is>
          <t>네이버</t>
        </is>
      </c>
      <c r="B130" s="24" t="inlineStr">
        <is>
          <t>가공식품</t>
        </is>
      </c>
      <c r="C130" s="76" t="inlineStr">
        <is>
          <t>농업회사법인하누리영이(주)</t>
        </is>
      </c>
      <c r="D130" s="136" t="inlineStr">
        <is>
          <t>348-87-01289</t>
        </is>
      </c>
      <c r="E130" s="76" t="inlineStr">
        <is>
          <t>하누리영이 직접 재배 영이天 유기농 아로니아 청 750ml 1개</t>
        </is>
      </c>
      <c r="F130" s="76" t="n">
        <v>1</v>
      </c>
      <c r="G130" s="146" t="n">
        <v>43000</v>
      </c>
      <c r="H130" s="146" t="n">
        <v>8600</v>
      </c>
    </row>
    <row r="131">
      <c r="A131" s="76" t="inlineStr">
        <is>
          <t>네이버</t>
        </is>
      </c>
      <c r="B131" s="24" t="inlineStr">
        <is>
          <t>가공식품</t>
        </is>
      </c>
      <c r="C131" s="76" t="inlineStr">
        <is>
          <t>농업회사법인하누리영이(주)</t>
        </is>
      </c>
      <c r="D131" s="136" t="inlineStr">
        <is>
          <t>348-87-01289</t>
        </is>
      </c>
      <c r="E131" s="76" t="inlineStr">
        <is>
          <t>하누리영이 직접 재배 영이천 유비아 스틱 (유기농 스테비아&amp; 아로니아) 3g 30개</t>
        </is>
      </c>
      <c r="F131" s="76" t="n">
        <v>0</v>
      </c>
      <c r="G131" s="146" t="inlineStr">
        <is>
          <t>-</t>
        </is>
      </c>
      <c r="H131" s="146" t="inlineStr">
        <is>
          <t>-</t>
        </is>
      </c>
    </row>
    <row r="132">
      <c r="A132" s="76" t="inlineStr">
        <is>
          <t>네이버</t>
        </is>
      </c>
      <c r="B132" s="24" t="inlineStr">
        <is>
          <t>가공식품</t>
        </is>
      </c>
      <c r="C132" s="76" t="inlineStr">
        <is>
          <t>농업회사법인하누리영이(주)</t>
        </is>
      </c>
      <c r="D132" s="136" t="inlineStr">
        <is>
          <t>348-87-01289</t>
        </is>
      </c>
      <c r="E132" s="76" t="inlineStr">
        <is>
          <t>영이천 흑 삼 비 아 (6년근 유기농 흑삼액&amp;스테비아+아로니아) 70ml 30개</t>
        </is>
      </c>
      <c r="F132" s="76" t="n">
        <v>0</v>
      </c>
      <c r="G132" s="146" t="inlineStr">
        <is>
          <t>-</t>
        </is>
      </c>
      <c r="H132" s="146" t="inlineStr">
        <is>
          <t>-</t>
        </is>
      </c>
    </row>
    <row r="133">
      <c r="A133" s="76" t="inlineStr">
        <is>
          <t>네이버</t>
        </is>
      </c>
      <c r="B133" s="24" t="inlineStr">
        <is>
          <t>농산물</t>
        </is>
      </c>
      <c r="C133" s="76" t="inlineStr">
        <is>
          <t>풀무리농장</t>
        </is>
      </c>
      <c r="D133" s="136" t="inlineStr">
        <is>
          <t>225-90-26954</t>
        </is>
      </c>
      <c r="E133" s="76" t="inlineStr">
        <is>
          <t>유기농 완숙토마토 찰토마토2.5k 5k</t>
        </is>
      </c>
      <c r="F133" s="76" t="n">
        <v>415</v>
      </c>
      <c r="G133" s="146" t="n">
        <v>14373700</v>
      </c>
      <c r="H133" s="146" t="n">
        <v>1792660</v>
      </c>
    </row>
    <row r="134">
      <c r="A134" s="76" t="inlineStr">
        <is>
          <t>네이버</t>
        </is>
      </c>
      <c r="B134" s="24" t="inlineStr">
        <is>
          <t>농산물</t>
        </is>
      </c>
      <c r="C134" s="76" t="inlineStr">
        <is>
          <t>풀무리농장</t>
        </is>
      </c>
      <c r="D134" s="136" t="inlineStr">
        <is>
          <t>225-90-26954</t>
        </is>
      </c>
      <c r="E134" s="76" t="inlineStr">
        <is>
          <t>국내산2026년세척유기농건 고추600g</t>
        </is>
      </c>
      <c r="F134" s="76" t="n">
        <v>8</v>
      </c>
      <c r="G134" s="146" t="n">
        <v>1206000</v>
      </c>
      <c r="H134" s="146" t="n">
        <v>60000</v>
      </c>
    </row>
    <row r="135">
      <c r="A135" s="76" t="inlineStr">
        <is>
          <t>네이버</t>
        </is>
      </c>
      <c r="B135" s="24" t="inlineStr">
        <is>
          <t>농산물</t>
        </is>
      </c>
      <c r="C135" s="76" t="inlineStr">
        <is>
          <t>농업회사법인 주식회사 여주능서농원</t>
        </is>
      </c>
      <c r="D135" s="136" t="inlineStr">
        <is>
          <t>566-81-02884</t>
        </is>
      </c>
      <c r="E135" s="76" t="inlineStr">
        <is>
          <t>껍질이 보약 26년 햇 통채루 고구마줄기 껍질째 통째로 먹는 고구마순 1kg 2kg</t>
        </is>
      </c>
      <c r="F135" s="76" t="n">
        <v>163</v>
      </c>
      <c r="G135" s="146" t="n">
        <v>3307600</v>
      </c>
      <c r="H135" s="146" t="n">
        <v>410580</v>
      </c>
    </row>
    <row r="136">
      <c r="A136" s="76" t="inlineStr">
        <is>
          <t>네이버</t>
        </is>
      </c>
      <c r="B136" s="24" t="inlineStr">
        <is>
          <t>농산물</t>
        </is>
      </c>
      <c r="C136" s="76" t="inlineStr">
        <is>
          <t>농업회사법인 주식회사 여주능서농원</t>
        </is>
      </c>
      <c r="D136" s="136" t="inlineStr">
        <is>
          <t>566-81-02884</t>
        </is>
      </c>
      <c r="E136" s="76" t="inlineStr">
        <is>
          <t>여주 햇고구마 2kg 국산 꿀고구마 호박고구마 밤고구마</t>
        </is>
      </c>
      <c r="F136" s="76" t="n">
        <v>42</v>
      </c>
      <c r="G136" s="146" t="n">
        <v>603770</v>
      </c>
      <c r="H136" s="146" t="n">
        <v>73650</v>
      </c>
    </row>
    <row r="137">
      <c r="A137" s="76" t="inlineStr">
        <is>
          <t>네이버</t>
        </is>
      </c>
      <c r="B137" s="24" t="inlineStr">
        <is>
          <t>농산물</t>
        </is>
      </c>
      <c r="C137" s="76" t="inlineStr">
        <is>
          <t>농업회사법인 주식회사 여주능서농원</t>
        </is>
      </c>
      <c r="D137" s="136" t="inlineStr">
        <is>
          <t>566-81-02884</t>
        </is>
      </c>
      <c r="E137" s="76" t="inlineStr">
        <is>
          <t>[여주능서농원] 고구마 5KG 꿀고구마 소담미 산지직송 호박 밤</t>
        </is>
      </c>
      <c r="F137" s="76" t="n">
        <v>29</v>
      </c>
      <c r="G137" s="146" t="n">
        <v>1149000</v>
      </c>
      <c r="H137" s="146" t="n">
        <v>108240</v>
      </c>
    </row>
    <row r="138">
      <c r="A138" s="76" t="inlineStr">
        <is>
          <t>네이버</t>
        </is>
      </c>
      <c r="B138" s="24" t="inlineStr">
        <is>
          <t>가공식품</t>
        </is>
      </c>
      <c r="C138" s="76" t="inlineStr">
        <is>
          <t>농업회사법인 주식회사 여주능서농원</t>
        </is>
      </c>
      <c r="D138" s="136" t="inlineStr">
        <is>
          <t>566-81-02884</t>
        </is>
      </c>
      <c r="E138" s="76" t="inlineStr">
        <is>
          <t>[여주능서농원] 국산 고구마말랭이 무첨가 영양간식 꿀고구마 소담미 60g 10개</t>
        </is>
      </c>
      <c r="F138" s="76" t="n">
        <v>11</v>
      </c>
      <c r="G138" s="146" t="n">
        <v>295300</v>
      </c>
      <c r="H138" s="146" t="n">
        <v>30780</v>
      </c>
    </row>
    <row r="139">
      <c r="A139" s="76" t="inlineStr">
        <is>
          <t>네이버</t>
        </is>
      </c>
      <c r="B139" s="24" t="inlineStr">
        <is>
          <t>가공식품</t>
        </is>
      </c>
      <c r="C139" s="76" t="inlineStr">
        <is>
          <t>농업회사법인 주식회사 여주능서농원</t>
        </is>
      </c>
      <c r="D139" s="136" t="inlineStr">
        <is>
          <t>566-81-02884</t>
        </is>
      </c>
      <c r="E139" s="76" t="inlineStr">
        <is>
          <t>[여주능서농원] 소담미스틱 국산꿀고구마 다이어트 간식 영양 식사대용 20g</t>
        </is>
      </c>
      <c r="F139" s="76" t="n">
        <v>3</v>
      </c>
      <c r="G139" s="146" t="n">
        <v>56000</v>
      </c>
      <c r="H139" s="146" t="n">
        <v>8800</v>
      </c>
    </row>
    <row r="140">
      <c r="A140" s="76" t="inlineStr">
        <is>
          <t>네이버</t>
        </is>
      </c>
      <c r="B140" s="24" t="inlineStr">
        <is>
          <t>가공식품</t>
        </is>
      </c>
      <c r="C140" s="76" t="inlineStr">
        <is>
          <t>농업회사법인 주식회사 여주능서농원</t>
        </is>
      </c>
      <c r="D140" s="136" t="inlineStr">
        <is>
          <t>566-81-02884</t>
        </is>
      </c>
      <c r="E140" s="76" t="inlineStr">
        <is>
          <t>[여주능서농원] 국산 고구마말랭이 무첨가 영양간식 꿀고구마 소담미 60g 20개</t>
        </is>
      </c>
      <c r="F140" s="76" t="n">
        <v>5</v>
      </c>
      <c r="G140" s="146" t="n">
        <v>221200</v>
      </c>
      <c r="H140" s="146" t="n">
        <v>34240</v>
      </c>
    </row>
    <row r="141">
      <c r="A141" s="76" t="inlineStr">
        <is>
          <t>네이버</t>
        </is>
      </c>
      <c r="B141" s="24" t="inlineStr">
        <is>
          <t>가공식품</t>
        </is>
      </c>
      <c r="C141" s="76" t="inlineStr">
        <is>
          <t>농업회사법인 주식회사 여주능서농원</t>
        </is>
      </c>
      <c r="D141" s="136" t="inlineStr">
        <is>
          <t>566-81-02884</t>
        </is>
      </c>
      <c r="E141" s="76" t="inlineStr">
        <is>
          <t>[여주능서농원] 국산 고구마말랭이 무첨가 영양간식 꿀고구마 소담미 60g 40개</t>
        </is>
      </c>
      <c r="F141" s="76" t="n">
        <v>0</v>
      </c>
      <c r="G141" s="146" t="inlineStr">
        <is>
          <t>-</t>
        </is>
      </c>
      <c r="H141" s="146" t="inlineStr">
        <is>
          <t>-</t>
        </is>
      </c>
    </row>
    <row r="142">
      <c r="A142" s="76" t="inlineStr">
        <is>
          <t>네이버</t>
        </is>
      </c>
      <c r="B142" s="24" t="inlineStr">
        <is>
          <t>농산물</t>
        </is>
      </c>
      <c r="C142" s="76" t="inlineStr">
        <is>
          <t>나래친환경영농조합법인</t>
        </is>
      </c>
      <c r="D142" s="136" t="inlineStr">
        <is>
          <t>507-81-09103</t>
        </is>
      </c>
      <c r="E142" s="76" t="inlineStr">
        <is>
          <t>유기농복숭아/백도/4.0kg/무료배송</t>
        </is>
      </c>
      <c r="F142" s="76" t="n">
        <v>82</v>
      </c>
      <c r="G142" s="146" t="n">
        <v>4760000</v>
      </c>
      <c r="H142" s="146" t="n">
        <v>720000</v>
      </c>
    </row>
    <row r="143">
      <c r="A143" s="76" t="inlineStr">
        <is>
          <t>네이버</t>
        </is>
      </c>
      <c r="B143" s="24" t="inlineStr">
        <is>
          <t>농산물</t>
        </is>
      </c>
      <c r="C143" s="76" t="inlineStr">
        <is>
          <t>농업회사법인 나무컴퍼니 주식회사</t>
        </is>
      </c>
      <c r="D143" s="136" t="inlineStr">
        <is>
          <t>580-88-02822</t>
        </is>
      </c>
      <c r="E143" s="76" t="inlineStr">
        <is>
          <t>[100% 국산 유기농] 26년산 고대곡물 호라산밀 파로 쌀 중 택일</t>
        </is>
      </c>
      <c r="F143" s="76" t="n">
        <v>936</v>
      </c>
      <c r="G143" s="146" t="n">
        <v>18569560</v>
      </c>
      <c r="H143" s="146" t="n">
        <v>1131200</v>
      </c>
    </row>
    <row r="144">
      <c r="A144" s="76" t="inlineStr">
        <is>
          <t>네이버</t>
        </is>
      </c>
      <c r="B144" s="24" t="inlineStr">
        <is>
          <t>농산물</t>
        </is>
      </c>
      <c r="C144" s="76" t="inlineStr">
        <is>
          <t>농업회사법인 나무컴퍼니 주식회사</t>
        </is>
      </c>
      <c r="D144" s="136" t="inlineStr">
        <is>
          <t>580-88-02822</t>
        </is>
      </c>
      <c r="E144" s="76" t="inlineStr">
        <is>
          <t>26년산 귀리 국산 유기농 귀리쌀 1kg</t>
        </is>
      </c>
      <c r="F144" s="76" t="n">
        <v>829</v>
      </c>
      <c r="G144" s="146" t="n">
        <v>13078880</v>
      </c>
      <c r="H144" s="146" t="n">
        <v>784000</v>
      </c>
    </row>
    <row r="145">
      <c r="A145" s="76" t="inlineStr">
        <is>
          <t>네이버</t>
        </is>
      </c>
      <c r="B145" s="24" t="inlineStr">
        <is>
          <t>농산물</t>
        </is>
      </c>
      <c r="C145" s="76" t="inlineStr">
        <is>
          <t>농업회사법인 나무컴퍼니 주식회사</t>
        </is>
      </c>
      <c r="D145" s="136" t="inlineStr">
        <is>
          <t>580-88-02822</t>
        </is>
      </c>
      <c r="E145" s="76" t="inlineStr">
        <is>
          <t>26년산 국산 유기농 보리 흑보리 찰보리 쌀 1kg</t>
        </is>
      </c>
      <c r="F145" s="76" t="n">
        <v>312</v>
      </c>
      <c r="G145" s="146" t="n">
        <v>4356380</v>
      </c>
      <c r="H145" s="146" t="n">
        <v>270440</v>
      </c>
    </row>
    <row r="146">
      <c r="A146" s="76" t="inlineStr">
        <is>
          <t>네이버</t>
        </is>
      </c>
      <c r="B146" s="24" t="inlineStr">
        <is>
          <t>농산물</t>
        </is>
      </c>
      <c r="C146" s="76" t="inlineStr">
        <is>
          <t>농업회사법인 나무컴퍼니 주식회사</t>
        </is>
      </c>
      <c r="D146" s="136" t="inlineStr">
        <is>
          <t>580-88-02822</t>
        </is>
      </c>
      <c r="E146" s="76" t="inlineStr">
        <is>
          <t>26년도 햇곡 기장쌀 국산 유기농 찰기장 좁쌀 1kg</t>
        </is>
      </c>
      <c r="F146" s="76" t="n">
        <v>348</v>
      </c>
      <c r="G146" s="146" t="n">
        <v>8685550</v>
      </c>
      <c r="H146" s="146" t="n">
        <v>370740</v>
      </c>
    </row>
    <row r="147">
      <c r="A147" s="76" t="inlineStr">
        <is>
          <t>네이버</t>
        </is>
      </c>
      <c r="B147" s="24" t="inlineStr">
        <is>
          <t>농산물</t>
        </is>
      </c>
      <c r="C147" s="76" t="inlineStr">
        <is>
          <t>농업회사법인 나무컴퍼니 주식회사</t>
        </is>
      </c>
      <c r="D147" s="136" t="inlineStr">
        <is>
          <t>580-88-02822</t>
        </is>
      </c>
      <c r="E147" s="76" t="inlineStr">
        <is>
          <t>25년산 햇곡 차조 국산 유기농 500g</t>
        </is>
      </c>
      <c r="F147" s="76" t="n">
        <v>86</v>
      </c>
      <c r="G147" s="146" t="n">
        <v>1417500</v>
      </c>
      <c r="H147" s="146" t="n">
        <v>63360</v>
      </c>
    </row>
    <row r="148">
      <c r="A148" s="76" t="inlineStr">
        <is>
          <t>네이버</t>
        </is>
      </c>
      <c r="B148" s="24" t="inlineStr">
        <is>
          <t>농산물</t>
        </is>
      </c>
      <c r="C148" s="76" t="inlineStr">
        <is>
          <t>농업회사법인 나무컴퍼니 주식회사</t>
        </is>
      </c>
      <c r="D148" s="136" t="inlineStr">
        <is>
          <t>580-88-02822</t>
        </is>
      </c>
      <c r="E148" s="76" t="inlineStr">
        <is>
          <t>25년 유기농 햇곡 햅 쌀 백미 2kg</t>
        </is>
      </c>
      <c r="F148" s="76" t="n">
        <v>139</v>
      </c>
      <c r="G148" s="146" t="n">
        <v>2291930</v>
      </c>
      <c r="H148" s="146" t="n">
        <v>217500</v>
      </c>
    </row>
    <row r="149">
      <c r="A149" s="76" t="inlineStr">
        <is>
          <t>네이버</t>
        </is>
      </c>
      <c r="B149" s="24" t="inlineStr">
        <is>
          <t>농산물</t>
        </is>
      </c>
      <c r="C149" s="76" t="inlineStr">
        <is>
          <t>농업회사법인 나무컴퍼니 주식회사</t>
        </is>
      </c>
      <c r="D149" s="136" t="inlineStr">
        <is>
          <t>580-88-02822</t>
        </is>
      </c>
      <c r="E149" s="76" t="inlineStr">
        <is>
          <t>25년 햇곡 국산 유기농 현미 찰현미 쌀 2kg</t>
        </is>
      </c>
      <c r="F149" s="76" t="n">
        <v>522</v>
      </c>
      <c r="G149" s="146" t="n">
        <v>7991060</v>
      </c>
      <c r="H149" s="146" t="n">
        <v>392860</v>
      </c>
    </row>
    <row r="150">
      <c r="A150" s="76" t="inlineStr">
        <is>
          <t>네이버</t>
        </is>
      </c>
      <c r="B150" s="24" t="inlineStr">
        <is>
          <t>농산물</t>
        </is>
      </c>
      <c r="C150" s="76" t="inlineStr">
        <is>
          <t>농업회사법인 나무컴퍼니 주식회사</t>
        </is>
      </c>
      <c r="D150" s="136" t="inlineStr">
        <is>
          <t>580-88-02822</t>
        </is>
      </c>
      <c r="E150" s="76" t="inlineStr">
        <is>
          <t>25년산 국산 유기농 찰 수수 1kg</t>
        </is>
      </c>
      <c r="F150" s="76" t="n">
        <v>74</v>
      </c>
      <c r="G150" s="146" t="n">
        <v>1527000</v>
      </c>
      <c r="H150" s="146" t="n">
        <v>93120</v>
      </c>
    </row>
    <row r="151">
      <c r="A151" s="76" t="inlineStr">
        <is>
          <t>네이버</t>
        </is>
      </c>
      <c r="B151" s="24" t="inlineStr">
        <is>
          <t>농산물</t>
        </is>
      </c>
      <c r="C151" s="76" t="inlineStr">
        <is>
          <t>농업회사법인 나무컴퍼니 주식회사</t>
        </is>
      </c>
      <c r="D151" s="136" t="inlineStr">
        <is>
          <t>580-88-02822</t>
        </is>
      </c>
      <c r="E151" s="76" t="inlineStr">
        <is>
          <t>25년산 서리태 국산 유기농 검정 검은 콩 1kg</t>
        </is>
      </c>
      <c r="F151" s="76" t="n">
        <v>176</v>
      </c>
      <c r="G151" s="146" t="n">
        <v>4796520</v>
      </c>
      <c r="H151" s="146" t="n">
        <v>254520</v>
      </c>
    </row>
    <row r="152">
      <c r="A152" s="76" t="inlineStr">
        <is>
          <t>네이버</t>
        </is>
      </c>
      <c r="B152" s="24" t="inlineStr">
        <is>
          <t>농산물</t>
        </is>
      </c>
      <c r="C152" s="76" t="inlineStr">
        <is>
          <t>농업회사법인 나무컴퍼니 주식회사</t>
        </is>
      </c>
      <c r="D152" s="136" t="inlineStr">
        <is>
          <t>580-88-02822</t>
        </is>
      </c>
      <c r="E152" s="76" t="inlineStr">
        <is>
          <t>25년산 국산 유기농 오색 현미 쌀 1kg</t>
        </is>
      </c>
      <c r="F152" s="76" t="n">
        <v>55</v>
      </c>
      <c r="G152" s="146" t="n">
        <v>685200</v>
      </c>
      <c r="H152" s="146" t="n">
        <v>13160</v>
      </c>
    </row>
    <row r="153">
      <c r="A153" s="76" t="inlineStr">
        <is>
          <t>네이버</t>
        </is>
      </c>
      <c r="B153" s="24" t="inlineStr">
        <is>
          <t>농산물</t>
        </is>
      </c>
      <c r="C153" s="76" t="inlineStr">
        <is>
          <t>농업회사법인 나무컴퍼니 주식회사</t>
        </is>
      </c>
      <c r="D153" s="136" t="inlineStr">
        <is>
          <t>580-88-02822</t>
        </is>
      </c>
      <c r="E153" s="76" t="inlineStr">
        <is>
          <t>25년산 국산 유기농 홍미 쌀 1kg</t>
        </is>
      </c>
      <c r="F153" s="76" t="n">
        <v>39</v>
      </c>
      <c r="G153" s="146" t="n">
        <v>463760</v>
      </c>
      <c r="H153" s="146" t="n">
        <v>11280</v>
      </c>
    </row>
    <row r="154">
      <c r="A154" s="76" t="inlineStr">
        <is>
          <t>네이버</t>
        </is>
      </c>
      <c r="B154" s="24" t="inlineStr">
        <is>
          <t>농산물</t>
        </is>
      </c>
      <c r="C154" s="76" t="inlineStr">
        <is>
          <t>농업회사법인 나무컴퍼니 주식회사</t>
        </is>
      </c>
      <c r="D154" s="136" t="inlineStr">
        <is>
          <t>580-88-02822</t>
        </is>
      </c>
      <c r="E154" s="76" t="inlineStr">
        <is>
          <t>25년산 국산 유기농 녹미 쌀 1kg</t>
        </is>
      </c>
      <c r="F154" s="76" t="n">
        <v>41</v>
      </c>
      <c r="G154" s="146" t="n">
        <v>568500</v>
      </c>
      <c r="H154" s="146" t="n">
        <v>32500</v>
      </c>
    </row>
    <row r="155">
      <c r="A155" s="76" t="inlineStr">
        <is>
          <t>네이버</t>
        </is>
      </c>
      <c r="B155" s="24" t="inlineStr">
        <is>
          <t>농산물</t>
        </is>
      </c>
      <c r="C155" s="76" t="inlineStr">
        <is>
          <t>농업회사법인 나무컴퍼니 주식회사</t>
        </is>
      </c>
      <c r="D155" s="136" t="inlineStr">
        <is>
          <t>580-88-02822</t>
        </is>
      </c>
      <c r="E155" s="76" t="inlineStr">
        <is>
          <t>25년산 국산 유기농 찰 흑미 검정쌀 1kg</t>
        </is>
      </c>
      <c r="F155" s="76" t="n">
        <v>125</v>
      </c>
      <c r="G155" s="146" t="n">
        <v>1900680</v>
      </c>
      <c r="H155" s="146" t="n">
        <v>85740</v>
      </c>
    </row>
    <row r="156">
      <c r="A156" s="76" t="inlineStr">
        <is>
          <t>네이버</t>
        </is>
      </c>
      <c r="B156" s="24" t="inlineStr">
        <is>
          <t>농산물</t>
        </is>
      </c>
      <c r="C156" s="76" t="inlineStr">
        <is>
          <t>농업회사법인 나무컴퍼니 주식회사</t>
        </is>
      </c>
      <c r="D156" s="136" t="inlineStr">
        <is>
          <t>580-88-02822</t>
        </is>
      </c>
      <c r="E156" s="76" t="inlineStr">
        <is>
          <t>25년산 국산 유기농 찹쌀 1kg</t>
        </is>
      </c>
      <c r="F156" s="76" t="n">
        <v>92</v>
      </c>
      <c r="G156" s="146" t="n">
        <v>1226520</v>
      </c>
      <c r="H156" s="146" t="n">
        <v>92550</v>
      </c>
    </row>
    <row r="157">
      <c r="A157" s="76" t="inlineStr">
        <is>
          <t>네이버</t>
        </is>
      </c>
      <c r="B157" s="24" t="inlineStr">
        <is>
          <t>가공식품</t>
        </is>
      </c>
      <c r="C157" s="76" t="inlineStr">
        <is>
          <t>농업회사법인 나무컴퍼니 주식회사</t>
        </is>
      </c>
      <c r="D157" s="136" t="inlineStr">
        <is>
          <t>580-88-02822</t>
        </is>
      </c>
      <c r="E157" s="76" t="inlineStr">
        <is>
          <t>유기농 국산 오트밀 압착 귀리 350g</t>
        </is>
      </c>
      <c r="F157" s="76" t="n">
        <v>62</v>
      </c>
      <c r="G157" s="146" t="n">
        <v>810590</v>
      </c>
      <c r="H157" s="146" t="n">
        <v>72520</v>
      </c>
    </row>
    <row r="158">
      <c r="A158" s="76" t="inlineStr">
        <is>
          <t>네이버</t>
        </is>
      </c>
      <c r="B158" s="24" t="inlineStr">
        <is>
          <t>농산물</t>
        </is>
      </c>
      <c r="C158" s="76" t="inlineStr">
        <is>
          <t>농업회사법인 나무컴퍼니 주식회사</t>
        </is>
      </c>
      <c r="D158" s="136" t="inlineStr">
        <is>
          <t>580-88-02822</t>
        </is>
      </c>
      <c r="E158" s="76" t="inlineStr">
        <is>
          <t>25년산 저속노화 잡곡 밥 국산 유기농 혼합 쌀 1kg</t>
        </is>
      </c>
      <c r="F158" s="76" t="n">
        <v>7</v>
      </c>
      <c r="G158" s="146" t="n">
        <v>131800</v>
      </c>
      <c r="H158" s="146" t="n">
        <v>12240</v>
      </c>
    </row>
    <row r="159">
      <c r="A159" s="76" t="inlineStr">
        <is>
          <t>네이버</t>
        </is>
      </c>
      <c r="B159" s="24" t="inlineStr">
        <is>
          <t>농산물</t>
        </is>
      </c>
      <c r="C159" s="76" t="inlineStr">
        <is>
          <t>농업회사법인 나무컴퍼니 주식회사</t>
        </is>
      </c>
      <c r="D159" s="136" t="inlineStr">
        <is>
          <t>580-88-02822</t>
        </is>
      </c>
      <c r="E159" s="76" t="inlineStr">
        <is>
          <t>25년산 저속노화 잡곡 밥 국산 유기농 혼합 쌀 1kg + 1kg</t>
        </is>
      </c>
      <c r="F159" s="76" t="n">
        <v>5</v>
      </c>
      <c r="G159" s="146" t="n">
        <v>199000</v>
      </c>
      <c r="H159" s="146" t="n">
        <v>7960</v>
      </c>
    </row>
    <row r="160">
      <c r="A160" s="76" t="inlineStr">
        <is>
          <t>네이버</t>
        </is>
      </c>
      <c r="B160" s="24" t="inlineStr">
        <is>
          <t>가공식품</t>
        </is>
      </c>
      <c r="C160" s="76" t="inlineStr">
        <is>
          <t>농업회사법인 나무컴퍼니 주식회사</t>
        </is>
      </c>
      <c r="D160" s="136" t="inlineStr">
        <is>
          <t>580-88-02822</t>
        </is>
      </c>
      <c r="E160" s="76" t="inlineStr">
        <is>
          <t>유기농 국산 100% 밥에 뿌려먹는 강황 가루 분말 100g</t>
        </is>
      </c>
      <c r="F160" s="76" t="n">
        <v>96</v>
      </c>
      <c r="G160" s="146" t="n">
        <v>1251020</v>
      </c>
      <c r="H160" s="146" t="n">
        <v>111350</v>
      </c>
    </row>
    <row r="161">
      <c r="A161" s="76" t="inlineStr">
        <is>
          <t>네이버</t>
        </is>
      </c>
      <c r="B161" s="24" t="inlineStr">
        <is>
          <t>농산물</t>
        </is>
      </c>
      <c r="C161" s="76" t="inlineStr">
        <is>
          <t>농업회사법인 나무컴퍼니 주식회사</t>
        </is>
      </c>
      <c r="D161" s="136" t="inlineStr">
        <is>
          <t>580-88-02822</t>
        </is>
      </c>
      <c r="E161" s="76" t="inlineStr">
        <is>
          <t>햇곡 국산 유기농 귀리 혼합 10곡 잡곡 쌀 800g</t>
        </is>
      </c>
      <c r="F161" s="76" t="n">
        <v>106</v>
      </c>
      <c r="G161" s="146" t="n">
        <v>1842380</v>
      </c>
      <c r="H161" s="146" t="n">
        <v>156880</v>
      </c>
    </row>
    <row r="162">
      <c r="A162" s="76" t="inlineStr">
        <is>
          <t>네이버</t>
        </is>
      </c>
      <c r="B162" s="24" t="inlineStr">
        <is>
          <t>축산물</t>
        </is>
      </c>
      <c r="C162" s="76" t="inlineStr">
        <is>
          <t>농업회사법인 나무컴퍼니 주식회사</t>
        </is>
      </c>
      <c r="D162" s="136" t="inlineStr">
        <is>
          <t>580-88-02822</t>
        </is>
      </c>
      <c r="E162" s="76" t="inlineStr">
        <is>
          <t>방목 유기농 계란 10구 난각번호1번 무항생제 유정란 난각1번 달걀</t>
        </is>
      </c>
      <c r="F162" s="76" t="n">
        <v>8</v>
      </c>
      <c r="G162" s="146" t="n">
        <v>247000</v>
      </c>
      <c r="H162" s="146" t="n">
        <v>25800</v>
      </c>
    </row>
    <row r="163">
      <c r="A163" s="76" t="inlineStr">
        <is>
          <t>네이버</t>
        </is>
      </c>
      <c r="B163" s="24" t="inlineStr">
        <is>
          <t>가공식품</t>
        </is>
      </c>
      <c r="C163" s="76" t="inlineStr">
        <is>
          <t>농업회사법인 나무컴퍼니 주식회사</t>
        </is>
      </c>
      <c r="D163" s="136" t="inlineStr">
        <is>
          <t>580-88-02822</t>
        </is>
      </c>
      <c r="E163" s="76" t="inlineStr">
        <is>
          <t>국산 유기농 3년숙성 매실청 매실액기스 매실액 300ml</t>
        </is>
      </c>
      <c r="F163" s="76" t="n">
        <v>1</v>
      </c>
      <c r="G163" s="146" t="n">
        <v>16500</v>
      </c>
      <c r="H163" s="146" t="inlineStr">
        <is>
          <t>-</t>
        </is>
      </c>
    </row>
    <row r="164">
      <c r="A164" s="76" t="inlineStr">
        <is>
          <t>네이버</t>
        </is>
      </c>
      <c r="B164" s="24" t="inlineStr">
        <is>
          <t>가공식품</t>
        </is>
      </c>
      <c r="C164" s="76" t="inlineStr">
        <is>
          <t>농업회사법인 나무컴퍼니 주식회사</t>
        </is>
      </c>
      <c r="D164" s="136" t="inlineStr">
        <is>
          <t>580-88-02822</t>
        </is>
      </c>
      <c r="E164" s="76" t="inlineStr">
        <is>
          <t>국산 유기농 3년숙성 감 식초 자연발효 원액 300ml</t>
        </is>
      </c>
      <c r="F164" s="76" t="n">
        <v>0</v>
      </c>
      <c r="G164" s="146" t="inlineStr">
        <is>
          <t>-</t>
        </is>
      </c>
      <c r="H164" s="146" t="inlineStr">
        <is>
          <t>-</t>
        </is>
      </c>
    </row>
    <row r="165">
      <c r="A165" s="76" t="inlineStr">
        <is>
          <t>네이버</t>
        </is>
      </c>
      <c r="B165" s="24" t="inlineStr">
        <is>
          <t>농산물</t>
        </is>
      </c>
      <c r="C165" s="76" t="inlineStr">
        <is>
          <t>농업회사법인 나무컴퍼니 주식회사</t>
        </is>
      </c>
      <c r="D165" s="136" t="inlineStr">
        <is>
          <t>580-88-02822</t>
        </is>
      </c>
      <c r="E165" s="76" t="inlineStr">
        <is>
          <t>26년산 국산 유기농 찰 보리 쌀 1kg</t>
        </is>
      </c>
      <c r="F165" s="76" t="n">
        <v>96</v>
      </c>
      <c r="G165" s="146" t="n">
        <v>1114280</v>
      </c>
      <c r="H165" s="146" t="n">
        <v>32020</v>
      </c>
    </row>
    <row r="166">
      <c r="A166" s="76" t="inlineStr">
        <is>
          <t>네이버</t>
        </is>
      </c>
      <c r="B166" s="24" t="inlineStr">
        <is>
          <t>농산물</t>
        </is>
      </c>
      <c r="C166" s="76" t="inlineStr">
        <is>
          <t>농업회사법인 나무컴퍼니 주식회사</t>
        </is>
      </c>
      <c r="D166" s="136" t="inlineStr">
        <is>
          <t>580-88-02822</t>
        </is>
      </c>
      <c r="E166" s="76" t="inlineStr">
        <is>
          <t>25년산 깬 서리태 국산 유기농 검정 검은 콩 500g</t>
        </is>
      </c>
      <c r="F166" s="76" t="n">
        <v>25</v>
      </c>
      <c r="G166" s="146" t="n">
        <v>383080</v>
      </c>
      <c r="H166" s="146" t="n">
        <v>20800</v>
      </c>
    </row>
    <row r="167">
      <c r="A167" s="76" t="inlineStr">
        <is>
          <t>네이버</t>
        </is>
      </c>
      <c r="B167" s="24" t="inlineStr">
        <is>
          <t>농산물</t>
        </is>
      </c>
      <c r="C167" s="76" t="inlineStr">
        <is>
          <t>농업회사법인 나무컴퍼니 주식회사</t>
        </is>
      </c>
      <c r="D167" s="136" t="inlineStr">
        <is>
          <t>580-88-02822</t>
        </is>
      </c>
      <c r="E167" s="76" t="inlineStr">
        <is>
          <t>햇곡 국산 친환경 어린이 혼합곡 잡곡 쌀 800g</t>
        </is>
      </c>
      <c r="F167" s="76" t="n">
        <v>22</v>
      </c>
      <c r="G167" s="146" t="n">
        <v>318540</v>
      </c>
      <c r="H167" s="146" t="n">
        <v>13200</v>
      </c>
    </row>
    <row r="168">
      <c r="A168" s="76" t="inlineStr">
        <is>
          <t>네이버</t>
        </is>
      </c>
      <c r="B168" s="24" t="inlineStr">
        <is>
          <t>농산물</t>
        </is>
      </c>
      <c r="C168" s="76" t="inlineStr">
        <is>
          <t>농업회사법인 나무컴퍼니 주식회사</t>
        </is>
      </c>
      <c r="D168" s="136" t="inlineStr">
        <is>
          <t>580-88-02822</t>
        </is>
      </c>
      <c r="E168" s="76" t="inlineStr">
        <is>
          <t>25년산 국산 유기농 찰 현미 찹쌀 2kg</t>
        </is>
      </c>
      <c r="F168" s="76" t="n">
        <v>29</v>
      </c>
      <c r="G168" s="146" t="n">
        <v>471200</v>
      </c>
      <c r="H168" s="146" t="n">
        <v>31360</v>
      </c>
    </row>
    <row r="169">
      <c r="A169" s="76" t="inlineStr">
        <is>
          <t>네이버</t>
        </is>
      </c>
      <c r="B169" s="24" t="inlineStr">
        <is>
          <t>가공식품</t>
        </is>
      </c>
      <c r="C169" s="76" t="inlineStr">
        <is>
          <t>농업회사법인 나무컴퍼니 주식회사</t>
        </is>
      </c>
      <c r="D169" s="136" t="inlineStr">
        <is>
          <t>580-88-02822</t>
        </is>
      </c>
      <c r="E169" s="76" t="inlineStr">
        <is>
          <t>[100% 국산 유기농] 현미 귀리 잡곡 즉석 밥 180g 6개</t>
        </is>
      </c>
      <c r="F169" s="76" t="n">
        <v>47</v>
      </c>
      <c r="G169" s="146" t="n">
        <v>845300</v>
      </c>
      <c r="H169" s="146" t="n">
        <v>74500</v>
      </c>
    </row>
    <row r="170">
      <c r="A170" s="76" t="inlineStr">
        <is>
          <t>네이버</t>
        </is>
      </c>
      <c r="B170" s="24" t="inlineStr">
        <is>
          <t>가공식품</t>
        </is>
      </c>
      <c r="C170" s="76" t="inlineStr">
        <is>
          <t>농업회사법인 나무컴퍼니 주식회사</t>
        </is>
      </c>
      <c r="D170" s="136" t="inlineStr">
        <is>
          <t>580-88-02822</t>
        </is>
      </c>
      <c r="E170" s="76" t="inlineStr">
        <is>
          <t>[100% 국산 유기농] 현미 귀리 잡곡 즉석 밥 180g 24개</t>
        </is>
      </c>
      <c r="F170" s="76" t="n">
        <v>10</v>
      </c>
      <c r="G170" s="146" t="n">
        <v>570500</v>
      </c>
      <c r="H170" s="146" t="n">
        <v>50000</v>
      </c>
    </row>
    <row r="171">
      <c r="A171" s="76" t="inlineStr">
        <is>
          <t>네이버</t>
        </is>
      </c>
      <c r="B171" s="24" t="inlineStr">
        <is>
          <t>가공식품</t>
        </is>
      </c>
      <c r="C171" s="76" t="inlineStr">
        <is>
          <t>농업회사법인 나무컴퍼니 주식회사</t>
        </is>
      </c>
      <c r="D171" s="136" t="inlineStr">
        <is>
          <t>580-88-02822</t>
        </is>
      </c>
      <c r="E171" s="76" t="inlineStr">
        <is>
          <t>[100% 국산 유기농] 현미 귀리 잡곡 즉석 밥 180g 48개</t>
        </is>
      </c>
      <c r="F171" s="76" t="n">
        <v>2</v>
      </c>
      <c r="G171" s="146" t="n">
        <v>222400</v>
      </c>
      <c r="H171" s="146" t="inlineStr">
        <is>
          <t>-</t>
        </is>
      </c>
    </row>
    <row r="172">
      <c r="A172" s="76" t="inlineStr">
        <is>
          <t>네이버</t>
        </is>
      </c>
      <c r="B172" s="24" t="inlineStr">
        <is>
          <t>농산물</t>
        </is>
      </c>
      <c r="C172" s="76" t="inlineStr">
        <is>
          <t>농업회사법인 나무컴퍼니 주식회사</t>
        </is>
      </c>
      <c r="D172" s="136" t="inlineStr">
        <is>
          <t>580-88-02822</t>
        </is>
      </c>
      <c r="E172" s="76" t="inlineStr">
        <is>
          <t>25년산 유기농 바나듐 쌀 햇곡 백미 2kg</t>
        </is>
      </c>
      <c r="F172" s="76" t="n">
        <v>179</v>
      </c>
      <c r="G172" s="146" t="n">
        <v>4589180</v>
      </c>
      <c r="H172" s="146" t="n">
        <v>246840</v>
      </c>
    </row>
    <row r="173">
      <c r="A173" s="76" t="inlineStr">
        <is>
          <t>네이버</t>
        </is>
      </c>
      <c r="B173" s="24" t="inlineStr">
        <is>
          <t>농산물</t>
        </is>
      </c>
      <c r="C173" s="76" t="inlineStr">
        <is>
          <t>농업회사법인 나무컴퍼니 주식회사</t>
        </is>
      </c>
      <c r="D173" s="136" t="inlineStr">
        <is>
          <t>580-88-02822</t>
        </is>
      </c>
      <c r="E173" s="76" t="inlineStr">
        <is>
          <t>25년산 유기농 바나듐 쌀 찰흑진주 흑미 2kg</t>
        </is>
      </c>
      <c r="F173" s="76" t="n">
        <v>39</v>
      </c>
      <c r="G173" s="146" t="n">
        <v>798700</v>
      </c>
      <c r="H173" s="146" t="n">
        <v>54320</v>
      </c>
    </row>
    <row r="174">
      <c r="A174" s="76" t="inlineStr">
        <is>
          <t>네이버</t>
        </is>
      </c>
      <c r="B174" s="24" t="inlineStr">
        <is>
          <t>농산물</t>
        </is>
      </c>
      <c r="C174" s="76" t="inlineStr">
        <is>
          <t>농업회사법인 나무컴퍼니 주식회사</t>
        </is>
      </c>
      <c r="D174" s="136" t="inlineStr">
        <is>
          <t>580-88-02822</t>
        </is>
      </c>
      <c r="E174" s="76" t="inlineStr">
        <is>
          <t>25년산 국산 유기농 찹쌀 가루 쌀 건식 이유식 500g</t>
        </is>
      </c>
      <c r="F174" s="76" t="n">
        <v>3</v>
      </c>
      <c r="G174" s="146" t="n">
        <v>35100</v>
      </c>
      <c r="H174" s="146" t="n">
        <v>3560</v>
      </c>
    </row>
    <row r="175">
      <c r="A175" s="76" t="inlineStr">
        <is>
          <t>네이버</t>
        </is>
      </c>
      <c r="B175" s="24" t="inlineStr">
        <is>
          <t>가공식품</t>
        </is>
      </c>
      <c r="C175" s="76" t="inlineStr">
        <is>
          <t>농업회사법인 나무컴퍼니 주식회사</t>
        </is>
      </c>
      <c r="D175" s="136" t="inlineStr">
        <is>
          <t>580-88-02822</t>
        </is>
      </c>
      <c r="E175" s="76" t="inlineStr">
        <is>
          <t>카페인없는차 흑하랑 유기농 상추 차 국산 숙면 잠오는 꿀잠 음료 티백</t>
        </is>
      </c>
      <c r="F175" s="76" t="n">
        <v>2</v>
      </c>
      <c r="G175" s="146" t="n">
        <v>31800</v>
      </c>
      <c r="H175" s="146" t="inlineStr">
        <is>
          <t>-</t>
        </is>
      </c>
    </row>
    <row r="176">
      <c r="A176" s="76" t="inlineStr">
        <is>
          <t>네이버</t>
        </is>
      </c>
      <c r="B176" s="24" t="inlineStr">
        <is>
          <t>가공식품</t>
        </is>
      </c>
      <c r="C176" s="76" t="inlineStr">
        <is>
          <t>참식품주식회사</t>
        </is>
      </c>
      <c r="D176" s="136" t="inlineStr">
        <is>
          <t>402-81-54069</t>
        </is>
      </c>
      <c r="E176" s="76" t="inlineStr">
        <is>
          <t>전주찬방 전국김치품평회 4회수상 유기농 포기김치 1kg 1개</t>
        </is>
      </c>
      <c r="F176" s="76" t="n">
        <v>34</v>
      </c>
      <c r="G176" s="146" t="n">
        <v>498000</v>
      </c>
      <c r="H176" s="146" t="n">
        <v>60780</v>
      </c>
    </row>
    <row r="177">
      <c r="A177" s="76" t="inlineStr">
        <is>
          <t>네이버</t>
        </is>
      </c>
      <c r="B177" s="24" t="inlineStr">
        <is>
          <t>가공식품</t>
        </is>
      </c>
      <c r="C177" s="76" t="inlineStr">
        <is>
          <t>참식품주식회사</t>
        </is>
      </c>
      <c r="D177" s="136" t="inlineStr">
        <is>
          <t>402-81-54069</t>
        </is>
      </c>
      <c r="E177" s="76" t="inlineStr">
        <is>
          <t>전주찬방 전국김치품평회 4회수상 유기농 포기김치 3kg 1개</t>
        </is>
      </c>
      <c r="F177" s="76" t="n">
        <v>62</v>
      </c>
      <c r="G177" s="146" t="n">
        <v>2281100</v>
      </c>
      <c r="H177" s="146" t="n">
        <v>311240</v>
      </c>
    </row>
    <row r="178">
      <c r="A178" s="76" t="inlineStr">
        <is>
          <t>네이버</t>
        </is>
      </c>
      <c r="B178" s="24" t="inlineStr">
        <is>
          <t>가공식품</t>
        </is>
      </c>
      <c r="C178" s="76" t="inlineStr">
        <is>
          <t>참식품주식회사</t>
        </is>
      </c>
      <c r="D178" s="136" t="inlineStr">
        <is>
          <t>402-81-54069</t>
        </is>
      </c>
      <c r="E178" s="76" t="inlineStr">
        <is>
          <t>전주찬방 전국김치품평회 4회수상 유기농 포기김치 5kg 1개</t>
        </is>
      </c>
      <c r="F178" s="76" t="n">
        <v>46</v>
      </c>
      <c r="G178" s="146" t="n">
        <v>2569800</v>
      </c>
      <c r="H178" s="146" t="n">
        <v>340000</v>
      </c>
    </row>
    <row r="179">
      <c r="A179" s="76" t="inlineStr">
        <is>
          <t>네이버</t>
        </is>
      </c>
      <c r="B179" s="24" t="inlineStr">
        <is>
          <t>가공식품</t>
        </is>
      </c>
      <c r="C179" s="76" t="inlineStr">
        <is>
          <t>참식품주식회사</t>
        </is>
      </c>
      <c r="D179" s="136" t="inlineStr">
        <is>
          <t>402-81-54069</t>
        </is>
      </c>
      <c r="E179" s="76" t="inlineStr">
        <is>
          <t>전주찬방 전국김치품평회 4회수상 유기농 포기김치 10kg 1개</t>
        </is>
      </c>
      <c r="F179" s="76" t="n">
        <v>13</v>
      </c>
      <c r="G179" s="146" t="n">
        <v>1190000</v>
      </c>
      <c r="H179" s="146" t="n">
        <v>90000</v>
      </c>
    </row>
    <row r="180">
      <c r="A180" s="76" t="inlineStr">
        <is>
          <t>네이버</t>
        </is>
      </c>
      <c r="B180" s="24" t="inlineStr">
        <is>
          <t>가공식품</t>
        </is>
      </c>
      <c r="C180" s="76" t="inlineStr">
        <is>
          <t>참식품주식회사</t>
        </is>
      </c>
      <c r="D180" s="136" t="inlineStr">
        <is>
          <t>402-81-54069</t>
        </is>
      </c>
      <c r="E180" s="76" t="inlineStr">
        <is>
          <t>전주찬방 전국김치품평회 4회수상 유기농 백김치 1kg 1개</t>
        </is>
      </c>
      <c r="F180" s="76" t="n">
        <v>111</v>
      </c>
      <c r="G180" s="146" t="n">
        <v>1758700</v>
      </c>
      <c r="H180" s="146" t="n">
        <v>183340</v>
      </c>
    </row>
    <row r="181">
      <c r="A181" s="76" t="inlineStr">
        <is>
          <t>네이버</t>
        </is>
      </c>
      <c r="B181" s="24" t="inlineStr">
        <is>
          <t>가공식품</t>
        </is>
      </c>
      <c r="C181" s="76" t="inlineStr">
        <is>
          <t>참식품주식회사</t>
        </is>
      </c>
      <c r="D181" s="136" t="inlineStr">
        <is>
          <t>402-81-54069</t>
        </is>
      </c>
      <c r="E181" s="76" t="inlineStr">
        <is>
          <t>전주찬방 전국김치품평회 4회수상 유기농 백김치 3kg 1개</t>
        </is>
      </c>
      <c r="F181" s="76" t="n">
        <v>57</v>
      </c>
      <c r="G181" s="146" t="n">
        <v>2049800</v>
      </c>
      <c r="H181" s="146" t="n">
        <v>244860</v>
      </c>
    </row>
    <row r="182">
      <c r="A182" s="76" t="inlineStr">
        <is>
          <t>네이버</t>
        </is>
      </c>
      <c r="B182" s="24" t="inlineStr">
        <is>
          <t>가공식품</t>
        </is>
      </c>
      <c r="C182" s="76" t="inlineStr">
        <is>
          <t>참식품주식회사</t>
        </is>
      </c>
      <c r="D182" s="136" t="inlineStr">
        <is>
          <t>402-81-54069</t>
        </is>
      </c>
      <c r="E182" s="76" t="inlineStr">
        <is>
          <t>전주찬방 전국김치품평회 4회수상 유기농 백김치 5kg 1개</t>
        </is>
      </c>
      <c r="F182" s="76" t="n">
        <v>13</v>
      </c>
      <c r="G182" s="146" t="n">
        <v>715200</v>
      </c>
      <c r="H182" s="146" t="n">
        <v>110000</v>
      </c>
    </row>
    <row r="183">
      <c r="A183" s="76" t="inlineStr">
        <is>
          <t>네이버</t>
        </is>
      </c>
      <c r="B183" s="24" t="inlineStr">
        <is>
          <t>가공식품</t>
        </is>
      </c>
      <c r="C183" s="76" t="inlineStr">
        <is>
          <t>참식품주식회사</t>
        </is>
      </c>
      <c r="D183" s="136" t="inlineStr">
        <is>
          <t>402-81-54069</t>
        </is>
      </c>
      <c r="E183" s="76" t="inlineStr">
        <is>
          <t>전주찬방 전국김치품평회 4회수상 유기농 백김치 10kg 1개</t>
        </is>
      </c>
      <c r="F183" s="76" t="n">
        <v>5</v>
      </c>
      <c r="G183" s="146" t="n">
        <v>462000</v>
      </c>
      <c r="H183" s="146" t="n">
        <v>10000</v>
      </c>
    </row>
    <row r="184">
      <c r="A184" s="76" t="inlineStr">
        <is>
          <t>네이버</t>
        </is>
      </c>
      <c r="B184" s="24" t="inlineStr">
        <is>
          <t>가공식품</t>
        </is>
      </c>
      <c r="C184" s="76" t="inlineStr">
        <is>
          <t>참식품주식회사</t>
        </is>
      </c>
      <c r="D184" s="136" t="inlineStr">
        <is>
          <t>402-81-54069</t>
        </is>
      </c>
      <c r="E184" s="76" t="inlineStr">
        <is>
          <t>전주찬방 전국김치품평회 4회수상 유기농 깍두기 1kg 1개</t>
        </is>
      </c>
      <c r="F184" s="76" t="n">
        <v>142</v>
      </c>
      <c r="G184" s="146" t="n">
        <v>1460900</v>
      </c>
      <c r="H184" s="146" t="n">
        <v>127340</v>
      </c>
    </row>
    <row r="185">
      <c r="A185" s="76" t="inlineStr">
        <is>
          <t>네이버</t>
        </is>
      </c>
      <c r="B185" s="24" t="inlineStr">
        <is>
          <t>가공식품</t>
        </is>
      </c>
      <c r="C185" s="76" t="inlineStr">
        <is>
          <t>참식품주식회사</t>
        </is>
      </c>
      <c r="D185" s="136" t="inlineStr">
        <is>
          <t>402-81-54069</t>
        </is>
      </c>
      <c r="E185" s="76" t="inlineStr">
        <is>
          <t>전주찬방 전국김치품평회 4회수상 유기농 깍두기 3kg 1개</t>
        </is>
      </c>
      <c r="F185" s="76" t="n">
        <v>55</v>
      </c>
      <c r="G185" s="146" t="n">
        <v>1473500</v>
      </c>
      <c r="H185" s="146" t="n">
        <v>149370</v>
      </c>
    </row>
    <row r="186">
      <c r="A186" s="76" t="inlineStr">
        <is>
          <t>네이버</t>
        </is>
      </c>
      <c r="B186" s="24" t="inlineStr">
        <is>
          <t>가공식품</t>
        </is>
      </c>
      <c r="C186" s="76" t="inlineStr">
        <is>
          <t>참식품주식회사</t>
        </is>
      </c>
      <c r="D186" s="136" t="inlineStr">
        <is>
          <t>402-81-54069</t>
        </is>
      </c>
      <c r="E186" s="76" t="inlineStr">
        <is>
          <t>전주찬방 전국김치품평회 4회수상 유기농 깍두기 5kg 1개</t>
        </is>
      </c>
      <c r="F186" s="76" t="n">
        <v>9</v>
      </c>
      <c r="G186" s="146" t="n">
        <v>386800</v>
      </c>
      <c r="H186" s="146" t="n">
        <v>43000</v>
      </c>
    </row>
    <row r="187">
      <c r="A187" s="76" t="inlineStr">
        <is>
          <t>네이버</t>
        </is>
      </c>
      <c r="B187" s="108" t="inlineStr">
        <is>
          <t>농산물</t>
        </is>
      </c>
      <c r="C187" s="76" t="inlineStr">
        <is>
          <t>땅끝사랑농원</t>
        </is>
      </c>
      <c r="D187" s="155" t="inlineStr">
        <is>
          <t>106-93-03082</t>
        </is>
      </c>
      <c r="E187" s="76" t="inlineStr">
        <is>
          <t>땅끝사랑농원 1k 해남 무화과 고당도 하우스 무농약 당일수확 1kg 12개</t>
        </is>
      </c>
      <c r="F187" s="76" t="n">
        <v>1480</v>
      </c>
      <c r="G187" s="146" t="n">
        <v>34772000</v>
      </c>
      <c r="H187" s="146" t="n">
        <v>4116840</v>
      </c>
    </row>
    <row r="188">
      <c r="A188" s="76" t="inlineStr">
        <is>
          <t>네이버</t>
        </is>
      </c>
      <c r="B188" s="108" t="inlineStr">
        <is>
          <t>농산물</t>
        </is>
      </c>
      <c r="C188" s="76" t="inlineStr">
        <is>
          <t>땅끝사랑농원</t>
        </is>
      </c>
      <c r="D188" s="155" t="inlineStr">
        <is>
          <t>106-93-03082</t>
        </is>
      </c>
      <c r="E188" s="76" t="inlineStr">
        <is>
          <t>땅끝사랑농원 3k 해남 무화과 고당도 하우스 무농약 당일수확 3kg 36개</t>
        </is>
      </c>
      <c r="F188" s="76" t="n">
        <v>86</v>
      </c>
      <c r="G188" s="146" t="n">
        <v>5595000</v>
      </c>
      <c r="H188" s="146" t="n">
        <v>480000</v>
      </c>
    </row>
    <row r="189">
      <c r="A189" s="76" t="inlineStr">
        <is>
          <t>네이버</t>
        </is>
      </c>
      <c r="B189" s="108" t="inlineStr">
        <is>
          <t>농산물</t>
        </is>
      </c>
      <c r="C189" s="76" t="inlineStr">
        <is>
          <t>땅끝사랑농원</t>
        </is>
      </c>
      <c r="D189" s="155" t="inlineStr">
        <is>
          <t>106-93-03082</t>
        </is>
      </c>
      <c r="E189" s="76" t="inlineStr">
        <is>
          <t>땅끝사랑농원 2k 해남 무화과 고당도 하우스 무농약 당일수확 2kg 24개</t>
        </is>
      </c>
      <c r="F189" s="76" t="n">
        <v>441</v>
      </c>
      <c r="G189" s="146" t="n">
        <v>18460000</v>
      </c>
      <c r="H189" s="146" t="n">
        <v>2760280</v>
      </c>
    </row>
    <row r="190">
      <c r="A190" s="76" t="inlineStr">
        <is>
          <t>네이버</t>
        </is>
      </c>
      <c r="B190" s="108" t="inlineStr">
        <is>
          <t>농산물</t>
        </is>
      </c>
      <c r="C190" s="76" t="inlineStr">
        <is>
          <t>땅끝사랑농원</t>
        </is>
      </c>
      <c r="D190" s="155" t="inlineStr">
        <is>
          <t>106-93-03082</t>
        </is>
      </c>
      <c r="E190" s="76" t="inlineStr">
        <is>
          <t>땅끝사랑농원 4k 해남 무화과 고당도 하우스 무농약 당일수확 4kg 48개</t>
        </is>
      </c>
      <c r="F190" s="76" t="n">
        <v>40</v>
      </c>
      <c r="G190" s="146" t="n">
        <v>4364000</v>
      </c>
      <c r="H190" s="146" t="n">
        <v>260000</v>
      </c>
    </row>
    <row r="191">
      <c r="A191" s="76" t="inlineStr">
        <is>
          <t>네이버</t>
        </is>
      </c>
      <c r="B191" s="108" t="inlineStr">
        <is>
          <t>농산물</t>
        </is>
      </c>
      <c r="C191" s="76" t="inlineStr">
        <is>
          <t>아침농부</t>
        </is>
      </c>
      <c r="D191" s="155" t="inlineStr">
        <is>
          <t>706-01-03422</t>
        </is>
      </c>
      <c r="E191" s="76" t="inlineStr">
        <is>
          <t>유기농 미니파프리카1.5kg (토양재배)</t>
        </is>
      </c>
      <c r="F191" s="76" t="n">
        <v>520</v>
      </c>
      <c r="G191" s="146" t="n">
        <v>13123000</v>
      </c>
      <c r="H191" s="146" t="n">
        <v>1043580</v>
      </c>
    </row>
    <row r="192">
      <c r="A192" s="76" t="inlineStr">
        <is>
          <t>네이버</t>
        </is>
      </c>
      <c r="B192" s="108" t="inlineStr">
        <is>
          <t>농산물</t>
        </is>
      </c>
      <c r="C192" s="105" t="inlineStr">
        <is>
          <t>따순농장</t>
        </is>
      </c>
      <c r="D192" s="155" t="inlineStr">
        <is>
          <t>231-97-01414</t>
        </is>
      </c>
      <c r="E192" s="76" t="inlineStr">
        <is>
          <t>유기농 미니파프리카 1kg</t>
        </is>
      </c>
      <c r="F192" s="76" t="n">
        <v>206</v>
      </c>
      <c r="G192" s="146" t="n">
        <v>4424250</v>
      </c>
      <c r="H192" s="146" t="n">
        <v>703630</v>
      </c>
    </row>
    <row r="193">
      <c r="A193" s="76" t="inlineStr">
        <is>
          <t>네이버</t>
        </is>
      </c>
      <c r="B193" s="108" t="inlineStr">
        <is>
          <t>가공식품</t>
        </is>
      </c>
      <c r="C193" s="76" t="inlineStr">
        <is>
          <t>아그데뜰</t>
        </is>
      </c>
      <c r="D193" s="155" t="inlineStr">
        <is>
          <t>216-04-19795</t>
        </is>
      </c>
      <c r="E193" s="76" t="inlineStr">
        <is>
          <t>아그데뜰 고급선물 전통발효 보리수 열매 발효차 /효소 청 엑기스</t>
        </is>
      </c>
      <c r="F193" s="76" t="n">
        <v>3</v>
      </c>
      <c r="G193" s="146" t="n">
        <v>139000</v>
      </c>
      <c r="H193" s="146" t="n">
        <v>9400</v>
      </c>
    </row>
    <row r="194">
      <c r="A194" s="76" t="inlineStr">
        <is>
          <t>네이버</t>
        </is>
      </c>
      <c r="B194" s="108" t="inlineStr">
        <is>
          <t>가공식품</t>
        </is>
      </c>
      <c r="C194" s="76" t="inlineStr">
        <is>
          <t>아그데뜰</t>
        </is>
      </c>
      <c r="D194" s="155" t="inlineStr">
        <is>
          <t>216-04-19795</t>
        </is>
      </c>
      <c r="E194" s="76" t="inlineStr">
        <is>
          <t>아그데뜰 전통발효 보리수 열매 발효차 / 보리수효소</t>
        </is>
      </c>
      <c r="F194" s="76" t="n">
        <v>1</v>
      </c>
      <c r="G194" s="146" t="n">
        <v>33000</v>
      </c>
      <c r="H194" s="146" t="n">
        <v>6600</v>
      </c>
    </row>
    <row r="195">
      <c r="A195" s="76" t="inlineStr">
        <is>
          <t>네이버</t>
        </is>
      </c>
      <c r="B195" s="108" t="inlineStr">
        <is>
          <t>가공식품</t>
        </is>
      </c>
      <c r="C195" s="76" t="inlineStr">
        <is>
          <t>아그데뜰</t>
        </is>
      </c>
      <c r="D195" s="155" t="inlineStr">
        <is>
          <t>216-04-19795</t>
        </is>
      </c>
      <c r="E195" s="76" t="inlineStr">
        <is>
          <t>아그데뜰 전통발효 보리수 열매 발효차 / 보리수효소</t>
        </is>
      </c>
      <c r="F195" s="76" t="n">
        <v>4</v>
      </c>
      <c r="G195" s="146" t="n">
        <v>175000</v>
      </c>
      <c r="H195" s="146" t="n">
        <v>10000</v>
      </c>
    </row>
    <row r="196">
      <c r="A196" s="76" t="inlineStr">
        <is>
          <t>네이버</t>
        </is>
      </c>
      <c r="B196" s="108" t="inlineStr">
        <is>
          <t>농산물</t>
        </is>
      </c>
      <c r="C196" s="76" t="inlineStr">
        <is>
          <t>버섯놀이터사천숲속표고</t>
        </is>
      </c>
      <c r="D196" s="155" t="inlineStr">
        <is>
          <t>122-93-29177</t>
        </is>
      </c>
      <c r="E196" s="76" t="inlineStr">
        <is>
          <t>무 농약 생 표고버섯을 햇볕에 잘 말려 자연 건조한 국내산 사천 건 표고버섯 100g</t>
        </is>
      </c>
      <c r="F196" s="76" t="n">
        <v>7</v>
      </c>
      <c r="G196" s="146" t="n">
        <v>198000</v>
      </c>
      <c r="H196" s="146" t="inlineStr">
        <is>
          <t>-</t>
        </is>
      </c>
    </row>
    <row r="197">
      <c r="A197" s="76" t="inlineStr">
        <is>
          <t>네이버</t>
        </is>
      </c>
      <c r="B197" s="108" t="inlineStr">
        <is>
          <t>농산물</t>
        </is>
      </c>
      <c r="C197" s="76" t="inlineStr">
        <is>
          <t>버섯놀이터사천숲속표고</t>
        </is>
      </c>
      <c r="D197" s="155" t="inlineStr">
        <is>
          <t>122-93-29177</t>
        </is>
      </c>
      <c r="E197" s="76" t="inlineStr">
        <is>
          <t>사천숲속표고GAP 친환경무농약 생표고버섯1kg</t>
        </is>
      </c>
      <c r="F197" s="76" t="n">
        <v>0</v>
      </c>
      <c r="G197" s="146" t="inlineStr">
        <is>
          <t>-</t>
        </is>
      </c>
      <c r="H197" s="146" t="inlineStr">
        <is>
          <t>-</t>
        </is>
      </c>
    </row>
    <row r="198">
      <c r="A198" s="76" t="inlineStr">
        <is>
          <t>네이버</t>
        </is>
      </c>
      <c r="B198" s="108" t="inlineStr">
        <is>
          <t>농산물</t>
        </is>
      </c>
      <c r="C198" s="76" t="inlineStr">
        <is>
          <t>버섯놀이터사천숲속표고</t>
        </is>
      </c>
      <c r="D198" s="155" t="inlineStr">
        <is>
          <t>122-93-29177</t>
        </is>
      </c>
      <c r="E198" s="76" t="inlineStr">
        <is>
          <t>버섯놀이터 사천숲속표고 친환경 건표고버섯 선물세트</t>
        </is>
      </c>
      <c r="F198" s="76" t="n">
        <v>0</v>
      </c>
      <c r="G198" s="146" t="inlineStr">
        <is>
          <t>-</t>
        </is>
      </c>
      <c r="H198" s="146" t="inlineStr">
        <is>
          <t>-</t>
        </is>
      </c>
    </row>
    <row r="199">
      <c r="A199" s="76" t="inlineStr">
        <is>
          <t>네이버</t>
        </is>
      </c>
      <c r="B199" s="108" t="inlineStr">
        <is>
          <t>농산물</t>
        </is>
      </c>
      <c r="C199" s="76" t="inlineStr">
        <is>
          <t>농업회사법인주식회사구룡농원</t>
        </is>
      </c>
      <c r="D199" s="155" t="inlineStr">
        <is>
          <t>847-88-01726</t>
        </is>
      </c>
      <c r="E199" s="76" t="inlineStr">
        <is>
          <t>유기농 햇 찰옥수수 흑찰옥수수 미백옥수수 / 구룡농원 냉동 삶은 찐옥수수 강원도품종</t>
        </is>
      </c>
      <c r="F199" s="76" t="n">
        <v>892</v>
      </c>
      <c r="G199" s="146" t="n">
        <v>30263600</v>
      </c>
      <c r="H199" s="146" t="n">
        <v>2593180</v>
      </c>
    </row>
    <row r="200">
      <c r="A200" s="76" t="inlineStr">
        <is>
          <t>네이버</t>
        </is>
      </c>
      <c r="B200" s="108" t="inlineStr">
        <is>
          <t>가공식품</t>
        </is>
      </c>
      <c r="C200" s="76" t="inlineStr">
        <is>
          <t>농업회사법인 주식회사 여주능서농원</t>
        </is>
      </c>
      <c r="D200" s="155" t="inlineStr">
        <is>
          <t>566-81-02884</t>
        </is>
      </c>
      <c r="E200" s="76" t="inlineStr">
        <is>
          <t>100% 국산 경기 여주산 햇고춧가루 500g</t>
        </is>
      </c>
      <c r="F200" s="76" t="n">
        <v>5</v>
      </c>
      <c r="G200" s="146" t="n">
        <v>95320</v>
      </c>
      <c r="H200" s="146" t="n">
        <v>3380</v>
      </c>
    </row>
    <row r="201">
      <c r="A201" s="76" t="inlineStr">
        <is>
          <t>네이버</t>
        </is>
      </c>
      <c r="B201" s="108" t="inlineStr">
        <is>
          <t>농산물</t>
        </is>
      </c>
      <c r="C201" s="76" t="inlineStr">
        <is>
          <t>땅끝민지맘</t>
        </is>
      </c>
      <c r="D201" s="155" t="inlineStr">
        <is>
          <t>402-47-64035</t>
        </is>
      </c>
      <c r="E201" s="76" t="inlineStr">
        <is>
          <t>유기농 잡곡 2kg(1kg x 2팩) 혼합곡</t>
        </is>
      </c>
      <c r="F201" s="76" t="n">
        <v>297</v>
      </c>
      <c r="G201" s="146" t="n">
        <v>6336160</v>
      </c>
      <c r="H201" s="146" t="inlineStr">
        <is>
          <t>-</t>
        </is>
      </c>
    </row>
    <row r="202">
      <c r="A202" s="76" t="inlineStr">
        <is>
          <t>네이버</t>
        </is>
      </c>
      <c r="B202" s="108" t="inlineStr">
        <is>
          <t>농산물</t>
        </is>
      </c>
      <c r="C202" s="76" t="inlineStr">
        <is>
          <t>땅끝민지맘</t>
        </is>
      </c>
      <c r="D202" s="155" t="inlineStr">
        <is>
          <t>402-47-64035</t>
        </is>
      </c>
      <c r="E202" s="76" t="inlineStr">
        <is>
          <t>해남 민지맘 유기농 잡곡 5kg 혼합곡(8곡)</t>
        </is>
      </c>
      <c r="F202" s="76" t="n">
        <v>89</v>
      </c>
      <c r="G202" s="146" t="n">
        <v>3281630</v>
      </c>
      <c r="H202" s="146" t="inlineStr">
        <is>
          <t>-</t>
        </is>
      </c>
    </row>
    <row r="203">
      <c r="A203" s="76" t="inlineStr">
        <is>
          <t>네이버</t>
        </is>
      </c>
      <c r="B203" s="108" t="inlineStr">
        <is>
          <t>농산물</t>
        </is>
      </c>
      <c r="C203" s="76" t="inlineStr">
        <is>
          <t>땅끝민지맘</t>
        </is>
      </c>
      <c r="D203" s="155" t="inlineStr">
        <is>
          <t>402-47-64035</t>
        </is>
      </c>
      <c r="E203" s="76" t="inlineStr">
        <is>
          <t>2026년 국산 햇 귀리 쌀 (850g x 3팩)</t>
        </is>
      </c>
      <c r="F203" s="76" t="n">
        <v>65</v>
      </c>
      <c r="G203" s="146" t="n">
        <v>1442190</v>
      </c>
      <c r="H203" s="146" t="inlineStr">
        <is>
          <t>-</t>
        </is>
      </c>
    </row>
    <row r="204">
      <c r="A204" s="76" t="inlineStr">
        <is>
          <t>네이버</t>
        </is>
      </c>
      <c r="B204" s="108" t="inlineStr">
        <is>
          <t>농산물</t>
        </is>
      </c>
      <c r="C204" s="76" t="inlineStr">
        <is>
          <t>땅끝민지맘</t>
        </is>
      </c>
      <c r="D204" s="155" t="inlineStr">
        <is>
          <t>402-47-64035</t>
        </is>
      </c>
      <c r="E204" s="76" t="inlineStr">
        <is>
          <t>해남 유기농 혼합곡 잡곡쌀 3kg(8곡)</t>
        </is>
      </c>
      <c r="F204" s="76" t="n">
        <v>58</v>
      </c>
      <c r="G204" s="146" t="n">
        <v>1542520</v>
      </c>
      <c r="H204" s="146" t="inlineStr">
        <is>
          <t>-</t>
        </is>
      </c>
    </row>
    <row r="205">
      <c r="A205" s="76" t="inlineStr">
        <is>
          <t>네이버</t>
        </is>
      </c>
      <c r="B205" s="108" t="inlineStr">
        <is>
          <t>농산물</t>
        </is>
      </c>
      <c r="C205" s="76" t="inlineStr">
        <is>
          <t>땅끝민지맘</t>
        </is>
      </c>
      <c r="D205" s="155" t="inlineStr">
        <is>
          <t>402-47-64035</t>
        </is>
      </c>
      <c r="E205" s="76" t="inlineStr">
        <is>
          <t>해남 민지맘 유기농 잡곡 쌀 10kg(1kg 10팩) 혼합곡</t>
        </is>
      </c>
      <c r="F205" s="76" t="n">
        <v>8</v>
      </c>
      <c r="G205" s="146" t="n">
        <v>494390</v>
      </c>
      <c r="H205" s="146" t="inlineStr">
        <is>
          <t>-</t>
        </is>
      </c>
    </row>
    <row r="206">
      <c r="A206" s="76" t="inlineStr">
        <is>
          <t>네이버</t>
        </is>
      </c>
      <c r="B206" s="108" t="inlineStr">
        <is>
          <t>가공식품</t>
        </is>
      </c>
      <c r="C206" s="76" t="inlineStr">
        <is>
          <t>땅끝민지맘</t>
        </is>
      </c>
      <c r="D206" s="155" t="inlineStr">
        <is>
          <t>402-47-64035</t>
        </is>
      </c>
      <c r="E206" s="76" t="inlineStr">
        <is>
          <t>행복한농부민지맘의 햇 무농약 작두콩차 90g</t>
        </is>
      </c>
      <c r="F206" s="76" t="n">
        <v>19</v>
      </c>
      <c r="G206" s="146" t="n">
        <v>387800</v>
      </c>
      <c r="H206" s="146" t="inlineStr">
        <is>
          <t>-</t>
        </is>
      </c>
    </row>
    <row r="207">
      <c r="A207" s="76" t="inlineStr">
        <is>
          <t>네이버</t>
        </is>
      </c>
      <c r="B207" s="108" t="inlineStr">
        <is>
          <t>가공식품</t>
        </is>
      </c>
      <c r="C207" s="76" t="inlineStr">
        <is>
          <t>땅끝민지맘</t>
        </is>
      </c>
      <c r="D207" s="155" t="inlineStr">
        <is>
          <t>402-47-64035</t>
        </is>
      </c>
      <c r="E207" s="76" t="inlineStr">
        <is>
          <t>26년 국내산 해남 민지맘 무농약 작두콩차 270g(90g x 3팩) 선물용</t>
        </is>
      </c>
      <c r="F207" s="76" t="n">
        <v>8</v>
      </c>
      <c r="G207" s="146" t="n">
        <v>208780</v>
      </c>
      <c r="H207" s="146" t="inlineStr">
        <is>
          <t>-</t>
        </is>
      </c>
    </row>
  </sheetData>
  <autoFilter ref="A5:I96"/>
  <conditionalFormatting sqref="B96">
    <cfRule type="duplicateValues" priority="1" dxfId="0"/>
  </conditionalFormatting>
  <dataValidations count="1">
    <dataValidation sqref="B6:B207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23" customWidth="1" style="21" min="2" max="2"/>
    <col width="33" customWidth="1" style="21" min="3" max="3"/>
    <col width="11" customWidth="1" style="21" min="4" max="4"/>
    <col width="11" customWidth="1" style="21" min="5" max="5"/>
    <col width="35" customWidth="1" style="21" min="6" max="6"/>
    <col width="15" customWidth="1" style="21" min="7" max="7"/>
    <col width="89" customWidth="1" style="21" min="8" max="8"/>
    <col width="15" customWidth="1" style="21" min="9" max="9"/>
    <col width="23" customWidth="1" style="21" min="10" max="10"/>
    <col width="21" customWidth="1" style="21" min="11" max="11"/>
    <col width="17" customWidth="1" style="21" min="12" max="12"/>
    <col width="21" customWidth="1" style="21" min="13" max="13"/>
    <col width="118" customWidth="1" style="21" min="14" max="14"/>
  </cols>
  <sheetData>
    <row r="1">
      <c r="A1" s="249" t="inlineStr">
        <is>
          <t>2026 aT 온라인 판로지원 - 8월 품목분류 오류 정밀 감사 목록 (총 66건)</t>
        </is>
      </c>
    </row>
    <row r="2">
      <c r="A2" s="237" t="inlineStr">
        <is>
          <t>※ 8월 실적 로우데이터(1,651건) 전수 감사 | 8월 신규 인입 51건 + 기존 지속 15건 | 오판단 False Positive 100% 제거 완료</t>
        </is>
      </c>
    </row>
    <row r="4" ht="25" customHeight="1" s="21">
      <c r="A4" s="238" t="inlineStr">
        <is>
          <t>No</t>
        </is>
      </c>
      <c r="B4" s="238" t="inlineStr">
        <is>
          <t>인입 구분</t>
        </is>
      </c>
      <c r="C4" s="238" t="inlineStr">
        <is>
          <t>이상치 유형</t>
        </is>
      </c>
      <c r="D4" s="238" t="inlineStr">
        <is>
          <t>기획전</t>
        </is>
      </c>
      <c r="E4" s="238" t="inlineStr">
        <is>
          <t>유통사</t>
        </is>
      </c>
      <c r="F4" s="238" t="inlineStr">
        <is>
          <t>판매자명(업체명)</t>
        </is>
      </c>
      <c r="G4" s="238" t="inlineStr">
        <is>
          <t>사업자번호</t>
        </is>
      </c>
      <c r="H4" s="238" t="inlineStr">
        <is>
          <t>상품명</t>
        </is>
      </c>
      <c r="I4" s="238" t="inlineStr">
        <is>
          <t>8월 현재분류</t>
        </is>
      </c>
      <c r="J4" s="238" t="inlineStr">
        <is>
          <t>권고 정정분류</t>
        </is>
      </c>
      <c r="K4" s="238" t="inlineStr">
        <is>
          <t>8월 순수매출액(원)</t>
        </is>
      </c>
      <c r="L4" s="238" t="inlineStr">
        <is>
          <t>8월 주문수(건)</t>
        </is>
      </c>
      <c r="M4" s="238" t="inlineStr">
        <is>
          <t>8월 쿠폰지원액(원)</t>
        </is>
      </c>
      <c r="N4" s="238" t="inlineStr">
        <is>
          <t>이상치 판정 사유 및 조치 제언</t>
        </is>
      </c>
    </row>
    <row r="5" ht="20" customHeight="1" s="21">
      <c r="A5" s="239" t="n">
        <v>1</v>
      </c>
      <c r="B5" s="239" t="inlineStr">
        <is>
          <t>기존 참여 지속</t>
        </is>
      </c>
      <c r="C5" s="239" t="inlineStr">
        <is>
          <t>조미가공육 ➡️ 축산물 오등록</t>
        </is>
      </c>
      <c r="D5" s="239" t="inlineStr">
        <is>
          <t>농산물</t>
        </is>
      </c>
      <c r="E5" s="239" t="inlineStr">
        <is>
          <t>지마켓</t>
        </is>
      </c>
      <c r="F5" s="240" t="inlineStr">
        <is>
          <t>두원식품(주)</t>
        </is>
      </c>
      <c r="G5" s="239" t="inlineStr">
        <is>
          <t>606-81-52718</t>
        </is>
      </c>
      <c r="H5" s="240" t="inlineStr">
        <is>
          <t>haccp인증 국내산 한돈 고추장 주물럭 300g x6팩(총 1.8kg)</t>
        </is>
      </c>
      <c r="I5" s="173" t="inlineStr">
        <is>
          <t>축산물</t>
        </is>
      </c>
      <c r="J5" s="241" t="inlineStr">
        <is>
          <t>가공식품(식육가공품)</t>
        </is>
      </c>
      <c r="K5" s="182" t="n">
        <v>65000</v>
      </c>
      <c r="L5" s="182" t="n">
        <v>2</v>
      </c>
      <c r="M5" s="182" t="n">
        <v>6500</v>
      </c>
      <c r="N5" s="240" t="inlineStr">
        <is>
          <t>식육가공품(양념조미육(주물럭))이나 1차 생육 축산물로 오등록됨</t>
        </is>
      </c>
    </row>
    <row r="6" ht="20" customHeight="1" s="21">
      <c r="A6" s="239" t="n">
        <v>2</v>
      </c>
      <c r="B6" s="239" t="inlineStr">
        <is>
          <t>기존 참여 지속</t>
        </is>
      </c>
      <c r="C6" s="239" t="inlineStr">
        <is>
          <t>조미가공육 ➡️ 축산물 오등록</t>
        </is>
      </c>
      <c r="D6" s="239" t="inlineStr">
        <is>
          <t>농산물</t>
        </is>
      </c>
      <c r="E6" s="239" t="inlineStr">
        <is>
          <t>지마켓</t>
        </is>
      </c>
      <c r="F6" s="240" t="inlineStr">
        <is>
          <t>두원식품(주)</t>
        </is>
      </c>
      <c r="G6" s="239" t="inlineStr">
        <is>
          <t>606-81-52718</t>
        </is>
      </c>
      <c r="H6" s="240" t="inlineStr">
        <is>
          <t>국내산 한돈 고추장 주물럭 300g + 300g 제육볶음</t>
        </is>
      </c>
      <c r="I6" s="173" t="inlineStr">
        <is>
          <t>축산물</t>
        </is>
      </c>
      <c r="J6" s="241" t="inlineStr">
        <is>
          <t>가공식품(식육가공품)</t>
        </is>
      </c>
      <c r="K6" s="182" t="n">
        <v>157900</v>
      </c>
      <c r="L6" s="182" t="n">
        <v>11</v>
      </c>
      <c r="M6" s="182" t="n">
        <v>11920</v>
      </c>
      <c r="N6" s="240" t="inlineStr">
        <is>
          <t>식육가공품(양념조미육(주물럭))이나 1차 생육 축산물로 오등록됨</t>
        </is>
      </c>
    </row>
    <row r="7" ht="20" customHeight="1" s="21">
      <c r="A7" s="239" t="n">
        <v>3</v>
      </c>
      <c r="B7" s="239" t="inlineStr">
        <is>
          <t>8월 신규 인입</t>
        </is>
      </c>
      <c r="C7" s="239" t="inlineStr">
        <is>
          <t>가공완제품 ➡️ 농산물 원물 정상 반영 완료</t>
        </is>
      </c>
      <c r="D7" s="239" t="inlineStr">
        <is>
          <t>농산물</t>
        </is>
      </c>
      <c r="E7" s="239" t="inlineStr">
        <is>
          <t>지마켓</t>
        </is>
      </c>
      <c r="F7" s="240" t="inlineStr">
        <is>
          <t>아침햇살영농조합법인</t>
        </is>
      </c>
      <c r="G7" s="239" t="inlineStr">
        <is>
          <t>508-81-33305</t>
        </is>
      </c>
      <c r="H7" s="240" t="inlineStr">
        <is>
          <t>사과를 가득담아 사과100% 사과꽃향기 사과즙 100mlX50팩 NFC착즙/(스타배송)</t>
        </is>
      </c>
      <c r="I7" s="173" t="inlineStr">
        <is>
          <t>가공식품</t>
        </is>
      </c>
      <c r="J7" s="241" t="inlineStr">
        <is>
          <t>가공식품(제조가공품)</t>
        </is>
      </c>
      <c r="K7" s="182" t="n">
        <v>241400</v>
      </c>
      <c r="L7" s="182" t="n">
        <v>16</v>
      </c>
      <c r="M7" s="182" t="n">
        <v>0</v>
      </c>
      <c r="N7" s="240" t="inlineStr">
        <is>
          <t>기존 '농산물' 오등록 건이었으나 최신 구글 시트 원천 로우데이터 상에 '가공식품' 정상 품목분류로 수정 반영 완료됨</t>
        </is>
      </c>
    </row>
    <row r="8" ht="20" customHeight="1" s="21">
      <c r="A8" s="239" t="n">
        <v>4</v>
      </c>
      <c r="B8" s="239" t="inlineStr">
        <is>
          <t>기존 참여 지속</t>
        </is>
      </c>
      <c r="C8" s="239" t="inlineStr">
        <is>
          <t>조미가공육 ➡️ 축산물 오등록</t>
        </is>
      </c>
      <c r="D8" s="239" t="inlineStr">
        <is>
          <t>농산물</t>
        </is>
      </c>
      <c r="E8" s="239" t="inlineStr">
        <is>
          <t>롯데ON</t>
        </is>
      </c>
      <c r="F8" s="240" t="inlineStr">
        <is>
          <t>주식회사 더락</t>
        </is>
      </c>
      <c r="G8" s="239" t="inlineStr">
        <is>
          <t>593-86-01295</t>
        </is>
      </c>
      <c r="H8" s="240" t="inlineStr">
        <is>
          <t>국내산 한돈 수제 양념 돼지갈비 450G (2종 중 택1)</t>
        </is>
      </c>
      <c r="I8" s="173" t="inlineStr">
        <is>
          <t>축산물</t>
        </is>
      </c>
      <c r="J8" s="241" t="inlineStr">
        <is>
          <t>가공식품(식육가공품)</t>
        </is>
      </c>
      <c r="K8" s="182" t="n">
        <v>37312000</v>
      </c>
      <c r="L8" s="182" t="n">
        <v>729</v>
      </c>
      <c r="M8" s="182" t="n">
        <v>4967600</v>
      </c>
      <c r="N8" s="240" t="inlineStr">
        <is>
          <t>식육가공품(양념조미육)이나 1차 생육 축산물로 오등록됨</t>
        </is>
      </c>
    </row>
    <row r="9" ht="20" customHeight="1" s="21">
      <c r="A9" s="239" t="n">
        <v>5</v>
      </c>
      <c r="B9" s="239" t="inlineStr">
        <is>
          <t>기존 참여 지속</t>
        </is>
      </c>
      <c r="C9" s="239" t="inlineStr">
        <is>
          <t>조미가공육 ➡️ 축산물 오등록</t>
        </is>
      </c>
      <c r="D9" s="239" t="inlineStr">
        <is>
          <t>농산물</t>
        </is>
      </c>
      <c r="E9" s="239" t="inlineStr">
        <is>
          <t>롯데ON</t>
        </is>
      </c>
      <c r="F9" s="240" t="inlineStr">
        <is>
          <t>농업회사법인 라이플로우 주식회사</t>
        </is>
      </c>
      <c r="G9" s="239" t="inlineStr">
        <is>
          <t>715-87-02493</t>
        </is>
      </c>
      <c r="H9" s="240" t="inlineStr">
        <is>
          <t>[온누리7%혜택][주왕산가든] 한우불고기 전골 밀키트 750g 3인분 불고기 육수 야채 소불고기</t>
        </is>
      </c>
      <c r="I9" s="173" t="inlineStr">
        <is>
          <t>축산물</t>
        </is>
      </c>
      <c r="J9" s="241" t="inlineStr">
        <is>
          <t>가공식품(식육가공품)</t>
        </is>
      </c>
      <c r="K9" s="182" t="n">
        <v>1967900</v>
      </c>
      <c r="L9" s="182" t="n">
        <v>65</v>
      </c>
      <c r="M9" s="182" t="n">
        <v>371630</v>
      </c>
      <c r="N9" s="240" t="inlineStr">
        <is>
          <t>식육가공품(양념조미육(불고기))이나 1차 생육 축산물로 오등록됨</t>
        </is>
      </c>
    </row>
    <row r="10" ht="20" customHeight="1" s="21">
      <c r="A10" s="239" t="n">
        <v>6</v>
      </c>
      <c r="B10" s="239" t="inlineStr">
        <is>
          <t>기존 참여 지속</t>
        </is>
      </c>
      <c r="C10" s="239" t="inlineStr">
        <is>
          <t>조미가공육 ➡️ 축산물 오등록</t>
        </is>
      </c>
      <c r="D10" s="239" t="inlineStr">
        <is>
          <t>농산물</t>
        </is>
      </c>
      <c r="E10" s="239" t="inlineStr">
        <is>
          <t>롯데ON</t>
        </is>
      </c>
      <c r="F10" s="240" t="inlineStr">
        <is>
          <t>농업회사법인 라이플로우 주식회사</t>
        </is>
      </c>
      <c r="G10" s="239" t="inlineStr">
        <is>
          <t>715-87-02493</t>
        </is>
      </c>
      <c r="H10" s="240" t="inlineStr">
        <is>
          <t>[온누리7%혜택][주왕산가든] 명품 한돈 수제 돼지갈비 실속형 500g 양념돼지갈비 밀키트</t>
        </is>
      </c>
      <c r="I10" s="173" t="inlineStr">
        <is>
          <t>축산물</t>
        </is>
      </c>
      <c r="J10" s="241" t="inlineStr">
        <is>
          <t>가공식품(식육가공품)</t>
        </is>
      </c>
      <c r="K10" s="182" t="n">
        <v>345000</v>
      </c>
      <c r="L10" s="182" t="n">
        <v>11</v>
      </c>
      <c r="M10" s="182" t="n">
        <v>63050</v>
      </c>
      <c r="N10" s="240" t="inlineStr">
        <is>
          <t>식육가공품(양념조미육)이나 1차 생육 축산물로 오등록됨</t>
        </is>
      </c>
    </row>
    <row r="11" ht="20" customHeight="1" s="21">
      <c r="A11" s="239" t="n">
        <v>7</v>
      </c>
      <c r="B11" s="239" t="inlineStr">
        <is>
          <t>기존 참여 지속</t>
        </is>
      </c>
      <c r="C11" s="239" t="inlineStr">
        <is>
          <t>조미가공육 ➡️ 축산물 오등록</t>
        </is>
      </c>
      <c r="D11" s="239" t="inlineStr">
        <is>
          <t>농산물</t>
        </is>
      </c>
      <c r="E11" s="239" t="inlineStr">
        <is>
          <t>롯데ON</t>
        </is>
      </c>
      <c r="F11" s="240" t="inlineStr">
        <is>
          <t>주식회사 태범프레시</t>
        </is>
      </c>
      <c r="G11" s="239" t="inlineStr">
        <is>
          <t>832-86-02035</t>
        </is>
      </c>
      <c r="H11" s="240" t="inlineStr">
        <is>
          <t>[홍익상회] 춘천닭갈비 500g x 3팩 국내산닭고기 양념 순살</t>
        </is>
      </c>
      <c r="I11" s="173" t="inlineStr">
        <is>
          <t>축산물</t>
        </is>
      </c>
      <c r="J11" s="241" t="inlineStr">
        <is>
          <t>가공식품(식육가공품)</t>
        </is>
      </c>
      <c r="K11" s="182" t="n">
        <v>0</v>
      </c>
      <c r="L11" s="182" t="n">
        <v>0</v>
      </c>
      <c r="M11" s="182" t="n">
        <v>0</v>
      </c>
      <c r="N11" s="240" t="inlineStr">
        <is>
          <t>식육가공품(조미가공육(춘천닭갈비))이나 1차 생육 축산물로 오등록됨</t>
        </is>
      </c>
    </row>
    <row r="12" ht="20" customHeight="1" s="21">
      <c r="A12" s="239" t="n">
        <v>8</v>
      </c>
      <c r="B12" s="239" t="inlineStr">
        <is>
          <t>기존 참여 지속</t>
        </is>
      </c>
      <c r="C12" s="239" t="inlineStr">
        <is>
          <t>조미가공육 ➡️ 축산물 오등록</t>
        </is>
      </c>
      <c r="D12" s="239" t="inlineStr">
        <is>
          <t>농산물</t>
        </is>
      </c>
      <c r="E12" s="239" t="inlineStr">
        <is>
          <t>롯데ON</t>
        </is>
      </c>
      <c r="F12" s="240" t="inlineStr">
        <is>
          <t>주식회사 영인에프앤에스</t>
        </is>
      </c>
      <c r="G12" s="239" t="inlineStr">
        <is>
          <t>847-88-01537</t>
        </is>
      </c>
      <c r="H12" s="240" t="inlineStr">
        <is>
          <t>삶은 돼지 대창 1kg</t>
        </is>
      </c>
      <c r="I12" s="173" t="inlineStr">
        <is>
          <t>축산물</t>
        </is>
      </c>
      <c r="J12" s="241" t="inlineStr">
        <is>
          <t>가공식품(식육가공품)</t>
        </is>
      </c>
      <c r="K12" s="182" t="n">
        <v>54500</v>
      </c>
      <c r="L12" s="182" t="n">
        <v>7</v>
      </c>
      <c r="M12" s="182" t="n">
        <v>9440</v>
      </c>
      <c r="N12" s="240" t="inlineStr">
        <is>
          <t>식육가공품(양념/가공육(대창))이나 1차 생육 축산물로 오등록됨</t>
        </is>
      </c>
    </row>
    <row r="13" ht="20" customHeight="1" s="21">
      <c r="A13" s="239" t="n">
        <v>9</v>
      </c>
      <c r="B13" s="239" t="inlineStr">
        <is>
          <t>기존 참여 지속</t>
        </is>
      </c>
      <c r="C13" s="239" t="inlineStr">
        <is>
          <t>조미가공육 ➡️ 축산물 오등록</t>
        </is>
      </c>
      <c r="D13" s="239" t="inlineStr">
        <is>
          <t>농산물</t>
        </is>
      </c>
      <c r="E13" s="239" t="inlineStr">
        <is>
          <t>롯데ON</t>
        </is>
      </c>
      <c r="F13" s="240" t="inlineStr">
        <is>
          <t>주식회사 삼형제월드</t>
        </is>
      </c>
      <c r="G13" s="239" t="inlineStr">
        <is>
          <t>185-87-01669</t>
        </is>
      </c>
      <c r="H13" s="240" t="inlineStr">
        <is>
          <t>삼형제고기 한돈 간장 고추장 불고기 1kg (200g x 5팩)</t>
        </is>
      </c>
      <c r="I13" s="173" t="inlineStr">
        <is>
          <t>축산물</t>
        </is>
      </c>
      <c r="J13" s="241" t="inlineStr">
        <is>
          <t>가공식품(식육가공품)</t>
        </is>
      </c>
      <c r="K13" s="182" t="n">
        <v>0</v>
      </c>
      <c r="L13" s="182" t="n">
        <v>0</v>
      </c>
      <c r="M13" s="182" t="n">
        <v>0</v>
      </c>
      <c r="N13" s="240" t="inlineStr">
        <is>
          <t>식육가공품(양념조미육(불고기))이나 1차 생육 축산물로 오등록됨</t>
        </is>
      </c>
    </row>
    <row r="14" ht="20" customHeight="1" s="21">
      <c r="A14" s="239" t="n">
        <v>10</v>
      </c>
      <c r="B14" s="239" t="inlineStr">
        <is>
          <t>기존 참여 지속</t>
        </is>
      </c>
      <c r="C14" s="239" t="inlineStr">
        <is>
          <t>조미가공육 ➡️ 축산물 오등록</t>
        </is>
      </c>
      <c r="D14" s="239" t="inlineStr">
        <is>
          <t>농산물</t>
        </is>
      </c>
      <c r="E14" s="239" t="inlineStr">
        <is>
          <t>롯데ON</t>
        </is>
      </c>
      <c r="F14" s="240" t="inlineStr">
        <is>
          <t>주식회사 태범프레시</t>
        </is>
      </c>
      <c r="G14" s="239" t="inlineStr">
        <is>
          <t>832-86-02035</t>
        </is>
      </c>
      <c r="H14" s="240" t="inlineStr">
        <is>
          <t>[홍익상회] 춘천 홍익닭갈비 500g x 3팩 국내산 닭고기 양념 순살</t>
        </is>
      </c>
      <c r="I14" s="173" t="inlineStr">
        <is>
          <t>축산물</t>
        </is>
      </c>
      <c r="J14" s="241" t="inlineStr">
        <is>
          <t>가공식품(식육가공품)</t>
        </is>
      </c>
      <c r="K14" s="182" t="n">
        <v>2552440</v>
      </c>
      <c r="L14" s="182" t="n">
        <v>73</v>
      </c>
      <c r="M14" s="182" t="n">
        <v>410540</v>
      </c>
      <c r="N14" s="240" t="inlineStr">
        <is>
          <t>식육가공품(조미가공육(춘천닭갈비))이나 1차 생육 축산물로 오등록됨</t>
        </is>
      </c>
    </row>
    <row r="15" ht="20" customHeight="1" s="21">
      <c r="A15" s="239" t="n">
        <v>11</v>
      </c>
      <c r="B15" s="239" t="inlineStr">
        <is>
          <t>8월 신규 인입</t>
        </is>
      </c>
      <c r="C15" s="239" t="inlineStr">
        <is>
          <t>조미가공육 ➡️ 축산물 오등록</t>
        </is>
      </c>
      <c r="D15" s="239" t="inlineStr">
        <is>
          <t>농산물</t>
        </is>
      </c>
      <c r="E15" s="239" t="inlineStr">
        <is>
          <t>롯데ON</t>
        </is>
      </c>
      <c r="F15" s="240" t="inlineStr">
        <is>
          <t>주식회사 태범프레시</t>
        </is>
      </c>
      <c r="G15" s="239" t="inlineStr">
        <is>
          <t>832-86-02035</t>
        </is>
      </c>
      <c r="H15" s="240" t="inlineStr">
        <is>
          <t>한돈스테이크 4장x1팩 오븐 직화 떡갈비 맛 함박 스테이크 너비아니</t>
        </is>
      </c>
      <c r="I15" s="173" t="inlineStr">
        <is>
          <t>축산물</t>
        </is>
      </c>
      <c r="J15" s="241" t="inlineStr">
        <is>
          <t>가공식품(식육가공품)</t>
        </is>
      </c>
      <c r="K15" s="182" t="n">
        <v>29900</v>
      </c>
      <c r="L15" s="182" t="n">
        <v>1</v>
      </c>
      <c r="M15" s="182" t="n">
        <v>5740</v>
      </c>
      <c r="N15" s="240" t="inlineStr">
        <is>
          <t>식육가공품(가공육(떡갈비·수제패티))이나 1차 생육 축산물로 오등록됨</t>
        </is>
      </c>
    </row>
    <row r="16" ht="20" customHeight="1" s="21">
      <c r="A16" s="239" t="n">
        <v>12</v>
      </c>
      <c r="B16" s="239" t="inlineStr">
        <is>
          <t>8월 신규 인입</t>
        </is>
      </c>
      <c r="C16" s="239" t="inlineStr">
        <is>
          <t>조미가공육 ➡️ 축산물 오등록</t>
        </is>
      </c>
      <c r="D16" s="239" t="inlineStr">
        <is>
          <t>농산물</t>
        </is>
      </c>
      <c r="E16" s="239" t="inlineStr">
        <is>
          <t>롯데ON</t>
        </is>
      </c>
      <c r="F16" s="240" t="inlineStr">
        <is>
          <t>주식회사 태범프레시</t>
        </is>
      </c>
      <c r="G16" s="239" t="inlineStr">
        <is>
          <t>832-86-02035</t>
        </is>
      </c>
      <c r="H16" s="240" t="inlineStr">
        <is>
          <t>홍익상회 양념 오리 불고기 고추장 주물럭 400g (2인분) x 3팩</t>
        </is>
      </c>
      <c r="I16" s="173" t="inlineStr">
        <is>
          <t>축산물</t>
        </is>
      </c>
      <c r="J16" s="241" t="inlineStr">
        <is>
          <t>가공식품(식육가공품)</t>
        </is>
      </c>
      <c r="K16" s="182" t="n">
        <v>71800</v>
      </c>
      <c r="L16" s="182" t="n">
        <v>2</v>
      </c>
      <c r="M16" s="182" t="n">
        <v>13340</v>
      </c>
      <c r="N16" s="240" t="inlineStr">
        <is>
          <t>식육가공품(양념조미육(주물럭))이나 1차 생육 축산물로 오등록됨</t>
        </is>
      </c>
    </row>
    <row r="17" ht="20" customHeight="1" s="21">
      <c r="A17" s="239" t="n">
        <v>13</v>
      </c>
      <c r="B17" s="239" t="inlineStr">
        <is>
          <t>8월 신규 인입</t>
        </is>
      </c>
      <c r="C17" s="239" t="inlineStr">
        <is>
          <t>조미가공육 ➡️ 축산물 오등록</t>
        </is>
      </c>
      <c r="D17" s="239" t="inlineStr">
        <is>
          <t>농산물</t>
        </is>
      </c>
      <c r="E17" s="239" t="inlineStr">
        <is>
          <t>롯데ON</t>
        </is>
      </c>
      <c r="F17" s="240" t="inlineStr">
        <is>
          <t>주식회사 태범프레시</t>
        </is>
      </c>
      <c r="G17" s="239" t="inlineStr">
        <is>
          <t>832-86-02035</t>
        </is>
      </c>
      <c r="H17" s="240" t="inlineStr">
        <is>
          <t>[APP전용][홍익상회] 춘천 국내산 홍익 순살 닭갈비 500g x 5팩/3팩</t>
        </is>
      </c>
      <c r="I17" s="173" t="inlineStr">
        <is>
          <t>축산물</t>
        </is>
      </c>
      <c r="J17" s="241" t="inlineStr">
        <is>
          <t>가공식품(식육가공품)</t>
        </is>
      </c>
      <c r="K17" s="182" t="n">
        <v>308550</v>
      </c>
      <c r="L17" s="182" t="n">
        <v>4</v>
      </c>
      <c r="M17" s="182" t="n">
        <v>36820</v>
      </c>
      <c r="N17" s="240" t="inlineStr">
        <is>
          <t>식육가공품(조미가공육(춘천닭갈비))이나 1차 생육 축산물로 오등록됨</t>
        </is>
      </c>
    </row>
    <row r="18" ht="20" customHeight="1" s="21">
      <c r="A18" s="239" t="n">
        <v>14</v>
      </c>
      <c r="B18" s="239" t="inlineStr">
        <is>
          <t>8월 신규 인입</t>
        </is>
      </c>
      <c r="C18" s="239" t="inlineStr">
        <is>
          <t>조미가공육 ➡️ 축산물 오등록</t>
        </is>
      </c>
      <c r="D18" s="239" t="inlineStr">
        <is>
          <t>농산물</t>
        </is>
      </c>
      <c r="E18" s="239" t="inlineStr">
        <is>
          <t>롯데ON</t>
        </is>
      </c>
      <c r="F18" s="240" t="inlineStr">
        <is>
          <t>주식회사 태범프레시</t>
        </is>
      </c>
      <c r="G18" s="239" t="inlineStr">
        <is>
          <t>832-86-02035</t>
        </is>
      </c>
      <c r="H18" s="240" t="inlineStr">
        <is>
          <t>[홍익상회] 춘천 국내산 홍익 순살 닭갈비 500g x 5팩/3팩</t>
        </is>
      </c>
      <c r="I18" s="173" t="inlineStr">
        <is>
          <t>축산물</t>
        </is>
      </c>
      <c r="J18" s="241" t="inlineStr">
        <is>
          <t>가공식품(식육가공품)</t>
        </is>
      </c>
      <c r="K18" s="182" t="n">
        <v>0</v>
      </c>
      <c r="L18" s="182" t="n">
        <v>0</v>
      </c>
      <c r="M18" s="182" t="n">
        <v>0</v>
      </c>
      <c r="N18" s="240" t="inlineStr">
        <is>
          <t>식육가공품(조미가공육(춘천닭갈비))이나 1차 생육 축산물로 오등록됨</t>
        </is>
      </c>
    </row>
    <row r="19" ht="20" customHeight="1" s="21">
      <c r="A19" s="239" t="n">
        <v>15</v>
      </c>
      <c r="B19" s="239" t="inlineStr">
        <is>
          <t>기존 참여 지속</t>
        </is>
      </c>
      <c r="C19" s="239" t="inlineStr">
        <is>
          <t>조미가공육 ➡️ 축산물 오등록</t>
        </is>
      </c>
      <c r="D19" s="239" t="inlineStr">
        <is>
          <t>농산물</t>
        </is>
      </c>
      <c r="E19" s="239" t="inlineStr">
        <is>
          <t>오아시스</t>
        </is>
      </c>
      <c r="F19" s="240" t="inlineStr">
        <is>
          <t>케이에프지</t>
        </is>
      </c>
      <c r="G19" s="239" t="inlineStr">
        <is>
          <t>120-86-08936</t>
        </is>
      </c>
      <c r="H19" s="240" t="inlineStr">
        <is>
          <t>한돈 칼집 양념구이 (650g X 1개)</t>
        </is>
      </c>
      <c r="I19" s="173" t="inlineStr">
        <is>
          <t>축산물</t>
        </is>
      </c>
      <c r="J19" s="241" t="inlineStr">
        <is>
          <t>가공식품(식육가공품)</t>
        </is>
      </c>
      <c r="K19" s="182" t="n">
        <v>30197000</v>
      </c>
      <c r="L19" s="182" t="n">
        <v>2552</v>
      </c>
      <c r="M19" s="182" t="n">
        <v>490780</v>
      </c>
      <c r="N19" s="240" t="inlineStr">
        <is>
          <t>식육가공품(양념조미육)이나 1차 생육 축산물로 오등록됨</t>
        </is>
      </c>
    </row>
    <row r="20" ht="20" customHeight="1" s="21">
      <c r="A20" s="239" t="n">
        <v>16</v>
      </c>
      <c r="B20" s="239" t="inlineStr">
        <is>
          <t>기존 참여 지속</t>
        </is>
      </c>
      <c r="C20" s="239" t="inlineStr">
        <is>
          <t>조미가공육 ➡️ 축산물 오등록</t>
        </is>
      </c>
      <c r="D20" s="239" t="inlineStr">
        <is>
          <t>농산물</t>
        </is>
      </c>
      <c r="E20" s="239" t="inlineStr">
        <is>
          <t>오아시스</t>
        </is>
      </c>
      <c r="F20" s="240" t="inlineStr">
        <is>
          <t>케이에프지</t>
        </is>
      </c>
      <c r="G20" s="239" t="inlineStr">
        <is>
          <t>120-86-08936</t>
        </is>
      </c>
      <c r="H20" s="240" t="inlineStr">
        <is>
          <t>서울식 한우 불고기 밀키트 (800g X 1개)</t>
        </is>
      </c>
      <c r="I20" s="173" t="inlineStr">
        <is>
          <t>축산물</t>
        </is>
      </c>
      <c r="J20" s="241" t="inlineStr">
        <is>
          <t>가공식품(식육가공품)</t>
        </is>
      </c>
      <c r="K20" s="182" t="n">
        <v>15422600</v>
      </c>
      <c r="L20" s="182" t="n">
        <v>883</v>
      </c>
      <c r="M20" s="182" t="n">
        <v>271750</v>
      </c>
      <c r="N20" s="240" t="inlineStr">
        <is>
          <t>식육가공품(양념조미육(불고기))이나 1차 생육 축산물로 오등록됨</t>
        </is>
      </c>
    </row>
    <row r="21" ht="20" customHeight="1" s="21">
      <c r="A21" s="239" t="n">
        <v>17</v>
      </c>
      <c r="B21" s="239" t="inlineStr">
        <is>
          <t>기존 참여 지속</t>
        </is>
      </c>
      <c r="C21" s="239" t="inlineStr">
        <is>
          <t>조미가공육 ➡️ 축산물 오등록</t>
        </is>
      </c>
      <c r="D21" s="239" t="inlineStr">
        <is>
          <t>농산물</t>
        </is>
      </c>
      <c r="E21" s="239" t="inlineStr">
        <is>
          <t>오아시스</t>
        </is>
      </c>
      <c r="F21" s="240" t="inlineStr">
        <is>
          <t>농업회사법인 주식회사 팔농</t>
        </is>
      </c>
      <c r="G21" s="239" t="inlineStr">
        <is>
          <t>797-88-03152</t>
        </is>
      </c>
      <c r="H21" s="240" t="inlineStr">
        <is>
          <t>안동한우양반곱창 한우곱창 200gX2팩 (400g)</t>
        </is>
      </c>
      <c r="I21" s="173" t="inlineStr">
        <is>
          <t>축산물</t>
        </is>
      </c>
      <c r="J21" s="241" t="inlineStr">
        <is>
          <t>가공식품(식육가공품)</t>
        </is>
      </c>
      <c r="K21" s="182" t="n">
        <v>508800</v>
      </c>
      <c r="L21" s="182" t="n">
        <v>16</v>
      </c>
      <c r="M21" s="182" t="n">
        <v>92680</v>
      </c>
      <c r="N21" s="240" t="inlineStr">
        <is>
          <t>식육가공품(양념/가공육(곱창/대창))이나 1차 생육 축산물로 오등록됨</t>
        </is>
      </c>
    </row>
    <row r="22" ht="20" customHeight="1" s="21">
      <c r="A22" s="239" t="n">
        <v>18</v>
      </c>
      <c r="B22" s="239" t="inlineStr">
        <is>
          <t>기존 참여 지속</t>
        </is>
      </c>
      <c r="C22" s="239" t="inlineStr">
        <is>
          <t>조미가공육 ➡️ 축산물 오등록</t>
        </is>
      </c>
      <c r="D22" s="239" t="inlineStr">
        <is>
          <t>농산물</t>
        </is>
      </c>
      <c r="E22" s="239" t="inlineStr">
        <is>
          <t>오아시스</t>
        </is>
      </c>
      <c r="F22" s="240" t="inlineStr">
        <is>
          <t>농업회사법인 주식회사 팔농</t>
        </is>
      </c>
      <c r="G22" s="239" t="inlineStr">
        <is>
          <t>797-88-03152</t>
        </is>
      </c>
      <c r="H22" s="240" t="inlineStr">
        <is>
          <t>안동한우양반곱창 한우곱창200g+한우대창200g 2종세트</t>
        </is>
      </c>
      <c r="I22" s="173" t="inlineStr">
        <is>
          <t>축산물</t>
        </is>
      </c>
      <c r="J22" s="241" t="inlineStr">
        <is>
          <t>가공식품(식육가공품)</t>
        </is>
      </c>
      <c r="K22" s="182" t="n">
        <v>59600</v>
      </c>
      <c r="L22" s="182" t="n">
        <v>2</v>
      </c>
      <c r="M22" s="182" t="n">
        <v>11920</v>
      </c>
      <c r="N22" s="240" t="inlineStr">
        <is>
          <t>식육가공품(양념/가공육(곱창/대창))이나 1차 생육 축산물로 오등록됨</t>
        </is>
      </c>
    </row>
    <row r="23" ht="20" customHeight="1" s="21">
      <c r="A23" s="239" t="n">
        <v>19</v>
      </c>
      <c r="B23" s="239" t="inlineStr">
        <is>
          <t>기존 참여 지속</t>
        </is>
      </c>
      <c r="C23" s="239" t="inlineStr">
        <is>
          <t>조미가공육 ➡️ 축산물 오등록</t>
        </is>
      </c>
      <c r="D23" s="239" t="inlineStr">
        <is>
          <t>농산물</t>
        </is>
      </c>
      <c r="E23" s="239" t="inlineStr">
        <is>
          <t>오아시스</t>
        </is>
      </c>
      <c r="F23" s="240" t="inlineStr">
        <is>
          <t>농업회사법인 주식회사 팔농</t>
        </is>
      </c>
      <c r="G23" s="239" t="inlineStr">
        <is>
          <t>797-88-03152</t>
        </is>
      </c>
      <c r="H23" s="240" t="inlineStr">
        <is>
          <t>안동한우양반곱창 한우곱창200g+한우막창200g 2종세트</t>
        </is>
      </c>
      <c r="I23" s="173" t="inlineStr">
        <is>
          <t>축산물</t>
        </is>
      </c>
      <c r="J23" s="241" t="inlineStr">
        <is>
          <t>가공식품(식육가공품)</t>
        </is>
      </c>
      <c r="K23" s="182" t="n">
        <v>115200</v>
      </c>
      <c r="L23" s="182" t="n">
        <v>4</v>
      </c>
      <c r="M23" s="182" t="n">
        <v>22653</v>
      </c>
      <c r="N23" s="240" t="inlineStr">
        <is>
          <t>식육가공품(양념/가공육(곱창/대창))이나 1차 생육 축산물로 오등록됨</t>
        </is>
      </c>
    </row>
    <row r="24" ht="20" customHeight="1" s="21">
      <c r="A24" s="239" t="n">
        <v>20</v>
      </c>
      <c r="B24" s="239" t="inlineStr">
        <is>
          <t>기존 참여 지속</t>
        </is>
      </c>
      <c r="C24" s="239" t="inlineStr">
        <is>
          <t>조미가공육 ➡️ 축산물 오등록</t>
        </is>
      </c>
      <c r="D24" s="239" t="inlineStr">
        <is>
          <t>농산물</t>
        </is>
      </c>
      <c r="E24" s="239" t="inlineStr">
        <is>
          <t>오아시스</t>
        </is>
      </c>
      <c r="F24" s="240" t="inlineStr">
        <is>
          <t>농업회사법인 주식회사 팔농</t>
        </is>
      </c>
      <c r="G24" s="239" t="inlineStr">
        <is>
          <t>797-88-03152</t>
        </is>
      </c>
      <c r="H24" s="240" t="inlineStr">
        <is>
          <t>안동한우양반곱창 한우곱창200g+한우염통200g 2종세트</t>
        </is>
      </c>
      <c r="I24" s="173" t="inlineStr">
        <is>
          <t>축산물</t>
        </is>
      </c>
      <c r="J24" s="241" t="inlineStr">
        <is>
          <t>가공식품(식육가공품)</t>
        </is>
      </c>
      <c r="K24" s="182" t="n">
        <v>24800</v>
      </c>
      <c r="L24" s="182" t="n">
        <v>1</v>
      </c>
      <c r="M24" s="182" t="n">
        <v>4627</v>
      </c>
      <c r="N24" s="240" t="inlineStr">
        <is>
          <t>식육가공품(양념/가공육(곱창/대창))이나 1차 생육 축산물로 오등록됨</t>
        </is>
      </c>
    </row>
    <row r="25" ht="20" customHeight="1" s="21">
      <c r="A25" s="239" t="n">
        <v>21</v>
      </c>
      <c r="B25" s="239" t="inlineStr">
        <is>
          <t>8월 신규 인입</t>
        </is>
      </c>
      <c r="C25" s="239" t="inlineStr">
        <is>
          <t>조미가공육 ➡️ 축산물 오등록</t>
        </is>
      </c>
      <c r="D25" s="239" t="inlineStr">
        <is>
          <t>농산물</t>
        </is>
      </c>
      <c r="E25" s="239" t="inlineStr">
        <is>
          <t>네이버</t>
        </is>
      </c>
      <c r="F25" s="240" t="inlineStr">
        <is>
          <t>농업회사법인 주식회사 코리아식품</t>
        </is>
      </c>
      <c r="G25" s="239" t="inlineStr">
        <is>
          <t>608-88-00253</t>
        </is>
      </c>
      <c r="H25" s="240" t="inlineStr">
        <is>
          <t>청춘불판 직화껍데기 350g 국내산 직화 불향 자체양념소스</t>
        </is>
      </c>
      <c r="I25" s="173" t="inlineStr">
        <is>
          <t>축산물</t>
        </is>
      </c>
      <c r="J25" s="241" t="inlineStr">
        <is>
          <t>가공식품(식육가공품)</t>
        </is>
      </c>
      <c r="K25" s="182" t="n">
        <v>282900</v>
      </c>
      <c r="L25" s="182" t="n">
        <v>6</v>
      </c>
      <c r="M25" s="182" t="n">
        <v>15520</v>
      </c>
      <c r="N25" s="240" t="inlineStr">
        <is>
          <t>식육가공품(양념조미육)이나 1차 생육 축산물로 오등록됨</t>
        </is>
      </c>
    </row>
    <row r="26" ht="20" customHeight="1" s="21">
      <c r="A26" s="239" t="n">
        <v>22</v>
      </c>
      <c r="B26" s="239" t="inlineStr">
        <is>
          <t>8월 신규 인입</t>
        </is>
      </c>
      <c r="C26" s="239" t="inlineStr">
        <is>
          <t>조미가공육 ➡️ 축산물 오등록</t>
        </is>
      </c>
      <c r="D26" s="239" t="inlineStr">
        <is>
          <t>농산물</t>
        </is>
      </c>
      <c r="E26" s="239" t="inlineStr">
        <is>
          <t>네이버</t>
        </is>
      </c>
      <c r="F26" s="240" t="inlineStr">
        <is>
          <t>농업회사법인 주식회사 코리아식품</t>
        </is>
      </c>
      <c r="G26" s="239" t="inlineStr">
        <is>
          <t>608-88-00253</t>
        </is>
      </c>
      <c r="H26" s="240" t="inlineStr">
        <is>
          <t>고기얌 불오돌뼈 250g 국내산 매운 양념 캠핑 혼술 안주</t>
        </is>
      </c>
      <c r="I26" s="173" t="inlineStr">
        <is>
          <t>축산물</t>
        </is>
      </c>
      <c r="J26" s="241" t="inlineStr">
        <is>
          <t>가공식품(식육가공품)</t>
        </is>
      </c>
      <c r="K26" s="182" t="n">
        <v>6900</v>
      </c>
      <c r="L26" s="182" t="n">
        <v>1</v>
      </c>
      <c r="M26" s="182" t="n">
        <v>0</v>
      </c>
      <c r="N26" s="240" t="inlineStr">
        <is>
          <t>식육가공품(양념조미육)이나 1차 생육 축산물로 오등록됨</t>
        </is>
      </c>
    </row>
    <row r="27" ht="20" customHeight="1" s="21">
      <c r="A27" s="239" t="n">
        <v>23</v>
      </c>
      <c r="B27" s="239" t="inlineStr">
        <is>
          <t>8월 신규 인입</t>
        </is>
      </c>
      <c r="C27" s="239" t="inlineStr">
        <is>
          <t>조미가공육 ➡️ 축산물 오등록</t>
        </is>
      </c>
      <c r="D27" s="239" t="inlineStr">
        <is>
          <t>농산물</t>
        </is>
      </c>
      <c r="E27" s="239" t="inlineStr">
        <is>
          <t>네이버</t>
        </is>
      </c>
      <c r="F27" s="240" t="inlineStr">
        <is>
          <t>농업회사법인 주식회사 코리아식품</t>
        </is>
      </c>
      <c r="G27" s="239" t="inlineStr">
        <is>
          <t>608-88-00253</t>
        </is>
      </c>
      <c r="H27" s="240" t="inlineStr">
        <is>
          <t>청춘불판 불오돌뼈 400g 국내산 매운 양념 캠핑 혼술 안주</t>
        </is>
      </c>
      <c r="I27" s="173" t="inlineStr">
        <is>
          <t>축산물</t>
        </is>
      </c>
      <c r="J27" s="241" t="inlineStr">
        <is>
          <t>가공식품(식육가공품)</t>
        </is>
      </c>
      <c r="K27" s="182" t="n">
        <v>23700</v>
      </c>
      <c r="L27" s="182" t="n">
        <v>2</v>
      </c>
      <c r="M27" s="182" t="n">
        <v>3160</v>
      </c>
      <c r="N27" s="240" t="inlineStr">
        <is>
          <t>식육가공품(양념조미육)이나 1차 생육 축산물로 오등록됨</t>
        </is>
      </c>
    </row>
    <row r="28" ht="20" customHeight="1" s="21">
      <c r="A28" s="239" t="n">
        <v>24</v>
      </c>
      <c r="B28" s="239" t="inlineStr">
        <is>
          <t>8월 신규 인입</t>
        </is>
      </c>
      <c r="C28" s="239" t="inlineStr">
        <is>
          <t>조미가공육 ➡️ 축산물 오등록</t>
        </is>
      </c>
      <c r="D28" s="239" t="inlineStr">
        <is>
          <t>농산물</t>
        </is>
      </c>
      <c r="E28" s="239" t="inlineStr">
        <is>
          <t>네이버</t>
        </is>
      </c>
      <c r="F28" s="240" t="inlineStr">
        <is>
          <t>농업회사법인 주식회사 코리아식품</t>
        </is>
      </c>
      <c r="G28" s="239" t="inlineStr">
        <is>
          <t>608-88-00253</t>
        </is>
      </c>
      <c r="H28" s="240" t="inlineStr">
        <is>
          <t>청춘불판 직화불곱창 400g 혼술 캠핑 안주 돼지곱창</t>
        </is>
      </c>
      <c r="I28" s="173" t="inlineStr">
        <is>
          <t>축산물</t>
        </is>
      </c>
      <c r="J28" s="241" t="inlineStr">
        <is>
          <t>가공식품(식육가공품)</t>
        </is>
      </c>
      <c r="K28" s="182" t="n">
        <v>76300</v>
      </c>
      <c r="L28" s="182" t="n">
        <v>3</v>
      </c>
      <c r="M28" s="182" t="n">
        <v>8720</v>
      </c>
      <c r="N28" s="240" t="inlineStr">
        <is>
          <t>식육가공품(양념/가공육(곱창/대창))이나 1차 생육 축산물로 오등록됨</t>
        </is>
      </c>
    </row>
    <row r="29" ht="20" customHeight="1" s="21">
      <c r="A29" s="239" t="n">
        <v>25</v>
      </c>
      <c r="B29" s="239" t="inlineStr">
        <is>
          <t>8월 신규 인입</t>
        </is>
      </c>
      <c r="C29" s="239" t="inlineStr">
        <is>
          <t>조미가공육 ➡️ 축산물 오등록</t>
        </is>
      </c>
      <c r="D29" s="239" t="inlineStr">
        <is>
          <t>농산물</t>
        </is>
      </c>
      <c r="E29" s="239" t="inlineStr">
        <is>
          <t>네이버</t>
        </is>
      </c>
      <c r="F29" s="240" t="inlineStr">
        <is>
          <t>현풍떡갈비</t>
        </is>
      </c>
      <c r="G29" s="239" t="inlineStr">
        <is>
          <t>671-67-00557</t>
        </is>
      </c>
      <c r="H29" s="240" t="inlineStr">
        <is>
          <t>아기떡갈비 현풍 수제 한우 한돈 아이 반찬 건강한 육즙 세가지맛 3팩  90g  15개</t>
        </is>
      </c>
      <c r="I29" s="173" t="inlineStr">
        <is>
          <t>축산물</t>
        </is>
      </c>
      <c r="J29" s="241" t="inlineStr">
        <is>
          <t>가공식품(식육가공품)</t>
        </is>
      </c>
      <c r="K29" s="182" t="n">
        <v>2562900</v>
      </c>
      <c r="L29" s="182" t="n">
        <v>74</v>
      </c>
      <c r="M29" s="182" t="n">
        <v>237520</v>
      </c>
      <c r="N29" s="240" t="inlineStr">
        <is>
          <t>식육가공품(가공육(떡갈비·수제패티))이나 1차 생육 축산물로 오등록됨</t>
        </is>
      </c>
    </row>
    <row r="30" ht="20" customHeight="1" s="21">
      <c r="A30" s="239" t="n">
        <v>26</v>
      </c>
      <c r="B30" s="239" t="inlineStr">
        <is>
          <t>8월 신규 인입</t>
        </is>
      </c>
      <c r="C30" s="239" t="inlineStr">
        <is>
          <t>조미가공육 ➡️ 축산물 오등록</t>
        </is>
      </c>
      <c r="D30" s="239" t="inlineStr">
        <is>
          <t>농산물</t>
        </is>
      </c>
      <c r="E30" s="239" t="inlineStr">
        <is>
          <t>네이버</t>
        </is>
      </c>
      <c r="F30" s="240" t="inlineStr">
        <is>
          <t>농업회사법인 주식회사 코리아식품</t>
        </is>
      </c>
      <c r="G30" s="239" t="inlineStr">
        <is>
          <t>608-88-00253</t>
        </is>
      </c>
      <c r="H30" s="240" t="inlineStr">
        <is>
          <t>고기얌 돼지껍데기 누들 매콤맛 180g 국내산 매콤양념 누들껍데기 캠핑 야식 간편조리</t>
        </is>
      </c>
      <c r="I30" s="173" t="inlineStr">
        <is>
          <t>축산물</t>
        </is>
      </c>
      <c r="J30" s="241" t="inlineStr">
        <is>
          <t>가공식품(식육가공품)</t>
        </is>
      </c>
      <c r="K30" s="182" t="n">
        <v>7900</v>
      </c>
      <c r="L30" s="182" t="n">
        <v>1</v>
      </c>
      <c r="M30" s="182" t="n">
        <v>0</v>
      </c>
      <c r="N30" s="240" t="inlineStr">
        <is>
          <t>식육가공품(양념조미육)이나 1차 생육 축산물로 오등록됨</t>
        </is>
      </c>
    </row>
    <row r="31" ht="20" customHeight="1" s="21">
      <c r="A31" s="239" t="n">
        <v>27</v>
      </c>
      <c r="B31" s="239" t="inlineStr">
        <is>
          <t>8월 신규 인입</t>
        </is>
      </c>
      <c r="C31" s="239" t="inlineStr">
        <is>
          <t>조미가공육 ➡️ 축산물 오등록</t>
        </is>
      </c>
      <c r="D31" s="239" t="inlineStr">
        <is>
          <t>농산물</t>
        </is>
      </c>
      <c r="E31" s="239" t="inlineStr">
        <is>
          <t>네이버</t>
        </is>
      </c>
      <c r="F31" s="240" t="inlineStr">
        <is>
          <t>농업회사법인(주)새나라</t>
        </is>
      </c>
      <c r="G31" s="239" t="inlineStr">
        <is>
          <t>792-88-00316</t>
        </is>
      </c>
      <c r="H31" s="240" t="inlineStr">
        <is>
          <t>사조 오리 주물럭 양념 오리불고기 600g 넉넉한 양</t>
        </is>
      </c>
      <c r="I31" s="173" t="inlineStr">
        <is>
          <t>축산물</t>
        </is>
      </c>
      <c r="J31" s="241" t="inlineStr">
        <is>
          <t>가공식품(식육가공품)</t>
        </is>
      </c>
      <c r="K31" s="182" t="n">
        <v>202000</v>
      </c>
      <c r="L31" s="182" t="n">
        <v>7</v>
      </c>
      <c r="M31" s="182" t="n">
        <v>35820</v>
      </c>
      <c r="N31" s="240" t="inlineStr">
        <is>
          <t>식육가공품(양념조미육(주물럭))이나 1차 생육 축산물로 오등록됨</t>
        </is>
      </c>
    </row>
    <row r="32" ht="20" customHeight="1" s="21">
      <c r="A32" s="239" t="n">
        <v>28</v>
      </c>
      <c r="B32" s="239" t="inlineStr">
        <is>
          <t>8월 신규 인입</t>
        </is>
      </c>
      <c r="C32" s="239" t="inlineStr">
        <is>
          <t>조미가공육 ➡️ 축산물 오등록</t>
        </is>
      </c>
      <c r="D32" s="239" t="inlineStr">
        <is>
          <t>농산물</t>
        </is>
      </c>
      <c r="E32" s="239" t="inlineStr">
        <is>
          <t>네이버</t>
        </is>
      </c>
      <c r="F32" s="240" t="inlineStr">
        <is>
          <t>농업회사법인(주)새나라</t>
        </is>
      </c>
      <c r="G32" s="239" t="inlineStr">
        <is>
          <t>792-88-00316</t>
        </is>
      </c>
      <c r="H32" s="240" t="inlineStr">
        <is>
          <t>[모두 한입닭갈비] 춘천 3팩 국산 닭정육 캠핑 500gx3팩 (3~4인분)</t>
        </is>
      </c>
      <c r="I32" s="173" t="inlineStr">
        <is>
          <t>축산물</t>
        </is>
      </c>
      <c r="J32" s="241" t="inlineStr">
        <is>
          <t>가공식품(식육가공품)</t>
        </is>
      </c>
      <c r="K32" s="182" t="n">
        <v>126900</v>
      </c>
      <c r="L32" s="182" t="n">
        <v>6</v>
      </c>
      <c r="M32" s="182" t="n">
        <v>25380</v>
      </c>
      <c r="N32" s="240" t="inlineStr">
        <is>
          <t>식육가공품(조미가공육(춘천닭갈비))이나 1차 생육 축산물로 오등록됨</t>
        </is>
      </c>
    </row>
    <row r="33" ht="20" customHeight="1" s="21">
      <c r="A33" s="239" t="n">
        <v>29</v>
      </c>
      <c r="B33" s="239" t="inlineStr">
        <is>
          <t>8월 신규 인입</t>
        </is>
      </c>
      <c r="C33" s="239" t="inlineStr">
        <is>
          <t>조미가공육 ➡️ 축산물 오등록</t>
        </is>
      </c>
      <c r="D33" s="239" t="inlineStr">
        <is>
          <t>농산물</t>
        </is>
      </c>
      <c r="E33" s="239" t="inlineStr">
        <is>
          <t>네이버</t>
        </is>
      </c>
      <c r="F33" s="240" t="inlineStr">
        <is>
          <t>농업회사법인(주)새나라</t>
        </is>
      </c>
      <c r="G33" s="239" t="inlineStr">
        <is>
          <t>792-88-00316</t>
        </is>
      </c>
      <c r="H33" s="240" t="inlineStr">
        <is>
          <t>[모두양념닭발] 오직 국내산 무뼈닭발  200g포장</t>
        </is>
      </c>
      <c r="I33" s="173" t="inlineStr">
        <is>
          <t>축산물</t>
        </is>
      </c>
      <c r="J33" s="241" t="inlineStr">
        <is>
          <t>가공식품(식육가공품)</t>
        </is>
      </c>
      <c r="K33" s="182" t="n">
        <v>0</v>
      </c>
      <c r="L33" s="182" t="n">
        <v>0</v>
      </c>
      <c r="M33" s="182" t="n">
        <v>0</v>
      </c>
      <c r="N33" s="240" t="inlineStr">
        <is>
          <t>식육가공품(양념조미육)이나 1차 생육 축산물로 오등록됨</t>
        </is>
      </c>
    </row>
    <row r="34" ht="20" customHeight="1" s="21">
      <c r="A34" s="239" t="n">
        <v>30</v>
      </c>
      <c r="B34" s="239" t="inlineStr">
        <is>
          <t>8월 신규 인입</t>
        </is>
      </c>
      <c r="C34" s="239" t="inlineStr">
        <is>
          <t>조미가공육 ➡️ 축산물 오등록</t>
        </is>
      </c>
      <c r="D34" s="239" t="inlineStr">
        <is>
          <t>농산물</t>
        </is>
      </c>
      <c r="E34" s="239" t="inlineStr">
        <is>
          <t>네이버</t>
        </is>
      </c>
      <c r="F34" s="240" t="inlineStr">
        <is>
          <t>농업회사법인(주)새나라</t>
        </is>
      </c>
      <c r="G34" s="239" t="inlineStr">
        <is>
          <t>792-88-00316</t>
        </is>
      </c>
      <c r="H34" s="240" t="inlineStr">
        <is>
          <t>모두닭갈비 춘천 2+2팩 국산 닭정육 캠핑 500gx4팩 (6~8인분)</t>
        </is>
      </c>
      <c r="I34" s="173" t="inlineStr">
        <is>
          <t>축산물</t>
        </is>
      </c>
      <c r="J34" s="241" t="inlineStr">
        <is>
          <t>가공식품(식육가공품)</t>
        </is>
      </c>
      <c r="K34" s="182" t="n">
        <v>35600</v>
      </c>
      <c r="L34" s="182" t="n">
        <v>1</v>
      </c>
      <c r="M34" s="182" t="n">
        <v>0</v>
      </c>
      <c r="N34" s="240" t="inlineStr">
        <is>
          <t>식육가공품(조미가공육(춘천닭갈비))이나 1차 생육 축산물로 오등록됨</t>
        </is>
      </c>
    </row>
    <row r="35" ht="20" customHeight="1" s="21">
      <c r="A35" s="239" t="n">
        <v>31</v>
      </c>
      <c r="B35" s="239" t="inlineStr">
        <is>
          <t>8월 신규 인입</t>
        </is>
      </c>
      <c r="C35" s="239" t="inlineStr">
        <is>
          <t>조미가공육 ➡️ 축산물 오등록</t>
        </is>
      </c>
      <c r="D35" s="239" t="inlineStr">
        <is>
          <t>농산물</t>
        </is>
      </c>
      <c r="E35" s="239" t="inlineStr">
        <is>
          <t>네이버</t>
        </is>
      </c>
      <c r="F35" s="240" t="inlineStr">
        <is>
          <t>농업회사법인(주)새나라</t>
        </is>
      </c>
      <c r="G35" s="239" t="inlineStr">
        <is>
          <t>792-88-00316</t>
        </is>
      </c>
      <c r="H35" s="240" t="inlineStr">
        <is>
          <t>국내산 냉동 닭내장 [ 1kg / 20EA ]곱창 알탕  닭부산물</t>
        </is>
      </c>
      <c r="I35" s="173" t="inlineStr">
        <is>
          <t>축산물</t>
        </is>
      </c>
      <c r="J35" s="241" t="inlineStr">
        <is>
          <t>가공식품(식육가공품)</t>
        </is>
      </c>
      <c r="K35" s="182" t="n">
        <v>0</v>
      </c>
      <c r="L35" s="182" t="n">
        <v>0</v>
      </c>
      <c r="M35" s="182" t="n">
        <v>0</v>
      </c>
      <c r="N35" s="240" t="inlineStr">
        <is>
          <t>식육가공품(양념/가공육(곱창/대창))이나 1차 생육 축산물로 오등록됨</t>
        </is>
      </c>
    </row>
    <row r="36" ht="20" customHeight="1" s="21">
      <c r="A36" s="239" t="n">
        <v>32</v>
      </c>
      <c r="B36" s="239" t="inlineStr">
        <is>
          <t>8월 신규 인입</t>
        </is>
      </c>
      <c r="C36" s="239" t="inlineStr">
        <is>
          <t>조미가공육 ➡️ 축산물 오등록</t>
        </is>
      </c>
      <c r="D36" s="239" t="inlineStr">
        <is>
          <t>농산물</t>
        </is>
      </c>
      <c r="E36" s="239" t="inlineStr">
        <is>
          <t>네이버</t>
        </is>
      </c>
      <c r="F36" s="240" t="inlineStr">
        <is>
          <t>농업회사법인(주)새나라</t>
        </is>
      </c>
      <c r="G36" s="239" t="inlineStr">
        <is>
          <t>792-88-00316</t>
        </is>
      </c>
      <c r="H36" s="240" t="inlineStr">
        <is>
          <t>[모두한상찜닭] 세다리 진짜 안동찜닭의 풍미 국내산 닭고기로 냉장 1kg 안동구시장</t>
        </is>
      </c>
      <c r="I36" s="173" t="inlineStr">
        <is>
          <t>축산물</t>
        </is>
      </c>
      <c r="J36" s="241" t="inlineStr">
        <is>
          <t>가공식품(식육가공품)</t>
        </is>
      </c>
      <c r="K36" s="182" t="n">
        <v>23580</v>
      </c>
      <c r="L36" s="182" t="n">
        <v>1</v>
      </c>
      <c r="M36" s="182" t="n">
        <v>0</v>
      </c>
      <c r="N36" s="240" t="inlineStr">
        <is>
          <t>식육가공품(조미가공육(안동찜닭))이나 1차 생육 축산물로 오등록됨</t>
        </is>
      </c>
    </row>
    <row r="37" ht="20" customHeight="1" s="21">
      <c r="A37" s="239" t="n">
        <v>33</v>
      </c>
      <c r="B37" s="239" t="inlineStr">
        <is>
          <t>8월 신규 인입</t>
        </is>
      </c>
      <c r="C37" s="239" t="inlineStr">
        <is>
          <t>조미가공육 ➡️ 축산물 오등록</t>
        </is>
      </c>
      <c r="D37" s="239" t="inlineStr">
        <is>
          <t>농산물</t>
        </is>
      </c>
      <c r="E37" s="239" t="inlineStr">
        <is>
          <t>네이버</t>
        </is>
      </c>
      <c r="F37" s="240" t="inlineStr">
        <is>
          <t>농업회사법인(주)새나라</t>
        </is>
      </c>
      <c r="G37" s="239" t="inlineStr">
        <is>
          <t>792-88-00316</t>
        </is>
      </c>
      <c r="H37" s="240" t="inlineStr">
        <is>
          <t>사조 오리 주물럭 양념 오리불고기 1kg 넉넉한 양</t>
        </is>
      </c>
      <c r="I37" s="173" t="inlineStr">
        <is>
          <t>축산물</t>
        </is>
      </c>
      <c r="J37" s="241" t="inlineStr">
        <is>
          <t>가공식품(식육가공품)</t>
        </is>
      </c>
      <c r="K37" s="182" t="n">
        <v>650200</v>
      </c>
      <c r="L37" s="182" t="n">
        <v>24</v>
      </c>
      <c r="M37" s="182" t="n">
        <v>70440</v>
      </c>
      <c r="N37" s="240" t="inlineStr">
        <is>
          <t>식육가공품(양념조미육(주물럭))이나 1차 생육 축산물로 오등록됨</t>
        </is>
      </c>
    </row>
    <row r="38" ht="20" customHeight="1" s="21">
      <c r="A38" s="239" t="n">
        <v>34</v>
      </c>
      <c r="B38" s="239" t="inlineStr">
        <is>
          <t>8월 신규 인입</t>
        </is>
      </c>
      <c r="C38" s="239" t="inlineStr">
        <is>
          <t>조미가공육 ➡️ 축산물 오등록</t>
        </is>
      </c>
      <c r="D38" s="239" t="inlineStr">
        <is>
          <t>농산물</t>
        </is>
      </c>
      <c r="E38" s="239" t="inlineStr">
        <is>
          <t>네이버</t>
        </is>
      </c>
      <c r="F38" s="240" t="inlineStr">
        <is>
          <t>농업회사법인(주)새나라</t>
        </is>
      </c>
      <c r="G38" s="239" t="inlineStr">
        <is>
          <t>792-88-00316</t>
        </is>
      </c>
      <c r="H38" s="240" t="inlineStr">
        <is>
          <t>국내산 냉동 닭내장 1kg 곱창 알탕  닭부산물</t>
        </is>
      </c>
      <c r="I38" s="173" t="inlineStr">
        <is>
          <t>축산물</t>
        </is>
      </c>
      <c r="J38" s="241" t="inlineStr">
        <is>
          <t>가공식품(식육가공품)</t>
        </is>
      </c>
      <c r="K38" s="182" t="n">
        <v>812090</v>
      </c>
      <c r="L38" s="182" t="n">
        <v>13</v>
      </c>
      <c r="M38" s="182" t="n">
        <v>31590</v>
      </c>
      <c r="N38" s="240" t="inlineStr">
        <is>
          <t>식육가공품(양념/가공육(곱창/대창))이나 1차 생육 축산물로 오등록됨</t>
        </is>
      </c>
    </row>
    <row r="39" ht="20" customHeight="1" s="21">
      <c r="A39" s="239" t="n">
        <v>35</v>
      </c>
      <c r="B39" s="239" t="inlineStr">
        <is>
          <t>8월 신규 인입</t>
        </is>
      </c>
      <c r="C39" s="239" t="inlineStr">
        <is>
          <t>조미가공육 ➡️ 축산물 오등록</t>
        </is>
      </c>
      <c r="D39" s="239" t="inlineStr">
        <is>
          <t>농산물</t>
        </is>
      </c>
      <c r="E39" s="239" t="inlineStr">
        <is>
          <t>네이버</t>
        </is>
      </c>
      <c r="F39" s="240" t="inlineStr">
        <is>
          <t>농업회사법인(주)새나라</t>
        </is>
      </c>
      <c r="G39" s="239" t="inlineStr">
        <is>
          <t>792-88-00316</t>
        </is>
      </c>
      <c r="H39" s="240" t="inlineStr">
        <is>
          <t>[모두양념닭발] 1+1팩 오직 국내산 무뼈닭발  200g포장</t>
        </is>
      </c>
      <c r="I39" s="173" t="inlineStr">
        <is>
          <t>축산물</t>
        </is>
      </c>
      <c r="J39" s="241" t="inlineStr">
        <is>
          <t>가공식품(식육가공품)</t>
        </is>
      </c>
      <c r="K39" s="182" t="n">
        <v>27230</v>
      </c>
      <c r="L39" s="182" t="n">
        <v>1</v>
      </c>
      <c r="M39" s="182" t="n">
        <v>0</v>
      </c>
      <c r="N39" s="240" t="inlineStr">
        <is>
          <t>식육가공품(양념조미육)이나 1차 생육 축산물로 오등록됨</t>
        </is>
      </c>
    </row>
    <row r="40" ht="20" customHeight="1" s="21">
      <c r="A40" s="239" t="n">
        <v>36</v>
      </c>
      <c r="B40" s="239" t="inlineStr">
        <is>
          <t>8월 신규 인입</t>
        </is>
      </c>
      <c r="C40" s="239" t="inlineStr">
        <is>
          <t>조미가공육 ➡️ 축산물 오등록</t>
        </is>
      </c>
      <c r="D40" s="239" t="inlineStr">
        <is>
          <t>농산물</t>
        </is>
      </c>
      <c r="E40" s="239" t="inlineStr">
        <is>
          <t>네이버</t>
        </is>
      </c>
      <c r="F40" s="240" t="inlineStr">
        <is>
          <t>농업회사법인(주)새나라</t>
        </is>
      </c>
      <c r="G40" s="239" t="inlineStr">
        <is>
          <t>792-88-00316</t>
        </is>
      </c>
      <c r="H40" s="240" t="inlineStr">
        <is>
          <t>[모두닭갈비] 춘천 1+1팩 국산 닭다리살 캠핑 500gx2팩 (3~4인분)</t>
        </is>
      </c>
      <c r="I40" s="173" t="inlineStr">
        <is>
          <t>축산물</t>
        </is>
      </c>
      <c r="J40" s="241" t="inlineStr">
        <is>
          <t>가공식품(식육가공품)</t>
        </is>
      </c>
      <c r="K40" s="182" t="n">
        <v>3318710</v>
      </c>
      <c r="L40" s="182" t="n">
        <v>162</v>
      </c>
      <c r="M40" s="182" t="n">
        <v>561450</v>
      </c>
      <c r="N40" s="240" t="inlineStr">
        <is>
          <t>식육가공품(조미가공육(춘천닭갈비))이나 1차 생육 축산물로 오등록됨</t>
        </is>
      </c>
    </row>
    <row r="41" ht="20" customHeight="1" s="21">
      <c r="A41" s="239" t="n">
        <v>37</v>
      </c>
      <c r="B41" s="239" t="inlineStr">
        <is>
          <t>8월 신규 인입</t>
        </is>
      </c>
      <c r="C41" s="239" t="inlineStr">
        <is>
          <t>조미가공육 ➡️ 축산물 오등록</t>
        </is>
      </c>
      <c r="D41" s="239" t="inlineStr">
        <is>
          <t>농산물</t>
        </is>
      </c>
      <c r="E41" s="239" t="inlineStr">
        <is>
          <t>네이버</t>
        </is>
      </c>
      <c r="F41" s="240" t="inlineStr">
        <is>
          <t>두루푸드</t>
        </is>
      </c>
      <c r="G41" s="239" t="inlineStr">
        <is>
          <t>221-13-36518</t>
        </is>
      </c>
      <c r="H41" s="240" t="inlineStr">
        <is>
          <t>국민닭갈비 두루푸드 춘천닭갈비 택배 홈파티 캠핑요리</t>
        </is>
      </c>
      <c r="I41" s="173" t="inlineStr">
        <is>
          <t>축산물</t>
        </is>
      </c>
      <c r="J41" s="241" t="inlineStr">
        <is>
          <t>가공식품(식육가공품)</t>
        </is>
      </c>
      <c r="K41" s="182" t="n">
        <v>102582760</v>
      </c>
      <c r="L41" s="182" t="n">
        <v>4815</v>
      </c>
      <c r="M41" s="182" t="n">
        <v>4101510</v>
      </c>
      <c r="N41" s="240" t="inlineStr">
        <is>
          <t>식육가공품(조미가공육(춘천닭갈비))이나 1차 생육 축산물로 오등록됨</t>
        </is>
      </c>
    </row>
    <row r="42" ht="20" customHeight="1" s="21">
      <c r="A42" s="239" t="n">
        <v>38</v>
      </c>
      <c r="B42" s="239" t="inlineStr">
        <is>
          <t>8월 신규 인입</t>
        </is>
      </c>
      <c r="C42" s="239" t="inlineStr">
        <is>
          <t>조미가공육 ➡️ 축산물 오등록</t>
        </is>
      </c>
      <c r="D42" s="239" t="inlineStr">
        <is>
          <t>농산물</t>
        </is>
      </c>
      <c r="E42" s="239" t="inlineStr">
        <is>
          <t>네이버</t>
        </is>
      </c>
      <c r="F42" s="240" t="inlineStr">
        <is>
          <t>두루푸드</t>
        </is>
      </c>
      <c r="G42" s="239" t="inlineStr">
        <is>
          <t>221-13-36518</t>
        </is>
      </c>
      <c r="H42" s="240" t="inlineStr">
        <is>
          <t>두루푸드 국민닭갈비 춘천닭갈비 택배 홈파티 캠핑요리 전통맛</t>
        </is>
      </c>
      <c r="I42" s="173" t="inlineStr">
        <is>
          <t>축산물</t>
        </is>
      </c>
      <c r="J42" s="241" t="inlineStr">
        <is>
          <t>가공식품(식육가공품)</t>
        </is>
      </c>
      <c r="K42" s="182" t="n">
        <v>2996900</v>
      </c>
      <c r="L42" s="182" t="n">
        <v>141</v>
      </c>
      <c r="M42" s="182" t="n">
        <v>99860</v>
      </c>
      <c r="N42" s="240" t="inlineStr">
        <is>
          <t>식육가공품(조미가공육(춘천닭갈비))이나 1차 생육 축산물로 오등록됨</t>
        </is>
      </c>
    </row>
    <row r="43" ht="20" customHeight="1" s="21">
      <c r="A43" s="239" t="n">
        <v>39</v>
      </c>
      <c r="B43" s="239" t="inlineStr">
        <is>
          <t>8월 신규 인입</t>
        </is>
      </c>
      <c r="C43" s="239" t="inlineStr">
        <is>
          <t>조미가공육 ➡️ 축산물 오등록</t>
        </is>
      </c>
      <c r="D43" s="239" t="inlineStr">
        <is>
          <t>농산물</t>
        </is>
      </c>
      <c r="E43" s="239" t="inlineStr">
        <is>
          <t>네이버</t>
        </is>
      </c>
      <c r="F43" s="240" t="inlineStr">
        <is>
          <t>두루푸드</t>
        </is>
      </c>
      <c r="G43" s="239" t="inlineStr">
        <is>
          <t>221-13-36518</t>
        </is>
      </c>
      <c r="H43" s="240" t="inlineStr">
        <is>
          <t>두루푸드 국민닭갈비 춘천닭갈비 택배 홈파티 캠핑요리 간장닭갈비</t>
        </is>
      </c>
      <c r="I43" s="173" t="inlineStr">
        <is>
          <t>축산물</t>
        </is>
      </c>
      <c r="J43" s="241" t="inlineStr">
        <is>
          <t>가공식품(식육가공품)</t>
        </is>
      </c>
      <c r="K43" s="182" t="n">
        <v>1481250</v>
      </c>
      <c r="L43" s="182" t="n">
        <v>100</v>
      </c>
      <c r="M43" s="182" t="n">
        <v>20900</v>
      </c>
      <c r="N43" s="240" t="inlineStr">
        <is>
          <t>식육가공품(조미가공육(춘천닭갈비))이나 1차 생육 축산물로 오등록됨</t>
        </is>
      </c>
    </row>
    <row r="44" ht="20" customHeight="1" s="21">
      <c r="A44" s="239" t="n">
        <v>40</v>
      </c>
      <c r="B44" s="239" t="inlineStr">
        <is>
          <t>8월 신규 인입</t>
        </is>
      </c>
      <c r="C44" s="239" t="inlineStr">
        <is>
          <t>조미가공육 ➡️ 축산물 오등록</t>
        </is>
      </c>
      <c r="D44" s="239" t="inlineStr">
        <is>
          <t>농산물</t>
        </is>
      </c>
      <c r="E44" s="239" t="inlineStr">
        <is>
          <t>네이버</t>
        </is>
      </c>
      <c r="F44" s="240" t="inlineStr">
        <is>
          <t>두루푸드</t>
        </is>
      </c>
      <c r="G44" s="239" t="inlineStr">
        <is>
          <t>221-13-36518</t>
        </is>
      </c>
      <c r="H44" s="240" t="inlineStr">
        <is>
          <t>두루푸드 국민닭갈비 춘천닭갈비 택배 홈파티 캠핑요리 허브소금닭갈비</t>
        </is>
      </c>
      <c r="I44" s="173" t="inlineStr">
        <is>
          <t>축산물</t>
        </is>
      </c>
      <c r="J44" s="241" t="inlineStr">
        <is>
          <t>가공식품(식육가공품)</t>
        </is>
      </c>
      <c r="K44" s="182" t="n">
        <v>918650</v>
      </c>
      <c r="L44" s="182" t="n">
        <v>47</v>
      </c>
      <c r="M44" s="182" t="n">
        <v>4180</v>
      </c>
      <c r="N44" s="240" t="inlineStr">
        <is>
          <t>식육가공품(조미가공육(춘천닭갈비))이나 1차 생육 축산물로 오등록됨</t>
        </is>
      </c>
    </row>
    <row r="45" ht="20" customHeight="1" s="21">
      <c r="A45" s="239" t="n">
        <v>41</v>
      </c>
      <c r="B45" s="239" t="inlineStr">
        <is>
          <t>8월 신규 인입</t>
        </is>
      </c>
      <c r="C45" s="239" t="inlineStr">
        <is>
          <t>조미가공육 ➡️ 축산물 오등록</t>
        </is>
      </c>
      <c r="D45" s="239" t="inlineStr">
        <is>
          <t>농산물</t>
        </is>
      </c>
      <c r="E45" s="239" t="inlineStr">
        <is>
          <t>네이버</t>
        </is>
      </c>
      <c r="F45" s="240" t="inlineStr">
        <is>
          <t>두루푸드</t>
        </is>
      </c>
      <c r="G45" s="239" t="inlineStr">
        <is>
          <t>221-13-36518</t>
        </is>
      </c>
      <c r="H45" s="240" t="inlineStr">
        <is>
          <t>두루푸드 국민닭갈비 춘천닭갈비 택배 홈파티 캠핑요리 올인원세트 3인용 / 1.5인용</t>
        </is>
      </c>
      <c r="I45" s="173" t="inlineStr">
        <is>
          <t>축산물</t>
        </is>
      </c>
      <c r="J45" s="241" t="inlineStr">
        <is>
          <t>가공식품(식육가공품)</t>
        </is>
      </c>
      <c r="K45" s="182" t="n">
        <v>1423800</v>
      </c>
      <c r="L45" s="182" t="n">
        <v>56</v>
      </c>
      <c r="M45" s="182" t="n">
        <v>124870</v>
      </c>
      <c r="N45" s="240" t="inlineStr">
        <is>
          <t>식육가공품(조미가공육(춘천닭갈비))이나 1차 생육 축산물로 오등록됨</t>
        </is>
      </c>
    </row>
    <row r="46" ht="20" customHeight="1" s="21">
      <c r="A46" s="239" t="n">
        <v>42</v>
      </c>
      <c r="B46" s="239" t="inlineStr">
        <is>
          <t>8월 신규 인입</t>
        </is>
      </c>
      <c r="C46" s="239" t="inlineStr">
        <is>
          <t>조미가공육 ➡️ 축산물 오등록</t>
        </is>
      </c>
      <c r="D46" s="239" t="inlineStr">
        <is>
          <t>농산물</t>
        </is>
      </c>
      <c r="E46" s="239" t="inlineStr">
        <is>
          <t>네이버</t>
        </is>
      </c>
      <c r="F46" s="240" t="inlineStr">
        <is>
          <t>두루푸드</t>
        </is>
      </c>
      <c r="G46" s="239" t="inlineStr">
        <is>
          <t>221-13-36518</t>
        </is>
      </c>
      <c r="H46" s="240" t="inlineStr">
        <is>
          <t>두루푸드 국민닭갈비 춘천닭갈비 택배 홈파티 캠핑요리 숯불닭갈비</t>
        </is>
      </c>
      <c r="I46" s="173" t="inlineStr">
        <is>
          <t>축산물</t>
        </is>
      </c>
      <c r="J46" s="241" t="inlineStr">
        <is>
          <t>가공식품(식육가공품)</t>
        </is>
      </c>
      <c r="K46" s="182" t="n">
        <v>681400</v>
      </c>
      <c r="L46" s="182" t="n">
        <v>29</v>
      </c>
      <c r="M46" s="182" t="n">
        <v>8760</v>
      </c>
      <c r="N46" s="240" t="inlineStr">
        <is>
          <t>식육가공품(조미가공육(춘천닭갈비))이나 1차 생육 축산물로 오등록됨</t>
        </is>
      </c>
    </row>
    <row r="47" ht="20" customHeight="1" s="21">
      <c r="A47" s="239" t="n">
        <v>43</v>
      </c>
      <c r="B47" s="239" t="inlineStr">
        <is>
          <t>8월 신규 인입</t>
        </is>
      </c>
      <c r="C47" s="239" t="inlineStr">
        <is>
          <t>농산물 원물 ➡️ 가공식품 오등록</t>
        </is>
      </c>
      <c r="D47" s="239" t="inlineStr">
        <is>
          <t>농산물</t>
        </is>
      </c>
      <c r="E47" s="239" t="inlineStr">
        <is>
          <t>네이버</t>
        </is>
      </c>
      <c r="F47" s="240" t="inlineStr">
        <is>
          <t>소유농장</t>
        </is>
      </c>
      <c r="G47" s="239" t="inlineStr">
        <is>
          <t>208-22-52837</t>
        </is>
      </c>
      <c r="H47" s="240" t="inlineStr">
        <is>
          <t>국내산 무농약 GAP 건조상황버섯 선물세트 150g 300g 부모님 추석선물</t>
        </is>
      </c>
      <c r="I47" s="173" t="inlineStr">
        <is>
          <t>가공식품</t>
        </is>
      </c>
      <c r="J47" s="241" t="inlineStr">
        <is>
          <t>농산물(원물)</t>
        </is>
      </c>
      <c r="K47" s="182" t="n">
        <v>528000</v>
      </c>
      <c r="L47" s="182" t="n">
        <v>8</v>
      </c>
      <c r="M47" s="182" t="n">
        <v>27530</v>
      </c>
      <c r="N47" s="240" t="inlineStr">
        <is>
          <t>1차 신선 농산물(신선/건조 임산물(상황버섯 원물))이나 유통사에 가공식품으로 오등록되어 원물 실적에서 누락됨</t>
        </is>
      </c>
    </row>
    <row r="48" ht="20" customHeight="1" s="21">
      <c r="A48" s="239" t="n">
        <v>44</v>
      </c>
      <c r="B48" s="239" t="inlineStr">
        <is>
          <t>8월 신규 인입</t>
        </is>
      </c>
      <c r="C48" s="239" t="inlineStr">
        <is>
          <t>농산물 원물 ➡️ 가공식품 오등록</t>
        </is>
      </c>
      <c r="D48" s="239" t="inlineStr">
        <is>
          <t>농산물</t>
        </is>
      </c>
      <c r="E48" s="239" t="inlineStr">
        <is>
          <t>네이버</t>
        </is>
      </c>
      <c r="F48" s="240" t="inlineStr">
        <is>
          <t>소유농장</t>
        </is>
      </c>
      <c r="G48" s="239" t="inlineStr">
        <is>
          <t>208-22-52837</t>
        </is>
      </c>
      <c r="H48" s="240" t="inlineStr">
        <is>
          <t>국내산 무농약 GAP인증 건조 상황버섯 70g 부모님 추석 선물세트</t>
        </is>
      </c>
      <c r="I48" s="173" t="inlineStr">
        <is>
          <t>가공식품</t>
        </is>
      </c>
      <c r="J48" s="241" t="inlineStr">
        <is>
          <t>농산물(원물)</t>
        </is>
      </c>
      <c r="K48" s="182" t="n">
        <v>0</v>
      </c>
      <c r="L48" s="182" t="n">
        <v>0</v>
      </c>
      <c r="M48" s="182" t="n">
        <v>0</v>
      </c>
      <c r="N48" s="240" t="inlineStr">
        <is>
          <t>1차 신선 농산물(신선/건조 임산물(상황버섯 원물))이나 유통사에 가공식품으로 오등록되어 원물 실적에서 누락됨</t>
        </is>
      </c>
    </row>
    <row r="49" ht="20" customHeight="1" s="21">
      <c r="A49" s="239" t="n">
        <v>45</v>
      </c>
      <c r="B49" s="239" t="inlineStr">
        <is>
          <t>8월 신규 인입</t>
        </is>
      </c>
      <c r="C49" s="239" t="inlineStr">
        <is>
          <t>농산물 원물 ➡️ 가공식품 오등록</t>
        </is>
      </c>
      <c r="D49" s="239" t="inlineStr">
        <is>
          <t>농산물</t>
        </is>
      </c>
      <c r="E49" s="239" t="inlineStr">
        <is>
          <t>네이버</t>
        </is>
      </c>
      <c r="F49" s="240" t="inlineStr">
        <is>
          <t>소유농장</t>
        </is>
      </c>
      <c r="G49" s="239" t="inlineStr">
        <is>
          <t>208-22-52837</t>
        </is>
      </c>
      <c r="H49" s="240" t="inlineStr">
        <is>
          <t>국내산 무농약 GAP인증 건조 상황버섯 140g 부모님 추석 선물세트</t>
        </is>
      </c>
      <c r="I49" s="173" t="inlineStr">
        <is>
          <t>가공식품</t>
        </is>
      </c>
      <c r="J49" s="241" t="inlineStr">
        <is>
          <t>농산물(원물)</t>
        </is>
      </c>
      <c r="K49" s="182" t="n">
        <v>66000</v>
      </c>
      <c r="L49" s="182" t="n">
        <v>2</v>
      </c>
      <c r="M49" s="182" t="n">
        <v>6600</v>
      </c>
      <c r="N49" s="240" t="inlineStr">
        <is>
          <t>1차 신선 농산물(신선/건조 임산물(상황버섯 원물))이나 유통사에 가공식품으로 오등록되어 원물 실적에서 누락됨</t>
        </is>
      </c>
    </row>
    <row r="50" ht="20" customHeight="1" s="21">
      <c r="A50" s="239" t="n">
        <v>46</v>
      </c>
      <c r="B50" s="239" t="inlineStr">
        <is>
          <t>8월 신규 인입</t>
        </is>
      </c>
      <c r="C50" s="239" t="inlineStr">
        <is>
          <t>농산물 원물 ➡️ 가공식품 정상 반영 완료</t>
        </is>
      </c>
      <c r="D50" s="239" t="inlineStr">
        <is>
          <t>농산물</t>
        </is>
      </c>
      <c r="E50" s="239" t="inlineStr">
        <is>
          <t>네이버</t>
        </is>
      </c>
      <c r="F50" s="240" t="inlineStr">
        <is>
          <t>알찬연근팜</t>
        </is>
      </c>
      <c r="G50" s="239" t="inlineStr">
        <is>
          <t>604-02-68674</t>
        </is>
      </c>
      <c r="H50" s="240" t="inlineStr">
        <is>
          <t>햇연근 무농약 흙연근 슬라이스 말린연근</t>
        </is>
      </c>
      <c r="I50" s="173" t="inlineStr">
        <is>
          <t>농산물</t>
        </is>
      </c>
      <c r="J50" s="241" t="inlineStr">
        <is>
          <t>농산물(원물)</t>
        </is>
      </c>
      <c r="K50" s="182" t="n">
        <v>2421630</v>
      </c>
      <c r="L50" s="182" t="n">
        <v>101</v>
      </c>
      <c r="M50" s="182" t="n">
        <v>217410</v>
      </c>
      <c r="N50" s="240" t="inlineStr">
        <is>
          <t>기존 '가공식품' 오등록 건이었으나 최신 구글 시트 원천 로우데이터 상에 '농산물' 정상 품목분류로 수정 반영 완료됨</t>
        </is>
      </c>
    </row>
    <row r="51" ht="20" customHeight="1" s="21">
      <c r="A51" s="239" t="n">
        <v>47</v>
      </c>
      <c r="B51" s="239" t="inlineStr">
        <is>
          <t>8월 신규 인입</t>
        </is>
      </c>
      <c r="C51" s="239" t="inlineStr">
        <is>
          <t>농산물 원물 ➡️ 가공식품 정상 반영 완료</t>
        </is>
      </c>
      <c r="D51" s="239" t="inlineStr">
        <is>
          <t>농산물</t>
        </is>
      </c>
      <c r="E51" s="239" t="inlineStr">
        <is>
          <t>네이버</t>
        </is>
      </c>
      <c r="F51" s="240" t="inlineStr">
        <is>
          <t>채씨네표고</t>
        </is>
      </c>
      <c r="G51" s="239" t="inlineStr">
        <is>
          <t>449-92-01723</t>
        </is>
      </c>
      <c r="H51" s="240" t="inlineStr">
        <is>
          <t>표고버섯 선물세트 흑화고 백화고 추석 설날 명절</t>
        </is>
      </c>
      <c r="I51" s="173" t="inlineStr">
        <is>
          <t>농산물</t>
        </is>
      </c>
      <c r="J51" s="241" t="inlineStr">
        <is>
          <t>농산물(원물)</t>
        </is>
      </c>
      <c r="K51" s="182" t="n">
        <v>282000</v>
      </c>
      <c r="L51" s="182" t="n">
        <v>8</v>
      </c>
      <c r="M51" s="182" t="n">
        <v>43400</v>
      </c>
      <c r="N51" s="240" t="inlineStr">
        <is>
          <t>기존 '가공식품' 오등록 건이었으나 최신 구글 시트 원천 로우데이터 상에 '농산물' 정상 품목분류로 수정 반영 완료됨</t>
        </is>
      </c>
    </row>
    <row r="52" ht="20" customHeight="1" s="21">
      <c r="A52" s="239" t="n">
        <v>48</v>
      </c>
      <c r="B52" s="239" t="inlineStr">
        <is>
          <t>8월 신규 인입</t>
        </is>
      </c>
      <c r="C52" s="239" t="inlineStr">
        <is>
          <t>농산물 원물 ➡️ 가공식품 정상 반영 완료</t>
        </is>
      </c>
      <c r="D52" s="239" t="inlineStr">
        <is>
          <t>농산물</t>
        </is>
      </c>
      <c r="E52" s="239" t="inlineStr">
        <is>
          <t>네이버</t>
        </is>
      </c>
      <c r="F52" s="240" t="inlineStr">
        <is>
          <t>채씨네표고</t>
        </is>
      </c>
      <c r="G52" s="239" t="inlineStr">
        <is>
          <t>449-92-01723</t>
        </is>
      </c>
      <c r="H52" s="240" t="inlineStr">
        <is>
          <t>채씨네 표고 버섯 선물세트 추석 설날 명절 참나무</t>
        </is>
      </c>
      <c r="I52" s="173" t="inlineStr">
        <is>
          <t>농산물</t>
        </is>
      </c>
      <c r="J52" s="241" t="inlineStr">
        <is>
          <t>농산물(원물)</t>
        </is>
      </c>
      <c r="K52" s="182" t="n">
        <v>223500</v>
      </c>
      <c r="L52" s="182" t="n">
        <v>4</v>
      </c>
      <c r="M52" s="182" t="n">
        <v>15600</v>
      </c>
      <c r="N52" s="240" t="inlineStr">
        <is>
          <t>기존 '가공식품' 오등록 건이었으나 최신 구글 시트 원천 로우데이터 상에 '농산물' 정상 품목분류로 수정 반영 완료됨</t>
        </is>
      </c>
    </row>
    <row r="53" ht="20" customHeight="1" s="21">
      <c r="A53" s="239" t="n">
        <v>49</v>
      </c>
      <c r="B53" s="239" t="inlineStr">
        <is>
          <t>8월 신규 인입</t>
        </is>
      </c>
      <c r="C53" s="239" t="inlineStr">
        <is>
          <t>농산물 원물 ➡️ 가공식품 정상 반영 완료</t>
        </is>
      </c>
      <c r="D53" s="239" t="inlineStr">
        <is>
          <t>농산물</t>
        </is>
      </c>
      <c r="E53" s="239" t="inlineStr">
        <is>
          <t>네이버</t>
        </is>
      </c>
      <c r="F53" s="240" t="inlineStr">
        <is>
          <t>채씨네표고</t>
        </is>
      </c>
      <c r="G53" s="239" t="inlineStr">
        <is>
          <t>449-92-01723</t>
        </is>
      </c>
      <c r="H53" s="240" t="inlineStr">
        <is>
          <t>채씨네 국내산 건 표고버섯 선물세트 백화고 흑화고 추석 명절 설날</t>
        </is>
      </c>
      <c r="I53" s="173" t="inlineStr">
        <is>
          <t>농산물</t>
        </is>
      </c>
      <c r="J53" s="241" t="inlineStr">
        <is>
          <t>농산물(원물)</t>
        </is>
      </c>
      <c r="K53" s="182" t="n">
        <v>516000</v>
      </c>
      <c r="L53" s="182" t="n">
        <v>5</v>
      </c>
      <c r="M53" s="182" t="n">
        <v>26800</v>
      </c>
      <c r="N53" s="240" t="inlineStr">
        <is>
          <t>기존 '가공식품' 오등록 건이었으나 최신 구글 시트 원천 로우데이터 상에 '농산물' 정상 품목분류로 수정 반영 완료됨</t>
        </is>
      </c>
    </row>
    <row r="54" ht="20" customHeight="1" s="21">
      <c r="A54" s="239" t="n">
        <v>50</v>
      </c>
      <c r="B54" s="239" t="inlineStr">
        <is>
          <t>8월 신규 인입</t>
        </is>
      </c>
      <c r="C54" s="239" t="inlineStr">
        <is>
          <t>농산물 원물 ➡️ 가공식품 정상 반영 완료</t>
        </is>
      </c>
      <c r="D54" s="239" t="inlineStr">
        <is>
          <t>농산물</t>
        </is>
      </c>
      <c r="E54" s="239" t="inlineStr">
        <is>
          <t>네이버</t>
        </is>
      </c>
      <c r="F54" s="240" t="inlineStr">
        <is>
          <t>채씨네표고</t>
        </is>
      </c>
      <c r="G54" s="239" t="inlineStr">
        <is>
          <t>449-92-01723</t>
        </is>
      </c>
      <c r="H54" s="240" t="inlineStr">
        <is>
          <t>표고버섯 선물세트 흑화고 500g</t>
        </is>
      </c>
      <c r="I54" s="173" t="inlineStr">
        <is>
          <t>농산물</t>
        </is>
      </c>
      <c r="J54" s="241" t="inlineStr">
        <is>
          <t>농산물(원물)</t>
        </is>
      </c>
      <c r="K54" s="182" t="n">
        <v>0</v>
      </c>
      <c r="L54" s="182" t="n">
        <v>0</v>
      </c>
      <c r="M54" s="182" t="n">
        <v>0</v>
      </c>
      <c r="N54" s="240" t="inlineStr">
        <is>
          <t>기존 '가공식품' 오등록 건이었으나 최신 구글 시트 원천 로우데이터 상에 '농산물' 정상 품목분류로 수정 반영 완료됨</t>
        </is>
      </c>
    </row>
    <row r="55" ht="20" customHeight="1" s="21">
      <c r="A55" s="239" t="n">
        <v>51</v>
      </c>
      <c r="B55" s="239" t="inlineStr">
        <is>
          <t>8월 신규 인입</t>
        </is>
      </c>
      <c r="C55" s="239" t="inlineStr">
        <is>
          <t>농산물 원물 ➡️ 가공식품 정상 반영 완료</t>
        </is>
      </c>
      <c r="D55" s="239" t="inlineStr">
        <is>
          <t>농산물</t>
        </is>
      </c>
      <c r="E55" s="239" t="inlineStr">
        <is>
          <t>네이버</t>
        </is>
      </c>
      <c r="F55" s="240" t="inlineStr">
        <is>
          <t>영흥농산영농조합법인</t>
        </is>
      </c>
      <c r="G55" s="239" t="inlineStr">
        <is>
          <t>412-81-24086</t>
        </is>
      </c>
      <c r="H55" s="240" t="inlineStr">
        <is>
          <t>[품질책임보상] 국내산 깐마늘 1kg 다진마늘 꼭지제거 햇 통마늘</t>
        </is>
      </c>
      <c r="I55" s="173" t="inlineStr">
        <is>
          <t>농산물</t>
        </is>
      </c>
      <c r="J55" s="241" t="inlineStr">
        <is>
          <t>농산물(원물)</t>
        </is>
      </c>
      <c r="K55" s="182" t="n">
        <v>127791700</v>
      </c>
      <c r="L55" s="182" t="n">
        <v>7916</v>
      </c>
      <c r="M55" s="182" t="n">
        <v>4657460</v>
      </c>
      <c r="N55" s="240" t="inlineStr">
        <is>
          <t>기존 '가공식품' 오등록 건이었으나 최신 구글 시트 원천 로우데이터 상에 '농산물' 정상 품목분류로 수정 반영 완료됨</t>
        </is>
      </c>
    </row>
    <row r="56" ht="20" customHeight="1" s="21">
      <c r="A56" s="239" t="n">
        <v>52</v>
      </c>
      <c r="B56" s="239" t="inlineStr">
        <is>
          <t>8월 신규 인입</t>
        </is>
      </c>
      <c r="C56" s="239" t="inlineStr">
        <is>
          <t>농산물 원물 ➡️ 가공식품 정상 반영 완료</t>
        </is>
      </c>
      <c r="D56" s="239" t="inlineStr">
        <is>
          <t>농산물</t>
        </is>
      </c>
      <c r="E56" s="239" t="inlineStr">
        <is>
          <t>네이버</t>
        </is>
      </c>
      <c r="F56" s="240" t="inlineStr">
        <is>
          <t>영흥농산영농조합법인</t>
        </is>
      </c>
      <c r="G56" s="239" t="inlineStr">
        <is>
          <t>412-81-24086</t>
        </is>
      </c>
      <c r="H56" s="240" t="inlineStr">
        <is>
          <t>[농할쿠폰20%] 국내산 양파 26년 햇양파 무안양파 3kg 5kg</t>
        </is>
      </c>
      <c r="I56" s="173" t="inlineStr">
        <is>
          <t>농산물</t>
        </is>
      </c>
      <c r="J56" s="241" t="inlineStr">
        <is>
          <t>농산물(원물)</t>
        </is>
      </c>
      <c r="K56" s="182" t="n">
        <v>15351300</v>
      </c>
      <c r="L56" s="182" t="n">
        <v>1512</v>
      </c>
      <c r="M56" s="182" t="n">
        <v>374720</v>
      </c>
      <c r="N56" s="240" t="inlineStr">
        <is>
          <t>기존 '가공식품' 오등록 건이었으나 최신 구글 시트 원천 로우데이터 상에 '농산물' 정상 품목분류로 수정 반영 완료됨</t>
        </is>
      </c>
    </row>
    <row r="57" ht="20" customHeight="1" s="21">
      <c r="A57" s="239" t="n">
        <v>53</v>
      </c>
      <c r="B57" s="239" t="inlineStr">
        <is>
          <t>8월 신규 인입</t>
        </is>
      </c>
      <c r="C57" s="239" t="inlineStr">
        <is>
          <t>농산물 원물 ➡️ 가공식품 정상 반영 완료</t>
        </is>
      </c>
      <c r="D57" s="239" t="inlineStr">
        <is>
          <t>농산물</t>
        </is>
      </c>
      <c r="E57" s="239" t="inlineStr">
        <is>
          <t>네이버</t>
        </is>
      </c>
      <c r="F57" s="240" t="inlineStr">
        <is>
          <t>청실농원</t>
        </is>
      </c>
      <c r="G57" s="239" t="inlineStr">
        <is>
          <t>654-91-01691</t>
        </is>
      </c>
      <c r="H57" s="240" t="inlineStr">
        <is>
          <t>먹골배 원황배 배 고당도 제철 햇배 국산 신품종 과일 5kg</t>
        </is>
      </c>
      <c r="I57" s="173" t="inlineStr">
        <is>
          <t>농산물</t>
        </is>
      </c>
      <c r="J57" s="241" t="inlineStr">
        <is>
          <t>농산물(원물)</t>
        </is>
      </c>
      <c r="K57" s="182" t="n">
        <v>1769000</v>
      </c>
      <c r="L57" s="182" t="n">
        <v>42</v>
      </c>
      <c r="M57" s="182" t="n">
        <v>285800</v>
      </c>
      <c r="N57" s="240" t="inlineStr">
        <is>
          <t>기존 '가공식품' 오등록 건이었으나 최신 구글 시트 원천 로우데이터 상에 '농산물' 정상 품목분류로 수정 반영 완료됨</t>
        </is>
      </c>
    </row>
    <row r="58" ht="20" customHeight="1" s="21">
      <c r="A58" s="239" t="n">
        <v>54</v>
      </c>
      <c r="B58" s="239" t="inlineStr">
        <is>
          <t>8월 신규 인입</t>
        </is>
      </c>
      <c r="C58" s="239" t="inlineStr">
        <is>
          <t>농산물 원물 ➡️ 가공식품 정상 반영 완료</t>
        </is>
      </c>
      <c r="D58" s="239" t="inlineStr">
        <is>
          <t>농산물</t>
        </is>
      </c>
      <c r="E58" s="239" t="inlineStr">
        <is>
          <t>네이버</t>
        </is>
      </c>
      <c r="F58" s="240" t="inlineStr">
        <is>
          <t>청실농원</t>
        </is>
      </c>
      <c r="G58" s="239" t="inlineStr">
        <is>
          <t>654-91-01691</t>
        </is>
      </c>
      <c r="H58" s="240" t="inlineStr">
        <is>
          <t>5kg 먹골배 선물용</t>
        </is>
      </c>
      <c r="I58" s="173" t="inlineStr">
        <is>
          <t>농산물</t>
        </is>
      </c>
      <c r="J58" s="241" t="inlineStr">
        <is>
          <t>농산물(원물)</t>
        </is>
      </c>
      <c r="K58" s="182" t="n">
        <v>0</v>
      </c>
      <c r="L58" s="182" t="n">
        <v>0</v>
      </c>
      <c r="M58" s="182" t="n">
        <v>0</v>
      </c>
      <c r="N58" s="240" t="inlineStr">
        <is>
          <t>기존 '가공식품' 오등록 건이었으나 최신 구글 시트 원천 로우데이터 상에 '농산물' 정상 품목분류로 수정 반영 완료됨</t>
        </is>
      </c>
    </row>
    <row r="59" ht="20" customHeight="1" s="21">
      <c r="A59" s="239" t="n">
        <v>55</v>
      </c>
      <c r="B59" s="239" t="inlineStr">
        <is>
          <t>8월 신규 인입</t>
        </is>
      </c>
      <c r="C59" s="239" t="inlineStr">
        <is>
          <t>농산물 원물 ➡️ 가공식품 정상 반영 완료</t>
        </is>
      </c>
      <c r="D59" s="239" t="inlineStr">
        <is>
          <t>농산물</t>
        </is>
      </c>
      <c r="E59" s="239" t="inlineStr">
        <is>
          <t>네이버</t>
        </is>
      </c>
      <c r="F59" s="240" t="inlineStr">
        <is>
          <t>청실농원</t>
        </is>
      </c>
      <c r="G59" s="239" t="inlineStr">
        <is>
          <t>654-91-01691</t>
        </is>
      </c>
      <c r="H59" s="240" t="inlineStr">
        <is>
          <t>먹골배 선물용 배 고당도 제철 햇배 국산 신품종 과일 7.5kg</t>
        </is>
      </c>
      <c r="I59" s="173" t="inlineStr">
        <is>
          <t>농산물</t>
        </is>
      </c>
      <c r="J59" s="241" t="inlineStr">
        <is>
          <t>농산물(원물)</t>
        </is>
      </c>
      <c r="K59" s="182" t="n">
        <v>0</v>
      </c>
      <c r="L59" s="182" t="n">
        <v>0</v>
      </c>
      <c r="M59" s="182" t="n">
        <v>0</v>
      </c>
      <c r="N59" s="240" t="inlineStr">
        <is>
          <t>기존 '가공식품' 오등록 건이었으나 최신 구글 시트 원천 로우데이터 상에 '농산물' 정상 품목분류로 수정 반영 완료됨</t>
        </is>
      </c>
    </row>
    <row r="60" ht="20" customHeight="1" s="21">
      <c r="A60" s="239" t="n">
        <v>56</v>
      </c>
      <c r="B60" s="239" t="inlineStr">
        <is>
          <t>8월 신규 인입</t>
        </is>
      </c>
      <c r="C60" s="239" t="inlineStr">
        <is>
          <t>농산물 원물 ➡️ 가공식품 정상 반영 완료</t>
        </is>
      </c>
      <c r="D60" s="239" t="inlineStr">
        <is>
          <t>농산물</t>
        </is>
      </c>
      <c r="E60" s="239" t="inlineStr">
        <is>
          <t>네이버</t>
        </is>
      </c>
      <c r="F60" s="240" t="inlineStr">
        <is>
          <t>청실농원</t>
        </is>
      </c>
      <c r="G60" s="239" t="inlineStr">
        <is>
          <t>654-91-01691</t>
        </is>
      </c>
      <c r="H60" s="240" t="inlineStr">
        <is>
          <t>먹골배 원황배 배 고당도 제철 햇배 국산 신품종 과일 7.5kg</t>
        </is>
      </c>
      <c r="I60" s="173" t="inlineStr">
        <is>
          <t>농산물</t>
        </is>
      </c>
      <c r="J60" s="241" t="inlineStr">
        <is>
          <t>농산물(원물)</t>
        </is>
      </c>
      <c r="K60" s="182" t="n">
        <v>147000</v>
      </c>
      <c r="L60" s="182" t="n">
        <v>3</v>
      </c>
      <c r="M60" s="182" t="n">
        <v>9800</v>
      </c>
      <c r="N60" s="240" t="inlineStr">
        <is>
          <t>기존 '가공식품' 오등록 건이었으나 최신 구글 시트 원천 로우데이터 상에 '농산물' 정상 품목분류로 수정 반영 완료됨</t>
        </is>
      </c>
    </row>
    <row r="61" ht="20" customHeight="1" s="21">
      <c r="A61" s="239" t="n">
        <v>57</v>
      </c>
      <c r="B61" s="239" t="inlineStr">
        <is>
          <t>8월 신규 인입</t>
        </is>
      </c>
      <c r="C61" s="239" t="inlineStr">
        <is>
          <t>농산물 원물 ➡️ 가공식품 정상 반영 완료</t>
        </is>
      </c>
      <c r="D61" s="239" t="inlineStr">
        <is>
          <t>농산물</t>
        </is>
      </c>
      <c r="E61" s="239" t="inlineStr">
        <is>
          <t>네이버</t>
        </is>
      </c>
      <c r="F61" s="240" t="inlineStr">
        <is>
          <t>맑은농장</t>
        </is>
      </c>
      <c r="G61" s="239" t="inlineStr">
        <is>
          <t>577-94-01721</t>
        </is>
      </c>
      <c r="H61" s="240" t="inlineStr">
        <is>
          <t>품질대박 맑은농장 김천포도 4kg(특품) 미화희낭만홍안 미인포도</t>
        </is>
      </c>
      <c r="I61" s="173" t="inlineStr">
        <is>
          <t>농산물</t>
        </is>
      </c>
      <c r="J61" s="241" t="inlineStr">
        <is>
          <t>농산물(원물)</t>
        </is>
      </c>
      <c r="K61" s="182" t="n">
        <v>0</v>
      </c>
      <c r="L61" s="182" t="n">
        <v>0</v>
      </c>
      <c r="M61" s="182" t="n">
        <v>0</v>
      </c>
      <c r="N61" s="240" t="inlineStr">
        <is>
          <t>기존 '가공식품' 오등록 건이었으나 최신 구글 시트 원천 로우데이터 상에 '농산물' 정상 품목분류로 수정 반영 완료됨</t>
        </is>
      </c>
    </row>
    <row r="62" ht="20" customHeight="1" s="21">
      <c r="A62" s="239" t="n">
        <v>58</v>
      </c>
      <c r="B62" s="239" t="inlineStr">
        <is>
          <t>8월 신규 인입</t>
        </is>
      </c>
      <c r="C62" s="239" t="inlineStr">
        <is>
          <t>농산물 원물 ➡️ 가공식품 정상 반영 완료</t>
        </is>
      </c>
      <c r="D62" s="239" t="inlineStr">
        <is>
          <t>농산물</t>
        </is>
      </c>
      <c r="E62" s="239" t="inlineStr">
        <is>
          <t>네이버</t>
        </is>
      </c>
      <c r="F62" s="240" t="inlineStr">
        <is>
          <t>맑은농장</t>
        </is>
      </c>
      <c r="G62" s="239" t="inlineStr">
        <is>
          <t>577-94-01721</t>
        </is>
      </c>
      <c r="H62" s="240" t="inlineStr">
        <is>
          <t>품질보장 맑은농장 김천포도 2kg(특품) 미화희낭만홍안 미인포도</t>
        </is>
      </c>
      <c r="I62" s="173" t="inlineStr">
        <is>
          <t>농산물</t>
        </is>
      </c>
      <c r="J62" s="241" t="inlineStr">
        <is>
          <t>농산물(원물)</t>
        </is>
      </c>
      <c r="K62" s="182" t="n">
        <v>43700</v>
      </c>
      <c r="L62" s="182" t="n">
        <v>1</v>
      </c>
      <c r="M62" s="182" t="n">
        <v>0</v>
      </c>
      <c r="N62" s="240" t="inlineStr">
        <is>
          <t>기존 '가공식품' 오등록 건이었으나 최신 구글 시트 원천 로우데이터 상에 '농산물' 정상 품목분류로 수정 반영 완료됨</t>
        </is>
      </c>
    </row>
    <row r="63" ht="20" customHeight="1" s="21">
      <c r="A63" s="239" t="n">
        <v>59</v>
      </c>
      <c r="B63" s="239" t="inlineStr">
        <is>
          <t>8월 신규 인입</t>
        </is>
      </c>
      <c r="C63" s="239" t="inlineStr">
        <is>
          <t>농산물 원물 ➡️ 가공식품 정상 반영 완료</t>
        </is>
      </c>
      <c r="D63" s="239" t="inlineStr">
        <is>
          <t>농산물</t>
        </is>
      </c>
      <c r="E63" s="239" t="inlineStr">
        <is>
          <t>네이버</t>
        </is>
      </c>
      <c r="F63" s="240" t="inlineStr">
        <is>
          <t>맑은농장</t>
        </is>
      </c>
      <c r="G63" s="239" t="inlineStr">
        <is>
          <t>577-94-01721</t>
        </is>
      </c>
      <c r="H63" s="240" t="inlineStr">
        <is>
          <t>맑은농장 김천포도 4kg(못난이) 미화희낭만홍안 미인포도</t>
        </is>
      </c>
      <c r="I63" s="173" t="inlineStr">
        <is>
          <t>농산물</t>
        </is>
      </c>
      <c r="J63" s="241" t="inlineStr">
        <is>
          <t>농산물(원물)</t>
        </is>
      </c>
      <c r="K63" s="182" t="n">
        <v>138000</v>
      </c>
      <c r="L63" s="182" t="n">
        <v>2</v>
      </c>
      <c r="M63" s="182" t="n">
        <v>19200</v>
      </c>
      <c r="N63" s="240" t="inlineStr">
        <is>
          <t>기존 '가공식품' 오등록 건이었으나 최신 구글 시트 원천 로우데이터 상에 '농산물' 정상 품목분류로 수정 반영 완료됨</t>
        </is>
      </c>
    </row>
    <row r="64" ht="20" customHeight="1" s="21">
      <c r="A64" s="239" t="n">
        <v>60</v>
      </c>
      <c r="B64" s="239" t="inlineStr">
        <is>
          <t>8월 신규 인입</t>
        </is>
      </c>
      <c r="C64" s="239" t="inlineStr">
        <is>
          <t>농산물 원물 ➡️ 가공식품 오등록</t>
        </is>
      </c>
      <c r="D64" s="239" t="inlineStr">
        <is>
          <t>농산물</t>
        </is>
      </c>
      <c r="E64" s="239" t="inlineStr">
        <is>
          <t>네이버</t>
        </is>
      </c>
      <c r="F64" s="240" t="inlineStr">
        <is>
          <t>맑은농장</t>
        </is>
      </c>
      <c r="G64" s="239" t="inlineStr">
        <is>
          <t>577-94-01721</t>
        </is>
      </c>
      <c r="H64" s="240" t="inlineStr">
        <is>
          <t>맑은농장 김천포도 4kg(상품) 미화희낭만홍안 미인포도 - 4수이하  8수이상</t>
        </is>
      </c>
      <c r="I64" s="173" t="inlineStr">
        <is>
          <t>가공식품</t>
        </is>
      </c>
      <c r="J64" s="241" t="inlineStr">
        <is>
          <t>농산물(원물)</t>
        </is>
      </c>
      <c r="K64" s="182" t="n">
        <v>0</v>
      </c>
      <c r="L64" s="182" t="n">
        <v>0</v>
      </c>
      <c r="M64" s="182" t="n">
        <v>0</v>
      </c>
      <c r="N64" s="240" t="inlineStr">
        <is>
          <t>1차 신선 농산물(신선 과실(김천포도 생과 원물))이나 유통사에 가공식품으로 오등록되어 원물 실적에서 누락됨</t>
        </is>
      </c>
    </row>
    <row r="65" ht="20" customHeight="1" s="21">
      <c r="A65" s="239" t="n">
        <v>61</v>
      </c>
      <c r="B65" s="239" t="inlineStr">
        <is>
          <t>8월 신규 인입</t>
        </is>
      </c>
      <c r="C65" s="239" t="inlineStr">
        <is>
          <t>농산물 원물 ➡️ 가공식품 정상 반영 완료</t>
        </is>
      </c>
      <c r="D65" s="239" t="inlineStr">
        <is>
          <t>농산물</t>
        </is>
      </c>
      <c r="E65" s="239" t="inlineStr">
        <is>
          <t>네이버</t>
        </is>
      </c>
      <c r="F65" s="240" t="inlineStr">
        <is>
          <t>맑은농장</t>
        </is>
      </c>
      <c r="G65" s="239" t="inlineStr">
        <is>
          <t>577-94-01721</t>
        </is>
      </c>
      <c r="H65" s="240" t="inlineStr">
        <is>
          <t>맑은농장 김천포도 2kg(못난이) 미화희낭만홍안 미인포도</t>
        </is>
      </c>
      <c r="I65" s="173" t="inlineStr">
        <is>
          <t>농산물</t>
        </is>
      </c>
      <c r="J65" s="241" t="inlineStr">
        <is>
          <t>농산물(원물)</t>
        </is>
      </c>
      <c r="K65" s="182" t="n">
        <v>86000</v>
      </c>
      <c r="L65" s="182" t="n">
        <v>3</v>
      </c>
      <c r="M65" s="182" t="n">
        <v>11600</v>
      </c>
      <c r="N65" s="240" t="inlineStr">
        <is>
          <t>기존 '가공식품' 오등록 건이었으나 최신 구글 시트 원천 로우데이터 상에 '농산물' 정상 품목분류로 수정 반영 완료됨</t>
        </is>
      </c>
    </row>
    <row r="66" ht="20" customHeight="1" s="21">
      <c r="A66" s="239" t="n">
        <v>62</v>
      </c>
      <c r="B66" s="239" t="inlineStr">
        <is>
          <t>8월 신규 인입</t>
        </is>
      </c>
      <c r="C66" s="239" t="inlineStr">
        <is>
          <t>농산물 원물 ➡️ 가공식품 정상 반영 완료</t>
        </is>
      </c>
      <c r="D66" s="239" t="inlineStr">
        <is>
          <t>농산물</t>
        </is>
      </c>
      <c r="E66" s="239" t="inlineStr">
        <is>
          <t>네이버</t>
        </is>
      </c>
      <c r="F66" s="240" t="inlineStr">
        <is>
          <t>맑은농장</t>
        </is>
      </c>
      <c r="G66" s="239" t="inlineStr">
        <is>
          <t>577-94-01721</t>
        </is>
      </c>
      <c r="H66" s="240" t="inlineStr">
        <is>
          <t>맑은농장 김천포도 2kg(상품) 미화희낭만홍안 미인포도 - 2수또는5수이상</t>
        </is>
      </c>
      <c r="I66" s="173" t="inlineStr">
        <is>
          <t>농산물</t>
        </is>
      </c>
      <c r="J66" s="241" t="inlineStr">
        <is>
          <t>농산물(원물)</t>
        </is>
      </c>
      <c r="K66" s="182" t="n">
        <v>79800</v>
      </c>
      <c r="L66" s="182" t="n">
        <v>2</v>
      </c>
      <c r="M66" s="182" t="n">
        <v>15960</v>
      </c>
      <c r="N66" s="240" t="inlineStr">
        <is>
          <t>기존 '가공식품' 오등록 건이었으나 최신 구글 시트 원천 로우데이터 상에 '농산물' 정상 품목분류로 수정 반영 완료됨</t>
        </is>
      </c>
    </row>
    <row r="67" ht="20" customHeight="1" s="21">
      <c r="A67" s="239" t="n">
        <v>63</v>
      </c>
      <c r="B67" s="239" t="inlineStr">
        <is>
          <t>8월 신규 인입</t>
        </is>
      </c>
      <c r="C67" s="239" t="inlineStr">
        <is>
          <t>농산물 원물 ➡️ 가공식품 정상 반영 완료</t>
        </is>
      </c>
      <c r="D67" s="239" t="inlineStr">
        <is>
          <t>농산물</t>
        </is>
      </c>
      <c r="E67" s="239" t="inlineStr">
        <is>
          <t>네이버</t>
        </is>
      </c>
      <c r="F67" s="240" t="inlineStr">
        <is>
          <t>맑은농장</t>
        </is>
      </c>
      <c r="G67" s="239" t="inlineStr">
        <is>
          <t>577-94-01721</t>
        </is>
      </c>
      <c r="H67" s="240" t="inlineStr">
        <is>
          <t>맑은농장 김천포도 2kg(특품) 미화희낭만홍안 미인포도</t>
        </is>
      </c>
      <c r="I67" s="173" t="inlineStr">
        <is>
          <t>농산물</t>
        </is>
      </c>
      <c r="J67" s="241" t="inlineStr">
        <is>
          <t>농산물(원물)</t>
        </is>
      </c>
      <c r="K67" s="182" t="n">
        <v>87400</v>
      </c>
      <c r="L67" s="182" t="n">
        <v>2</v>
      </c>
      <c r="M67" s="182" t="n">
        <v>17480</v>
      </c>
      <c r="N67" s="240" t="inlineStr">
        <is>
          <t>기존 '가공식품' 오등록 건이었으나 최신 구글 시트 원천 로우데이터 상에 '농산물' 정상 품목분류로 수정 반영 완료됨</t>
        </is>
      </c>
    </row>
    <row r="68" ht="20" customHeight="1" s="21">
      <c r="A68" s="239" t="n">
        <v>64</v>
      </c>
      <c r="B68" s="239" t="inlineStr">
        <is>
          <t>8월 신규 인입</t>
        </is>
      </c>
      <c r="C68" s="239" t="inlineStr">
        <is>
          <t>농산물 원물 ➡️ 가공식품 오등록</t>
        </is>
      </c>
      <c r="D68" s="239" t="inlineStr">
        <is>
          <t>유기농</t>
        </is>
      </c>
      <c r="E68" s="239" t="inlineStr">
        <is>
          <t>네이버</t>
        </is>
      </c>
      <c r="F68" s="240" t="inlineStr">
        <is>
          <t>아침농부</t>
        </is>
      </c>
      <c r="G68" s="239" t="inlineStr">
        <is>
          <t>706-01-03422</t>
        </is>
      </c>
      <c r="H68" s="240" t="inlineStr">
        <is>
          <t>유기농 미니파프리카1.5kg (토양재배)</t>
        </is>
      </c>
      <c r="I68" s="173" t="inlineStr">
        <is>
          <t>가공식품</t>
        </is>
      </c>
      <c r="J68" s="241" t="inlineStr">
        <is>
          <t>농산물(원물)</t>
        </is>
      </c>
      <c r="K68" s="182" t="n">
        <v>13123000</v>
      </c>
      <c r="L68" s="182" t="n">
        <v>520</v>
      </c>
      <c r="M68" s="182" t="n">
        <v>1043580</v>
      </c>
      <c r="N68" s="240" t="inlineStr">
        <is>
          <t>1차 신선 농산물(신선 채소(파프리카 원물))이나 유통사에 가공식품으로 오등록되어 원물 실적에서 누락됨</t>
        </is>
      </c>
    </row>
    <row r="69" ht="20" customHeight="1" s="21">
      <c r="A69" s="239" t="n">
        <v>65</v>
      </c>
      <c r="B69" s="239" t="inlineStr">
        <is>
          <t>8월 신규 인입</t>
        </is>
      </c>
      <c r="C69" s="239" t="inlineStr">
        <is>
          <t>농산물 원물 ➡️ 가공식품 오등록</t>
        </is>
      </c>
      <c r="D69" s="239" t="inlineStr">
        <is>
          <t>유기농</t>
        </is>
      </c>
      <c r="E69" s="239" t="inlineStr">
        <is>
          <t>네이버</t>
        </is>
      </c>
      <c r="F69" s="240" t="inlineStr">
        <is>
          <t>따순농장</t>
        </is>
      </c>
      <c r="G69" s="239" t="inlineStr">
        <is>
          <t>231-97-01414</t>
        </is>
      </c>
      <c r="H69" s="240" t="inlineStr">
        <is>
          <t>유기농 미니파프리카 1kg</t>
        </is>
      </c>
      <c r="I69" s="173" t="inlineStr">
        <is>
          <t>가공식품</t>
        </is>
      </c>
      <c r="J69" s="241" t="inlineStr">
        <is>
          <t>농산물(원물)</t>
        </is>
      </c>
      <c r="K69" s="182" t="n">
        <v>4424250</v>
      </c>
      <c r="L69" s="182" t="n">
        <v>206</v>
      </c>
      <c r="M69" s="182" t="n">
        <v>703630</v>
      </c>
      <c r="N69" s="240" t="inlineStr">
        <is>
          <t>1차 신선 농산물(신선 채소(파프리카 원물))이나 유통사에 가공식품으로 오등록되어 원물 실적에서 누락됨</t>
        </is>
      </c>
    </row>
    <row r="70" ht="20" customHeight="1" s="21">
      <c r="A70" s="239" t="n">
        <v>66</v>
      </c>
      <c r="B70" s="239" t="inlineStr">
        <is>
          <t>8월 신규 인입</t>
        </is>
      </c>
      <c r="C70" s="239" t="inlineStr">
        <is>
          <t>농산물 원물 ➡️ 가공식품 오등록</t>
        </is>
      </c>
      <c r="D70" s="239" t="inlineStr">
        <is>
          <t>유기농</t>
        </is>
      </c>
      <c r="E70" s="239" t="inlineStr">
        <is>
          <t>네이버</t>
        </is>
      </c>
      <c r="F70" s="240" t="inlineStr">
        <is>
          <t>버섯놀이터사천숲속표고</t>
        </is>
      </c>
      <c r="G70" s="239" t="inlineStr">
        <is>
          <t>122-93-29177</t>
        </is>
      </c>
      <c r="H70" s="240" t="inlineStr">
        <is>
          <t>무 농약 생 표고버섯을 햇볕에 잘 말려 자연 건조한 국내산 사천 건 표고버섯 100g</t>
        </is>
      </c>
      <c r="I70" s="173" t="inlineStr">
        <is>
          <t>가공식품</t>
        </is>
      </c>
      <c r="J70" s="241" t="inlineStr">
        <is>
          <t>농산물(원물)</t>
        </is>
      </c>
      <c r="K70" s="182" t="n">
        <v>198000</v>
      </c>
      <c r="L70" s="182" t="n">
        <v>7</v>
      </c>
      <c r="M70" s="182" t="n">
        <v>0</v>
      </c>
      <c r="N70" s="240" t="inlineStr">
        <is>
          <t>1차 신선 농산물(신선/건조 임산물(표고버섯 원물))이나 유통사에 가공식품으로 오등록되어 원물 실적에서 누락됨</t>
        </is>
      </c>
    </row>
    <row r="71" ht="22" customHeight="1" s="21">
      <c r="A71" s="242" t="inlineStr">
        <is>
          <t>합 계</t>
        </is>
      </c>
      <c r="B71" s="243" t="inlineStr">
        <is>
          <t>8월 이상치 66건 총계</t>
        </is>
      </c>
      <c r="C71" s="244" t="inlineStr"/>
      <c r="D71" s="244" t="inlineStr"/>
      <c r="E71" s="244" t="inlineStr"/>
      <c r="F71" s="244" t="inlineStr"/>
      <c r="G71" s="244" t="inlineStr"/>
      <c r="H71" s="244" t="inlineStr"/>
      <c r="I71" s="244" t="inlineStr"/>
      <c r="J71" s="244" t="inlineStr"/>
      <c r="K71" s="245" t="n">
        <v>374952340</v>
      </c>
      <c r="L71" s="245" t="n">
        <v>20213</v>
      </c>
      <c r="M71" s="245" t="n">
        <v>19617240</v>
      </c>
      <c r="N71" s="246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33" customWidth="1" style="21" min="2" max="2"/>
    <col width="17" customWidth="1" style="21" min="3" max="3"/>
    <col width="11" customWidth="1" style="21" min="4" max="4"/>
    <col width="11" customWidth="1" style="21" min="5" max="5"/>
    <col width="35" customWidth="1" style="21" min="6" max="6"/>
    <col width="15" customWidth="1" style="21" min="7" max="7"/>
    <col width="128" customWidth="1" style="21" min="8" max="8"/>
    <col width="15" customWidth="1" style="21" min="9" max="9"/>
    <col width="23" customWidth="1" style="21" min="10" max="10"/>
    <col width="17" customWidth="1" style="21" min="11" max="11"/>
    <col width="17" customWidth="1" style="21" min="12" max="12"/>
    <col width="21" customWidth="1" style="21" min="13" max="13"/>
    <col width="118" customWidth="1" style="21" min="14" max="14"/>
  </cols>
  <sheetData>
    <row r="1">
      <c r="A1" s="250" t="inlineStr">
        <is>
          <t>2026 aT 온라인 판로지원 - 7월 품목분류 오류 정밀 감사 목록 (총 45건)</t>
        </is>
      </c>
    </row>
    <row r="2">
      <c r="A2" s="237" t="inlineStr">
        <is>
          <t>※ 7월 실적 기집계 데이터(1,305건) 전수 감사 | 오판단 False Positive 100% 제거 완료</t>
        </is>
      </c>
    </row>
    <row r="4" ht="25" customHeight="1" s="21">
      <c r="A4" s="247" t="inlineStr">
        <is>
          <t>No</t>
        </is>
      </c>
      <c r="B4" s="247" t="inlineStr">
        <is>
          <t>이상치 유형</t>
        </is>
      </c>
      <c r="C4" s="247" t="inlineStr">
        <is>
          <t>구분</t>
        </is>
      </c>
      <c r="D4" s="247" t="inlineStr">
        <is>
          <t>기획전</t>
        </is>
      </c>
      <c r="E4" s="247" t="inlineStr">
        <is>
          <t>유통사</t>
        </is>
      </c>
      <c r="F4" s="247" t="inlineStr">
        <is>
          <t>판매자명(업체명)</t>
        </is>
      </c>
      <c r="G4" s="247" t="inlineStr">
        <is>
          <t>사업자번호</t>
        </is>
      </c>
      <c r="H4" s="247" t="inlineStr">
        <is>
          <t>상품명</t>
        </is>
      </c>
      <c r="I4" s="247" t="inlineStr">
        <is>
          <t>7월 현재분류</t>
        </is>
      </c>
      <c r="J4" s="247" t="inlineStr">
        <is>
          <t>권고 정정분류</t>
        </is>
      </c>
      <c r="K4" s="247" t="inlineStr">
        <is>
          <t>7월 매출액(원)</t>
        </is>
      </c>
      <c r="L4" s="247" t="inlineStr">
        <is>
          <t>7월 주문수(건)</t>
        </is>
      </c>
      <c r="M4" s="247" t="inlineStr">
        <is>
          <t>7월 쿠폰지원액(원)</t>
        </is>
      </c>
      <c r="N4" s="247" t="inlineStr">
        <is>
          <t>이상치 판정 사유 및 조치 제언</t>
        </is>
      </c>
    </row>
    <row r="5" ht="20" customHeight="1" s="21">
      <c r="A5" s="239" t="n">
        <v>1</v>
      </c>
      <c r="B5" s="239" t="inlineStr">
        <is>
          <t>조미가공육 ➡️ 축산물 오등록</t>
        </is>
      </c>
      <c r="C5" s="239" t="inlineStr">
        <is>
          <t>기존 참여 지속</t>
        </is>
      </c>
      <c r="D5" s="239" t="inlineStr">
        <is>
          <t>농산물</t>
        </is>
      </c>
      <c r="E5" s="239" t="inlineStr">
        <is>
          <t>네이버</t>
        </is>
      </c>
      <c r="F5" s="240" t="inlineStr">
        <is>
          <t>두루푸드</t>
        </is>
      </c>
      <c r="G5" s="239" t="inlineStr">
        <is>
          <t>221-13-36518</t>
        </is>
      </c>
      <c r="H5" s="240" t="inlineStr">
        <is>
          <t>국민닭갈비 두루푸드 춘천닭갈비 택배 홈파티 캠핑요리 [원산지:닭고기 넓적다리(국산), 고추가루(국산), 기타(상세설명참조)]</t>
        </is>
      </c>
      <c r="I5" s="173" t="inlineStr">
        <is>
          <t>축산물</t>
        </is>
      </c>
      <c r="J5" s="241" t="inlineStr">
        <is>
          <t>가공식품(식육가공품)</t>
        </is>
      </c>
      <c r="K5" s="182" t="n">
        <v>53342360</v>
      </c>
      <c r="L5" s="182" t="n">
        <v>2416</v>
      </c>
      <c r="M5" s="182" t="n">
        <v>3359880</v>
      </c>
      <c r="N5" s="240" t="inlineStr">
        <is>
          <t>식육가공품(조미가공육(춘천닭갈비))이나 1차 생육 축산물로 오등록됨</t>
        </is>
      </c>
    </row>
    <row r="6" ht="20" customHeight="1" s="21">
      <c r="A6" s="239" t="n">
        <v>2</v>
      </c>
      <c r="B6" s="239" t="inlineStr">
        <is>
          <t>조미가공육 ➡️ 축산물 오등록</t>
        </is>
      </c>
      <c r="C6" s="239" t="inlineStr">
        <is>
          <t>기존 참여 지속</t>
        </is>
      </c>
      <c r="D6" s="239" t="inlineStr">
        <is>
          <t>농산물</t>
        </is>
      </c>
      <c r="E6" s="239" t="inlineStr">
        <is>
          <t>네이버</t>
        </is>
      </c>
      <c r="F6" s="240" t="inlineStr">
        <is>
          <t>농업회사법인(주)새나라</t>
        </is>
      </c>
      <c r="G6" s="239" t="inlineStr">
        <is>
          <t>792-88-00316</t>
        </is>
      </c>
      <c r="H6" s="240" t="inlineStr">
        <is>
          <t>[모두닭갈비] 춘천 1+1팩 국산 닭다리살 캠핑 500gx2팩 (3~4인분) [원산지:국산]</t>
        </is>
      </c>
      <c r="I6" s="173" t="inlineStr">
        <is>
          <t>축산물</t>
        </is>
      </c>
      <c r="J6" s="241" t="inlineStr">
        <is>
          <t>가공식품(식육가공품)</t>
        </is>
      </c>
      <c r="K6" s="182" t="n">
        <v>2269370</v>
      </c>
      <c r="L6" s="182" t="n">
        <v>104</v>
      </c>
      <c r="M6" s="182" t="n">
        <v>394640</v>
      </c>
      <c r="N6" s="240" t="inlineStr">
        <is>
          <t>식육가공품(조미가공육(춘천닭갈비))이나 1차 생육 축산물로 오등록됨</t>
        </is>
      </c>
    </row>
    <row r="7" ht="20" customHeight="1" s="21">
      <c r="A7" s="239" t="n">
        <v>3</v>
      </c>
      <c r="B7" s="239" t="inlineStr">
        <is>
          <t>조미가공육 ➡️ 축산물 오등록</t>
        </is>
      </c>
      <c r="C7" s="239" t="inlineStr">
        <is>
          <t>기존 참여 지속</t>
        </is>
      </c>
      <c r="D7" s="239" t="inlineStr">
        <is>
          <t>농산물</t>
        </is>
      </c>
      <c r="E7" s="239" t="inlineStr">
        <is>
          <t>네이버</t>
        </is>
      </c>
      <c r="F7" s="240" t="inlineStr">
        <is>
          <t>두루푸드</t>
        </is>
      </c>
      <c r="G7" s="239" t="inlineStr">
        <is>
          <t>221-13-36518</t>
        </is>
      </c>
      <c r="H7" s="240" t="inlineStr">
        <is>
          <t>두루푸드 국민닭갈비 춘천닭갈비 택배 홈파티 캠핑요리 전통맛 [원산지:닭고기 넓적다리(국산), 고추가루(국산), 기타(상세설명참조)]</t>
        </is>
      </c>
      <c r="I7" s="173" t="inlineStr">
        <is>
          <t>축산물</t>
        </is>
      </c>
      <c r="J7" s="241" t="inlineStr">
        <is>
          <t>가공식품(식육가공품)</t>
        </is>
      </c>
      <c r="K7" s="182" t="n">
        <v>1874050</v>
      </c>
      <c r="L7" s="182" t="n">
        <v>96</v>
      </c>
      <c r="M7" s="182" t="n">
        <v>96660</v>
      </c>
      <c r="N7" s="240" t="inlineStr">
        <is>
          <t>식육가공품(조미가공육(춘천닭갈비))이나 1차 생육 축산물로 오등록됨</t>
        </is>
      </c>
    </row>
    <row r="8" ht="20" customHeight="1" s="21">
      <c r="A8" s="239" t="n">
        <v>4</v>
      </c>
      <c r="B8" s="239" t="inlineStr">
        <is>
          <t>조미가공육 ➡️ 축산물 오등록</t>
        </is>
      </c>
      <c r="C8" s="239" t="inlineStr">
        <is>
          <t>기존 참여 지속</t>
        </is>
      </c>
      <c r="D8" s="239" t="inlineStr">
        <is>
          <t>농산물</t>
        </is>
      </c>
      <c r="E8" s="239" t="inlineStr">
        <is>
          <t>네이버</t>
        </is>
      </c>
      <c r="F8" s="240" t="inlineStr">
        <is>
          <t>현풍떡갈비</t>
        </is>
      </c>
      <c r="G8" s="239" t="inlineStr">
        <is>
          <t>671-67-00557</t>
        </is>
      </c>
      <c r="H8" s="240" t="inlineStr">
        <is>
          <t>아기떡갈비 한우 한돈 수제 패티 현풍 세가지맛 3팩, 90g, 15개 [원산지:상세설명에 표시]</t>
        </is>
      </c>
      <c r="I8" s="173" t="inlineStr">
        <is>
          <t>축산물</t>
        </is>
      </c>
      <c r="J8" s="241" t="inlineStr">
        <is>
          <t>가공식품(식육가공품)</t>
        </is>
      </c>
      <c r="K8" s="182" t="n">
        <v>1556900</v>
      </c>
      <c r="L8" s="182" t="n">
        <v>46</v>
      </c>
      <c r="M8" s="182" t="n">
        <v>81520</v>
      </c>
      <c r="N8" s="240" t="inlineStr">
        <is>
          <t>식육가공품(가공육(떡갈비·수제패티))이나 1차 생육 축산물로 오등록됨</t>
        </is>
      </c>
    </row>
    <row r="9" ht="20" customHeight="1" s="21">
      <c r="A9" s="239" t="n">
        <v>5</v>
      </c>
      <c r="B9" s="239" t="inlineStr">
        <is>
          <t>가공완제품 ➡️ 농산물 원물 오등록</t>
        </is>
      </c>
      <c r="C9" s="239" t="inlineStr">
        <is>
          <t>기존 참여 지속</t>
        </is>
      </c>
      <c r="D9" s="239" t="inlineStr">
        <is>
          <t>농산물</t>
        </is>
      </c>
      <c r="E9" s="239" t="inlineStr">
        <is>
          <t>네이버</t>
        </is>
      </c>
      <c r="F9" s="240" t="inlineStr">
        <is>
          <t>신기농원</t>
        </is>
      </c>
      <c r="G9" s="239" t="inlineStr">
        <is>
          <t>540-25-00229</t>
        </is>
      </c>
      <c r="H9" s="240" t="inlineStr">
        <is>
          <t>애플링 동결건조 사과 배칩20g 딸기칩15g 3팩 국산100% 무첨가 간식 [원산지:국산(경상북도 문경시)]</t>
        </is>
      </c>
      <c r="I9" s="173" t="inlineStr">
        <is>
          <t>농산물</t>
        </is>
      </c>
      <c r="J9" s="241" t="inlineStr">
        <is>
          <t>가공식품(제조가공품)</t>
        </is>
      </c>
      <c r="K9" s="182" t="n">
        <v>1143000</v>
      </c>
      <c r="L9" s="182" t="n">
        <v>62</v>
      </c>
      <c r="M9" s="182" t="n">
        <v>40800</v>
      </c>
      <c r="N9" s="240" t="inlineStr">
        <is>
          <t>제조가공식품(과자류(동결건조 과일스낵))이나 1차 신선 농산물 원물로 오등록됨</t>
        </is>
      </c>
    </row>
    <row r="10" ht="20" customHeight="1" s="21">
      <c r="A10" s="239" t="n">
        <v>6</v>
      </c>
      <c r="B10" s="239" t="inlineStr">
        <is>
          <t>조미가공육 ➡️ 축산물 오등록</t>
        </is>
      </c>
      <c r="C10" s="239" t="inlineStr">
        <is>
          <t>기존 참여 지속</t>
        </is>
      </c>
      <c r="D10" s="239" t="inlineStr">
        <is>
          <t>농산물</t>
        </is>
      </c>
      <c r="E10" s="239" t="inlineStr">
        <is>
          <t>네이버</t>
        </is>
      </c>
      <c r="F10" s="240" t="inlineStr">
        <is>
          <t>두루푸드</t>
        </is>
      </c>
      <c r="G10" s="239" t="inlineStr">
        <is>
          <t>221-13-36518</t>
        </is>
      </c>
      <c r="H10" s="240" t="inlineStr">
        <is>
          <t>두루푸드 국민닭갈비 춘천닭갈비 택배 홈파티 캠핑요리 간장닭갈비 [원산지:닭고기 넓적다리(국산), 기타(상세설명참조)]</t>
        </is>
      </c>
      <c r="I10" s="173" t="inlineStr">
        <is>
          <t>축산물</t>
        </is>
      </c>
      <c r="J10" s="241" t="inlineStr">
        <is>
          <t>가공식품(식육가공품)</t>
        </is>
      </c>
      <c r="K10" s="182" t="n">
        <v>927300</v>
      </c>
      <c r="L10" s="182" t="n">
        <v>65</v>
      </c>
      <c r="M10" s="182" t="n">
        <v>16720</v>
      </c>
      <c r="N10" s="240" t="inlineStr">
        <is>
          <t>식육가공품(조미가공육(춘천닭갈비))이나 1차 생육 축산물로 오등록됨</t>
        </is>
      </c>
    </row>
    <row r="11" ht="20" customHeight="1" s="21">
      <c r="A11" s="239" t="n">
        <v>7</v>
      </c>
      <c r="B11" s="239" t="inlineStr">
        <is>
          <t>가공완제품 ➡️ 농산물 원물 오등록</t>
        </is>
      </c>
      <c r="C11" s="239" t="inlineStr">
        <is>
          <t>기존 참여 지속</t>
        </is>
      </c>
      <c r="D11" s="239" t="inlineStr">
        <is>
          <t>농산물</t>
        </is>
      </c>
      <c r="E11" s="239" t="inlineStr">
        <is>
          <t>네이버</t>
        </is>
      </c>
      <c r="F11" s="240" t="inlineStr">
        <is>
          <t>신기농원</t>
        </is>
      </c>
      <c r="G11" s="239" t="inlineStr">
        <is>
          <t>540-25-00229</t>
        </is>
      </c>
      <c r="H11" s="240" t="inlineStr">
        <is>
          <t>애플링 딸기칩 10봉 국산100% 동결건조 / 아기부터 온가족 건강간식 [원산지:국산(경상북도 문경시)]</t>
        </is>
      </c>
      <c r="I11" s="173" t="inlineStr">
        <is>
          <t>농산물</t>
        </is>
      </c>
      <c r="J11" s="241" t="inlineStr">
        <is>
          <t>가공식품(제조가공품)</t>
        </is>
      </c>
      <c r="K11" s="182" t="n">
        <v>900500</v>
      </c>
      <c r="L11" s="182" t="n">
        <v>22</v>
      </c>
      <c r="M11" s="182" t="n">
        <v>44800</v>
      </c>
      <c r="N11" s="240" t="inlineStr">
        <is>
          <t>제조가공식품(과자류(동결건조 과일스낵))이나 1차 신선 농산물 원물로 오등록됨</t>
        </is>
      </c>
    </row>
    <row r="12" ht="20" customHeight="1" s="21">
      <c r="A12" s="239" t="n">
        <v>8</v>
      </c>
      <c r="B12" s="239" t="inlineStr">
        <is>
          <t>가공완제품 ➡️ 농산물 원물 오등록</t>
        </is>
      </c>
      <c r="C12" s="239" t="inlineStr">
        <is>
          <t>기존 참여 지속</t>
        </is>
      </c>
      <c r="D12" s="239" t="inlineStr">
        <is>
          <t>농산물</t>
        </is>
      </c>
      <c r="E12" s="239" t="inlineStr">
        <is>
          <t>네이버</t>
        </is>
      </c>
      <c r="F12" s="240" t="inlineStr">
        <is>
          <t>신기농원</t>
        </is>
      </c>
      <c r="G12" s="239" t="inlineStr">
        <is>
          <t>540-25-00229</t>
        </is>
      </c>
      <c r="H12" s="240" t="inlineStr">
        <is>
          <t>애플링 국산 동결건조 사과칩·배칩 무첨가 건강간식 어린이 유아 [원산지:국산(경상북도 문경시)]</t>
        </is>
      </c>
      <c r="I12" s="173" t="inlineStr">
        <is>
          <t>농산물</t>
        </is>
      </c>
      <c r="J12" s="241" t="inlineStr">
        <is>
          <t>가공식품(제조가공품)</t>
        </is>
      </c>
      <c r="K12" s="182" t="n">
        <v>770500</v>
      </c>
      <c r="L12" s="182" t="n">
        <v>12</v>
      </c>
      <c r="M12" s="182" t="n">
        <v>7400</v>
      </c>
      <c r="N12" s="240" t="inlineStr">
        <is>
          <t>제조가공식품(과자류(동결건조 과일스낵))이나 1차 신선 농산물 원물로 오등록됨</t>
        </is>
      </c>
    </row>
    <row r="13" ht="20" customHeight="1" s="21">
      <c r="A13" s="239" t="n">
        <v>9</v>
      </c>
      <c r="B13" s="239" t="inlineStr">
        <is>
          <t>가공완제품 ➡️ 농산물 원물 오등록</t>
        </is>
      </c>
      <c r="C13" s="239" t="inlineStr">
        <is>
          <t>기존 참여 지속</t>
        </is>
      </c>
      <c r="D13" s="239" t="inlineStr">
        <is>
          <t>농산물</t>
        </is>
      </c>
      <c r="E13" s="239" t="inlineStr">
        <is>
          <t>네이버</t>
        </is>
      </c>
      <c r="F13" s="240" t="inlineStr">
        <is>
          <t>신기농원</t>
        </is>
      </c>
      <c r="G13" s="239" t="inlineStr">
        <is>
          <t>540-25-00229</t>
        </is>
      </c>
      <c r="H13" s="240" t="inlineStr">
        <is>
          <t>애플링 국산 동결건조 사과칩·배칩 자유구성 / 유아 휴대용 건강간식 [원산지:국산(경상북도)]</t>
        </is>
      </c>
      <c r="I13" s="173" t="inlineStr">
        <is>
          <t>농산물</t>
        </is>
      </c>
      <c r="J13" s="241" t="inlineStr">
        <is>
          <t>가공식품(제조가공품)</t>
        </is>
      </c>
      <c r="K13" s="182" t="n">
        <v>547910</v>
      </c>
      <c r="L13" s="182" t="n">
        <v>15</v>
      </c>
      <c r="M13" s="182" t="n">
        <v>14800</v>
      </c>
      <c r="N13" s="240" t="inlineStr">
        <is>
          <t>제조가공식품(과자류(동결건조 과일스낵))이나 1차 신선 농산물 원물로 오등록됨</t>
        </is>
      </c>
    </row>
    <row r="14" ht="20" customHeight="1" s="21">
      <c r="A14" s="239" t="n">
        <v>10</v>
      </c>
      <c r="B14" s="239" t="inlineStr">
        <is>
          <t>조미가공육 ➡️ 축산물 오등록</t>
        </is>
      </c>
      <c r="C14" s="239" t="inlineStr">
        <is>
          <t>기존 참여 지속</t>
        </is>
      </c>
      <c r="D14" s="239" t="inlineStr">
        <is>
          <t>농산물</t>
        </is>
      </c>
      <c r="E14" s="239" t="inlineStr">
        <is>
          <t>네이버</t>
        </is>
      </c>
      <c r="F14" s="240" t="inlineStr">
        <is>
          <t>두루푸드</t>
        </is>
      </c>
      <c r="G14" s="239" t="inlineStr">
        <is>
          <t>221-13-36518</t>
        </is>
      </c>
      <c r="H14" s="240" t="inlineStr">
        <is>
          <t>두루푸드 국민닭갈비 춘천닭갈비 택배 홈파티 캠핑요리 숯불닭갈비 [원산지:닭넓적다리(국산), 고추가루(국산), 기타(상세설명참조)]</t>
        </is>
      </c>
      <c r="I14" s="173" t="inlineStr">
        <is>
          <t>축산물</t>
        </is>
      </c>
      <c r="J14" s="241" t="inlineStr">
        <is>
          <t>가공식품(식육가공품)</t>
        </is>
      </c>
      <c r="K14" s="182" t="n">
        <v>511650</v>
      </c>
      <c r="L14" s="182" t="n">
        <v>17</v>
      </c>
      <c r="M14" s="182" t="n">
        <v>8760</v>
      </c>
      <c r="N14" s="240" t="inlineStr">
        <is>
          <t>식육가공품(조미가공육(춘천닭갈비))이나 1차 생육 축산물로 오등록됨</t>
        </is>
      </c>
    </row>
    <row r="15" ht="20" customHeight="1" s="21">
      <c r="A15" s="239" t="n">
        <v>11</v>
      </c>
      <c r="B15" s="239" t="inlineStr">
        <is>
          <t>조미가공육 ➡️ 축산물 오등록</t>
        </is>
      </c>
      <c r="C15" s="239" t="inlineStr">
        <is>
          <t>기존 참여 지속</t>
        </is>
      </c>
      <c r="D15" s="239" t="inlineStr">
        <is>
          <t>농산물</t>
        </is>
      </c>
      <c r="E15" s="239" t="inlineStr">
        <is>
          <t>네이버</t>
        </is>
      </c>
      <c r="F15" s="240" t="inlineStr">
        <is>
          <t>두루푸드</t>
        </is>
      </c>
      <c r="G15" s="239" t="inlineStr">
        <is>
          <t>221-13-36518</t>
        </is>
      </c>
      <c r="H15" s="240" t="inlineStr">
        <is>
          <t>두루푸드 국민닭갈비 춘천닭갈비 택배 홈파티 캠핑요리 허브소금닭갈비 [원산지:닭고기 넓적다리(국산), 기타(상세설명참조)]</t>
        </is>
      </c>
      <c r="I15" s="173" t="inlineStr">
        <is>
          <t>축산물</t>
        </is>
      </c>
      <c r="J15" s="241" t="inlineStr">
        <is>
          <t>가공식품(식육가공품)</t>
        </is>
      </c>
      <c r="K15" s="182" t="n">
        <v>500100</v>
      </c>
      <c r="L15" s="182" t="n">
        <v>24</v>
      </c>
      <c r="M15" s="182" t="n">
        <v>4180</v>
      </c>
      <c r="N15" s="240" t="inlineStr">
        <is>
          <t>식육가공품(조미가공육(춘천닭갈비))이나 1차 생육 축산물로 오등록됨</t>
        </is>
      </c>
    </row>
    <row r="16" ht="20" customHeight="1" s="21">
      <c r="A16" s="239" t="n">
        <v>12</v>
      </c>
      <c r="B16" s="239" t="inlineStr">
        <is>
          <t>조미가공육 ➡️ 축산물 오등록</t>
        </is>
      </c>
      <c r="C16" s="239" t="inlineStr">
        <is>
          <t>기존 참여 지속</t>
        </is>
      </c>
      <c r="D16" s="239" t="inlineStr">
        <is>
          <t>농산물</t>
        </is>
      </c>
      <c r="E16" s="239" t="inlineStr">
        <is>
          <t>네이버</t>
        </is>
      </c>
      <c r="F16" s="240" t="inlineStr">
        <is>
          <t>농업회사법인(주)새나라</t>
        </is>
      </c>
      <c r="G16" s="239" t="inlineStr">
        <is>
          <t>792-88-00316</t>
        </is>
      </c>
      <c r="H16" s="240" t="inlineStr">
        <is>
          <t>국내산 냉동 닭내장 1kg 곱창,알탕, 닭부산물 [원산지:국산(전라북도 익산시)]</t>
        </is>
      </c>
      <c r="I16" s="173" t="inlineStr">
        <is>
          <t>축산물</t>
        </is>
      </c>
      <c r="J16" s="241" t="inlineStr">
        <is>
          <t>가공식품(식육가공품)</t>
        </is>
      </c>
      <c r="K16" s="182" t="n">
        <v>365590</v>
      </c>
      <c r="L16" s="182" t="n">
        <v>6</v>
      </c>
      <c r="M16" s="182" t="n">
        <v>12590</v>
      </c>
      <c r="N16" s="240" t="inlineStr">
        <is>
          <t>식육가공품(양념/가공육(곱창/대창))이나 1차 생육 축산물로 오등록됨</t>
        </is>
      </c>
    </row>
    <row r="17" ht="20" customHeight="1" s="21">
      <c r="A17" s="239" t="n">
        <v>13</v>
      </c>
      <c r="B17" s="239" t="inlineStr">
        <is>
          <t>농산물 원물 ➡️ 가공식품 오등록</t>
        </is>
      </c>
      <c r="C17" s="239" t="inlineStr">
        <is>
          <t>기존 참여 지속</t>
        </is>
      </c>
      <c r="D17" s="239" t="inlineStr">
        <is>
          <t>농산물</t>
        </is>
      </c>
      <c r="E17" s="239" t="inlineStr">
        <is>
          <t>네이버</t>
        </is>
      </c>
      <c r="F17" s="240" t="inlineStr">
        <is>
          <t>알찬연근팜</t>
        </is>
      </c>
      <c r="G17" s="239" t="inlineStr">
        <is>
          <t>604-02-68674</t>
        </is>
      </c>
      <c r="H17" s="240" t="inlineStr">
        <is>
          <t>달달 향긋한 경산 신품종 망고복숭아 옐로복숭아 900g 1.8kg [원산지:국산(경상북도 경산시)]</t>
        </is>
      </c>
      <c r="I17" s="173" t="inlineStr">
        <is>
          <t>가공식품</t>
        </is>
      </c>
      <c r="J17" s="241" t="inlineStr">
        <is>
          <t>농산물(원물)</t>
        </is>
      </c>
      <c r="K17" s="182" t="n">
        <v>179500</v>
      </c>
      <c r="L17" s="182" t="n">
        <v>5</v>
      </c>
      <c r="M17" s="182" t="n">
        <v>0</v>
      </c>
      <c r="N17" s="240" t="inlineStr">
        <is>
          <t>1차 신선 농산물(신선 과실(신품종 복숭아 생과 원물))이나 유통사에 가공식품으로 오등록되어 원물 실적에서 누락됨</t>
        </is>
      </c>
    </row>
    <row r="18" ht="20" customHeight="1" s="21">
      <c r="A18" s="239" t="n">
        <v>14</v>
      </c>
      <c r="B18" s="239" t="inlineStr">
        <is>
          <t>조미가공육 ➡️ 축산물 오등록</t>
        </is>
      </c>
      <c r="C18" s="239" t="inlineStr">
        <is>
          <t>기존 참여 지속</t>
        </is>
      </c>
      <c r="D18" s="239" t="inlineStr">
        <is>
          <t>농산물</t>
        </is>
      </c>
      <c r="E18" s="239" t="inlineStr">
        <is>
          <t>네이버</t>
        </is>
      </c>
      <c r="F18" s="240" t="inlineStr">
        <is>
          <t>농업회사법인(주)새나라</t>
        </is>
      </c>
      <c r="G18" s="239" t="inlineStr">
        <is>
          <t>792-88-00316</t>
        </is>
      </c>
      <c r="H18" s="240" t="inlineStr">
        <is>
          <t>사조 오리 주물럭 양념 오리불고기 1kg 넉넉한 양 [원산지:국산(전라남도 나주시)]</t>
        </is>
      </c>
      <c r="I18" s="173" t="inlineStr">
        <is>
          <t>축산물</t>
        </is>
      </c>
      <c r="J18" s="241" t="inlineStr">
        <is>
          <t>가공식품(식육가공품)</t>
        </is>
      </c>
      <c r="K18" s="182" t="n">
        <v>149400</v>
      </c>
      <c r="L18" s="182" t="n">
        <v>6</v>
      </c>
      <c r="M18" s="182" t="n">
        <v>4740</v>
      </c>
      <c r="N18" s="240" t="inlineStr">
        <is>
          <t>식육가공품(양념조미육(주물럭))이나 1차 생육 축산물로 오등록됨</t>
        </is>
      </c>
    </row>
    <row r="19" ht="20" customHeight="1" s="21">
      <c r="A19" s="239" t="n">
        <v>15</v>
      </c>
      <c r="B19" s="239" t="inlineStr">
        <is>
          <t>조미가공육 ➡️ 축산물 오등록</t>
        </is>
      </c>
      <c r="C19" s="239" t="inlineStr">
        <is>
          <t>기존 참여 지속</t>
        </is>
      </c>
      <c r="D19" s="239" t="inlineStr">
        <is>
          <t>농산물</t>
        </is>
      </c>
      <c r="E19" s="239" t="inlineStr">
        <is>
          <t>네이버</t>
        </is>
      </c>
      <c r="F19" s="240" t="inlineStr">
        <is>
          <t>농업회사법인(주)새나라</t>
        </is>
      </c>
      <c r="G19" s="239" t="inlineStr">
        <is>
          <t>792-88-00316</t>
        </is>
      </c>
      <c r="H19" s="240" t="inlineStr">
        <is>
          <t>사조 오리 주물럭 양념 오리불고기 600g 넉넉한 양 [원산지:국산(전라남도 나주시)]</t>
        </is>
      </c>
      <c r="I19" s="173" t="inlineStr">
        <is>
          <t>축산물</t>
        </is>
      </c>
      <c r="J19" s="241" t="inlineStr">
        <is>
          <t>가공식품(식육가공품)</t>
        </is>
      </c>
      <c r="K19" s="182" t="n">
        <v>72900</v>
      </c>
      <c r="L19" s="182" t="n">
        <v>3</v>
      </c>
      <c r="M19" s="182" t="n">
        <v>11120</v>
      </c>
      <c r="N19" s="240" t="inlineStr">
        <is>
          <t>식육가공품(양념조미육(주물럭))이나 1차 생육 축산물로 오등록됨</t>
        </is>
      </c>
    </row>
    <row r="20" ht="20" customHeight="1" s="21">
      <c r="A20" s="239" t="n">
        <v>16</v>
      </c>
      <c r="B20" s="239" t="inlineStr">
        <is>
          <t>가공완제품 ➡️ 농산물 원물 오등록</t>
        </is>
      </c>
      <c r="C20" s="239" t="inlineStr">
        <is>
          <t>기존 참여 지속</t>
        </is>
      </c>
      <c r="D20" s="239" t="inlineStr">
        <is>
          <t>농산물</t>
        </is>
      </c>
      <c r="E20" s="239" t="inlineStr">
        <is>
          <t>네이버</t>
        </is>
      </c>
      <c r="F20" s="240" t="inlineStr">
        <is>
          <t>신기농원</t>
        </is>
      </c>
      <c r="G20" s="239" t="inlineStr">
        <is>
          <t>540-25-00229</t>
        </is>
      </c>
      <c r="H20" s="240" t="inlineStr">
        <is>
          <t>애플링 국내산 동결건조 사과칩 20g x3봉/ 아기간식 건강과일간식 [원산지:국산(경상북도 문경시)]</t>
        </is>
      </c>
      <c r="I20" s="173" t="inlineStr">
        <is>
          <t>농산물</t>
        </is>
      </c>
      <c r="J20" s="241" t="inlineStr">
        <is>
          <t>가공식품(제조가공품)</t>
        </is>
      </c>
      <c r="K20" s="182" t="n">
        <v>65500</v>
      </c>
      <c r="L20" s="182" t="n">
        <v>4</v>
      </c>
      <c r="M20" s="182" t="n">
        <v>0</v>
      </c>
      <c r="N20" s="240" t="inlineStr">
        <is>
          <t>제조가공식품(과자류(동결건조 과일스낵))이나 1차 신선 농산물 원물로 오등록됨</t>
        </is>
      </c>
    </row>
    <row r="21" ht="20" customHeight="1" s="21">
      <c r="A21" s="239" t="n">
        <v>17</v>
      </c>
      <c r="B21" s="239" t="inlineStr">
        <is>
          <t>조미가공육 ➡️ 축산물 오등록</t>
        </is>
      </c>
      <c r="C21" s="239" t="inlineStr">
        <is>
          <t>기존 참여 지속</t>
        </is>
      </c>
      <c r="D21" s="239" t="inlineStr">
        <is>
          <t>농산물</t>
        </is>
      </c>
      <c r="E21" s="239" t="inlineStr">
        <is>
          <t>네이버</t>
        </is>
      </c>
      <c r="F21" s="240" t="inlineStr">
        <is>
          <t>농업회사법인 주식회사 코리아식품</t>
        </is>
      </c>
      <c r="G21" s="239" t="inlineStr">
        <is>
          <t>608-88-00253</t>
        </is>
      </c>
      <c r="H21" s="240" t="inlineStr">
        <is>
          <t>청춘불판 직화불곱창 400g 혼술 캠핑 안주 돼지곱창 [원산지:상세설명에 표시]</t>
        </is>
      </c>
      <c r="I21" s="173" t="inlineStr">
        <is>
          <t>축산물</t>
        </is>
      </c>
      <c r="J21" s="241" t="inlineStr">
        <is>
          <t>가공식품(식육가공품)</t>
        </is>
      </c>
      <c r="K21" s="182" t="n">
        <v>65400</v>
      </c>
      <c r="L21" s="182" t="n">
        <v>2</v>
      </c>
      <c r="M21" s="182" t="n">
        <v>8720</v>
      </c>
      <c r="N21" s="240" t="inlineStr">
        <is>
          <t>식육가공품(양념/가공육(곱창/대창))이나 1차 생육 축산물로 오등록됨</t>
        </is>
      </c>
    </row>
    <row r="22" ht="20" customHeight="1" s="21">
      <c r="A22" s="239" t="n">
        <v>18</v>
      </c>
      <c r="B22" s="239" t="inlineStr">
        <is>
          <t>가공완제품 ➡️ 농산물 원물 오등록</t>
        </is>
      </c>
      <c r="C22" s="239" t="inlineStr">
        <is>
          <t>기존 참여 지속</t>
        </is>
      </c>
      <c r="D22" s="239" t="inlineStr">
        <is>
          <t>농산물</t>
        </is>
      </c>
      <c r="E22" s="239" t="inlineStr">
        <is>
          <t>네이버</t>
        </is>
      </c>
      <c r="F22" s="240" t="inlineStr">
        <is>
          <t>신기농원</t>
        </is>
      </c>
      <c r="G22" s="239" t="inlineStr">
        <is>
          <t>540-25-00229</t>
        </is>
      </c>
      <c r="H22" s="240" t="inlineStr">
        <is>
          <t>애플링 하루 한 팩 모듬과일칩 4g 사과·배·딸기혼합/국산 동결건조 /어린이,건강간식 [원산지:국산(경상북도 문경시)]</t>
        </is>
      </c>
      <c r="I22" s="173" t="inlineStr">
        <is>
          <t>농산물</t>
        </is>
      </c>
      <c r="J22" s="241" t="inlineStr">
        <is>
          <t>가공식품(제조가공품)</t>
        </is>
      </c>
      <c r="K22" s="182" t="n">
        <v>39000</v>
      </c>
      <c r="L22" s="182" t="n">
        <v>2</v>
      </c>
      <c r="M22" s="182" t="n">
        <v>0</v>
      </c>
      <c r="N22" s="240" t="inlineStr">
        <is>
          <t>제조가공식품(과자류(동결건조 과일스낵))이나 1차 신선 농산물 원물로 오등록됨</t>
        </is>
      </c>
    </row>
    <row r="23" ht="20" customHeight="1" s="21">
      <c r="A23" s="239" t="n">
        <v>19</v>
      </c>
      <c r="B23" s="239" t="inlineStr">
        <is>
          <t>가공완제품 ➡️ 농산물 원물 오등록</t>
        </is>
      </c>
      <c r="C23" s="239" t="inlineStr">
        <is>
          <t>기존 참여 지속</t>
        </is>
      </c>
      <c r="D23" s="239" t="inlineStr">
        <is>
          <t>농산물</t>
        </is>
      </c>
      <c r="E23" s="239" t="inlineStr">
        <is>
          <t>네이버</t>
        </is>
      </c>
      <c r="F23" s="240" t="inlineStr">
        <is>
          <t>신기농원</t>
        </is>
      </c>
      <c r="G23" s="239" t="inlineStr">
        <is>
          <t>540-25-00229</t>
        </is>
      </c>
      <c r="H23" s="240" t="inlineStr">
        <is>
          <t>애플링 국산 동결건조 사과·배칩 3팩 자유선택 유아 어린이 건강간식 .다이어트 [원산지:국산(경상북도)]</t>
        </is>
      </c>
      <c r="I23" s="173" t="inlineStr">
        <is>
          <t>농산물</t>
        </is>
      </c>
      <c r="J23" s="241" t="inlineStr">
        <is>
          <t>가공식품(제조가공품)</t>
        </is>
      </c>
      <c r="K23" s="182" t="n">
        <v>33000</v>
      </c>
      <c r="L23" s="182" t="n">
        <v>3</v>
      </c>
      <c r="M23" s="182" t="n">
        <v>2200</v>
      </c>
      <c r="N23" s="240" t="inlineStr">
        <is>
          <t>제조가공식품(과자류(동결건조 과일스낵))이나 1차 신선 농산물 원물로 오등록됨</t>
        </is>
      </c>
    </row>
    <row r="24" ht="20" customHeight="1" s="21">
      <c r="A24" s="239" t="n">
        <v>20</v>
      </c>
      <c r="B24" s="239" t="inlineStr">
        <is>
          <t>가공완제품 ➡️ 농산물 원물 오등록</t>
        </is>
      </c>
      <c r="C24" s="239" t="inlineStr">
        <is>
          <t>기존 참여 지속</t>
        </is>
      </c>
      <c r="D24" s="239" t="inlineStr">
        <is>
          <t>농산물</t>
        </is>
      </c>
      <c r="E24" s="239" t="inlineStr">
        <is>
          <t>네이버</t>
        </is>
      </c>
      <c r="F24" s="240" t="inlineStr">
        <is>
          <t>신기농원</t>
        </is>
      </c>
      <c r="G24" s="239" t="inlineStr">
        <is>
          <t>540-25-00229</t>
        </is>
      </c>
      <c r="H24" s="240" t="inlineStr">
        <is>
          <t>애플링 국산 딸기칩3봉 무첨가 동결건조 과일칩 어린이 유아 건강간식 [원산지:국산(경상북도 문경시)]</t>
        </is>
      </c>
      <c r="I24" s="173" t="inlineStr">
        <is>
          <t>농산물</t>
        </is>
      </c>
      <c r="J24" s="241" t="inlineStr">
        <is>
          <t>가공식품(제조가공품)</t>
        </is>
      </c>
      <c r="K24" s="182" t="n">
        <v>33000</v>
      </c>
      <c r="L24" s="182" t="n">
        <v>3</v>
      </c>
      <c r="M24" s="182" t="n">
        <v>0</v>
      </c>
      <c r="N24" s="240" t="inlineStr">
        <is>
          <t>제조가공식품(과자류(동결건조 과일스낵))이나 1차 신선 농산물 원물로 오등록됨</t>
        </is>
      </c>
    </row>
    <row r="25" ht="20" customHeight="1" s="21">
      <c r="A25" s="239" t="n">
        <v>21</v>
      </c>
      <c r="B25" s="239" t="inlineStr">
        <is>
          <t>조미가공육 ➡️ 축산물 오등록</t>
        </is>
      </c>
      <c r="C25" s="239" t="inlineStr">
        <is>
          <t>기존 참여 지속</t>
        </is>
      </c>
      <c r="D25" s="239" t="inlineStr">
        <is>
          <t>농산물</t>
        </is>
      </c>
      <c r="E25" s="239" t="inlineStr">
        <is>
          <t>네이버</t>
        </is>
      </c>
      <c r="F25" s="240" t="inlineStr">
        <is>
          <t>농업회사법인(주)새나라</t>
        </is>
      </c>
      <c r="G25" s="239" t="inlineStr">
        <is>
          <t>792-88-00316</t>
        </is>
      </c>
      <c r="H25" s="240" t="inlineStr">
        <is>
          <t>[모두양념닭발] 1+1팩 오직 국내산 무뼈닭발 200g포장 [원산지:국산(전라북도 익산시)]</t>
        </is>
      </c>
      <c r="I25" s="173" t="inlineStr">
        <is>
          <t>축산물</t>
        </is>
      </c>
      <c r="J25" s="241" t="inlineStr">
        <is>
          <t>가공식품(식육가공품)</t>
        </is>
      </c>
      <c r="K25" s="182" t="n">
        <v>27230</v>
      </c>
      <c r="L25" s="182" t="n">
        <v>1</v>
      </c>
      <c r="M25" s="182" t="n">
        <v>0</v>
      </c>
      <c r="N25" s="240" t="inlineStr">
        <is>
          <t>식육가공품(양념조미육)이나 1차 생육 축산물로 오등록됨</t>
        </is>
      </c>
    </row>
    <row r="26" ht="20" customHeight="1" s="21">
      <c r="A26" s="239" t="n">
        <v>22</v>
      </c>
      <c r="B26" s="239" t="inlineStr">
        <is>
          <t>조미가공육 ➡️ 축산물 오등록</t>
        </is>
      </c>
      <c r="C26" s="239" t="inlineStr">
        <is>
          <t>기존 참여 지속</t>
        </is>
      </c>
      <c r="D26" s="239" t="inlineStr">
        <is>
          <t>농산물</t>
        </is>
      </c>
      <c r="E26" s="239" t="inlineStr">
        <is>
          <t>네이버</t>
        </is>
      </c>
      <c r="F26" s="240" t="inlineStr">
        <is>
          <t>농업회사법인(주)새나라</t>
        </is>
      </c>
      <c r="G26" s="239" t="inlineStr">
        <is>
          <t>792-88-00316</t>
        </is>
      </c>
      <c r="H26" s="240" t="inlineStr">
        <is>
          <t>[모두 한입닭갈비] 춘천 3팩 국산 닭정육 캠핑 500gx3팩 (3~4인분) [원산지:국산]</t>
        </is>
      </c>
      <c r="I26" s="173" t="inlineStr">
        <is>
          <t>축산물</t>
        </is>
      </c>
      <c r="J26" s="241" t="inlineStr">
        <is>
          <t>가공식품(식육가공품)</t>
        </is>
      </c>
      <c r="K26" s="182" t="n">
        <v>23500</v>
      </c>
      <c r="L26" s="182" t="n">
        <v>1</v>
      </c>
      <c r="M26" s="182" t="n">
        <v>4700</v>
      </c>
      <c r="N26" s="240" t="inlineStr">
        <is>
          <t>식육가공품(조미가공육(춘천닭갈비))이나 1차 생육 축산물로 오등록됨</t>
        </is>
      </c>
    </row>
    <row r="27" ht="20" customHeight="1" s="21">
      <c r="A27" s="239" t="n">
        <v>23</v>
      </c>
      <c r="B27" s="239" t="inlineStr">
        <is>
          <t>조미가공육 ➡️ 축산물 오등록</t>
        </is>
      </c>
      <c r="C27" s="239" t="inlineStr">
        <is>
          <t>기존 참여 지속</t>
        </is>
      </c>
      <c r="D27" s="239" t="inlineStr">
        <is>
          <t>농산물</t>
        </is>
      </c>
      <c r="E27" s="239" t="inlineStr">
        <is>
          <t>네이버</t>
        </is>
      </c>
      <c r="F27" s="240" t="inlineStr">
        <is>
          <t>농업회사법인 주식회사 코리아식품</t>
        </is>
      </c>
      <c r="G27" s="239" t="inlineStr">
        <is>
          <t>608-88-00253</t>
        </is>
      </c>
      <c r="H27" s="240" t="inlineStr">
        <is>
          <t>청춘불판 직화껍데기 350g 국내산 직화 불향 자체양념소스 [원산지:상세설명에 표시]</t>
        </is>
      </c>
      <c r="I27" s="173" t="inlineStr">
        <is>
          <t>축산물</t>
        </is>
      </c>
      <c r="J27" s="241" t="inlineStr">
        <is>
          <t>가공식품(식육가공품)</t>
        </is>
      </c>
      <c r="K27" s="182" t="n">
        <v>13800</v>
      </c>
      <c r="L27" s="182" t="n">
        <v>1</v>
      </c>
      <c r="M27" s="182" t="n">
        <v>0</v>
      </c>
      <c r="N27" s="240" t="inlineStr">
        <is>
          <t>식육가공품(양념조미육)이나 1차 생육 축산물로 오등록됨</t>
        </is>
      </c>
    </row>
    <row r="28" ht="20" customHeight="1" s="21">
      <c r="A28" s="239" t="n">
        <v>24</v>
      </c>
      <c r="B28" s="239" t="inlineStr">
        <is>
          <t>조미가공육 ➡️ 축산물 오등록</t>
        </is>
      </c>
      <c r="C28" s="239" t="inlineStr">
        <is>
          <t>기존 참여 지속</t>
        </is>
      </c>
      <c r="D28" s="239" t="inlineStr">
        <is>
          <t>농산물</t>
        </is>
      </c>
      <c r="E28" s="239" t="inlineStr">
        <is>
          <t>네이버</t>
        </is>
      </c>
      <c r="F28" s="240" t="inlineStr">
        <is>
          <t>농업회사법인 주식회사 코리아식품</t>
        </is>
      </c>
      <c r="G28" s="239" t="inlineStr">
        <is>
          <t>608-88-00253</t>
        </is>
      </c>
      <c r="H28" s="240" t="inlineStr">
        <is>
          <t>고기얌 불오돌뼈 250g 국내산 매운 양념 캠핑 혼술 안주 [원산지:상세설명에 표시]</t>
        </is>
      </c>
      <c r="I28" s="173" t="inlineStr">
        <is>
          <t>축산물</t>
        </is>
      </c>
      <c r="J28" s="241" t="inlineStr">
        <is>
          <t>가공식품(식육가공품)</t>
        </is>
      </c>
      <c r="K28" s="182" t="n">
        <v>6900</v>
      </c>
      <c r="L28" s="182" t="n">
        <v>1</v>
      </c>
      <c r="M28" s="182" t="n">
        <v>0</v>
      </c>
      <c r="N28" s="240" t="inlineStr">
        <is>
          <t>식육가공품(양념조미육)이나 1차 생육 축산물로 오등록됨</t>
        </is>
      </c>
    </row>
    <row r="29" ht="20" customHeight="1" s="21">
      <c r="A29" s="239" t="n">
        <v>25</v>
      </c>
      <c r="B29" s="239" t="inlineStr">
        <is>
          <t>조미가공육 ➡️ 축산물 오등록</t>
        </is>
      </c>
      <c r="C29" s="239" t="inlineStr">
        <is>
          <t>기존 참여 지속</t>
        </is>
      </c>
      <c r="D29" s="239" t="inlineStr">
        <is>
          <t>농산물</t>
        </is>
      </c>
      <c r="E29" s="239" t="inlineStr">
        <is>
          <t>롯데ON</t>
        </is>
      </c>
      <c r="F29" s="240" t="inlineStr">
        <is>
          <t>주식회사 더락</t>
        </is>
      </c>
      <c r="G29" s="239" t="inlineStr">
        <is>
          <t>593-86-01295</t>
        </is>
      </c>
      <c r="H29" s="240" t="inlineStr">
        <is>
          <t>국내산 한돈 수제 양념 돼지갈비 450G (2종 중 택1)</t>
        </is>
      </c>
      <c r="I29" s="173" t="inlineStr">
        <is>
          <t>축산물</t>
        </is>
      </c>
      <c r="J29" s="241" t="inlineStr">
        <is>
          <t>가공식품(식육가공품)</t>
        </is>
      </c>
      <c r="K29" s="182" t="n">
        <v>37312000</v>
      </c>
      <c r="L29" s="182" t="n">
        <v>729</v>
      </c>
      <c r="M29" s="182" t="n">
        <v>4967600</v>
      </c>
      <c r="N29" s="240" t="inlineStr">
        <is>
          <t>식육가공품(양념조미육)이나 1차 생육 축산물로 오등록됨</t>
        </is>
      </c>
    </row>
    <row r="30" ht="20" customHeight="1" s="21">
      <c r="A30" s="239" t="n">
        <v>26</v>
      </c>
      <c r="B30" s="239" t="inlineStr">
        <is>
          <t>조미가공육 ➡️ 축산물 오등록</t>
        </is>
      </c>
      <c r="C30" s="239" t="inlineStr">
        <is>
          <t>기존 참여 지속</t>
        </is>
      </c>
      <c r="D30" s="239" t="inlineStr">
        <is>
          <t>농산물</t>
        </is>
      </c>
      <c r="E30" s="239" t="inlineStr">
        <is>
          <t>롯데ON</t>
        </is>
      </c>
      <c r="F30" s="240" t="inlineStr">
        <is>
          <t>농업회사법인 라이플로우 주식회사</t>
        </is>
      </c>
      <c r="G30" s="239" t="inlineStr">
        <is>
          <t>715-87-02493</t>
        </is>
      </c>
      <c r="H30" s="240" t="inlineStr">
        <is>
          <t>[온누리7%혜택][주왕산가든] 한우불고기 전골 밀키트 750g 3인분 불고기 육수 야채 소불고기</t>
        </is>
      </c>
      <c r="I30" s="173" t="inlineStr">
        <is>
          <t>축산물</t>
        </is>
      </c>
      <c r="J30" s="241" t="inlineStr">
        <is>
          <t>가공식품(식육가공품)</t>
        </is>
      </c>
      <c r="K30" s="182" t="n">
        <v>724600</v>
      </c>
      <c r="L30" s="182" t="n">
        <v>23</v>
      </c>
      <c r="M30" s="182" t="n">
        <v>142600</v>
      </c>
      <c r="N30" s="240" t="inlineStr">
        <is>
          <t>식육가공품(양념조미육(불고기))이나 1차 생육 축산물로 오등록됨</t>
        </is>
      </c>
    </row>
    <row r="31" ht="20" customHeight="1" s="21">
      <c r="A31" s="239" t="n">
        <v>27</v>
      </c>
      <c r="B31" s="239" t="inlineStr">
        <is>
          <t>조미가공육 ➡️ 축산물 오등록</t>
        </is>
      </c>
      <c r="C31" s="239" t="inlineStr">
        <is>
          <t>기존 참여 지속</t>
        </is>
      </c>
      <c r="D31" s="239" t="inlineStr">
        <is>
          <t>농산물</t>
        </is>
      </c>
      <c r="E31" s="239" t="inlineStr">
        <is>
          <t>롯데ON</t>
        </is>
      </c>
      <c r="F31" s="240" t="inlineStr">
        <is>
          <t>농업회사법인 라이플로우 주식회사</t>
        </is>
      </c>
      <c r="G31" s="239" t="inlineStr">
        <is>
          <t>715-87-02493</t>
        </is>
      </c>
      <c r="H31" s="240" t="inlineStr">
        <is>
          <t>[온누리7%혜택][주왕산가든] 명품 한돈 수제 돼지갈비 실속형 500g 양념돼지갈비 밀키트</t>
        </is>
      </c>
      <c r="I31" s="173" t="inlineStr">
        <is>
          <t>축산물</t>
        </is>
      </c>
      <c r="J31" s="241" t="inlineStr">
        <is>
          <t>가공식품(식육가공품)</t>
        </is>
      </c>
      <c r="K31" s="182" t="n">
        <v>315000</v>
      </c>
      <c r="L31" s="182" t="n">
        <v>10</v>
      </c>
      <c r="M31" s="182" t="n">
        <v>57230</v>
      </c>
      <c r="N31" s="240" t="inlineStr">
        <is>
          <t>식육가공품(양념조미육)이나 1차 생육 축산물로 오등록됨</t>
        </is>
      </c>
    </row>
    <row r="32" ht="20" customHeight="1" s="21">
      <c r="A32" s="239" t="n">
        <v>28</v>
      </c>
      <c r="B32" s="239" t="inlineStr">
        <is>
          <t>조미가공육 ➡️ 축산물 오등록</t>
        </is>
      </c>
      <c r="C32" s="239" t="inlineStr">
        <is>
          <t>기존 참여 지속</t>
        </is>
      </c>
      <c r="D32" s="239" t="inlineStr">
        <is>
          <t>농산물</t>
        </is>
      </c>
      <c r="E32" s="239" t="inlineStr">
        <is>
          <t>롯데ON</t>
        </is>
      </c>
      <c r="F32" s="240" t="inlineStr">
        <is>
          <t>주식회사 영인에프앤에스</t>
        </is>
      </c>
      <c r="G32" s="239" t="inlineStr">
        <is>
          <t>847-88-01537</t>
        </is>
      </c>
      <c r="H32" s="240" t="inlineStr">
        <is>
          <t>삶은 돼지 대창 1kg</t>
        </is>
      </c>
      <c r="I32" s="173" t="inlineStr">
        <is>
          <t>축산물</t>
        </is>
      </c>
      <c r="J32" s="241" t="inlineStr">
        <is>
          <t>가공식품(식육가공품)</t>
        </is>
      </c>
      <c r="K32" s="182" t="n">
        <v>0</v>
      </c>
      <c r="L32" s="182" t="n">
        <v>2</v>
      </c>
      <c r="M32" s="182" t="n">
        <v>0</v>
      </c>
      <c r="N32" s="240" t="inlineStr">
        <is>
          <t>식육가공품(양념/가공육(대창))이나 1차 생육 축산물로 오등록됨</t>
        </is>
      </c>
    </row>
    <row r="33" ht="20" customHeight="1" s="21">
      <c r="A33" s="239" t="n">
        <v>29</v>
      </c>
      <c r="B33" s="239" t="inlineStr">
        <is>
          <t>조미가공육 ➡️ 축산물 오등록</t>
        </is>
      </c>
      <c r="C33" s="239" t="inlineStr">
        <is>
          <t>기존 참여 지속</t>
        </is>
      </c>
      <c r="D33" s="239" t="inlineStr">
        <is>
          <t>농산물</t>
        </is>
      </c>
      <c r="E33" s="239" t="inlineStr">
        <is>
          <t>롯데ON</t>
        </is>
      </c>
      <c r="F33" s="240" t="inlineStr">
        <is>
          <t>주식회사 삼형제월드</t>
        </is>
      </c>
      <c r="G33" s="239" t="inlineStr">
        <is>
          <t>185-87-01669</t>
        </is>
      </c>
      <c r="H33" s="240" t="inlineStr">
        <is>
          <t>삼형제고기 한돈 간장 고추장 불고기 1kg (200g x 5팩)</t>
        </is>
      </c>
      <c r="I33" s="173" t="inlineStr">
        <is>
          <t>축산물</t>
        </is>
      </c>
      <c r="J33" s="241" t="inlineStr">
        <is>
          <t>가공식품(식육가공품)</t>
        </is>
      </c>
      <c r="K33" s="182" t="n">
        <v>0</v>
      </c>
      <c r="L33" s="182" t="n">
        <v>0</v>
      </c>
      <c r="M33" s="182" t="n">
        <v>0</v>
      </c>
      <c r="N33" s="240" t="inlineStr">
        <is>
          <t>식육가공품(양념조미육(불고기))이나 1차 생육 축산물로 오등록됨</t>
        </is>
      </c>
    </row>
    <row r="34" ht="20" customHeight="1" s="21">
      <c r="A34" s="239" t="n">
        <v>30</v>
      </c>
      <c r="B34" s="239" t="inlineStr">
        <is>
          <t>조미가공육 ➡️ 축산물 오등록</t>
        </is>
      </c>
      <c r="C34" s="239" t="inlineStr">
        <is>
          <t>기존 참여 지속</t>
        </is>
      </c>
      <c r="D34" s="239" t="inlineStr">
        <is>
          <t>농산물</t>
        </is>
      </c>
      <c r="E34" s="239" t="inlineStr">
        <is>
          <t>지마켓</t>
        </is>
      </c>
      <c r="F34" s="240" t="inlineStr">
        <is>
          <t>두원식품(주)</t>
        </is>
      </c>
      <c r="G34" s="239" t="inlineStr">
        <is>
          <t>606-81-52718</t>
        </is>
      </c>
      <c r="H34" s="240" t="inlineStr">
        <is>
          <t>haccp인증 국내산 한돈 고추장 주물럭 300g x6팩(총 1.8kg)</t>
        </is>
      </c>
      <c r="I34" s="173" t="inlineStr">
        <is>
          <t>축산물</t>
        </is>
      </c>
      <c r="J34" s="241" t="inlineStr">
        <is>
          <t>가공식품(식육가공품)</t>
        </is>
      </c>
      <c r="K34" s="182" t="n">
        <v>65000</v>
      </c>
      <c r="L34" s="182" t="n">
        <v>2</v>
      </c>
      <c r="M34" s="182" t="n">
        <v>6500</v>
      </c>
      <c r="N34" s="240" t="inlineStr">
        <is>
          <t>식육가공품(양념조미육(주물럭))이나 1차 생육 축산물로 오등록됨</t>
        </is>
      </c>
    </row>
    <row r="35" ht="20" customHeight="1" s="21">
      <c r="A35" s="239" t="n">
        <v>31</v>
      </c>
      <c r="B35" s="239" t="inlineStr">
        <is>
          <t>조미가공육 ➡️ 축산물 오등록</t>
        </is>
      </c>
      <c r="C35" s="239" t="inlineStr">
        <is>
          <t>기존 참여 지속</t>
        </is>
      </c>
      <c r="D35" s="239" t="inlineStr">
        <is>
          <t>농산물</t>
        </is>
      </c>
      <c r="E35" s="239" t="inlineStr">
        <is>
          <t>지마켓</t>
        </is>
      </c>
      <c r="F35" s="240" t="inlineStr">
        <is>
          <t>두원식품(주)</t>
        </is>
      </c>
      <c r="G35" s="239" t="inlineStr">
        <is>
          <t>606-81-52718</t>
        </is>
      </c>
      <c r="H35" s="240" t="inlineStr">
        <is>
          <t>국내산 한돈 고추장 주물럭 300g + 300g 제육볶음</t>
        </is>
      </c>
      <c r="I35" s="173" t="inlineStr">
        <is>
          <t>축산물</t>
        </is>
      </c>
      <c r="J35" s="241" t="inlineStr">
        <is>
          <t>가공식품(식육가공품)</t>
        </is>
      </c>
      <c r="K35" s="182" t="n">
        <v>134100</v>
      </c>
      <c r="L35" s="182" t="n">
        <v>9</v>
      </c>
      <c r="M35" s="182" t="n">
        <v>11920</v>
      </c>
      <c r="N35" s="240" t="inlineStr">
        <is>
          <t>식육가공품(양념조미육(주물럭))이나 1차 생육 축산물로 오등록됨</t>
        </is>
      </c>
    </row>
    <row r="36" ht="20" customHeight="1" s="21">
      <c r="A36" s="239" t="n">
        <v>32</v>
      </c>
      <c r="B36" s="239" t="inlineStr">
        <is>
          <t>가공완제품 ➡️ 농산물 원물 오등록</t>
        </is>
      </c>
      <c r="C36" s="239" t="inlineStr">
        <is>
          <t>기존 참여 지속</t>
        </is>
      </c>
      <c r="D36" s="239" t="inlineStr">
        <is>
          <t>농산물</t>
        </is>
      </c>
      <c r="E36" s="239" t="inlineStr">
        <is>
          <t>지마켓</t>
        </is>
      </c>
      <c r="F36" s="240" t="inlineStr">
        <is>
          <t>청정태안식품</t>
        </is>
      </c>
      <c r="G36" s="239" t="inlineStr">
        <is>
          <t>316-01-24597</t>
        </is>
      </c>
      <c r="H36" s="240" t="inlineStr">
        <is>
          <t>김명월 검정콩 청국장가루 1kg(500g2통)</t>
        </is>
      </c>
      <c r="I36" s="173" t="inlineStr">
        <is>
          <t>농산물</t>
        </is>
      </c>
      <c r="J36" s="241" t="inlineStr">
        <is>
          <t>가공식품(제조가공품)</t>
        </is>
      </c>
      <c r="K36" s="182" t="n">
        <v>74000</v>
      </c>
      <c r="L36" s="182" t="n">
        <v>2</v>
      </c>
      <c r="M36" s="182" t="n">
        <v>7400</v>
      </c>
      <c r="N36" s="240" t="inlineStr">
        <is>
          <t>제조가공식품(두류가공품(청국장가루))이나 1차 신선 농산물 원물로 오등록됨</t>
        </is>
      </c>
    </row>
    <row r="37" ht="20" customHeight="1" s="21">
      <c r="A37" s="239" t="n">
        <v>33</v>
      </c>
      <c r="B37" s="239" t="inlineStr">
        <is>
          <t>농산물 원물 ➡️ 가공식품 오등록</t>
        </is>
      </c>
      <c r="C37" s="239" t="inlineStr">
        <is>
          <t>기존 참여 지속</t>
        </is>
      </c>
      <c r="D37" s="239" t="inlineStr">
        <is>
          <t>농산물</t>
        </is>
      </c>
      <c r="E37" s="239" t="inlineStr">
        <is>
          <t>지마켓</t>
        </is>
      </c>
      <c r="F37" s="240" t="inlineStr">
        <is>
          <t>형지표고버섯</t>
        </is>
      </c>
      <c r="G37" s="239" t="inlineStr">
        <is>
          <t>290-94-00335</t>
        </is>
      </c>
      <c r="H37" s="240" t="inlineStr">
        <is>
          <t>형지표고버섯 흑화고 상황버섯 혼합2호 표고 버섯 선물세트</t>
        </is>
      </c>
      <c r="I37" s="173" t="inlineStr">
        <is>
          <t>가공식품</t>
        </is>
      </c>
      <c r="J37" s="241" t="inlineStr">
        <is>
          <t>농산물(원물)</t>
        </is>
      </c>
      <c r="K37" s="182" t="n">
        <v>0</v>
      </c>
      <c r="L37" s="182" t="n">
        <v>0</v>
      </c>
      <c r="M37" s="182" t="n">
        <v>0</v>
      </c>
      <c r="N37" s="240" t="inlineStr">
        <is>
          <t>1차 신선 농산물(신선/건조 임산물(표고버섯 선물세트 원물))이나 유통사에 가공식품으로 오등록되어 원물 실적에서 누락됨</t>
        </is>
      </c>
    </row>
    <row r="38" ht="20" customHeight="1" s="21">
      <c r="A38" s="239" t="n">
        <v>34</v>
      </c>
      <c r="B38" s="239" t="inlineStr">
        <is>
          <t>가공완제품 ➡️ 농산물 원물 오등록</t>
        </is>
      </c>
      <c r="C38" s="239" t="inlineStr">
        <is>
          <t>기존 참여 지속</t>
        </is>
      </c>
      <c r="D38" s="239" t="inlineStr">
        <is>
          <t>농산물</t>
        </is>
      </c>
      <c r="E38" s="239" t="inlineStr">
        <is>
          <t>지마켓</t>
        </is>
      </c>
      <c r="F38" s="240" t="inlineStr">
        <is>
          <t>듬뿍곡간</t>
        </is>
      </c>
      <c r="G38" s="239" t="inlineStr">
        <is>
          <t>181-02-01980</t>
        </is>
      </c>
      <c r="H38" s="240" t="inlineStr">
        <is>
          <t>듬뿍곡간 국내산 쑥미숫가루 / 선식 식사대용 간식 500g</t>
        </is>
      </c>
      <c r="I38" s="173" t="inlineStr">
        <is>
          <t>농산물</t>
        </is>
      </c>
      <c r="J38" s="241" t="inlineStr">
        <is>
          <t>가공식품(제조가공품)</t>
        </is>
      </c>
      <c r="K38" s="182" t="n">
        <v>0</v>
      </c>
      <c r="L38" s="182" t="n">
        <v>0</v>
      </c>
      <c r="M38" s="182" t="n">
        <v>0</v>
      </c>
      <c r="N38" s="240" t="inlineStr">
        <is>
          <t>제조가공식품(곡류가공품(미숫가루/선식))이나 1차 신선 농산물 원물로 오등록됨</t>
        </is>
      </c>
    </row>
    <row r="39" ht="20" customHeight="1" s="21">
      <c r="A39" s="239" t="n">
        <v>35</v>
      </c>
      <c r="B39" s="239" t="inlineStr">
        <is>
          <t>가공완제품 ➡️ 농산물 원물 오등록</t>
        </is>
      </c>
      <c r="C39" s="239" t="inlineStr">
        <is>
          <t>기존 참여 지속</t>
        </is>
      </c>
      <c r="D39" s="239" t="inlineStr">
        <is>
          <t>농산물</t>
        </is>
      </c>
      <c r="E39" s="239" t="inlineStr">
        <is>
          <t>지마켓</t>
        </is>
      </c>
      <c r="F39" s="240" t="inlineStr">
        <is>
          <t>초림단지묵</t>
        </is>
      </c>
      <c r="G39" s="239" t="inlineStr">
        <is>
          <t>615-14-93195</t>
        </is>
      </c>
      <c r="H39" s="240" t="inlineStr">
        <is>
          <t>초림단지묵 국산 콩물 콩가루 90g 1인분 x 5팩 물만타면 콩국수</t>
        </is>
      </c>
      <c r="I39" s="173" t="inlineStr">
        <is>
          <t>농산물</t>
        </is>
      </c>
      <c r="J39" s="241" t="inlineStr">
        <is>
          <t>가공식품(제조가공품)</t>
        </is>
      </c>
      <c r="K39" s="182" t="n">
        <v>0</v>
      </c>
      <c r="L39" s="182" t="n">
        <v>0</v>
      </c>
      <c r="M39" s="182" t="n">
        <v>0</v>
      </c>
      <c r="N39" s="240" t="inlineStr">
        <is>
          <t>제조가공식품(곡류가공품(콩가루))이나 1차 신선 농산물 원물로 오등록됨</t>
        </is>
      </c>
    </row>
    <row r="40" ht="20" customHeight="1" s="21">
      <c r="A40" s="239" t="n">
        <v>36</v>
      </c>
      <c r="B40" s="239" t="inlineStr">
        <is>
          <t>가공완제품 ➡️ 농산물 원물 오등록</t>
        </is>
      </c>
      <c r="C40" s="239" t="inlineStr">
        <is>
          <t>기존 참여 지속</t>
        </is>
      </c>
      <c r="D40" s="239" t="inlineStr">
        <is>
          <t>농산물</t>
        </is>
      </c>
      <c r="E40" s="239" t="inlineStr">
        <is>
          <t>지마켓</t>
        </is>
      </c>
      <c r="F40" s="240" t="inlineStr">
        <is>
          <t>어이딸부각</t>
        </is>
      </c>
      <c r="G40" s="239" t="inlineStr">
        <is>
          <t>142-33-00898</t>
        </is>
      </c>
      <c r="H40" s="240" t="inlineStr">
        <is>
          <t>고추크런치 70g 고추부각 튀각 찹쌀 수제 비건</t>
        </is>
      </c>
      <c r="I40" s="173" t="inlineStr">
        <is>
          <t>농산물</t>
        </is>
      </c>
      <c r="J40" s="241" t="inlineStr">
        <is>
          <t>가공식품(제조가공품)</t>
        </is>
      </c>
      <c r="K40" s="182" t="n">
        <v>0</v>
      </c>
      <c r="L40" s="182" t="n">
        <v>0</v>
      </c>
      <c r="M40" s="182" t="n">
        <v>0</v>
      </c>
      <c r="N40" s="240" t="inlineStr">
        <is>
          <t>제조가공식품(과자류(김부각/고추부각))이나 1차 신선 농산물 원물로 오등록됨</t>
        </is>
      </c>
    </row>
    <row r="41" ht="20" customHeight="1" s="21">
      <c r="A41" s="239" t="n">
        <v>37</v>
      </c>
      <c r="B41" s="239" t="inlineStr">
        <is>
          <t>가공완제품 ➡️ 농산물 원물 오등록</t>
        </is>
      </c>
      <c r="C41" s="239" t="inlineStr">
        <is>
          <t>기존 참여 지속</t>
        </is>
      </c>
      <c r="D41" s="239" t="inlineStr">
        <is>
          <t>농산물</t>
        </is>
      </c>
      <c r="E41" s="239" t="inlineStr">
        <is>
          <t>지마켓</t>
        </is>
      </c>
      <c r="F41" s="240" t="inlineStr">
        <is>
          <t>어이딸부각</t>
        </is>
      </c>
      <c r="G41" s="239" t="inlineStr">
        <is>
          <t>142-33-00898</t>
        </is>
      </c>
      <c r="H41" s="240" t="inlineStr">
        <is>
          <t>어이딸 김부각 선물세트 소 5개입 찹쌀 수제 비건 글루텐프리 저당</t>
        </is>
      </c>
      <c r="I41" s="173" t="inlineStr">
        <is>
          <t>농산물</t>
        </is>
      </c>
      <c r="J41" s="241" t="inlineStr">
        <is>
          <t>가공식품(제조가공품)</t>
        </is>
      </c>
      <c r="K41" s="182" t="n">
        <v>0</v>
      </c>
      <c r="L41" s="182" t="n">
        <v>0</v>
      </c>
      <c r="M41" s="182" t="n">
        <v>0</v>
      </c>
      <c r="N41" s="240" t="inlineStr">
        <is>
          <t>제조가공식품(과자류(김부각/고추부각))이나 1차 신선 농산물 원물로 오등록됨</t>
        </is>
      </c>
    </row>
    <row r="42" ht="20" customHeight="1" s="21">
      <c r="A42" s="239" t="n">
        <v>38</v>
      </c>
      <c r="B42" s="239" t="inlineStr">
        <is>
          <t>가공완제품 ➡️ 농산물 원물 오등록</t>
        </is>
      </c>
      <c r="C42" s="239" t="inlineStr">
        <is>
          <t>기존 참여 지속</t>
        </is>
      </c>
      <c r="D42" s="239" t="inlineStr">
        <is>
          <t>농산물</t>
        </is>
      </c>
      <c r="E42" s="239" t="inlineStr">
        <is>
          <t>지마켓</t>
        </is>
      </c>
      <c r="F42" s="240" t="inlineStr">
        <is>
          <t>어이딸부각</t>
        </is>
      </c>
      <c r="G42" s="239" t="inlineStr">
        <is>
          <t>142-33-00898</t>
        </is>
      </c>
      <c r="H42" s="240" t="inlineStr">
        <is>
          <t>어이딸 김부각 선물세트 중 8개입 찹쌀 수제 비건 글루텐프리 저당</t>
        </is>
      </c>
      <c r="I42" s="173" t="inlineStr">
        <is>
          <t>농산물</t>
        </is>
      </c>
      <c r="J42" s="241" t="inlineStr">
        <is>
          <t>가공식품(제조가공품)</t>
        </is>
      </c>
      <c r="K42" s="182" t="n">
        <v>0</v>
      </c>
      <c r="L42" s="182" t="n">
        <v>0</v>
      </c>
      <c r="M42" s="182" t="n">
        <v>0</v>
      </c>
      <c r="N42" s="240" t="inlineStr">
        <is>
          <t>제조가공식품(과자류(김부각/고추부각))이나 1차 신선 농산물 원물로 오등록됨</t>
        </is>
      </c>
    </row>
    <row r="43" ht="20" customHeight="1" s="21">
      <c r="A43" s="239" t="n">
        <v>39</v>
      </c>
      <c r="B43" s="239" t="inlineStr">
        <is>
          <t>가공완제품 ➡️ 농산물 원물 오등록</t>
        </is>
      </c>
      <c r="C43" s="239" t="inlineStr">
        <is>
          <t>기존 참여 지속</t>
        </is>
      </c>
      <c r="D43" s="239" t="inlineStr">
        <is>
          <t>농산물</t>
        </is>
      </c>
      <c r="E43" s="239" t="inlineStr">
        <is>
          <t>지마켓</t>
        </is>
      </c>
      <c r="F43" s="240" t="inlineStr">
        <is>
          <t>초림단지묵</t>
        </is>
      </c>
      <c r="G43" s="239" t="inlineStr">
        <is>
          <t>615-14-93195</t>
        </is>
      </c>
      <c r="H43" s="240" t="inlineStr">
        <is>
          <t>초림단지묵 국산 콩물 콩가루 90g 1인분 x 5팩 물만타면 콩국수</t>
        </is>
      </c>
      <c r="I43" s="173" t="inlineStr">
        <is>
          <t>농산물</t>
        </is>
      </c>
      <c r="J43" s="241" t="inlineStr">
        <is>
          <t>가공식품(제조가공품)</t>
        </is>
      </c>
      <c r="K43" s="182" t="n">
        <v>240000</v>
      </c>
      <c r="L43" s="182" t="n">
        <v>12</v>
      </c>
      <c r="M43" s="182" t="n">
        <v>0</v>
      </c>
      <c r="N43" s="240" t="inlineStr">
        <is>
          <t>제조가공식품(곡류가공품(콩가루))이나 1차 신선 농산물 원물로 오등록됨</t>
        </is>
      </c>
    </row>
    <row r="44" ht="20" customHeight="1" s="21">
      <c r="A44" s="239" t="n">
        <v>40</v>
      </c>
      <c r="B44" s="239" t="inlineStr">
        <is>
          <t>가공완제품 ➡️ 농산물 원물 오등록</t>
        </is>
      </c>
      <c r="C44" s="239" t="inlineStr">
        <is>
          <t>기존 참여 지속</t>
        </is>
      </c>
      <c r="D44" s="239" t="inlineStr">
        <is>
          <t>농산물</t>
        </is>
      </c>
      <c r="E44" s="239" t="inlineStr">
        <is>
          <t>지마켓</t>
        </is>
      </c>
      <c r="F44" s="240" t="inlineStr">
        <is>
          <t>초림단지묵</t>
        </is>
      </c>
      <c r="G44" s="239" t="inlineStr">
        <is>
          <t>615-14-93195</t>
        </is>
      </c>
      <c r="H44" s="240" t="inlineStr">
        <is>
          <t>초림단지묵 국산 콩물 콩가루 400g 4인분 물만타면 콩국수</t>
        </is>
      </c>
      <c r="I44" s="173" t="inlineStr">
        <is>
          <t>농산물</t>
        </is>
      </c>
      <c r="J44" s="241" t="inlineStr">
        <is>
          <t>가공식품(제조가공품)</t>
        </is>
      </c>
      <c r="K44" s="182" t="n">
        <v>54000</v>
      </c>
      <c r="L44" s="182" t="n">
        <v>3</v>
      </c>
      <c r="M44" s="182" t="n">
        <v>0</v>
      </c>
      <c r="N44" s="240" t="inlineStr">
        <is>
          <t>제조가공식품(곡류가공품(콩가루))이나 1차 신선 농산물 원물로 오등록됨</t>
        </is>
      </c>
    </row>
    <row r="45" ht="20" customHeight="1" s="21">
      <c r="A45" s="239" t="n">
        <v>41</v>
      </c>
      <c r="B45" s="239" t="inlineStr">
        <is>
          <t>조미가공육 ➡️ 축산물 오등록</t>
        </is>
      </c>
      <c r="C45" s="239" t="inlineStr">
        <is>
          <t>기존 참여 지속</t>
        </is>
      </c>
      <c r="D45" s="239" t="inlineStr">
        <is>
          <t>농산물</t>
        </is>
      </c>
      <c r="E45" s="239" t="inlineStr">
        <is>
          <t>오아시스</t>
        </is>
      </c>
      <c r="F45" s="240" t="inlineStr">
        <is>
          <t>농업회사법인 주식회사 팔농</t>
        </is>
      </c>
      <c r="G45" s="239" t="inlineStr">
        <is>
          <t>797-88-03152</t>
        </is>
      </c>
      <c r="H45" s="240" t="inlineStr">
        <is>
          <t>안동한우양반곱창 한우곱창 200gX2팩 (400g)</t>
        </is>
      </c>
      <c r="I45" s="173" t="inlineStr">
        <is>
          <t>축산물</t>
        </is>
      </c>
      <c r="J45" s="241" t="inlineStr">
        <is>
          <t>가공식품(식육가공품)</t>
        </is>
      </c>
      <c r="K45" s="182" t="n">
        <v>127200</v>
      </c>
      <c r="L45" s="182" t="n">
        <v>4</v>
      </c>
      <c r="M45" s="182" t="n">
        <v>19080</v>
      </c>
      <c r="N45" s="240" t="inlineStr">
        <is>
          <t>식육가공품(양념/가공육(곱창/대창))이나 1차 생육 축산물로 오등록됨</t>
        </is>
      </c>
    </row>
    <row r="46" ht="20" customHeight="1" s="21">
      <c r="A46" s="239" t="n">
        <v>42</v>
      </c>
      <c r="B46" s="239" t="inlineStr">
        <is>
          <t>조미가공육 ➡️ 축산물 오등록</t>
        </is>
      </c>
      <c r="C46" s="239" t="inlineStr">
        <is>
          <t>기존 참여 지속</t>
        </is>
      </c>
      <c r="D46" s="239" t="inlineStr">
        <is>
          <t>농산물</t>
        </is>
      </c>
      <c r="E46" s="239" t="inlineStr">
        <is>
          <t>오아시스</t>
        </is>
      </c>
      <c r="F46" s="240" t="inlineStr">
        <is>
          <t>농업회사법인 주식회사 팔농</t>
        </is>
      </c>
      <c r="G46" s="239" t="inlineStr">
        <is>
          <t>797-88-03152</t>
        </is>
      </c>
      <c r="H46" s="240" t="inlineStr">
        <is>
          <t>안동한우양반곱창 한우곱창200g+한우대창200g 2종세트</t>
        </is>
      </c>
      <c r="I46" s="173" t="inlineStr">
        <is>
          <t>축산물</t>
        </is>
      </c>
      <c r="J46" s="241" t="inlineStr">
        <is>
          <t>가공식품(식육가공품)</t>
        </is>
      </c>
      <c r="K46" s="182" t="n">
        <v>29800</v>
      </c>
      <c r="L46" s="182" t="n">
        <v>1</v>
      </c>
      <c r="M46" s="182" t="n">
        <v>5960</v>
      </c>
      <c r="N46" s="240" t="inlineStr">
        <is>
          <t>식육가공품(양념/가공육(곱창/대창))이나 1차 생육 축산물로 오등록됨</t>
        </is>
      </c>
    </row>
    <row r="47" ht="20" customHeight="1" s="21">
      <c r="A47" s="239" t="n">
        <v>43</v>
      </c>
      <c r="B47" s="239" t="inlineStr">
        <is>
          <t>조미가공육 ➡️ 축산물 오등록</t>
        </is>
      </c>
      <c r="C47" s="239" t="inlineStr">
        <is>
          <t>기존 참여 지속</t>
        </is>
      </c>
      <c r="D47" s="239" t="inlineStr">
        <is>
          <t>농산물</t>
        </is>
      </c>
      <c r="E47" s="239" t="inlineStr">
        <is>
          <t>오아시스</t>
        </is>
      </c>
      <c r="F47" s="240" t="inlineStr">
        <is>
          <t>농업회사법인 주식회사 팔농</t>
        </is>
      </c>
      <c r="G47" s="239" t="inlineStr">
        <is>
          <t>797-88-03152</t>
        </is>
      </c>
      <c r="H47" s="240" t="inlineStr">
        <is>
          <t>안동한우양반곱창 한우곱창200g+한우막창200g 2종세트</t>
        </is>
      </c>
      <c r="I47" s="173" t="inlineStr">
        <is>
          <t>축산물</t>
        </is>
      </c>
      <c r="J47" s="241" t="inlineStr">
        <is>
          <t>가공식품(식육가공품)</t>
        </is>
      </c>
      <c r="K47" s="182" t="n">
        <v>28800</v>
      </c>
      <c r="L47" s="182" t="n">
        <v>1</v>
      </c>
      <c r="M47" s="182" t="n">
        <v>5760</v>
      </c>
      <c r="N47" s="240" t="inlineStr">
        <is>
          <t>식육가공품(양념/가공육(곱창/대창))이나 1차 생육 축산물로 오등록됨</t>
        </is>
      </c>
    </row>
    <row r="48" ht="20" customHeight="1" s="21">
      <c r="A48" s="239" t="n">
        <v>44</v>
      </c>
      <c r="B48" s="239" t="inlineStr">
        <is>
          <t>조미가공육 ➡️ 축산물 오등록</t>
        </is>
      </c>
      <c r="C48" s="239" t="inlineStr">
        <is>
          <t>기존 참여 지속</t>
        </is>
      </c>
      <c r="D48" s="239" t="inlineStr">
        <is>
          <t>농산물</t>
        </is>
      </c>
      <c r="E48" s="239" t="inlineStr">
        <is>
          <t>오아시스</t>
        </is>
      </c>
      <c r="F48" s="240" t="inlineStr">
        <is>
          <t>농업회사법인 주식회사 팔농</t>
        </is>
      </c>
      <c r="G48" s="239" t="inlineStr">
        <is>
          <t>797-88-03152</t>
        </is>
      </c>
      <c r="H48" s="240" t="inlineStr">
        <is>
          <t>안동한우양반곱창 한우곱창200g+한우염통200g 2종세트</t>
        </is>
      </c>
      <c r="I48" s="173" t="inlineStr">
        <is>
          <t>축산물</t>
        </is>
      </c>
      <c r="J48" s="241" t="inlineStr">
        <is>
          <t>가공식품(식육가공품)</t>
        </is>
      </c>
      <c r="K48" s="182" t="n">
        <v>0</v>
      </c>
      <c r="L48" s="182" t="n">
        <v>0</v>
      </c>
      <c r="M48" s="182" t="n">
        <v>0</v>
      </c>
      <c r="N48" s="240" t="inlineStr">
        <is>
          <t>식육가공품(양념/가공육(곱창/대창))이나 1차 생육 축산물로 오등록됨</t>
        </is>
      </c>
    </row>
    <row r="49" ht="20" customHeight="1" s="21">
      <c r="A49" s="239" t="n">
        <v>45</v>
      </c>
      <c r="B49" s="239" t="inlineStr">
        <is>
          <t>가공완제품 ➡️ 농산물 원물 오등록</t>
        </is>
      </c>
      <c r="C49" s="239" t="inlineStr">
        <is>
          <t>기존 참여 지속</t>
        </is>
      </c>
      <c r="D49" s="239" t="inlineStr">
        <is>
          <t>유기농</t>
        </is>
      </c>
      <c r="E49" s="239" t="inlineStr">
        <is>
          <t>오아시스</t>
        </is>
      </c>
      <c r="F49" s="240" t="inlineStr">
        <is>
          <t>해담는집</t>
        </is>
      </c>
      <c r="G49" s="239" t="inlineStr">
        <is>
          <t>745-96-00315</t>
        </is>
      </c>
      <c r="H49" s="240" t="inlineStr">
        <is>
          <t>해담는집 유기농 고춧가루 500g/200g(순한맛/보통맛/매운맛)</t>
        </is>
      </c>
      <c r="I49" s="173" t="inlineStr">
        <is>
          <t>농산물</t>
        </is>
      </c>
      <c r="J49" s="241" t="inlineStr">
        <is>
          <t>가공식품(제조가공품)</t>
        </is>
      </c>
      <c r="K49" s="182" t="n">
        <v>208400</v>
      </c>
      <c r="L49" s="182" t="n">
        <v>6</v>
      </c>
      <c r="M49" s="182" t="n">
        <v>35006</v>
      </c>
      <c r="N49" s="240" t="inlineStr">
        <is>
          <t>제조가공식품(조미식품(고춧가루))이나 1차 신선 농산물 원물로 오등록됨</t>
        </is>
      </c>
    </row>
    <row r="50" ht="22" customHeight="1" s="21">
      <c r="A50" s="242" t="inlineStr">
        <is>
          <t>합 계</t>
        </is>
      </c>
      <c r="B50" s="243" t="inlineStr">
        <is>
          <t>7월 이상치 45건 총계</t>
        </is>
      </c>
      <c r="C50" s="244" t="inlineStr"/>
      <c r="D50" s="244" t="inlineStr"/>
      <c r="E50" s="244" t="inlineStr"/>
      <c r="F50" s="244" t="inlineStr"/>
      <c r="G50" s="244" t="inlineStr"/>
      <c r="H50" s="244" t="inlineStr"/>
      <c r="I50" s="244" t="inlineStr"/>
      <c r="J50" s="244" t="inlineStr"/>
      <c r="K50" s="245" t="n">
        <v>104731260</v>
      </c>
      <c r="L50" s="245" t="n">
        <v>3721</v>
      </c>
      <c r="M50" s="245" t="n">
        <v>9373286</v>
      </c>
      <c r="N50" s="248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17" customWidth="1" style="21" min="2" max="2"/>
    <col width="30" customWidth="1" style="21" min="3" max="3"/>
    <col width="15" customWidth="1" style="21" min="4" max="4"/>
    <col width="92" customWidth="1" style="21" min="5" max="5"/>
    <col width="11" customWidth="1" style="21" min="6" max="6"/>
    <col width="15" customWidth="1" style="21" min="7" max="7"/>
    <col width="17" customWidth="1" style="21" min="8" max="8"/>
    <col width="21" customWidth="1" style="21" min="9" max="9"/>
    <col width="21" customWidth="1" style="21" min="10" max="10"/>
  </cols>
  <sheetData>
    <row r="1">
      <c r="A1" s="251" t="inlineStr">
        <is>
          <t>2026 aT 온라인 판로지원 - 7월 ➡️ 8월 품목분류 자의적 변경 목록 (총 38건)</t>
        </is>
      </c>
    </row>
    <row r="2">
      <c r="A2" s="237" t="inlineStr">
        <is>
          <t>※ 동일 사업자·동일 상품인데 7월과 8월 제출 시 카테고리 분류가 자의적으로 바뀐 38건 전수 대조표</t>
        </is>
      </c>
    </row>
    <row r="4" ht="25" customHeight="1" s="21">
      <c r="A4" s="252" t="inlineStr">
        <is>
          <t>No</t>
        </is>
      </c>
      <c r="B4" s="252" t="inlineStr">
        <is>
          <t>유통사</t>
        </is>
      </c>
      <c r="C4" s="252" t="inlineStr">
        <is>
          <t>사업자명</t>
        </is>
      </c>
      <c r="D4" s="252" t="inlineStr">
        <is>
          <t>사업자번호</t>
        </is>
      </c>
      <c r="E4" s="252" t="inlineStr">
        <is>
          <t>상품명</t>
        </is>
      </c>
      <c r="F4" s="252" t="inlineStr">
        <is>
          <t>7월 분류</t>
        </is>
      </c>
      <c r="G4" s="252" t="inlineStr">
        <is>
          <t>8월 변경분류</t>
        </is>
      </c>
      <c r="H4" s="252" t="inlineStr">
        <is>
          <t>7월 매출액(원)</t>
        </is>
      </c>
      <c r="I4" s="252" t="inlineStr">
        <is>
          <t>8월 누적매출액(원)</t>
        </is>
      </c>
      <c r="J4" s="252" t="inlineStr">
        <is>
          <t>8월 순수매출액(원)</t>
        </is>
      </c>
    </row>
    <row r="5" ht="20" customHeight="1" s="21">
      <c r="A5" s="239" t="n">
        <v>1</v>
      </c>
      <c r="B5" s="239" t="inlineStr">
        <is>
          <t>롯데ON</t>
        </is>
      </c>
      <c r="C5" s="240" t="inlineStr">
        <is>
          <t>주식회사 태범프레시</t>
        </is>
      </c>
      <c r="D5" s="239" t="inlineStr">
        <is>
          <t>832-86-02035</t>
        </is>
      </c>
      <c r="E5" s="240" t="inlineStr">
        <is>
          <t>[홍익상회] 춘천닭갈비 500g x 3팩 국내산닭고기 양념 순살</t>
        </is>
      </c>
      <c r="F5" s="173" t="inlineStr">
        <is>
          <t>가공식품</t>
        </is>
      </c>
      <c r="G5" s="241" t="inlineStr">
        <is>
          <t>축산물</t>
        </is>
      </c>
      <c r="H5" s="182" t="n">
        <v>0</v>
      </c>
      <c r="I5" s="182" t="n">
        <v>0</v>
      </c>
      <c r="J5" s="182" t="n">
        <v>0</v>
      </c>
    </row>
    <row r="6" ht="20" customHeight="1" s="21">
      <c r="A6" s="239" t="n">
        <v>2</v>
      </c>
      <c r="B6" s="239" t="inlineStr">
        <is>
          <t>롯데ON</t>
        </is>
      </c>
      <c r="C6" s="240" t="inlineStr">
        <is>
          <t>주식회사 태범프레시</t>
        </is>
      </c>
      <c r="D6" s="239" t="inlineStr">
        <is>
          <t>832-86-02035</t>
        </is>
      </c>
      <c r="E6" s="240" t="inlineStr">
        <is>
          <t>[홍익상회] 춘천 홍익닭갈비 500g x 3팩 국내산 닭고기 양념 순살</t>
        </is>
      </c>
      <c r="F6" s="173" t="inlineStr">
        <is>
          <t>가공식품</t>
        </is>
      </c>
      <c r="G6" s="241" t="inlineStr">
        <is>
          <t>축산물</t>
        </is>
      </c>
      <c r="H6" s="182" t="n">
        <v>2552440</v>
      </c>
      <c r="I6" s="182" t="n">
        <v>2552440</v>
      </c>
      <c r="J6" s="182" t="n">
        <v>0</v>
      </c>
    </row>
    <row r="7" ht="20" customHeight="1" s="21">
      <c r="A7" s="239" t="n">
        <v>3</v>
      </c>
      <c r="B7" s="239" t="inlineStr">
        <is>
          <t>롯데ON</t>
        </is>
      </c>
      <c r="C7" s="240" t="inlineStr">
        <is>
          <t>신선식품</t>
        </is>
      </c>
      <c r="D7" s="239" t="inlineStr">
        <is>
          <t>131-35-96215</t>
        </is>
      </c>
      <c r="E7" s="240" t="inlineStr">
        <is>
          <t>[온누리7%혜택]고소한 국산 볶은참깨 200g</t>
        </is>
      </c>
      <c r="F7" s="173" t="inlineStr">
        <is>
          <t>농산물</t>
        </is>
      </c>
      <c r="G7" s="241" t="inlineStr">
        <is>
          <t>가공식품</t>
        </is>
      </c>
      <c r="H7" s="182" t="n">
        <v>25600</v>
      </c>
      <c r="I7" s="182" t="n">
        <v>204800</v>
      </c>
      <c r="J7" s="182" t="n">
        <v>179200</v>
      </c>
    </row>
    <row r="8" ht="20" customHeight="1" s="21">
      <c r="A8" s="239" t="n">
        <v>4</v>
      </c>
      <c r="B8" s="239" t="inlineStr">
        <is>
          <t>지마켓</t>
        </is>
      </c>
      <c r="C8" s="240" t="inlineStr">
        <is>
          <t>두원식품(주)</t>
        </is>
      </c>
      <c r="D8" s="239" t="inlineStr">
        <is>
          <t>606-81-52718</t>
        </is>
      </c>
      <c r="E8" s="240" t="inlineStr">
        <is>
          <t>(신선집중) 국내산 한돈 프리미엄 대패 삼겹살 1.2kg</t>
        </is>
      </c>
      <c r="F8" s="173" t="inlineStr">
        <is>
          <t>농산물</t>
        </is>
      </c>
      <c r="G8" s="241" t="inlineStr">
        <is>
          <t>축산물</t>
        </is>
      </c>
      <c r="H8" s="182" t="n">
        <v>51796200</v>
      </c>
      <c r="I8" s="182" t="n">
        <v>55053800</v>
      </c>
      <c r="J8" s="182" t="n">
        <v>3257600</v>
      </c>
    </row>
    <row r="9" ht="20" customHeight="1" s="21">
      <c r="A9" s="239" t="n">
        <v>5</v>
      </c>
      <c r="B9" s="239" t="inlineStr">
        <is>
          <t>지마켓</t>
        </is>
      </c>
      <c r="C9" s="240" t="inlineStr">
        <is>
          <t>다모아영농조합법인</t>
        </is>
      </c>
      <c r="D9" s="239" t="inlineStr">
        <is>
          <t>613-81-60803</t>
        </is>
      </c>
      <c r="E9" s="240" t="inlineStr">
        <is>
          <t>농협 공동선별 햇 남해 통마늘 3kg(상) 실중량 지리적표시품</t>
        </is>
      </c>
      <c r="F9" s="173" t="inlineStr">
        <is>
          <t>축산물</t>
        </is>
      </c>
      <c r="G9" s="241" t="inlineStr">
        <is>
          <t>농산물</t>
        </is>
      </c>
      <c r="H9" s="182" t="n">
        <v>73800</v>
      </c>
      <c r="I9" s="182" t="n">
        <v>701100</v>
      </c>
      <c r="J9" s="182" t="n">
        <v>627300</v>
      </c>
    </row>
    <row r="10" ht="20" customHeight="1" s="21">
      <c r="A10" s="239" t="n">
        <v>6</v>
      </c>
      <c r="B10" s="239" t="inlineStr">
        <is>
          <t>지마켓</t>
        </is>
      </c>
      <c r="C10" s="240" t="inlineStr">
        <is>
          <t>청정태안식품</t>
        </is>
      </c>
      <c r="D10" s="239" t="inlineStr">
        <is>
          <t>316-01-24597</t>
        </is>
      </c>
      <c r="E10" s="240" t="inlineStr">
        <is>
          <t>김명월 검정콩 청국장가루 1kg(500g2통)</t>
        </is>
      </c>
      <c r="F10" s="173" t="inlineStr">
        <is>
          <t>농산물</t>
        </is>
      </c>
      <c r="G10" s="241" t="inlineStr">
        <is>
          <t>가공식품</t>
        </is>
      </c>
      <c r="H10" s="182" t="n">
        <v>74000</v>
      </c>
      <c r="I10" s="182" t="n">
        <v>222000</v>
      </c>
      <c r="J10" s="182" t="n">
        <v>148000</v>
      </c>
    </row>
    <row r="11" ht="20" customHeight="1" s="21">
      <c r="A11" s="239" t="n">
        <v>7</v>
      </c>
      <c r="B11" s="239" t="inlineStr">
        <is>
          <t>지마켓</t>
        </is>
      </c>
      <c r="C11" s="240" t="inlineStr">
        <is>
          <t>청정태안식품</t>
        </is>
      </c>
      <c r="D11" s="239" t="inlineStr">
        <is>
          <t>316-01-24597</t>
        </is>
      </c>
      <c r="E11" s="240" t="inlineStr">
        <is>
          <t>김명월 검정콩 청국장가루 1kg(500g2통)</t>
        </is>
      </c>
      <c r="F11" s="173" t="inlineStr">
        <is>
          <t>농산물</t>
        </is>
      </c>
      <c r="G11" s="241" t="inlineStr">
        <is>
          <t>가공식품</t>
        </is>
      </c>
      <c r="H11" s="182" t="n">
        <v>74000</v>
      </c>
      <c r="I11" s="182" t="n">
        <v>259000</v>
      </c>
      <c r="J11" s="182" t="n">
        <v>185000</v>
      </c>
    </row>
    <row r="12" ht="20" customHeight="1" s="21">
      <c r="A12" s="239" t="n">
        <v>8</v>
      </c>
      <c r="B12" s="239" t="inlineStr">
        <is>
          <t>지마켓</t>
        </is>
      </c>
      <c r="C12" s="240" t="inlineStr">
        <is>
          <t>형지표고버섯</t>
        </is>
      </c>
      <c r="D12" s="239" t="inlineStr">
        <is>
          <t>290-94-00335</t>
        </is>
      </c>
      <c r="E12" s="240" t="inlineStr">
        <is>
          <t>형지표고버섯 흑화고 상황버섯 혼합2호 표고 버섯 선물세트</t>
        </is>
      </c>
      <c r="F12" s="173" t="inlineStr">
        <is>
          <t>가공식품</t>
        </is>
      </c>
      <c r="G12" s="241" t="inlineStr">
        <is>
          <t>농산물</t>
        </is>
      </c>
      <c r="H12" s="182" t="n">
        <v>0</v>
      </c>
      <c r="I12" s="182" t="n">
        <v>0</v>
      </c>
      <c r="J12" s="182" t="n">
        <v>0</v>
      </c>
    </row>
    <row r="13" ht="20" customHeight="1" s="21">
      <c r="A13" s="239" t="n">
        <v>9</v>
      </c>
      <c r="B13" s="239" t="inlineStr">
        <is>
          <t>지마켓</t>
        </is>
      </c>
      <c r="C13" s="240" t="inlineStr">
        <is>
          <t>농부플러스</t>
        </is>
      </c>
      <c r="D13" s="239" t="inlineStr">
        <is>
          <t>571-81-00383</t>
        </is>
      </c>
      <c r="E13" s="240" t="inlineStr">
        <is>
          <t>국산 볶음참깨 햇 참깨 볶은참깨 토종 통깨 200g</t>
        </is>
      </c>
      <c r="F13" s="173" t="inlineStr">
        <is>
          <t>가공식품</t>
        </is>
      </c>
      <c r="G13" s="241" t="inlineStr">
        <is>
          <t>농산물</t>
        </is>
      </c>
      <c r="H13" s="182" t="n">
        <v>360800</v>
      </c>
      <c r="I13" s="182" t="n">
        <v>1098800</v>
      </c>
      <c r="J13" s="182" t="n">
        <v>738000</v>
      </c>
    </row>
    <row r="14" ht="20" customHeight="1" s="21">
      <c r="A14" s="239" t="n">
        <v>10</v>
      </c>
      <c r="B14" s="239" t="inlineStr">
        <is>
          <t>지마켓</t>
        </is>
      </c>
      <c r="C14" s="240" t="inlineStr">
        <is>
          <t>농부플러스</t>
        </is>
      </c>
      <c r="D14" s="239" t="inlineStr">
        <is>
          <t>571-81-00383</t>
        </is>
      </c>
      <c r="E14" s="240" t="inlineStr">
        <is>
          <t>국산 볶음참깨 햇 참깨 볶은참깨 토종 통깨 150g</t>
        </is>
      </c>
      <c r="F14" s="173" t="inlineStr">
        <is>
          <t>가공식품</t>
        </is>
      </c>
      <c r="G14" s="241" t="inlineStr">
        <is>
          <t>농산물</t>
        </is>
      </c>
      <c r="H14" s="182" t="n">
        <v>13900</v>
      </c>
      <c r="I14" s="182" t="n">
        <v>42700</v>
      </c>
      <c r="J14" s="182" t="n">
        <v>28800</v>
      </c>
    </row>
    <row r="15" ht="20" customHeight="1" s="21">
      <c r="A15" s="239" t="n">
        <v>11</v>
      </c>
      <c r="B15" s="239" t="inlineStr">
        <is>
          <t>지마켓</t>
        </is>
      </c>
      <c r="C15" s="240" t="inlineStr">
        <is>
          <t>듬뿍곡간</t>
        </is>
      </c>
      <c r="D15" s="239" t="inlineStr">
        <is>
          <t>181-02-01980</t>
        </is>
      </c>
      <c r="E15" s="240" t="inlineStr">
        <is>
          <t>듬뿍곡간 국내산 볶은 귀리 / 아침식사대용 간식</t>
        </is>
      </c>
      <c r="F15" s="173" t="inlineStr">
        <is>
          <t>가공식품</t>
        </is>
      </c>
      <c r="G15" s="241" t="inlineStr">
        <is>
          <t>농산물</t>
        </is>
      </c>
      <c r="H15" s="182" t="n">
        <v>0</v>
      </c>
      <c r="I15" s="182" t="n">
        <v>0</v>
      </c>
      <c r="J15" s="182" t="n">
        <v>0</v>
      </c>
    </row>
    <row r="16" ht="20" customHeight="1" s="21">
      <c r="A16" s="239" t="n">
        <v>12</v>
      </c>
      <c r="B16" s="239" t="inlineStr">
        <is>
          <t>지마켓</t>
        </is>
      </c>
      <c r="C16" s="240" t="inlineStr">
        <is>
          <t>듬뿍곡간</t>
        </is>
      </c>
      <c r="D16" s="239" t="inlineStr">
        <is>
          <t>181-02-01980</t>
        </is>
      </c>
      <c r="E16" s="240" t="inlineStr">
        <is>
          <t>듬뿍곡간 국내산 쑥미숫가루 / 선식 식사대용 간식 500g</t>
        </is>
      </c>
      <c r="F16" s="173" t="inlineStr">
        <is>
          <t>농산물</t>
        </is>
      </c>
      <c r="G16" s="241" t="inlineStr">
        <is>
          <t>가공식품</t>
        </is>
      </c>
      <c r="H16" s="182" t="n">
        <v>0</v>
      </c>
      <c r="I16" s="182" t="n">
        <v>23800</v>
      </c>
      <c r="J16" s="182" t="n">
        <v>23800</v>
      </c>
    </row>
    <row r="17" ht="20" customHeight="1" s="21">
      <c r="A17" s="239" t="n">
        <v>13</v>
      </c>
      <c r="B17" s="239" t="inlineStr">
        <is>
          <t>지마켓</t>
        </is>
      </c>
      <c r="C17" s="240" t="inlineStr">
        <is>
          <t>농업회사법인(주)가남농원</t>
        </is>
      </c>
      <c r="D17" s="239" t="inlineStr">
        <is>
          <t>416-81-59229</t>
        </is>
      </c>
      <c r="E17" s="240" t="inlineStr">
        <is>
          <t>김승희매실가 신지식 농업인이 만든 매실절임 1kg</t>
        </is>
      </c>
      <c r="F17" s="173" t="inlineStr">
        <is>
          <t>가공식품</t>
        </is>
      </c>
      <c r="G17" s="241" t="inlineStr">
        <is>
          <t>농산물</t>
        </is>
      </c>
      <c r="H17" s="182" t="n">
        <v>66000</v>
      </c>
      <c r="I17" s="182" t="n">
        <v>165000</v>
      </c>
      <c r="J17" s="182" t="n">
        <v>99000</v>
      </c>
    </row>
    <row r="18" ht="20" customHeight="1" s="21">
      <c r="A18" s="239" t="n">
        <v>14</v>
      </c>
      <c r="B18" s="239" t="inlineStr">
        <is>
          <t>지마켓</t>
        </is>
      </c>
      <c r="C18" s="240" t="inlineStr">
        <is>
          <t>농업회사법인(주)가남농원</t>
        </is>
      </c>
      <c r="D18" s="239" t="inlineStr">
        <is>
          <t>416-81-59229</t>
        </is>
      </c>
      <c r="E18" s="240" t="inlineStr">
        <is>
          <t>천기누설 매실 장인이만든 매실고 (농축액) 150g</t>
        </is>
      </c>
      <c r="F18" s="173" t="inlineStr">
        <is>
          <t>농산물</t>
        </is>
      </c>
      <c r="G18" s="241" t="inlineStr">
        <is>
          <t>가공식품</t>
        </is>
      </c>
      <c r="H18" s="182" t="n">
        <v>0</v>
      </c>
      <c r="I18" s="182" t="n">
        <v>0</v>
      </c>
      <c r="J18" s="182" t="n">
        <v>0</v>
      </c>
    </row>
    <row r="19" ht="20" customHeight="1" s="21">
      <c r="A19" s="239" t="n">
        <v>15</v>
      </c>
      <c r="B19" s="239" t="inlineStr">
        <is>
          <t>지마켓</t>
        </is>
      </c>
      <c r="C19" s="240" t="inlineStr">
        <is>
          <t>농업회사법인(주)가남농원</t>
        </is>
      </c>
      <c r="D19" s="239" t="inlineStr">
        <is>
          <t>416-81-59229</t>
        </is>
      </c>
      <c r="E19" s="240" t="inlineStr">
        <is>
          <t>천기누설 매실 장인이만든 매실고 (농축액) 150g</t>
        </is>
      </c>
      <c r="F19" s="173" t="inlineStr">
        <is>
          <t>농산물</t>
        </is>
      </c>
      <c r="G19" s="241" t="inlineStr">
        <is>
          <t>가공식품</t>
        </is>
      </c>
      <c r="H19" s="182" t="n">
        <v>0</v>
      </c>
      <c r="I19" s="182" t="n">
        <v>43000</v>
      </c>
      <c r="J19" s="182" t="n">
        <v>43000</v>
      </c>
    </row>
    <row r="20" ht="20" customHeight="1" s="21">
      <c r="A20" s="239" t="n">
        <v>16</v>
      </c>
      <c r="B20" s="239" t="inlineStr">
        <is>
          <t>지마켓</t>
        </is>
      </c>
      <c r="C20" s="240" t="inlineStr">
        <is>
          <t>농업회사법인 팜팜(주)</t>
        </is>
      </c>
      <c r="D20" s="239" t="inlineStr">
        <is>
          <t>177-81-00798</t>
        </is>
      </c>
      <c r="E20" s="240" t="inlineStr">
        <is>
          <t>(품질보증) 산지직송 정품과 완숙토마토 5KG 당일수확 유럽종</t>
        </is>
      </c>
      <c r="F20" s="173" t="inlineStr">
        <is>
          <t>가공식품</t>
        </is>
      </c>
      <c r="G20" s="241" t="inlineStr">
        <is>
          <t>농산물</t>
        </is>
      </c>
      <c r="H20" s="182" t="n">
        <v>694600</v>
      </c>
      <c r="I20" s="182" t="n">
        <v>5967100</v>
      </c>
      <c r="J20" s="182" t="n">
        <v>5272500</v>
      </c>
    </row>
    <row r="21" ht="20" customHeight="1" s="21">
      <c r="A21" s="239" t="n">
        <v>17</v>
      </c>
      <c r="B21" s="239" t="inlineStr">
        <is>
          <t>지마켓</t>
        </is>
      </c>
      <c r="C21" s="240" t="inlineStr">
        <is>
          <t>농업회사법인주식회사 늘해랑</t>
        </is>
      </c>
      <c r="D21" s="239" t="inlineStr">
        <is>
          <t>756-87-00841</t>
        </is>
      </c>
      <c r="E21" s="240" t="inlineStr">
        <is>
          <t>조은해남 고구마 못난이 10kg (꿀호박 랜덤발송)</t>
        </is>
      </c>
      <c r="F21" s="173" t="inlineStr">
        <is>
          <t>가공식품</t>
        </is>
      </c>
      <c r="G21" s="241" t="inlineStr">
        <is>
          <t>농산물</t>
        </is>
      </c>
      <c r="H21" s="182" t="n">
        <v>371800</v>
      </c>
      <c r="I21" s="182" t="n">
        <v>2827100</v>
      </c>
      <c r="J21" s="182" t="n">
        <v>2455300</v>
      </c>
    </row>
    <row r="22" ht="20" customHeight="1" s="21">
      <c r="A22" s="239" t="n">
        <v>18</v>
      </c>
      <c r="B22" s="239" t="inlineStr">
        <is>
          <t>지마켓</t>
        </is>
      </c>
      <c r="C22" s="240" t="inlineStr">
        <is>
          <t>초림단지묵</t>
        </is>
      </c>
      <c r="D22" s="239" t="inlineStr">
        <is>
          <t>615-14-93195</t>
        </is>
      </c>
      <c r="E22" s="240" t="inlineStr">
        <is>
          <t>초림단지묵 국산 100% 도토리묵 400g 2인분 x 1팩</t>
        </is>
      </c>
      <c r="F22" s="173" t="inlineStr">
        <is>
          <t>축산물</t>
        </is>
      </c>
      <c r="G22" s="241" t="inlineStr">
        <is>
          <t>가공식품</t>
        </is>
      </c>
      <c r="H22" s="182" t="n">
        <v>0</v>
      </c>
      <c r="I22" s="182" t="n">
        <v>0</v>
      </c>
      <c r="J22" s="182" t="n">
        <v>0</v>
      </c>
    </row>
    <row r="23" ht="20" customHeight="1" s="21">
      <c r="A23" s="239" t="n">
        <v>19</v>
      </c>
      <c r="B23" s="239" t="inlineStr">
        <is>
          <t>지마켓</t>
        </is>
      </c>
      <c r="C23" s="240" t="inlineStr">
        <is>
          <t>초림단지묵</t>
        </is>
      </c>
      <c r="D23" s="239" t="inlineStr">
        <is>
          <t>615-14-93195</t>
        </is>
      </c>
      <c r="E23" s="240" t="inlineStr">
        <is>
          <t>초림단지묵 국산 100% 도토리묵 400g 2인분 x 1팩</t>
        </is>
      </c>
      <c r="F23" s="173" t="inlineStr">
        <is>
          <t>축산물</t>
        </is>
      </c>
      <c r="G23" s="241" t="inlineStr">
        <is>
          <t>가공식품</t>
        </is>
      </c>
      <c r="H23" s="182" t="n">
        <v>0</v>
      </c>
      <c r="I23" s="182" t="n">
        <v>30000</v>
      </c>
      <c r="J23" s="182" t="n">
        <v>30000</v>
      </c>
    </row>
    <row r="24" ht="20" customHeight="1" s="21">
      <c r="A24" s="239" t="n">
        <v>20</v>
      </c>
      <c r="B24" s="239" t="inlineStr">
        <is>
          <t>지마켓</t>
        </is>
      </c>
      <c r="C24" s="240" t="inlineStr">
        <is>
          <t>초림단지묵</t>
        </is>
      </c>
      <c r="D24" s="239" t="inlineStr">
        <is>
          <t>615-14-93195</t>
        </is>
      </c>
      <c r="E24" s="240" t="inlineStr">
        <is>
          <t>초림단지묵 국산100% 도토리묵 묵사발 세트</t>
        </is>
      </c>
      <c r="F24" s="173" t="inlineStr">
        <is>
          <t>농산물</t>
        </is>
      </c>
      <c r="G24" s="241" t="inlineStr">
        <is>
          <t>가공식품</t>
        </is>
      </c>
      <c r="H24" s="182" t="n">
        <v>0</v>
      </c>
      <c r="I24" s="182" t="n">
        <v>0</v>
      </c>
      <c r="J24" s="182" t="n">
        <v>0</v>
      </c>
    </row>
    <row r="25" ht="20" customHeight="1" s="21">
      <c r="A25" s="239" t="n">
        <v>21</v>
      </c>
      <c r="B25" s="239" t="inlineStr">
        <is>
          <t>지마켓</t>
        </is>
      </c>
      <c r="C25" s="240" t="inlineStr">
        <is>
          <t>초림단지묵</t>
        </is>
      </c>
      <c r="D25" s="239" t="inlineStr">
        <is>
          <t>615-14-93195</t>
        </is>
      </c>
      <c r="E25" s="240" t="inlineStr">
        <is>
          <t>초림단지묵 명인 국산 콩물 우묵채 (2인분)</t>
        </is>
      </c>
      <c r="F25" s="173" t="inlineStr">
        <is>
          <t>농산물</t>
        </is>
      </c>
      <c r="G25" s="241" t="inlineStr">
        <is>
          <t>가공식품</t>
        </is>
      </c>
      <c r="H25" s="182" t="n">
        <v>0</v>
      </c>
      <c r="I25" s="182" t="n">
        <v>0</v>
      </c>
      <c r="J25" s="182" t="n">
        <v>0</v>
      </c>
    </row>
    <row r="26" ht="20" customHeight="1" s="21">
      <c r="A26" s="239" t="n">
        <v>22</v>
      </c>
      <c r="B26" s="239" t="inlineStr">
        <is>
          <t>지마켓</t>
        </is>
      </c>
      <c r="C26" s="240" t="inlineStr">
        <is>
          <t>초림단지묵</t>
        </is>
      </c>
      <c r="D26" s="239" t="inlineStr">
        <is>
          <t>615-14-93195</t>
        </is>
      </c>
      <c r="E26" s="240" t="inlineStr">
        <is>
          <t>초림단지묵 국산 콩물 콩가루 90g 1인분 x 5팩 물만타면 콩국수</t>
        </is>
      </c>
      <c r="F26" s="173" t="inlineStr">
        <is>
          <t>농산물</t>
        </is>
      </c>
      <c r="G26" s="241" t="inlineStr">
        <is>
          <t>가공식품</t>
        </is>
      </c>
      <c r="H26" s="182" t="n">
        <v>0</v>
      </c>
      <c r="I26" s="182" t="n">
        <v>0</v>
      </c>
      <c r="J26" s="182" t="n">
        <v>0</v>
      </c>
    </row>
    <row r="27" ht="20" customHeight="1" s="21">
      <c r="A27" s="239" t="n">
        <v>23</v>
      </c>
      <c r="B27" s="239" t="inlineStr">
        <is>
          <t>지마켓</t>
        </is>
      </c>
      <c r="C27" s="240" t="inlineStr">
        <is>
          <t>초림단지묵</t>
        </is>
      </c>
      <c r="D27" s="239" t="inlineStr">
        <is>
          <t>615-14-93195</t>
        </is>
      </c>
      <c r="E27" s="240" t="inlineStr">
        <is>
          <t>초림단지묵 국산 콩물 콩가루 90g 1인분 x 5팩 물만타면 콩국수</t>
        </is>
      </c>
      <c r="F27" s="173" t="inlineStr">
        <is>
          <t>농산물</t>
        </is>
      </c>
      <c r="G27" s="241" t="inlineStr">
        <is>
          <t>가공식품</t>
        </is>
      </c>
      <c r="H27" s="182" t="n">
        <v>0</v>
      </c>
      <c r="I27" s="182" t="n">
        <v>240000</v>
      </c>
      <c r="J27" s="182" t="n">
        <v>240000</v>
      </c>
    </row>
    <row r="28" ht="20" customHeight="1" s="21">
      <c r="A28" s="239" t="n">
        <v>24</v>
      </c>
      <c r="B28" s="239" t="inlineStr">
        <is>
          <t>지마켓</t>
        </is>
      </c>
      <c r="C28" s="240" t="inlineStr">
        <is>
          <t>그린몬스터즈</t>
        </is>
      </c>
      <c r="D28" s="239" t="inlineStr">
        <is>
          <t>883-95-01472</t>
        </is>
      </c>
      <c r="E28" s="240" t="inlineStr">
        <is>
          <t>당일수확발송 그린몬스터즈 프리미엄 미니오이 1.5kg 농장직거래 여름작기 첫수확 특가할인행사</t>
        </is>
      </c>
      <c r="F28" s="173" t="inlineStr">
        <is>
          <t>가공식품</t>
        </is>
      </c>
      <c r="G28" s="241" t="inlineStr">
        <is>
          <t>농산물</t>
        </is>
      </c>
      <c r="H28" s="182" t="n">
        <v>100000</v>
      </c>
      <c r="I28" s="182" t="n">
        <v>700000</v>
      </c>
      <c r="J28" s="182" t="n">
        <v>600000</v>
      </c>
    </row>
    <row r="29" ht="20" customHeight="1" s="21">
      <c r="A29" s="239" t="n">
        <v>25</v>
      </c>
      <c r="B29" s="239" t="inlineStr">
        <is>
          <t>지마켓</t>
        </is>
      </c>
      <c r="C29" s="240" t="inlineStr">
        <is>
          <t>어이딸부각</t>
        </is>
      </c>
      <c r="D29" s="239" t="inlineStr">
        <is>
          <t>142-33-00898</t>
        </is>
      </c>
      <c r="E29" s="240" t="inlineStr">
        <is>
          <t>고추크런치 70g 고추부각 튀각 찹쌀 수제 비건</t>
        </is>
      </c>
      <c r="F29" s="173" t="inlineStr">
        <is>
          <t>농산물</t>
        </is>
      </c>
      <c r="G29" s="241" t="inlineStr">
        <is>
          <t>가공식품</t>
        </is>
      </c>
      <c r="H29" s="182" t="n">
        <v>0</v>
      </c>
      <c r="I29" s="182" t="n">
        <v>0</v>
      </c>
      <c r="J29" s="182" t="n">
        <v>0</v>
      </c>
    </row>
    <row r="30" ht="20" customHeight="1" s="21">
      <c r="A30" s="239" t="n">
        <v>26</v>
      </c>
      <c r="B30" s="239" t="inlineStr">
        <is>
          <t>지마켓</t>
        </is>
      </c>
      <c r="C30" s="240" t="inlineStr">
        <is>
          <t>어이딸부각</t>
        </is>
      </c>
      <c r="D30" s="239" t="inlineStr">
        <is>
          <t>142-33-00898</t>
        </is>
      </c>
      <c r="E30" s="240" t="inlineStr">
        <is>
          <t>어이딸 김부각 선물세트 소 5개입 찹쌀 수제 비건 글루텐프리 저당</t>
        </is>
      </c>
      <c r="F30" s="173" t="inlineStr">
        <is>
          <t>농산물</t>
        </is>
      </c>
      <c r="G30" s="241" t="inlineStr">
        <is>
          <t>가공식품</t>
        </is>
      </c>
      <c r="H30" s="182" t="n">
        <v>0</v>
      </c>
      <c r="I30" s="182" t="n">
        <v>690000</v>
      </c>
      <c r="J30" s="182" t="n">
        <v>690000</v>
      </c>
    </row>
    <row r="31" ht="20" customHeight="1" s="21">
      <c r="A31" s="239" t="n">
        <v>27</v>
      </c>
      <c r="B31" s="239" t="inlineStr">
        <is>
          <t>지마켓</t>
        </is>
      </c>
      <c r="C31" s="240" t="inlineStr">
        <is>
          <t>어이딸부각</t>
        </is>
      </c>
      <c r="D31" s="239" t="inlineStr">
        <is>
          <t>142-33-00898</t>
        </is>
      </c>
      <c r="E31" s="240" t="inlineStr">
        <is>
          <t>어이딸 김부각 선물세트 중 8개입 찹쌀 수제 비건 글루텐프리 저당</t>
        </is>
      </c>
      <c r="F31" s="173" t="inlineStr">
        <is>
          <t>농산물</t>
        </is>
      </c>
      <c r="G31" s="241" t="inlineStr">
        <is>
          <t>가공식품</t>
        </is>
      </c>
      <c r="H31" s="182" t="n">
        <v>0</v>
      </c>
      <c r="I31" s="182" t="n">
        <v>0</v>
      </c>
      <c r="J31" s="182" t="n">
        <v>0</v>
      </c>
    </row>
    <row r="32" ht="20" customHeight="1" s="21">
      <c r="A32" s="239" t="n">
        <v>28</v>
      </c>
      <c r="B32" s="239" t="inlineStr">
        <is>
          <t>지마켓</t>
        </is>
      </c>
      <c r="C32" s="240" t="inlineStr">
        <is>
          <t>초림단지묵</t>
        </is>
      </c>
      <c r="D32" s="239" t="inlineStr">
        <is>
          <t>615-14-93195</t>
        </is>
      </c>
      <c r="E32" s="240" t="inlineStr">
        <is>
          <t>초림단지묵 국산 100% 도토리묵 400g 2인분 x 1팩</t>
        </is>
      </c>
      <c r="F32" s="173" t="inlineStr">
        <is>
          <t>농산물</t>
        </is>
      </c>
      <c r="G32" s="241" t="inlineStr">
        <is>
          <t>가공식품</t>
        </is>
      </c>
      <c r="H32" s="182" t="n">
        <v>0</v>
      </c>
      <c r="I32" s="182" t="n">
        <v>0</v>
      </c>
      <c r="J32" s="182" t="n">
        <v>0</v>
      </c>
    </row>
    <row r="33" ht="20" customHeight="1" s="21">
      <c r="A33" s="239" t="n">
        <v>29</v>
      </c>
      <c r="B33" s="239" t="inlineStr">
        <is>
          <t>지마켓</t>
        </is>
      </c>
      <c r="C33" s="240" t="inlineStr">
        <is>
          <t>초림단지묵</t>
        </is>
      </c>
      <c r="D33" s="239" t="inlineStr">
        <is>
          <t>615-14-93195</t>
        </is>
      </c>
      <c r="E33" s="240" t="inlineStr">
        <is>
          <t>초림단지묵 국산 100% 도토리묵 400g 2인분 x 1팩</t>
        </is>
      </c>
      <c r="F33" s="173" t="inlineStr">
        <is>
          <t>농산물</t>
        </is>
      </c>
      <c r="G33" s="241" t="inlineStr">
        <is>
          <t>가공식품</t>
        </is>
      </c>
      <c r="H33" s="182" t="n">
        <v>0</v>
      </c>
      <c r="I33" s="182" t="n">
        <v>30000</v>
      </c>
      <c r="J33" s="182" t="n">
        <v>30000</v>
      </c>
    </row>
    <row r="34" ht="20" customHeight="1" s="21">
      <c r="A34" s="239" t="n">
        <v>30</v>
      </c>
      <c r="B34" s="239" t="inlineStr">
        <is>
          <t>지마켓</t>
        </is>
      </c>
      <c r="C34" s="240" t="inlineStr">
        <is>
          <t>초림단지묵</t>
        </is>
      </c>
      <c r="D34" s="239" t="inlineStr">
        <is>
          <t>615-14-93195</t>
        </is>
      </c>
      <c r="E34" s="240" t="inlineStr">
        <is>
          <t>초림단지묵 국산 콩물 콩가루 90g 1인분 x 5팩 물만타면 콩국수</t>
        </is>
      </c>
      <c r="F34" s="173" t="inlineStr">
        <is>
          <t>농산물</t>
        </is>
      </c>
      <c r="G34" s="241" t="inlineStr">
        <is>
          <t>가공식품</t>
        </is>
      </c>
      <c r="H34" s="182" t="n">
        <v>240000</v>
      </c>
      <c r="I34" s="182" t="n">
        <v>0</v>
      </c>
      <c r="J34" s="182" t="n">
        <v>-240000</v>
      </c>
    </row>
    <row r="35" ht="20" customHeight="1" s="21">
      <c r="A35" s="239" t="n">
        <v>31</v>
      </c>
      <c r="B35" s="239" t="inlineStr">
        <is>
          <t>지마켓</t>
        </is>
      </c>
      <c r="C35" s="240" t="inlineStr">
        <is>
          <t>초림단지묵</t>
        </is>
      </c>
      <c r="D35" s="239" t="inlineStr">
        <is>
          <t>615-14-93195</t>
        </is>
      </c>
      <c r="E35" s="240" t="inlineStr">
        <is>
          <t>초림단지묵 국산 콩물 콩가루 90g 1인분 x 5팩 물만타면 콩국수</t>
        </is>
      </c>
      <c r="F35" s="173" t="inlineStr">
        <is>
          <t>농산물</t>
        </is>
      </c>
      <c r="G35" s="241" t="inlineStr">
        <is>
          <t>가공식품</t>
        </is>
      </c>
      <c r="H35" s="182" t="n">
        <v>240000</v>
      </c>
      <c r="I35" s="182" t="n">
        <v>240000</v>
      </c>
      <c r="J35" s="182" t="n">
        <v>0</v>
      </c>
    </row>
    <row r="36" ht="20" customHeight="1" s="21">
      <c r="A36" s="239" t="n">
        <v>32</v>
      </c>
      <c r="B36" s="239" t="inlineStr">
        <is>
          <t>지마켓</t>
        </is>
      </c>
      <c r="C36" s="240" t="inlineStr">
        <is>
          <t>초림단지묵</t>
        </is>
      </c>
      <c r="D36" s="239" t="inlineStr">
        <is>
          <t>615-14-93195</t>
        </is>
      </c>
      <c r="E36" s="240" t="inlineStr">
        <is>
          <t>초림단지묵 국산 콩물 콩가루 400g 4인분 물만타면 콩국수</t>
        </is>
      </c>
      <c r="F36" s="173" t="inlineStr">
        <is>
          <t>농산물</t>
        </is>
      </c>
      <c r="G36" s="241" t="inlineStr">
        <is>
          <t>가공식품</t>
        </is>
      </c>
      <c r="H36" s="182" t="n">
        <v>54000</v>
      </c>
      <c r="I36" s="182" t="n">
        <v>0</v>
      </c>
      <c r="J36" s="182" t="n">
        <v>-54000</v>
      </c>
    </row>
    <row r="37" ht="20" customHeight="1" s="21">
      <c r="A37" s="239" t="n">
        <v>33</v>
      </c>
      <c r="B37" s="239" t="inlineStr">
        <is>
          <t>지마켓</t>
        </is>
      </c>
      <c r="C37" s="240" t="inlineStr">
        <is>
          <t>초림단지묵</t>
        </is>
      </c>
      <c r="D37" s="239" t="inlineStr">
        <is>
          <t>615-14-93195</t>
        </is>
      </c>
      <c r="E37" s="240" t="inlineStr">
        <is>
          <t>초림단지묵 국산 콩물 콩가루 400g 4인분 물만타면 콩국수</t>
        </is>
      </c>
      <c r="F37" s="173" t="inlineStr">
        <is>
          <t>농산물</t>
        </is>
      </c>
      <c r="G37" s="241" t="inlineStr">
        <is>
          <t>가공식품</t>
        </is>
      </c>
      <c r="H37" s="182" t="n">
        <v>54000</v>
      </c>
      <c r="I37" s="182" t="n">
        <v>54000</v>
      </c>
      <c r="J37" s="182" t="n">
        <v>0</v>
      </c>
    </row>
    <row r="38" ht="20" customHeight="1" s="21">
      <c r="A38" s="239" t="n">
        <v>34</v>
      </c>
      <c r="B38" s="239" t="inlineStr">
        <is>
          <t>오아시스</t>
        </is>
      </c>
      <c r="C38" s="240" t="inlineStr">
        <is>
          <t>케이에프지</t>
        </is>
      </c>
      <c r="D38" s="239" t="inlineStr">
        <is>
          <t>120-86-08936</t>
        </is>
      </c>
      <c r="E38" s="240" t="inlineStr">
        <is>
          <t>한돈 제육볶음 (650g X 1개)</t>
        </is>
      </c>
      <c r="F38" s="173" t="inlineStr">
        <is>
          <t>가공식품</t>
        </is>
      </c>
      <c r="G38" s="241" t="inlineStr">
        <is>
          <t>축산물</t>
        </is>
      </c>
      <c r="H38" s="182" t="n">
        <v>20305100</v>
      </c>
      <c r="I38" s="182" t="n">
        <v>46426900</v>
      </c>
      <c r="J38" s="182" t="n">
        <v>26121800</v>
      </c>
    </row>
    <row r="39" ht="20" customHeight="1" s="21">
      <c r="A39" s="239" t="n">
        <v>35</v>
      </c>
      <c r="B39" s="239" t="inlineStr">
        <is>
          <t>오아시스</t>
        </is>
      </c>
      <c r="C39" s="240" t="inlineStr">
        <is>
          <t>케이에프지</t>
        </is>
      </c>
      <c r="D39" s="239" t="inlineStr">
        <is>
          <t>120-86-08936</t>
        </is>
      </c>
      <c r="E39" s="240" t="inlineStr">
        <is>
          <t>한돈 칼집 양념구이 (650g X 1개)</t>
        </is>
      </c>
      <c r="F39" s="173" t="inlineStr">
        <is>
          <t>가공식품</t>
        </is>
      </c>
      <c r="G39" s="241" t="inlineStr">
        <is>
          <t>축산물</t>
        </is>
      </c>
      <c r="H39" s="182" t="n">
        <v>16019900</v>
      </c>
      <c r="I39" s="182" t="n">
        <v>30197000</v>
      </c>
      <c r="J39" s="182" t="n">
        <v>14177100</v>
      </c>
    </row>
    <row r="40" ht="20" customHeight="1" s="21">
      <c r="A40" s="239" t="n">
        <v>36</v>
      </c>
      <c r="B40" s="239" t="inlineStr">
        <is>
          <t>오아시스</t>
        </is>
      </c>
      <c r="C40" s="240" t="inlineStr">
        <is>
          <t>케이에프지</t>
        </is>
      </c>
      <c r="D40" s="239" t="inlineStr">
        <is>
          <t>120-86-08936</t>
        </is>
      </c>
      <c r="E40" s="240" t="inlineStr">
        <is>
          <t>한돈 성북동식 돼지불백 (650g X 1개)</t>
        </is>
      </c>
      <c r="F40" s="173" t="inlineStr">
        <is>
          <t>가공식품</t>
        </is>
      </c>
      <c r="G40" s="241" t="inlineStr">
        <is>
          <t>축산물</t>
        </is>
      </c>
      <c r="H40" s="182" t="n">
        <v>10928700</v>
      </c>
      <c r="I40" s="182" t="n">
        <v>21744400</v>
      </c>
      <c r="J40" s="182" t="n">
        <v>10815700</v>
      </c>
    </row>
    <row r="41" ht="20" customHeight="1" s="21">
      <c r="A41" s="239" t="n">
        <v>37</v>
      </c>
      <c r="B41" s="239" t="inlineStr">
        <is>
          <t>오아시스</t>
        </is>
      </c>
      <c r="C41" s="240" t="inlineStr">
        <is>
          <t>케이에프지</t>
        </is>
      </c>
      <c r="D41" s="239" t="inlineStr">
        <is>
          <t>120-86-08936</t>
        </is>
      </c>
      <c r="E41" s="240" t="inlineStr">
        <is>
          <t>서울식 한우 불고기 밀키트 (800g X 1개)</t>
        </is>
      </c>
      <c r="F41" s="173" t="inlineStr">
        <is>
          <t>가공식품</t>
        </is>
      </c>
      <c r="G41" s="241" t="inlineStr">
        <is>
          <t>축산물</t>
        </is>
      </c>
      <c r="H41" s="182" t="n">
        <v>6922200</v>
      </c>
      <c r="I41" s="182" t="n">
        <v>15422600</v>
      </c>
      <c r="J41" s="182" t="n">
        <v>8500400</v>
      </c>
    </row>
    <row r="42" ht="20" customHeight="1" s="21">
      <c r="A42" s="239" t="n">
        <v>38</v>
      </c>
      <c r="B42" s="239" t="inlineStr">
        <is>
          <t>오아시스</t>
        </is>
      </c>
      <c r="C42" s="240" t="inlineStr">
        <is>
          <t>해담는집</t>
        </is>
      </c>
      <c r="D42" s="239" t="inlineStr">
        <is>
          <t>745-96-00315</t>
        </is>
      </c>
      <c r="E42" s="240" t="inlineStr">
        <is>
          <t>해담는집 유기농 고춧가루 500g/200g(순한맛/보통맛/매운맛)</t>
        </is>
      </c>
      <c r="F42" s="173" t="inlineStr">
        <is>
          <t>농산물</t>
        </is>
      </c>
      <c r="G42" s="241" t="inlineStr">
        <is>
          <t>가공식품</t>
        </is>
      </c>
      <c r="H42" s="182" t="n">
        <v>208400</v>
      </c>
      <c r="I42" s="182" t="n">
        <v>434900</v>
      </c>
      <c r="J42" s="182" t="n">
        <v>226500</v>
      </c>
    </row>
    <row r="43" ht="22" customHeight="1" s="21">
      <c r="A43" s="242" t="inlineStr">
        <is>
          <t>합 계</t>
        </is>
      </c>
      <c r="B43" s="243" t="inlineStr">
        <is>
          <t>변경 38건 총계</t>
        </is>
      </c>
      <c r="C43" s="244" t="inlineStr"/>
      <c r="D43" s="244" t="inlineStr"/>
      <c r="E43" s="244" t="inlineStr"/>
      <c r="F43" s="244" t="inlineStr"/>
      <c r="G43" s="244" t="inlineStr"/>
      <c r="H43" s="245" t="n">
        <v>111175440</v>
      </c>
      <c r="I43" s="245" t="n">
        <v>185370440</v>
      </c>
      <c r="J43" s="245" t="n">
        <v>74195000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이은주</dc:creator>
  <dcterms:created xmlns:dcterms="http://purl.org/dc/terms/" xmlns:xsi="http://www.w3.org/2001/XMLSchema-instance" xsi:type="dcterms:W3CDTF">2021-06-03T08:43:01Z</dcterms:created>
  <dcterms:modified xmlns:dcterms="http://purl.org/dc/terms/" xmlns:xsi="http://www.w3.org/2001/XMLSchema-instance" xsi:type="dcterms:W3CDTF">2026-09-16T00:42:16Z</dcterms:modified>
  <cp:lastModifiedBy>user</cp:lastModifiedBy>
  <cp:lastPrinted>2021-12-09T01:05:36Z</cp:lastPrinted>
</cp:coreProperties>
</file>