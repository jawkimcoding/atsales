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 outlineLevelCol="0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 outlineLevelCol="0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SUMIF('①농산물raw'!$A$6:$A$2454,E$13,'①농산물raw'!$H$6:$H$2454)</f>
        <v/>
      </c>
      <c r="F14" s="216">
        <f>SUMIF('①농산물raw'!$A$6:$A$2454,F$13,'①농산물raw'!$H$6:$H$2454)</f>
        <v/>
      </c>
      <c r="G14" s="216">
        <f>SUMIF('①농산물raw'!$A$6:$A$2454,G$13,'①농산물raw'!$H$6:$H$2454)</f>
        <v/>
      </c>
      <c r="H14" s="216">
        <f>SUMIF('①농산물raw'!$A$6:$A$2454,H$13,'①농산물raw'!$H$6:$H$2454)</f>
        <v/>
      </c>
      <c r="I14" s="216">
        <f>SUMIF('①농산물raw'!$A$6:$A$2454,I$13,'①농산물raw'!$H$6:$H$2454)</f>
        <v/>
      </c>
      <c r="J14" s="216">
        <f>SUMIF('①농산물raw'!$A$6:$A$2454,J$13,'①농산물raw'!$H$6:$H$2454)</f>
        <v/>
      </c>
      <c r="K14" s="44">
        <f>SUM(L14:M14)</f>
        <v/>
      </c>
      <c r="L14" s="216">
        <f>SUMIF('②유기농raw'!$A$6:$A$1000,L$13,'②유기농raw'!$H$6:$H$1000)</f>
        <v/>
      </c>
      <c r="M14" s="216">
        <f>SUMIF('②유기농raw'!$A$6:$A$1000,M$13,'②유기농raw'!$H$6:$H$1000)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SUMIF('①농산물raw'!$A$6:$A$2454,E$18,'①농산물raw'!$G$6:$G$2454)</f>
        <v/>
      </c>
      <c r="F19" s="216">
        <f>SUMIF('①농산물raw'!$A$6:$A$2454,F$18,'①농산물raw'!$G$6:$G$2454)</f>
        <v/>
      </c>
      <c r="G19" s="216">
        <f>SUMIF('①농산물raw'!$A$6:$A$2454,G$18,'①농산물raw'!$G$6:$G$2454)</f>
        <v/>
      </c>
      <c r="H19" s="216">
        <f>SUMIF('①농산물raw'!$A$6:$A$2454,H$18,'①농산물raw'!$G$6:$G$2454)</f>
        <v/>
      </c>
      <c r="I19" s="216">
        <f>SUMIF('①농산물raw'!$A$6:$A$2454,I$18,'①농산물raw'!$G$6:$G$2454)</f>
        <v/>
      </c>
      <c r="J19" s="216">
        <f>SUMIF('①농산물raw'!$A$6:$A$2454,J$18,'①농산물raw'!$G$6:$G$2454)</f>
        <v/>
      </c>
      <c r="K19" s="44">
        <f>SUM(L19:M19)</f>
        <v/>
      </c>
      <c r="L19" s="216">
        <f>SUMIF('②유기농raw'!$A$6:$A$1000,L$18,'②유기농raw'!$G$6:$G$1000)</f>
        <v/>
      </c>
      <c r="M19" s="216">
        <f>SUMIF('②유기농raw'!$A$6:$A$1000,M$18,'②유기농raw'!$G$6:$G$1000)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SUMIF('①농산물raw'!$A$6:$A$2454,E$23,'①농산물raw'!$F$6:$F$2454)</f>
        <v/>
      </c>
      <c r="F24" s="216">
        <f>SUMIF('①농산물raw'!$A$6:$A$2454,F$23,'①농산물raw'!$F$6:$F$2454)</f>
        <v/>
      </c>
      <c r="G24" s="216">
        <f>SUMIF('①농산물raw'!$A$6:$A$2454,G$23,'①농산물raw'!$F$6:$F$2454)</f>
        <v/>
      </c>
      <c r="H24" s="216">
        <f>SUMIF('①농산물raw'!$A$6:$A$2454,H$23,'①농산물raw'!$F$6:$F$2454)</f>
        <v/>
      </c>
      <c r="I24" s="216">
        <f>SUMIF('①농산물raw'!$A$6:$A$2454,I$23,'①농산물raw'!$F$6:$F$2454)</f>
        <v/>
      </c>
      <c r="J24" s="216">
        <f>SUMIF('①농산물raw'!$A$6:$A$2454,J$23,'①농산물raw'!$F$6:$F$2454)</f>
        <v/>
      </c>
      <c r="K24" s="44">
        <f>SUM(L24:M24)</f>
        <v/>
      </c>
      <c r="L24" s="216">
        <f>SUMIF('②유기농raw'!$A$6:$A$1000,L$23,'②유기농raw'!$F$6:$F$1000)</f>
        <v/>
      </c>
      <c r="M24" s="216">
        <f>SUMIF('②유기농raw'!$A$6:$A$1000,M$23,'②유기농raw'!$F$6:$F$1000)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SUMIFS('①농산물raw'!$H$6:$H$2454,'①농산물raw'!$A$6:$A$2454,E$28,'①농산물raw'!$B$6:$B$2454,$B30)</f>
        <v/>
      </c>
      <c r="F30" s="216">
        <f>SUMIFS('①농산물raw'!$H$6:$H$2454,'①농산물raw'!$A$6:$A$2454,F$28,'①농산물raw'!$B$6:$B$2454,$B30)</f>
        <v/>
      </c>
      <c r="G30" s="216">
        <f>SUMIFS('①농산물raw'!$H$6:$H$2454,'①농산물raw'!$A$6:$A$2454,G$28,'①농산물raw'!$B$6:$B$2454,$B30)</f>
        <v/>
      </c>
      <c r="H30" s="216">
        <f>SUMIFS('①농산물raw'!$H$6:$H$2454,'①농산물raw'!$A$6:$A$2454,H$28,'①농산물raw'!$B$6:$B$2454,$B30)</f>
        <v/>
      </c>
      <c r="I30" s="216">
        <f>SUMIFS('①농산물raw'!$H$6:$H$2454,'①농산물raw'!$A$6:$A$2454,I$28,'①농산물raw'!$B$6:$B$2454,$B30)</f>
        <v/>
      </c>
      <c r="J30" s="216">
        <f>SUMIFS('①농산물raw'!$H$6:$H$2454,'①농산물raw'!$A$6:$A$2454,J$28,'①농산물raw'!$B$6:$B$2454,$B30)</f>
        <v/>
      </c>
      <c r="K30" s="44">
        <f>SUM(L30:M30)</f>
        <v/>
      </c>
      <c r="L30" s="216">
        <f>SUMIFS('②유기농raw'!$H$6:$H$1000,'②유기농raw'!$A$6:$A$1000,L$28,'②유기농raw'!$B$6:$B$1000,$B30)</f>
        <v/>
      </c>
      <c r="M30" s="216">
        <f>SUMIFS('②유기농raw'!$H$6:$H$1000,'②유기농raw'!$A$6:$A$1000,M$28,'②유기농raw'!$B$6:$B$1000,$B30)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SUMIFS('①농산물raw'!$H$6:$H$2454,'①농산물raw'!$A$6:$A$2454,E$28,'①농산물raw'!$B$6:$B$2454,$B31)</f>
        <v/>
      </c>
      <c r="F31" s="216">
        <f>SUMIFS('①농산물raw'!$H$6:$H$2454,'①농산물raw'!$A$6:$A$2454,F$28,'①농산물raw'!$B$6:$B$2454,$B31)</f>
        <v/>
      </c>
      <c r="G31" s="216">
        <f>SUMIFS('①농산물raw'!$H$6:$H$2454,'①농산물raw'!$A$6:$A$2454,G$28,'①농산물raw'!$B$6:$B$2454,$B31)</f>
        <v/>
      </c>
      <c r="H31" s="216">
        <f>SUMIFS('①농산물raw'!$H$6:$H$2454,'①농산물raw'!$A$6:$A$2454,H$28,'①농산물raw'!$B$6:$B$2454,$B31)</f>
        <v/>
      </c>
      <c r="I31" s="216">
        <f>SUMIFS('①농산물raw'!$H$6:$H$2454,'①농산물raw'!$A$6:$A$2454,I$28,'①농산물raw'!$B$6:$B$2454,$B31)</f>
        <v/>
      </c>
      <c r="J31" s="216">
        <f>SUMIFS('①농산물raw'!$H$6:$H$2454,'①농산물raw'!$A$6:$A$2454,J$28,'①농산물raw'!$B$6:$B$2454,$B31)</f>
        <v/>
      </c>
      <c r="K31" s="44">
        <f>SUM(L31:M31)</f>
        <v/>
      </c>
      <c r="L31" s="216">
        <f>SUMIFS('②유기농raw'!$H$6:$H$1000,'②유기농raw'!$A$6:$A$1000,L$28,'②유기농raw'!$B$6:$B$1000,$B31)</f>
        <v/>
      </c>
      <c r="M31" s="216">
        <f>SUMIFS('②유기농raw'!$H$6:$H$1000,'②유기농raw'!$A$6:$A$1000,M$28,'②유기농raw'!$B$6:$B$1000,$B31)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SUMIFS('①농산물raw'!$H$6:$H$2454,'①농산물raw'!$A$6:$A$2454,E$28,'①농산물raw'!$B$6:$B$2454,$B32)</f>
        <v/>
      </c>
      <c r="F32" s="216">
        <f>SUMIFS('①농산물raw'!$H$6:$H$2454,'①농산물raw'!$A$6:$A$2454,F$28,'①농산물raw'!$B$6:$B$2454,$B32)</f>
        <v/>
      </c>
      <c r="G32" s="216">
        <f>SUMIFS('①농산물raw'!$H$6:$H$2454,'①농산물raw'!$A$6:$A$2454,G$28,'①농산물raw'!$B$6:$B$2454,$B32)</f>
        <v/>
      </c>
      <c r="H32" s="216">
        <f>SUMIFS('①농산물raw'!$H$6:$H$2454,'①농산물raw'!$A$6:$A$2454,H$28,'①농산물raw'!$B$6:$B$2454,$B32)</f>
        <v/>
      </c>
      <c r="I32" s="216">
        <f>SUMIFS('①농산물raw'!$H$6:$H$2454,'①농산물raw'!$A$6:$A$2454,I$28,'①농산물raw'!$B$6:$B$2454,$B32)</f>
        <v/>
      </c>
      <c r="J32" s="216">
        <f>SUMIFS('①농산물raw'!$H$6:$H$2454,'①농산물raw'!$A$6:$A$2454,J$28,'①농산물raw'!$B$6:$B$2454,$B32)</f>
        <v/>
      </c>
      <c r="K32" s="44">
        <f>SUM(L32:M32)</f>
        <v/>
      </c>
      <c r="L32" s="216">
        <f>SUMIFS('②유기농raw'!$H$6:$H$1000,'②유기농raw'!$A$6:$A$1000,L$28,'②유기농raw'!$B$6:$B$1000,$B32)</f>
        <v/>
      </c>
      <c r="M32" s="216">
        <f>SUMIFS('②유기농raw'!$H$6:$H$1000,'②유기농raw'!$A$6:$A$1000,M$28,'②유기농raw'!$B$6:$B$1000,$B32)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SUMIFS('①농산물raw'!$G$6:$G$2454,'①농산물raw'!$A$6:$A$2454,E$36,'①농산물raw'!$B$6:$B$2454,$B38)</f>
        <v/>
      </c>
      <c r="F38" s="216">
        <f>SUMIFS('①농산물raw'!$G$6:$G$2454,'①농산물raw'!$A$6:$A$2454,F$36,'①농산물raw'!$B$6:$B$2454,$B38)</f>
        <v/>
      </c>
      <c r="G38" s="216">
        <f>SUMIFS('①농산물raw'!$G$6:$G$2454,'①농산물raw'!$A$6:$A$2454,G$36,'①농산물raw'!$B$6:$B$2454,$B38)</f>
        <v/>
      </c>
      <c r="H38" s="216">
        <f>SUMIFS('①농산물raw'!$G$6:$G$2454,'①농산물raw'!$A$6:$A$2454,H$36,'①농산물raw'!$B$6:$B$2454,$B38)</f>
        <v/>
      </c>
      <c r="I38" s="216">
        <f>SUMIFS('①농산물raw'!$G$6:$G$2454,'①농산물raw'!$A$6:$A$2454,I$36,'①농산물raw'!$B$6:$B$2454,$B38)</f>
        <v/>
      </c>
      <c r="J38" s="216">
        <f>SUMIFS('①농산물raw'!$G$6:$G$2454,'①농산물raw'!$A$6:$A$2454,J$36,'①농산물raw'!$B$6:$B$2454,$B38)</f>
        <v/>
      </c>
      <c r="K38" s="44">
        <f>SUM(L38:M38)</f>
        <v/>
      </c>
      <c r="L38" s="216">
        <f>SUMIFS('②유기농raw'!$G$6:$G$1000,'②유기농raw'!$A$6:$A$1000,L$36,'②유기농raw'!$B$6:$B$1000,$B38)</f>
        <v/>
      </c>
      <c r="M38" s="216">
        <f>SUMIFS('②유기농raw'!$G$6:$G$1000,'②유기농raw'!$A$6:$A$1000,M$36,'②유기농raw'!$B$6:$B$1000,$B38)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SUMIFS('①농산물raw'!$G$6:$G$2454,'①농산물raw'!$A$6:$A$2454,E$36,'①농산물raw'!$B$6:$B$2454,$B39)</f>
        <v/>
      </c>
      <c r="F39" s="216">
        <f>SUMIFS('①농산물raw'!$G$6:$G$2454,'①농산물raw'!$A$6:$A$2454,F$36,'①농산물raw'!$B$6:$B$2454,$B39)</f>
        <v/>
      </c>
      <c r="G39" s="216">
        <f>SUMIFS('①농산물raw'!$G$6:$G$2454,'①농산물raw'!$A$6:$A$2454,G$36,'①농산물raw'!$B$6:$B$2454,$B39)</f>
        <v/>
      </c>
      <c r="H39" s="216">
        <f>SUMIFS('①농산물raw'!$G$6:$G$2454,'①농산물raw'!$A$6:$A$2454,H$36,'①농산물raw'!$B$6:$B$2454,$B39)</f>
        <v/>
      </c>
      <c r="I39" s="216">
        <f>SUMIFS('①농산물raw'!$G$6:$G$2454,'①농산물raw'!$A$6:$A$2454,I$36,'①농산물raw'!$B$6:$B$2454,$B39)</f>
        <v/>
      </c>
      <c r="J39" s="216">
        <f>SUMIFS('①농산물raw'!$G$6:$G$2454,'①농산물raw'!$A$6:$A$2454,J$36,'①농산물raw'!$B$6:$B$2454,$B39)</f>
        <v/>
      </c>
      <c r="K39" s="44">
        <f>SUM(L39:M39)</f>
        <v/>
      </c>
      <c r="L39" s="216">
        <f>SUMIFS('②유기농raw'!$G$6:$G$1000,'②유기농raw'!$A$6:$A$1000,L$36,'②유기농raw'!$B$6:$B$1000,$B39)</f>
        <v/>
      </c>
      <c r="M39" s="216">
        <f>SUMIFS('②유기농raw'!$G$6:$G$1000,'②유기농raw'!$A$6:$A$1000,M$36,'②유기농raw'!$B$6:$B$1000,$B39)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SUMIFS('①농산물raw'!$G$6:$G$2454,'①농산물raw'!$A$6:$A$2454,E$36,'①농산물raw'!$B$6:$B$2454,$B40)</f>
        <v/>
      </c>
      <c r="F40" s="216">
        <f>SUMIFS('①농산물raw'!$G$6:$G$2454,'①농산물raw'!$A$6:$A$2454,F$36,'①농산물raw'!$B$6:$B$2454,$B40)</f>
        <v/>
      </c>
      <c r="G40" s="216">
        <f>SUMIFS('①농산물raw'!$G$6:$G$2454,'①농산물raw'!$A$6:$A$2454,G$36,'①농산물raw'!$B$6:$B$2454,$B40)</f>
        <v/>
      </c>
      <c r="H40" s="216">
        <f>SUMIFS('①농산물raw'!$G$6:$G$2454,'①농산물raw'!$A$6:$A$2454,H$36,'①농산물raw'!$B$6:$B$2454,$B40)</f>
        <v/>
      </c>
      <c r="I40" s="216">
        <f>SUMIFS('①농산물raw'!$G$6:$G$2454,'①농산물raw'!$A$6:$A$2454,I$36,'①농산물raw'!$B$6:$B$2454,$B40)</f>
        <v/>
      </c>
      <c r="J40" s="216">
        <f>SUMIFS('①농산물raw'!$G$6:$G$2454,'①농산물raw'!$A$6:$A$2454,J$36,'①농산물raw'!$B$6:$B$2454,$B40)</f>
        <v/>
      </c>
      <c r="K40" s="44">
        <f>SUM(L40:M40)</f>
        <v/>
      </c>
      <c r="L40" s="216">
        <f>SUMIFS('②유기농raw'!$G$6:$G$1000,'②유기농raw'!$A$6:$A$1000,L$36,'②유기농raw'!$B$6:$B$1000,$B40)</f>
        <v/>
      </c>
      <c r="M40" s="216">
        <f>SUMIFS('②유기농raw'!$G$6:$G$1000,'②유기농raw'!$A$6:$A$1000,M$36,'②유기농raw'!$B$6:$B$1000,$B40)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SUMIFS('①농산물raw'!$F$6:$F$2454,'①농산물raw'!$A$6:$A$2454,E$44,'①농산물raw'!$B$6:$B$2454,$B46)</f>
        <v/>
      </c>
      <c r="F46" s="216">
        <f>SUMIFS('①농산물raw'!$F$6:$F$2454,'①농산물raw'!$A$6:$A$2454,F$44,'①농산물raw'!$B$6:$B$2454,$B46)</f>
        <v/>
      </c>
      <c r="G46" s="216">
        <f>SUMIFS('①농산물raw'!$F$6:$F$2454,'①농산물raw'!$A$6:$A$2454,G$44,'①농산물raw'!$B$6:$B$2454,$B46)</f>
        <v/>
      </c>
      <c r="H46" s="216">
        <f>SUMIFS('①농산물raw'!$F$6:$F$2454,'①농산물raw'!$A$6:$A$2454,H$44,'①농산물raw'!$B$6:$B$2454,$B46)</f>
        <v/>
      </c>
      <c r="I46" s="216">
        <f>SUMIFS('①농산물raw'!$F$6:$F$2454,'①농산물raw'!$A$6:$A$2454,I$44,'①농산물raw'!$B$6:$B$2454,$B46)</f>
        <v/>
      </c>
      <c r="J46" s="216">
        <f>SUMIFS('①농산물raw'!$F$6:$F$2454,'①농산물raw'!$A$6:$A$2454,J$44,'①농산물raw'!$B$6:$B$2454,$B46)</f>
        <v/>
      </c>
      <c r="K46" s="44">
        <f>SUM(L46:M46)</f>
        <v/>
      </c>
      <c r="L46" s="216">
        <f>SUMIFS('②유기농raw'!$F$6:$F$1000,'②유기농raw'!$A$6:$A$1000,L$44,'②유기농raw'!$B$6:$B$1000,$B46)</f>
        <v/>
      </c>
      <c r="M46" s="216">
        <f>SUMIFS('②유기농raw'!$F$6:$F$1000,'②유기농raw'!$A$6:$A$1000,M$44,'②유기농raw'!$B$6:$B$1000,$B46)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SUMIFS('①농산물raw'!$F$6:$F$2454,'①농산물raw'!$A$6:$A$2454,E$44,'①농산물raw'!$B$6:$B$2454,$B47)</f>
        <v/>
      </c>
      <c r="F47" s="216">
        <f>SUMIFS('①농산물raw'!$F$6:$F$2454,'①농산물raw'!$A$6:$A$2454,F$44,'①농산물raw'!$B$6:$B$2454,$B47)</f>
        <v/>
      </c>
      <c r="G47" s="216">
        <f>SUMIFS('①농산물raw'!$F$6:$F$2454,'①농산물raw'!$A$6:$A$2454,G$44,'①농산물raw'!$B$6:$B$2454,$B47)</f>
        <v/>
      </c>
      <c r="H47" s="216">
        <f>SUMIFS('①농산물raw'!$F$6:$F$2454,'①농산물raw'!$A$6:$A$2454,H$44,'①농산물raw'!$B$6:$B$2454,$B47)</f>
        <v/>
      </c>
      <c r="I47" s="216">
        <f>SUMIFS('①농산물raw'!$F$6:$F$2454,'①농산물raw'!$A$6:$A$2454,I$44,'①농산물raw'!$B$6:$B$2454,$B47)</f>
        <v/>
      </c>
      <c r="J47" s="216">
        <f>SUMIFS('①농산물raw'!$F$6:$F$2454,'①농산물raw'!$A$6:$A$2454,J$44,'①농산물raw'!$B$6:$B$2454,$B47)</f>
        <v/>
      </c>
      <c r="K47" s="44">
        <f>SUM(L47:M47)</f>
        <v/>
      </c>
      <c r="L47" s="216">
        <f>SUMIFS('②유기농raw'!$F$6:$F$1000,'②유기농raw'!$A$6:$A$1000,L$44,'②유기농raw'!$B$6:$B$1000,$B47)</f>
        <v/>
      </c>
      <c r="M47" s="216">
        <f>SUMIFS('②유기농raw'!$F$6:$F$1000,'②유기농raw'!$A$6:$A$1000,M$44,'②유기농raw'!$B$6:$B$1000,$B47)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SUMIFS('①농산물raw'!$F$6:$F$2454,'①농산물raw'!$A$6:$A$2454,E$44,'①농산물raw'!$B$6:$B$2454,$B48)</f>
        <v/>
      </c>
      <c r="F48" s="216">
        <f>SUMIFS('①농산물raw'!$F$6:$F$2454,'①농산물raw'!$A$6:$A$2454,F$44,'①농산물raw'!$B$6:$B$2454,$B48)</f>
        <v/>
      </c>
      <c r="G48" s="216">
        <f>SUMIFS('①농산물raw'!$F$6:$F$2454,'①농산물raw'!$A$6:$A$2454,G$44,'①농산물raw'!$B$6:$B$2454,$B48)</f>
        <v/>
      </c>
      <c r="H48" s="216">
        <f>SUMIFS('①농산물raw'!$F$6:$F$2454,'①농산물raw'!$A$6:$A$2454,H$44,'①농산물raw'!$B$6:$B$2454,$B48)</f>
        <v/>
      </c>
      <c r="I48" s="216">
        <f>SUMIFS('①농산물raw'!$F$6:$F$2454,'①농산물raw'!$A$6:$A$2454,I$44,'①농산물raw'!$B$6:$B$2454,$B48)</f>
        <v/>
      </c>
      <c r="J48" s="216">
        <f>SUMIFS('①농산물raw'!$F$6:$F$2454,'①농산물raw'!$A$6:$A$2454,J$44,'①농산물raw'!$B$6:$B$2454,$B48)</f>
        <v/>
      </c>
      <c r="K48" s="44">
        <f>SUM(L48:M48)</f>
        <v/>
      </c>
      <c r="L48" s="216">
        <f>SUMIFS('②유기농raw'!$F$6:$F$1000,'②유기농raw'!$A$6:$A$1000,L$44,'②유기농raw'!$B$6:$B$1000,$B48)</f>
        <v/>
      </c>
      <c r="M48" s="216">
        <f>SUMIFS('②유기농raw'!$F$6:$F$1000,'②유기농raw'!$A$6:$A$1000,M$44,'②유기농raw'!$B$6:$B$1000,$B48)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SUMIF('①농산물raw'!$A$6:$A$2454,E$61,'①농산물raw'!$H$6:$H$2454)-E63</f>
        <v/>
      </c>
      <c r="F64" s="120">
        <f>SUMIF('①농산물raw'!$A$6:$A$2454,F$61,'①농산물raw'!$H$6:$H$2454)-F63</f>
        <v/>
      </c>
      <c r="G64" s="120">
        <f>SUMIF('①농산물raw'!$A$6:$A$2454,G$61,'①농산물raw'!$H$6:$H$2454)-G63</f>
        <v/>
      </c>
      <c r="H64" s="120">
        <f>SUMIF('①농산물raw'!$A$6:$A$2454,H$61,'①농산물raw'!$H$6:$H$2454)-H63</f>
        <v/>
      </c>
      <c r="I64" s="120">
        <f>SUMIF('①농산물raw'!$A$6:$A$2454,I$61,'①농산물raw'!$H$6:$H$2454)-I63</f>
        <v/>
      </c>
      <c r="J64" s="120">
        <f>SUMIF('①농산물raw'!$A$6:$A$2454,J$61,'①농산물raw'!$H$6:$H$2454)-J63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SUMIF('①농산물raw'!$A$6:$A$2454,E$69,'①농산물raw'!$G$6:$G$2454)-E71</f>
        <v/>
      </c>
      <c r="F72" s="120">
        <f>SUMIF('①농산물raw'!$A$6:$A$2454,F$69,'①농산물raw'!$G$6:$G$2454)-F71</f>
        <v/>
      </c>
      <c r="G72" s="120">
        <f>SUMIF('①농산물raw'!$A$6:$A$2454,G$69,'①농산물raw'!$G$6:$G$2454)-G71</f>
        <v/>
      </c>
      <c r="H72" s="120">
        <f>SUMIF('①농산물raw'!$A$6:$A$2454,H$69,'①농산물raw'!$G$6:$G$2454)-H71</f>
        <v/>
      </c>
      <c r="I72" s="120">
        <f>SUMIF('①농산물raw'!$A$6:$A$2454,I$69,'①농산물raw'!$G$6:$G$2454)-I71</f>
        <v/>
      </c>
      <c r="J72" s="120">
        <f>SUMIF('①농산물raw'!$A$6:$A$2454,J$69,'①농산물raw'!$G$6:$G$2454)-J71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SUMIF('①농산물raw'!$A$6:$A$2454,E$75,'①농산물raw'!$F$6:$F$2454)-E77</f>
        <v/>
      </c>
      <c r="F78" s="120">
        <f>SUMIF('①농산물raw'!$A$6:$A$2454,F$75,'①농산물raw'!$F$6:$F$2454)-F77</f>
        <v/>
      </c>
      <c r="G78" s="120">
        <f>SUMIF('①농산물raw'!$A$6:$A$2454,G$75,'①농산물raw'!$F$6:$F$2454)-G77</f>
        <v/>
      </c>
      <c r="H78" s="120">
        <f>SUMIF('①농산물raw'!$A$6:$A$2454,H$75,'①농산물raw'!$F$6:$F$2454)-H77</f>
        <v/>
      </c>
      <c r="I78" s="120">
        <f>SUMIF('①농산물raw'!$A$6:$A$2454,I$75,'①농산물raw'!$F$6:$F$2454)-I77</f>
        <v/>
      </c>
      <c r="J78" s="120">
        <f>SUMIF('①농산물raw'!$A$6:$A$2454,J$75,'①농산물raw'!$F$6:$F$2454)-J77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SUMIFS('①농산물raw'!$H$6:$H$2454,'①농산물raw'!$A$6:$A$2454,E$81,'①농산물raw'!$B$6:$B$2454,$B83)-E84</f>
        <v/>
      </c>
      <c r="F85" s="120">
        <f>SUMIFS('①농산물raw'!$H$6:$H$2454,'①농산물raw'!$A$6:$A$2454,F$81,'①농산물raw'!$B$6:$B$2454,$B83)-F84</f>
        <v/>
      </c>
      <c r="G85" s="120">
        <f>SUMIFS('①농산물raw'!$H$6:$H$2454,'①농산물raw'!$A$6:$A$2454,G$81,'①농산물raw'!$B$6:$B$2454,$B83)-G84</f>
        <v/>
      </c>
      <c r="H85" s="120">
        <f>SUMIFS('①농산물raw'!$H$6:$H$2454,'①농산물raw'!$A$6:$A$2454,H$81,'①농산물raw'!$B$6:$B$2454,$B83)-H84</f>
        <v/>
      </c>
      <c r="I85" s="120">
        <f>SUMIFS('①농산물raw'!$H$6:$H$2454,'①농산물raw'!$A$6:$A$2454,I$81,'①농산물raw'!$B$6:$B$2454,$B83)-I84</f>
        <v/>
      </c>
      <c r="J85" s="120">
        <f>SUMIFS('①농산물raw'!$H$6:$H$2454,'①농산물raw'!$A$6:$A$2454,J$81,'①농산물raw'!$B$6:$B$2454,$B83)-J84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SUMIFS('①농산물raw'!$H$6:$H$2454,'①농산물raw'!$A$6:$A$2454,E$81,'①농산물raw'!$B$6:$B$2454,$B86)-E87</f>
        <v/>
      </c>
      <c r="F88" s="120">
        <f>SUMIFS('①농산물raw'!$H$6:$H$2454,'①농산물raw'!$A$6:$A$2454,F$81,'①농산물raw'!$B$6:$B$2454,$B86)-F87</f>
        <v/>
      </c>
      <c r="G88" s="120">
        <f>SUMIFS('①농산물raw'!$H$6:$H$2454,'①농산물raw'!$A$6:$A$2454,G$81,'①농산물raw'!$B$6:$B$2454,$B86)-G87</f>
        <v/>
      </c>
      <c r="H88" s="120">
        <f>SUMIFS('①농산물raw'!$H$6:$H$2454,'①농산물raw'!$A$6:$A$2454,H$81,'①농산물raw'!$B$6:$B$2454,$B86)-H87</f>
        <v/>
      </c>
      <c r="I88" s="120">
        <f>SUMIFS('①농산물raw'!$H$6:$H$2454,'①농산물raw'!$A$6:$A$2454,I$81,'①농산물raw'!$B$6:$B$2454,$B86)-I87</f>
        <v/>
      </c>
      <c r="J88" s="120">
        <f>SUMIFS('①농산물raw'!$H$6:$H$2454,'①농산물raw'!$A$6:$A$2454,J$81,'①농산물raw'!$B$6:$B$2454,$B86)-J87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SUMIFS('①농산물raw'!$H$6:$H$2454,'①농산물raw'!$A$6:$A$2454,E$81,'①농산물raw'!$B$6:$B$2454,$B89)-E90</f>
        <v/>
      </c>
      <c r="F91" s="120">
        <f>SUMIFS('①농산물raw'!$H$6:$H$2454,'①농산물raw'!$A$6:$A$2454,F$81,'①농산물raw'!$B$6:$B$2454,$B89)-F90</f>
        <v/>
      </c>
      <c r="G91" s="120">
        <f>SUMIFS('①농산물raw'!$H$6:$H$2454,'①농산물raw'!$A$6:$A$2454,G$81,'①농산물raw'!$B$6:$B$2454,$B89)-G90</f>
        <v/>
      </c>
      <c r="H91" s="120">
        <f>SUMIFS('①농산물raw'!$H$6:$H$2454,'①농산물raw'!$A$6:$A$2454,H$81,'①농산물raw'!$B$6:$B$2454,$B89)-H90</f>
        <v/>
      </c>
      <c r="I91" s="120">
        <f>SUMIFS('①농산물raw'!$H$6:$H$2454,'①농산물raw'!$A$6:$A$2454,I$81,'①농산물raw'!$B$6:$B$2454,$B89)-I90</f>
        <v/>
      </c>
      <c r="J91" s="120">
        <f>SUMIFS('①농산물raw'!$H$6:$H$2454,'①농산물raw'!$A$6:$A$2454,J$81,'①농산물raw'!$B$6:$B$2454,$B89)-J90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SUMIFS('①농산물raw'!$G$6:$G$2454,'①농산물raw'!$A$6:$A$2454,E$94,'①농산물raw'!$B$6:$B$2454,$B96)-E97</f>
        <v/>
      </c>
      <c r="F98" s="120">
        <f>SUMIFS('①농산물raw'!$G$6:$G$2454,'①농산물raw'!$A$6:$A$2454,F$94,'①농산물raw'!$B$6:$B$2454,$B96)-F97</f>
        <v/>
      </c>
      <c r="G98" s="120">
        <f>SUMIFS('①농산물raw'!$G$6:$G$2454,'①농산물raw'!$A$6:$A$2454,G$94,'①농산물raw'!$B$6:$B$2454,$B96)-G97</f>
        <v/>
      </c>
      <c r="H98" s="120">
        <f>SUMIFS('①농산물raw'!$G$6:$G$2454,'①농산물raw'!$A$6:$A$2454,H$94,'①농산물raw'!$B$6:$B$2454,$B96)-H97</f>
        <v/>
      </c>
      <c r="I98" s="120">
        <f>SUMIFS('①농산물raw'!$G$6:$G$2454,'①농산물raw'!$A$6:$A$2454,I$94,'①농산물raw'!$B$6:$B$2454,$B96)-I97</f>
        <v/>
      </c>
      <c r="J98" s="120">
        <f>SUMIFS('①농산물raw'!$G$6:$G$2454,'①농산물raw'!$A$6:$A$2454,J$94,'①농산물raw'!$B$6:$B$2454,$B96)-J97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SUMIFS('①농산물raw'!$G$6:$G$2454,'①농산물raw'!$A$6:$A$2454,E$94,'①농산물raw'!$B$6:$B$2454,$B99)-E100</f>
        <v/>
      </c>
      <c r="F101" s="120">
        <f>SUMIFS('①농산물raw'!$G$6:$G$2454,'①농산물raw'!$A$6:$A$2454,F$94,'①농산물raw'!$B$6:$B$2454,$B99)-F100</f>
        <v/>
      </c>
      <c r="G101" s="120">
        <f>SUMIFS('①농산물raw'!$G$6:$G$2454,'①농산물raw'!$A$6:$A$2454,G$94,'①농산물raw'!$B$6:$B$2454,$B99)-G100</f>
        <v/>
      </c>
      <c r="H101" s="120">
        <f>SUMIFS('①농산물raw'!$G$6:$G$2454,'①농산물raw'!$A$6:$A$2454,H$94,'①농산물raw'!$B$6:$B$2454,$B99)-H100</f>
        <v/>
      </c>
      <c r="I101" s="120">
        <f>SUMIFS('①농산물raw'!$G$6:$G$2454,'①농산물raw'!$A$6:$A$2454,I$94,'①농산물raw'!$B$6:$B$2454,$B99)-I100</f>
        <v/>
      </c>
      <c r="J101" s="120">
        <f>SUMIFS('①농산물raw'!$G$6:$G$2454,'①농산물raw'!$A$6:$A$2454,J$94,'①농산물raw'!$B$6:$B$2454,$B99)-J100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SUMIFS('①농산물raw'!$G$6:$G$2454,'①농산물raw'!$A$6:$A$2454,E$94,'①농산물raw'!$B$6:$B$2454,$B102)-E103</f>
        <v/>
      </c>
      <c r="F104" s="120">
        <f>SUMIFS('①농산물raw'!$G$6:$G$2454,'①농산물raw'!$A$6:$A$2454,F$94,'①농산물raw'!$B$6:$B$2454,$B102)-F103</f>
        <v/>
      </c>
      <c r="G104" s="120">
        <f>SUMIFS('①농산물raw'!$G$6:$G$2454,'①농산물raw'!$A$6:$A$2454,G$94,'①농산물raw'!$B$6:$B$2454,$B102)-G103</f>
        <v/>
      </c>
      <c r="H104" s="120">
        <f>SUMIFS('①농산물raw'!$G$6:$G$2454,'①농산물raw'!$A$6:$A$2454,H$94,'①농산물raw'!$B$6:$B$2454,$B102)-H103</f>
        <v/>
      </c>
      <c r="I104" s="120">
        <f>SUMIFS('①농산물raw'!$G$6:$G$2454,'①농산물raw'!$A$6:$A$2454,I$94,'①농산물raw'!$B$6:$B$2454,$B102)-I103</f>
        <v/>
      </c>
      <c r="J104" s="120">
        <f>SUMIFS('①농산물raw'!$G$6:$G$2454,'①농산물raw'!$A$6:$A$2454,J$94,'①농산물raw'!$B$6:$B$2454,$B102)-J103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SUMIFS('①농산물raw'!$F$6:$F$2454,'①농산물raw'!$A$6:$A$2454,E$107,'①농산물raw'!$B$6:$B$2454,$B109)-E110</f>
        <v/>
      </c>
      <c r="F111" s="120">
        <f>SUMIFS('①농산물raw'!$F$6:$F$2454,'①농산물raw'!$A$6:$A$2454,F$107,'①농산물raw'!$B$6:$B$2454,$B109)-F110</f>
        <v/>
      </c>
      <c r="G111" s="120">
        <f>SUMIFS('①농산물raw'!$F$6:$F$2454,'①농산물raw'!$A$6:$A$2454,G$107,'①농산물raw'!$B$6:$B$2454,$B109)-G110</f>
        <v/>
      </c>
      <c r="H111" s="120">
        <f>SUMIFS('①농산물raw'!$F$6:$F$2454,'①농산물raw'!$A$6:$A$2454,H$107,'①농산물raw'!$B$6:$B$2454,$B109)-H110</f>
        <v/>
      </c>
      <c r="I111" s="120">
        <f>SUMIFS('①농산물raw'!$F$6:$F$2454,'①농산물raw'!$A$6:$A$2454,I$107,'①농산물raw'!$B$6:$B$2454,$B109)-I110</f>
        <v/>
      </c>
      <c r="J111" s="120">
        <f>SUMIFS('①농산물raw'!$F$6:$F$2454,'①농산물raw'!$A$6:$A$2454,J$107,'①농산물raw'!$B$6:$B$2454,$B109)-J110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SUMIFS('①농산물raw'!$F$6:$F$2454,'①농산물raw'!$A$6:$A$2454,E$107,'①농산물raw'!$B$6:$B$2454,$B112)-E113</f>
        <v/>
      </c>
      <c r="F114" s="120">
        <f>SUMIFS('①농산물raw'!$F$6:$F$2454,'①농산물raw'!$A$6:$A$2454,F$107,'①농산물raw'!$B$6:$B$2454,$B112)-F113</f>
        <v/>
      </c>
      <c r="G114" s="120">
        <f>SUMIFS('①농산물raw'!$F$6:$F$2454,'①농산물raw'!$A$6:$A$2454,G$107,'①농산물raw'!$B$6:$B$2454,$B112)-G113</f>
        <v/>
      </c>
      <c r="H114" s="120">
        <f>SUMIFS('①농산물raw'!$F$6:$F$2454,'①농산물raw'!$A$6:$A$2454,H$107,'①농산물raw'!$B$6:$B$2454,$B112)-H113</f>
        <v/>
      </c>
      <c r="I114" s="120">
        <f>SUMIFS('①농산물raw'!$F$6:$F$2454,'①농산물raw'!$A$6:$A$2454,I$107,'①농산물raw'!$B$6:$B$2454,$B112)-I113</f>
        <v/>
      </c>
      <c r="J114" s="120">
        <f>SUMIFS('①농산물raw'!$F$6:$F$2454,'①농산물raw'!$A$6:$A$2454,J$107,'①농산물raw'!$B$6:$B$2454,$B112)-J113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SUMIFS('①농산물raw'!$F$6:$F$2454,'①농산물raw'!$A$6:$A$2454,E$107,'①농산물raw'!$B$6:$B$2454,$B115)-E116</f>
        <v/>
      </c>
      <c r="F117" s="120">
        <f>SUMIFS('①농산물raw'!$F$6:$F$2454,'①농산물raw'!$A$6:$A$2454,F$107,'①농산물raw'!$B$6:$B$2454,$B115)-F116</f>
        <v/>
      </c>
      <c r="G117" s="120">
        <f>SUMIFS('①농산물raw'!$F$6:$F$2454,'①농산물raw'!$A$6:$A$2454,G$107,'①농산물raw'!$B$6:$B$2454,$B115)-G116</f>
        <v/>
      </c>
      <c r="H117" s="120">
        <f>SUMIFS('①농산물raw'!$F$6:$F$2454,'①농산물raw'!$A$6:$A$2454,H$107,'①농산물raw'!$B$6:$B$2454,$B115)-H116</f>
        <v/>
      </c>
      <c r="I117" s="120">
        <f>SUMIFS('①농산물raw'!$F$6:$F$2454,'①농산물raw'!$A$6:$A$2454,I$107,'①농산물raw'!$B$6:$B$2454,$B115)-I116</f>
        <v/>
      </c>
      <c r="J117" s="120">
        <f>SUMIFS('①농산물raw'!$F$6:$F$2454,'①농산물raw'!$A$6:$A$2454,J$107,'①농산물raw'!$B$6:$B$2454,$B115)-J116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SUMIF('②유기농raw'!$A$6:$A$1000,E$130,'②유기농raw'!$H$6:$H$1000)-E132</f>
        <v/>
      </c>
      <c r="F133" s="120">
        <f>SUMIF('②유기농raw'!$A$6:$A$1000,F$130,'②유기농raw'!$H$6:$H$1000)-F132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SUMIF('②유기농raw'!$A$6:$A$1000,E$138,'②유기농raw'!$G$6:$G$1000)-E140</f>
        <v/>
      </c>
      <c r="F141" s="120">
        <f>SUMIF('②유기농raw'!$A$6:$A$1000,F$138,'②유기농raw'!$G$6:$G$1000)-F140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SUMIF('②유기농raw'!$A$6:$A$1000,E$144,'②유기농raw'!$F$6:$F$1000)-E146</f>
        <v/>
      </c>
      <c r="F147" s="120">
        <f>SUMIF('②유기농raw'!$A$6:$A$1000,F$144,'②유기농raw'!$F$6:$F$1000)-F146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SUMIFS('②유기농raw'!$H$6:$H$1000,'②유기농raw'!$A$6:$A$1000,E$150,'②유기농raw'!$B$6:$B$1000,$B152)-E153</f>
        <v/>
      </c>
      <c r="F154" s="120">
        <f>SUMIFS('②유기농raw'!$H$6:$H$1000,'②유기농raw'!$A$6:$A$1000,F$150,'②유기농raw'!$B$6:$B$1000,$B152)-F153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SUMIFS('②유기농raw'!$H$6:$H$1000,'②유기농raw'!$A$6:$A$1000,E$150,'②유기농raw'!$B$6:$B$1000,$B155)-E156</f>
        <v/>
      </c>
      <c r="F157" s="120">
        <f>SUMIFS('②유기농raw'!$H$6:$H$1000,'②유기농raw'!$A$6:$A$1000,F$150,'②유기농raw'!$B$6:$B$1000,$B155)-F156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SUMIFS('②유기농raw'!$H$6:$H$1000,'②유기농raw'!$A$6:$A$1000,E$150,'②유기농raw'!$B$6:$B$1000,$B158)-E159</f>
        <v/>
      </c>
      <c r="F160" s="120">
        <f>SUMIFS('②유기농raw'!$H$6:$H$1000,'②유기농raw'!$A$6:$A$1000,F$150,'②유기농raw'!$B$6:$B$1000,$B158)-F159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SUMIFS('②유기농raw'!$G$6:$G$1000,'②유기농raw'!$A$6:$A$1000,E$163,'②유기농raw'!$B$6:$B$1000,$B165)-E166</f>
        <v/>
      </c>
      <c r="F167" s="120">
        <f>SUMIFS('②유기농raw'!$G$6:$G$1000,'②유기농raw'!$A$6:$A$1000,F$163,'②유기농raw'!$B$6:$B$1000,$B165)-F166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SUMIFS('②유기농raw'!$G$6:$G$1000,'②유기농raw'!$A$6:$A$1000,E$163,'②유기농raw'!$B$6:$B$1000,$B168)-E169</f>
        <v/>
      </c>
      <c r="F170" s="120">
        <f>SUMIFS('②유기농raw'!$G$6:$G$1000,'②유기농raw'!$A$6:$A$1000,F$163,'②유기농raw'!$B$6:$B$1000,$B168)-F169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SUMIFS('②유기농raw'!$G$6:$G$1000,'②유기농raw'!$A$6:$A$1000,E$163,'②유기농raw'!$B$6:$B$1000,$B171)-E172</f>
        <v/>
      </c>
      <c r="F173" s="120">
        <f>SUMIFS('②유기농raw'!$G$6:$G$1000,'②유기농raw'!$A$6:$A$1000,F$163,'②유기농raw'!$B$6:$B$1000,$B171)-F172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SUMIFS('②유기농raw'!$F$6:$F$1000,'②유기농raw'!$A$6:$A$1000,E$176,'②유기농raw'!$B$6:$B$1000,$B178)-E179</f>
        <v/>
      </c>
      <c r="F180" s="120">
        <f>SUMIFS('②유기농raw'!$F$6:$F$1000,'②유기농raw'!$A$6:$A$1000,F$176,'②유기농raw'!$B$6:$B$1000,$B178)-F179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SUMIFS('②유기농raw'!$F$6:$F$1000,'②유기농raw'!$A$6:$A$1000,E$176,'②유기농raw'!$B$6:$B$1000,$B181)-E182</f>
        <v/>
      </c>
      <c r="F183" s="120">
        <f>SUMIFS('②유기농raw'!$F$6:$F$1000,'②유기농raw'!$A$6:$A$1000,F$176,'②유기농raw'!$B$6:$B$1000,$B181)-F182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SUMIFS('②유기농raw'!$F$6:$F$1000,'②유기농raw'!$A$6:$A$1000,E$176,'②유기농raw'!$B$6:$B$1000,$B184)-E185</f>
        <v/>
      </c>
      <c r="F186" s="120">
        <f>SUMIFS('②유기농raw'!$F$6:$F$1000,'②유기농raw'!$A$6:$A$1000,F$176,'②유기농raw'!$B$6:$B$1000,$B184)-F185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 outlineLevelCol="0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 outlineLevelCol="0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N2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0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오등록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농산물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제조가공식품(과채가공품(사과즙/NFC착즙))이나 1차 신선 농산물 원물로 오등록됨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오등록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가공식품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1차 신선 농산물(신선 채소(흙연근 원물))이나 유통사에 가공식품으로 오등록되어 원물 실적에서 누락됨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오등록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가공식품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1차 신선 농산물(신선/건조 임산물(표고버섯 선물세트 원물))이나 유통사에 가공식품으로 오등록되어 원물 실적에서 누락됨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오등록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가공식품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1차 신선 농산물(신선/건조 임산물(표고버섯 선물세트 원물))이나 유통사에 가공식품으로 오등록되어 원물 실적에서 누락됨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오등록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가공식품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1차 신선 농산물(신선/건조 임산물(표고버섯 원물))이나 유통사에 가공식품으로 오등록되어 원물 실적에서 누락됨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오등록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가공식품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1차 신선 농산물(신선/건조 임산물(표고버섯 선물세트 원물))이나 유통사에 가공식품으로 오등록되어 원물 실적에서 누락됨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오등록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가공식품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1차 신선 농산물(신선 채소(깐마늘 원물))이나 유통사에 가공식품으로 오등록되어 원물 실적에서 누락됨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오등록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가공식품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1차 신선 농산물(신선 채소(햇양파 원물))이나 유통사에 가공식품으로 오등록되어 원물 실적에서 누락됨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오등록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가공식품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1차 신선 농산물(신선 과실(먹골배 생과 원물))이나 유통사에 가공식품으로 오등록되어 원물 실적에서 누락됨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오등록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가공식품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1차 신선 농산물(신선 과실(먹골배 생과 원물))이나 유통사에 가공식품으로 오등록되어 원물 실적에서 누락됨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오등록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가공식품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1차 신선 농산물(신선 과실(먹골배 생과 원물))이나 유통사에 가공식품으로 오등록되어 원물 실적에서 누락됨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오등록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가공식품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1차 신선 농산물(신선 과실(먹골배 생과 원물))이나 유통사에 가공식품으로 오등록되어 원물 실적에서 누락됨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오등록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가공식품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1차 신선 농산물(신선 과실(김천포도 생과 원물))이나 유통사에 가공식품으로 오등록되어 원물 실적에서 누락됨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오등록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가공식품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1차 신선 농산물(신선 과실(김천포도 생과 원물))이나 유통사에 가공식품으로 오등록되어 원물 실적에서 누락됨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오등록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가공식품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1차 신선 농산물(신선 과실(김천포도 생과 원물))이나 유통사에 가공식품으로 오등록되어 원물 실적에서 누락됨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오등록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가공식품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1차 신선 농산물(신선 과실(김천포도 생과 원물))이나 유통사에 가공식품으로 오등록되어 원물 실적에서 누락됨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오등록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가공식품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1차 신선 농산물(신선 과실(김천포도 생과 원물))이나 유통사에 가공식품으로 오등록되어 원물 실적에서 누락됨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오등록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가공식품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1차 신선 농산물(신선 과실(김천포도 생과 원물))이나 유통사에 가공식품으로 오등록되어 원물 실적에서 누락됨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2026-09-15T07:11:43Z</dcterms:modified>
  <cp:lastModifiedBy>user</cp:lastModifiedBy>
  <cp:lastPrinted>2021-12-09T01:05:36Z</cp:lastPrinted>
</cp:coreProperties>
</file>