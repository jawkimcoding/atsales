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KPC Vocational Edu Dropbox\KPC_직무교육\03-수탁교육\한국농수산식품유통공사(2026)\8. 기획전\기획전 실적\7월 실적\7월 실적 보고용\"/>
    </mc:Choice>
  </mc:AlternateContent>
  <bookViews>
    <workbookView xWindow="-120" yWindow="-120" windowWidth="38640" windowHeight="15720" activeTab="3"/>
  </bookViews>
  <sheets>
    <sheet name="분석" sheetId="1" r:id="rId1"/>
    <sheet name="농산물업체" sheetId="2" r:id="rId2"/>
    <sheet name="①농산물raw" sheetId="3" r:id="rId3"/>
    <sheet name="유기농업체" sheetId="4" r:id="rId4"/>
    <sheet name="②유기농raw" sheetId="5" r:id="rId5"/>
  </sheets>
  <definedNames>
    <definedName name="_xlnm._FilterDatabase" localSheetId="2" hidden="1">①농산물raw!$A$5:$H$5</definedName>
    <definedName name="_xlnm._FilterDatabase" localSheetId="4" hidden="1">②유기농raw!$A$5:$H$180</definedName>
    <definedName name="_xlnm._FilterDatabase" localSheetId="1" hidden="1">농산물업체!$A$2:$I$287</definedName>
    <definedName name="_xlnm._FilterDatabase" localSheetId="3" hidden="1">유기농업체!$A$2:$I$57</definedName>
    <definedName name="_xlnm.Print_Area" localSheetId="2">①농산물raw!$A$1:$H$5</definedName>
    <definedName name="_xlnm.Print_Area" localSheetId="4">②유기농raw!$A$1:$H$5</definedName>
    <definedName name="_xlnm.Print_Titles" localSheetId="2">①농산물raw!$1:$5</definedName>
    <definedName name="_xlnm.Print_Titles" localSheetId="4">②유기농raw!$1:$5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2" l="1"/>
  <c r="K6" i="1" l="1"/>
  <c r="D6" i="1"/>
  <c r="D7" i="1"/>
  <c r="K7" i="1"/>
  <c r="C7" i="1" l="1"/>
  <c r="H4" i="5" l="1"/>
  <c r="G4" i="5"/>
  <c r="F4" i="5"/>
  <c r="H57" i="4"/>
  <c r="G57" i="4"/>
  <c r="F57" i="4"/>
  <c r="H56" i="4"/>
  <c r="G56" i="4"/>
  <c r="F56" i="4"/>
  <c r="H55" i="4"/>
  <c r="G55" i="4"/>
  <c r="F55" i="4"/>
  <c r="H54" i="4"/>
  <c r="G54" i="4"/>
  <c r="F54" i="4"/>
  <c r="H53" i="4"/>
  <c r="G53" i="4"/>
  <c r="F53" i="4"/>
  <c r="H52" i="4"/>
  <c r="G52" i="4"/>
  <c r="F52" i="4"/>
  <c r="H51" i="4"/>
  <c r="G51" i="4"/>
  <c r="F51" i="4"/>
  <c r="H50" i="4"/>
  <c r="G50" i="4"/>
  <c r="F50" i="4"/>
  <c r="H49" i="4"/>
  <c r="G49" i="4"/>
  <c r="F49" i="4"/>
  <c r="H48" i="4"/>
  <c r="G48" i="4"/>
  <c r="F48" i="4"/>
  <c r="H47" i="4"/>
  <c r="G47" i="4"/>
  <c r="F47" i="4"/>
  <c r="H46" i="4"/>
  <c r="G46" i="4"/>
  <c r="F46" i="4"/>
  <c r="H45" i="4"/>
  <c r="G45" i="4"/>
  <c r="F45" i="4"/>
  <c r="H44" i="4"/>
  <c r="G44" i="4"/>
  <c r="F44" i="4"/>
  <c r="H43" i="4"/>
  <c r="G43" i="4"/>
  <c r="F43" i="4"/>
  <c r="H42" i="4"/>
  <c r="G42" i="4"/>
  <c r="F42" i="4"/>
  <c r="H41" i="4"/>
  <c r="G41" i="4"/>
  <c r="F41" i="4"/>
  <c r="H40" i="4"/>
  <c r="G40" i="4"/>
  <c r="F40" i="4"/>
  <c r="H39" i="4"/>
  <c r="G39" i="4"/>
  <c r="F39" i="4"/>
  <c r="H38" i="4"/>
  <c r="G38" i="4"/>
  <c r="F38" i="4"/>
  <c r="H37" i="4"/>
  <c r="G37" i="4"/>
  <c r="F37" i="4"/>
  <c r="H36" i="4"/>
  <c r="G36" i="4"/>
  <c r="F36" i="4"/>
  <c r="H35" i="4"/>
  <c r="G35" i="4"/>
  <c r="F35" i="4"/>
  <c r="H34" i="4"/>
  <c r="G34" i="4"/>
  <c r="F34" i="4"/>
  <c r="H33" i="4"/>
  <c r="G33" i="4"/>
  <c r="F33" i="4"/>
  <c r="H32" i="4"/>
  <c r="G32" i="4"/>
  <c r="F32" i="4"/>
  <c r="H31" i="4"/>
  <c r="G31" i="4"/>
  <c r="F31" i="4"/>
  <c r="H30" i="4"/>
  <c r="G30" i="4"/>
  <c r="F30" i="4"/>
  <c r="H29" i="4"/>
  <c r="G29" i="4"/>
  <c r="F29" i="4"/>
  <c r="H28" i="4"/>
  <c r="G28" i="4"/>
  <c r="F28" i="4"/>
  <c r="H27" i="4"/>
  <c r="G27" i="4"/>
  <c r="F27" i="4"/>
  <c r="H26" i="4"/>
  <c r="G26" i="4"/>
  <c r="F26" i="4"/>
  <c r="H25" i="4"/>
  <c r="G25" i="4"/>
  <c r="F25" i="4"/>
  <c r="H24" i="4"/>
  <c r="G24" i="4"/>
  <c r="F24" i="4"/>
  <c r="H23" i="4"/>
  <c r="G23" i="4"/>
  <c r="F23" i="4"/>
  <c r="H22" i="4"/>
  <c r="G22" i="4"/>
  <c r="F22" i="4"/>
  <c r="H21" i="4"/>
  <c r="G21" i="4"/>
  <c r="F21" i="4"/>
  <c r="H20" i="4"/>
  <c r="G20" i="4"/>
  <c r="F20" i="4"/>
  <c r="H19" i="4"/>
  <c r="G19" i="4"/>
  <c r="F19" i="4"/>
  <c r="H18" i="4"/>
  <c r="G18" i="4"/>
  <c r="F18" i="4"/>
  <c r="H17" i="4"/>
  <c r="G17" i="4"/>
  <c r="F17" i="4"/>
  <c r="H16" i="4"/>
  <c r="G16" i="4"/>
  <c r="F16" i="4"/>
  <c r="H15" i="4"/>
  <c r="G15" i="4"/>
  <c r="F15" i="4"/>
  <c r="H14" i="4"/>
  <c r="G14" i="4"/>
  <c r="F14" i="4"/>
  <c r="H13" i="4"/>
  <c r="G13" i="4"/>
  <c r="F13" i="4"/>
  <c r="H12" i="4"/>
  <c r="G12" i="4"/>
  <c r="F12" i="4"/>
  <c r="H11" i="4"/>
  <c r="G11" i="4"/>
  <c r="F11" i="4"/>
  <c r="H10" i="4"/>
  <c r="G10" i="4"/>
  <c r="F10" i="4"/>
  <c r="H9" i="4"/>
  <c r="G9" i="4"/>
  <c r="F9" i="4"/>
  <c r="H8" i="4"/>
  <c r="G8" i="4"/>
  <c r="F8" i="4"/>
  <c r="H7" i="4"/>
  <c r="G7" i="4"/>
  <c r="F7" i="4"/>
  <c r="H6" i="4"/>
  <c r="G6" i="4"/>
  <c r="F6" i="4"/>
  <c r="H5" i="4"/>
  <c r="G5" i="4"/>
  <c r="F5" i="4"/>
  <c r="H4" i="4"/>
  <c r="G4" i="4"/>
  <c r="F4" i="4"/>
  <c r="H3" i="4"/>
  <c r="G3" i="4"/>
  <c r="F3" i="4"/>
  <c r="H1129" i="3"/>
  <c r="H1128" i="3"/>
  <c r="H1127" i="3"/>
  <c r="H1124" i="3"/>
  <c r="H1122" i="3"/>
  <c r="H1119" i="3"/>
  <c r="H1117" i="3"/>
  <c r="H1112" i="3"/>
  <c r="G4" i="3"/>
  <c r="F4" i="3"/>
  <c r="H287" i="2"/>
  <c r="G287" i="2"/>
  <c r="F287" i="2"/>
  <c r="H286" i="2"/>
  <c r="G286" i="2"/>
  <c r="F286" i="2"/>
  <c r="H285" i="2"/>
  <c r="G285" i="2"/>
  <c r="F285" i="2"/>
  <c r="H284" i="2"/>
  <c r="G284" i="2"/>
  <c r="F284" i="2"/>
  <c r="H283" i="2"/>
  <c r="G283" i="2"/>
  <c r="F283" i="2"/>
  <c r="H282" i="2"/>
  <c r="G282" i="2"/>
  <c r="F282" i="2"/>
  <c r="H281" i="2"/>
  <c r="G281" i="2"/>
  <c r="F281" i="2"/>
  <c r="H280" i="2"/>
  <c r="G280" i="2"/>
  <c r="F280" i="2"/>
  <c r="H279" i="2"/>
  <c r="G279" i="2"/>
  <c r="F279" i="2"/>
  <c r="H278" i="2"/>
  <c r="G278" i="2"/>
  <c r="F278" i="2"/>
  <c r="H277" i="2"/>
  <c r="G277" i="2"/>
  <c r="F277" i="2"/>
  <c r="H276" i="2"/>
  <c r="G276" i="2"/>
  <c r="F276" i="2"/>
  <c r="H275" i="2"/>
  <c r="G275" i="2"/>
  <c r="F275" i="2"/>
  <c r="H274" i="2"/>
  <c r="G274" i="2"/>
  <c r="F274" i="2"/>
  <c r="G273" i="2"/>
  <c r="F273" i="2"/>
  <c r="G272" i="2"/>
  <c r="F272" i="2"/>
  <c r="H271" i="2"/>
  <c r="G271" i="2"/>
  <c r="F271" i="2"/>
  <c r="H270" i="2"/>
  <c r="G270" i="2"/>
  <c r="F270" i="2"/>
  <c r="H269" i="2"/>
  <c r="G269" i="2"/>
  <c r="F269" i="2"/>
  <c r="H268" i="2"/>
  <c r="G268" i="2"/>
  <c r="F268" i="2"/>
  <c r="H267" i="2"/>
  <c r="G267" i="2"/>
  <c r="F267" i="2"/>
  <c r="H266" i="2"/>
  <c r="G266" i="2"/>
  <c r="F266" i="2"/>
  <c r="H265" i="2"/>
  <c r="G265" i="2"/>
  <c r="F265" i="2"/>
  <c r="H264" i="2"/>
  <c r="G264" i="2"/>
  <c r="F264" i="2"/>
  <c r="H263" i="2"/>
  <c r="G263" i="2"/>
  <c r="F263" i="2"/>
  <c r="H262" i="2"/>
  <c r="G262" i="2"/>
  <c r="F262" i="2"/>
  <c r="H261" i="2"/>
  <c r="G261" i="2"/>
  <c r="F261" i="2"/>
  <c r="H260" i="2"/>
  <c r="G260" i="2"/>
  <c r="F260" i="2"/>
  <c r="H259" i="2"/>
  <c r="G259" i="2"/>
  <c r="F259" i="2"/>
  <c r="H258" i="2"/>
  <c r="G258" i="2"/>
  <c r="F258" i="2"/>
  <c r="H257" i="2"/>
  <c r="G257" i="2"/>
  <c r="F257" i="2"/>
  <c r="H256" i="2"/>
  <c r="G256" i="2"/>
  <c r="F256" i="2"/>
  <c r="H255" i="2"/>
  <c r="G255" i="2"/>
  <c r="F255" i="2"/>
  <c r="H254" i="2"/>
  <c r="G254" i="2"/>
  <c r="F254" i="2"/>
  <c r="H253" i="2"/>
  <c r="G253" i="2"/>
  <c r="F253" i="2"/>
  <c r="H252" i="2"/>
  <c r="G252" i="2"/>
  <c r="F252" i="2"/>
  <c r="H251" i="2"/>
  <c r="G251" i="2"/>
  <c r="F251" i="2"/>
  <c r="H250" i="2"/>
  <c r="G250" i="2"/>
  <c r="F250" i="2"/>
  <c r="H249" i="2"/>
  <c r="G249" i="2"/>
  <c r="F249" i="2"/>
  <c r="H248" i="2"/>
  <c r="G248" i="2"/>
  <c r="F248" i="2"/>
  <c r="H247" i="2"/>
  <c r="G247" i="2"/>
  <c r="F247" i="2"/>
  <c r="H246" i="2"/>
  <c r="G246" i="2"/>
  <c r="F246" i="2"/>
  <c r="H245" i="2"/>
  <c r="G245" i="2"/>
  <c r="F245" i="2"/>
  <c r="H244" i="2"/>
  <c r="G244" i="2"/>
  <c r="F244" i="2"/>
  <c r="H243" i="2"/>
  <c r="G243" i="2"/>
  <c r="F243" i="2"/>
  <c r="H242" i="2"/>
  <c r="G242" i="2"/>
  <c r="F242" i="2"/>
  <c r="H241" i="2"/>
  <c r="G241" i="2"/>
  <c r="F241" i="2"/>
  <c r="H240" i="2"/>
  <c r="G240" i="2"/>
  <c r="F240" i="2"/>
  <c r="H239" i="2"/>
  <c r="G239" i="2"/>
  <c r="F239" i="2"/>
  <c r="H238" i="2"/>
  <c r="G238" i="2"/>
  <c r="F238" i="2"/>
  <c r="H237" i="2"/>
  <c r="G237" i="2"/>
  <c r="F237" i="2"/>
  <c r="H236" i="2"/>
  <c r="G236" i="2"/>
  <c r="F236" i="2"/>
  <c r="H235" i="2"/>
  <c r="G235" i="2"/>
  <c r="F235" i="2"/>
  <c r="H234" i="2"/>
  <c r="G234" i="2"/>
  <c r="F234" i="2"/>
  <c r="H233" i="2"/>
  <c r="G233" i="2"/>
  <c r="F233" i="2"/>
  <c r="H232" i="2"/>
  <c r="G232" i="2"/>
  <c r="F232" i="2"/>
  <c r="H231" i="2"/>
  <c r="G231" i="2"/>
  <c r="F231" i="2"/>
  <c r="H230" i="2"/>
  <c r="G230" i="2"/>
  <c r="F230" i="2"/>
  <c r="H229" i="2"/>
  <c r="G229" i="2"/>
  <c r="F229" i="2"/>
  <c r="H228" i="2"/>
  <c r="G228" i="2"/>
  <c r="F228" i="2"/>
  <c r="H227" i="2"/>
  <c r="G227" i="2"/>
  <c r="F227" i="2"/>
  <c r="H226" i="2"/>
  <c r="G226" i="2"/>
  <c r="F226" i="2"/>
  <c r="H225" i="2"/>
  <c r="G225" i="2"/>
  <c r="F225" i="2"/>
  <c r="H224" i="2"/>
  <c r="G224" i="2"/>
  <c r="F224" i="2"/>
  <c r="H223" i="2"/>
  <c r="G223" i="2"/>
  <c r="F223" i="2"/>
  <c r="H222" i="2"/>
  <c r="G222" i="2"/>
  <c r="F222" i="2"/>
  <c r="H221" i="2"/>
  <c r="G221" i="2"/>
  <c r="F221" i="2"/>
  <c r="H220" i="2"/>
  <c r="G220" i="2"/>
  <c r="F220" i="2"/>
  <c r="H219" i="2"/>
  <c r="G219" i="2"/>
  <c r="F219" i="2"/>
  <c r="H218" i="2"/>
  <c r="G218" i="2"/>
  <c r="F218" i="2"/>
  <c r="H217" i="2"/>
  <c r="G217" i="2"/>
  <c r="F217" i="2"/>
  <c r="H216" i="2"/>
  <c r="G216" i="2"/>
  <c r="F216" i="2"/>
  <c r="H215" i="2"/>
  <c r="G215" i="2"/>
  <c r="F215" i="2"/>
  <c r="H214" i="2"/>
  <c r="G214" i="2"/>
  <c r="F214" i="2"/>
  <c r="H213" i="2"/>
  <c r="G213" i="2"/>
  <c r="F213" i="2"/>
  <c r="H212" i="2"/>
  <c r="G212" i="2"/>
  <c r="F212" i="2"/>
  <c r="H211" i="2"/>
  <c r="G211" i="2"/>
  <c r="F211" i="2"/>
  <c r="H210" i="2"/>
  <c r="G210" i="2"/>
  <c r="F210" i="2"/>
  <c r="H209" i="2"/>
  <c r="G209" i="2"/>
  <c r="F209" i="2"/>
  <c r="H208" i="2"/>
  <c r="G208" i="2"/>
  <c r="F208" i="2"/>
  <c r="H207" i="2"/>
  <c r="G207" i="2"/>
  <c r="F207" i="2"/>
  <c r="H206" i="2"/>
  <c r="G206" i="2"/>
  <c r="F206" i="2"/>
  <c r="H205" i="2"/>
  <c r="G205" i="2"/>
  <c r="F205" i="2"/>
  <c r="H204" i="2"/>
  <c r="G204" i="2"/>
  <c r="F204" i="2"/>
  <c r="H203" i="2"/>
  <c r="G203" i="2"/>
  <c r="F203" i="2"/>
  <c r="H202" i="2"/>
  <c r="G202" i="2"/>
  <c r="F202" i="2"/>
  <c r="H201" i="2"/>
  <c r="G201" i="2"/>
  <c r="F201" i="2"/>
  <c r="H200" i="2"/>
  <c r="G200" i="2"/>
  <c r="F200" i="2"/>
  <c r="H199" i="2"/>
  <c r="G199" i="2"/>
  <c r="F199" i="2"/>
  <c r="H198" i="2"/>
  <c r="G198" i="2"/>
  <c r="F198" i="2"/>
  <c r="H197" i="2"/>
  <c r="G197" i="2"/>
  <c r="F197" i="2"/>
  <c r="H196" i="2"/>
  <c r="G196" i="2"/>
  <c r="F196" i="2"/>
  <c r="H195" i="2"/>
  <c r="G195" i="2"/>
  <c r="F195" i="2"/>
  <c r="H194" i="2"/>
  <c r="G194" i="2"/>
  <c r="F194" i="2"/>
  <c r="H193" i="2"/>
  <c r="G193" i="2"/>
  <c r="F193" i="2"/>
  <c r="H192" i="2"/>
  <c r="G192" i="2"/>
  <c r="F192" i="2"/>
  <c r="H191" i="2"/>
  <c r="G191" i="2"/>
  <c r="F191" i="2"/>
  <c r="H190" i="2"/>
  <c r="G190" i="2"/>
  <c r="F190" i="2"/>
  <c r="H189" i="2"/>
  <c r="G189" i="2"/>
  <c r="F189" i="2"/>
  <c r="H188" i="2"/>
  <c r="G188" i="2"/>
  <c r="F188" i="2"/>
  <c r="H187" i="2"/>
  <c r="G187" i="2"/>
  <c r="F187" i="2"/>
  <c r="H186" i="2"/>
  <c r="G186" i="2"/>
  <c r="F186" i="2"/>
  <c r="H185" i="2"/>
  <c r="G185" i="2"/>
  <c r="F185" i="2"/>
  <c r="H184" i="2"/>
  <c r="G184" i="2"/>
  <c r="F184" i="2"/>
  <c r="H183" i="2"/>
  <c r="G183" i="2"/>
  <c r="F183" i="2"/>
  <c r="H182" i="2"/>
  <c r="G182" i="2"/>
  <c r="F182" i="2"/>
  <c r="H181" i="2"/>
  <c r="G181" i="2"/>
  <c r="F181" i="2"/>
  <c r="H180" i="2"/>
  <c r="G180" i="2"/>
  <c r="F180" i="2"/>
  <c r="H179" i="2"/>
  <c r="G179" i="2"/>
  <c r="F179" i="2"/>
  <c r="H178" i="2"/>
  <c r="G178" i="2"/>
  <c r="F178" i="2"/>
  <c r="H177" i="2"/>
  <c r="G177" i="2"/>
  <c r="F177" i="2"/>
  <c r="H176" i="2"/>
  <c r="G176" i="2"/>
  <c r="F176" i="2"/>
  <c r="H175" i="2"/>
  <c r="G175" i="2"/>
  <c r="F175" i="2"/>
  <c r="H174" i="2"/>
  <c r="G174" i="2"/>
  <c r="F174" i="2"/>
  <c r="H173" i="2"/>
  <c r="G173" i="2"/>
  <c r="F173" i="2"/>
  <c r="H172" i="2"/>
  <c r="G172" i="2"/>
  <c r="F172" i="2"/>
  <c r="H171" i="2"/>
  <c r="G171" i="2"/>
  <c r="F171" i="2"/>
  <c r="H170" i="2"/>
  <c r="G170" i="2"/>
  <c r="F170" i="2"/>
  <c r="H169" i="2"/>
  <c r="G169" i="2"/>
  <c r="F169" i="2"/>
  <c r="H168" i="2"/>
  <c r="G168" i="2"/>
  <c r="F168" i="2"/>
  <c r="H167" i="2"/>
  <c r="G167" i="2"/>
  <c r="F167" i="2"/>
  <c r="H166" i="2"/>
  <c r="G166" i="2"/>
  <c r="F166" i="2"/>
  <c r="H165" i="2"/>
  <c r="G165" i="2"/>
  <c r="F165" i="2"/>
  <c r="H164" i="2"/>
  <c r="G164" i="2"/>
  <c r="F164" i="2"/>
  <c r="H163" i="2"/>
  <c r="G163" i="2"/>
  <c r="F163" i="2"/>
  <c r="H162" i="2"/>
  <c r="G162" i="2"/>
  <c r="F162" i="2"/>
  <c r="H161" i="2"/>
  <c r="G161" i="2"/>
  <c r="F161" i="2"/>
  <c r="H160" i="2"/>
  <c r="G160" i="2"/>
  <c r="F160" i="2"/>
  <c r="H159" i="2"/>
  <c r="G159" i="2"/>
  <c r="F159" i="2"/>
  <c r="H158" i="2"/>
  <c r="G158" i="2"/>
  <c r="F158" i="2"/>
  <c r="H157" i="2"/>
  <c r="G157" i="2"/>
  <c r="F157" i="2"/>
  <c r="H156" i="2"/>
  <c r="G156" i="2"/>
  <c r="F156" i="2"/>
  <c r="H155" i="2"/>
  <c r="G155" i="2"/>
  <c r="F155" i="2"/>
  <c r="H154" i="2"/>
  <c r="G154" i="2"/>
  <c r="F154" i="2"/>
  <c r="H153" i="2"/>
  <c r="G153" i="2"/>
  <c r="F153" i="2"/>
  <c r="H152" i="2"/>
  <c r="G152" i="2"/>
  <c r="F152" i="2"/>
  <c r="H151" i="2"/>
  <c r="G151" i="2"/>
  <c r="F151" i="2"/>
  <c r="H150" i="2"/>
  <c r="G150" i="2"/>
  <c r="F150" i="2"/>
  <c r="H149" i="2"/>
  <c r="G149" i="2"/>
  <c r="F149" i="2"/>
  <c r="H148" i="2"/>
  <c r="G148" i="2"/>
  <c r="F148" i="2"/>
  <c r="H147" i="2"/>
  <c r="G147" i="2"/>
  <c r="F147" i="2"/>
  <c r="H146" i="2"/>
  <c r="G146" i="2"/>
  <c r="F146" i="2"/>
  <c r="H145" i="2"/>
  <c r="G145" i="2"/>
  <c r="F145" i="2"/>
  <c r="H144" i="2"/>
  <c r="G144" i="2"/>
  <c r="F144" i="2"/>
  <c r="H143" i="2"/>
  <c r="G143" i="2"/>
  <c r="F143" i="2"/>
  <c r="H142" i="2"/>
  <c r="G142" i="2"/>
  <c r="F142" i="2"/>
  <c r="H141" i="2"/>
  <c r="G141" i="2"/>
  <c r="F141" i="2"/>
  <c r="H140" i="2"/>
  <c r="G140" i="2"/>
  <c r="F140" i="2"/>
  <c r="H139" i="2"/>
  <c r="G139" i="2"/>
  <c r="F139" i="2"/>
  <c r="H138" i="2"/>
  <c r="G138" i="2"/>
  <c r="F138" i="2"/>
  <c r="H137" i="2"/>
  <c r="G137" i="2"/>
  <c r="F137" i="2"/>
  <c r="H136" i="2"/>
  <c r="G136" i="2"/>
  <c r="F136" i="2"/>
  <c r="H135" i="2"/>
  <c r="G135" i="2"/>
  <c r="F135" i="2"/>
  <c r="H134" i="2"/>
  <c r="G134" i="2"/>
  <c r="F134" i="2"/>
  <c r="H133" i="2"/>
  <c r="G133" i="2"/>
  <c r="F133" i="2"/>
  <c r="H132" i="2"/>
  <c r="G132" i="2"/>
  <c r="F132" i="2"/>
  <c r="H131" i="2"/>
  <c r="G131" i="2"/>
  <c r="F131" i="2"/>
  <c r="H130" i="2"/>
  <c r="G130" i="2"/>
  <c r="F130" i="2"/>
  <c r="H129" i="2"/>
  <c r="G129" i="2"/>
  <c r="F129" i="2"/>
  <c r="H128" i="2"/>
  <c r="G128" i="2"/>
  <c r="F128" i="2"/>
  <c r="H127" i="2"/>
  <c r="G127" i="2"/>
  <c r="F127" i="2"/>
  <c r="H126" i="2"/>
  <c r="G126" i="2"/>
  <c r="F126" i="2"/>
  <c r="H125" i="2"/>
  <c r="G125" i="2"/>
  <c r="F125" i="2"/>
  <c r="H124" i="2"/>
  <c r="G124" i="2"/>
  <c r="F124" i="2"/>
  <c r="H123" i="2"/>
  <c r="G123" i="2"/>
  <c r="F123" i="2"/>
  <c r="H122" i="2"/>
  <c r="G122" i="2"/>
  <c r="F122" i="2"/>
  <c r="H121" i="2"/>
  <c r="G121" i="2"/>
  <c r="F121" i="2"/>
  <c r="H120" i="2"/>
  <c r="G120" i="2"/>
  <c r="F120" i="2"/>
  <c r="H119" i="2"/>
  <c r="G119" i="2"/>
  <c r="F119" i="2"/>
  <c r="H118" i="2"/>
  <c r="G118" i="2"/>
  <c r="F118" i="2"/>
  <c r="H117" i="2"/>
  <c r="G117" i="2"/>
  <c r="F117" i="2"/>
  <c r="H116" i="2"/>
  <c r="G116" i="2"/>
  <c r="F116" i="2"/>
  <c r="H115" i="2"/>
  <c r="G115" i="2"/>
  <c r="F115" i="2"/>
  <c r="H114" i="2"/>
  <c r="G114" i="2"/>
  <c r="F114" i="2"/>
  <c r="H113" i="2"/>
  <c r="G113" i="2"/>
  <c r="F113" i="2"/>
  <c r="H112" i="2"/>
  <c r="G112" i="2"/>
  <c r="F112" i="2"/>
  <c r="H111" i="2"/>
  <c r="G111" i="2"/>
  <c r="F111" i="2"/>
  <c r="H110" i="2"/>
  <c r="G110" i="2"/>
  <c r="F110" i="2"/>
  <c r="H109" i="2"/>
  <c r="G109" i="2"/>
  <c r="F109" i="2"/>
  <c r="H108" i="2"/>
  <c r="G108" i="2"/>
  <c r="F108" i="2"/>
  <c r="H107" i="2"/>
  <c r="G107" i="2"/>
  <c r="F107" i="2"/>
  <c r="H106" i="2"/>
  <c r="G106" i="2"/>
  <c r="F106" i="2"/>
  <c r="H105" i="2"/>
  <c r="G105" i="2"/>
  <c r="F105" i="2"/>
  <c r="H104" i="2"/>
  <c r="G104" i="2"/>
  <c r="F104" i="2"/>
  <c r="H103" i="2"/>
  <c r="G103" i="2"/>
  <c r="F103" i="2"/>
  <c r="H102" i="2"/>
  <c r="G102" i="2"/>
  <c r="F102" i="2"/>
  <c r="H101" i="2"/>
  <c r="G101" i="2"/>
  <c r="F101" i="2"/>
  <c r="H100" i="2"/>
  <c r="G100" i="2"/>
  <c r="F100" i="2"/>
  <c r="H99" i="2"/>
  <c r="G99" i="2"/>
  <c r="F99" i="2"/>
  <c r="H98" i="2"/>
  <c r="G98" i="2"/>
  <c r="F98" i="2"/>
  <c r="H97" i="2"/>
  <c r="G97" i="2"/>
  <c r="F97" i="2"/>
  <c r="H96" i="2"/>
  <c r="G96" i="2"/>
  <c r="F96" i="2"/>
  <c r="H95" i="2"/>
  <c r="G95" i="2"/>
  <c r="F95" i="2"/>
  <c r="H94" i="2"/>
  <c r="G94" i="2"/>
  <c r="F94" i="2"/>
  <c r="H93" i="2"/>
  <c r="G93" i="2"/>
  <c r="F93" i="2"/>
  <c r="H92" i="2"/>
  <c r="G92" i="2"/>
  <c r="F92" i="2"/>
  <c r="H91" i="2"/>
  <c r="G91" i="2"/>
  <c r="F91" i="2"/>
  <c r="H90" i="2"/>
  <c r="G90" i="2"/>
  <c r="F90" i="2"/>
  <c r="H89" i="2"/>
  <c r="G89" i="2"/>
  <c r="F89" i="2"/>
  <c r="H88" i="2"/>
  <c r="G88" i="2"/>
  <c r="F88" i="2"/>
  <c r="H87" i="2"/>
  <c r="G87" i="2"/>
  <c r="F87" i="2"/>
  <c r="H86" i="2"/>
  <c r="G86" i="2"/>
  <c r="F86" i="2"/>
  <c r="H85" i="2"/>
  <c r="G85" i="2"/>
  <c r="F85" i="2"/>
  <c r="H84" i="2"/>
  <c r="G84" i="2"/>
  <c r="F84" i="2"/>
  <c r="H83" i="2"/>
  <c r="G83" i="2"/>
  <c r="F83" i="2"/>
  <c r="H82" i="2"/>
  <c r="G82" i="2"/>
  <c r="F82" i="2"/>
  <c r="H81" i="2"/>
  <c r="G81" i="2"/>
  <c r="F81" i="2"/>
  <c r="H80" i="2"/>
  <c r="G80" i="2"/>
  <c r="F80" i="2"/>
  <c r="H79" i="2"/>
  <c r="G79" i="2"/>
  <c r="F79" i="2"/>
  <c r="H78" i="2"/>
  <c r="G78" i="2"/>
  <c r="F78" i="2"/>
  <c r="H77" i="2"/>
  <c r="G77" i="2"/>
  <c r="F77" i="2"/>
  <c r="H76" i="2"/>
  <c r="G76" i="2"/>
  <c r="F76" i="2"/>
  <c r="H75" i="2"/>
  <c r="G75" i="2"/>
  <c r="F75" i="2"/>
  <c r="H74" i="2"/>
  <c r="G74" i="2"/>
  <c r="F74" i="2"/>
  <c r="H73" i="2"/>
  <c r="G73" i="2"/>
  <c r="F73" i="2"/>
  <c r="H72" i="2"/>
  <c r="G72" i="2"/>
  <c r="F72" i="2"/>
  <c r="H71" i="2"/>
  <c r="G71" i="2"/>
  <c r="F71" i="2"/>
  <c r="H70" i="2"/>
  <c r="G70" i="2"/>
  <c r="F70" i="2"/>
  <c r="H69" i="2"/>
  <c r="G69" i="2"/>
  <c r="F69" i="2"/>
  <c r="H68" i="2"/>
  <c r="G68" i="2"/>
  <c r="F68" i="2"/>
  <c r="H67" i="2"/>
  <c r="G67" i="2"/>
  <c r="F67" i="2"/>
  <c r="H66" i="2"/>
  <c r="G66" i="2"/>
  <c r="F66" i="2"/>
  <c r="H65" i="2"/>
  <c r="G65" i="2"/>
  <c r="F65" i="2"/>
  <c r="H64" i="2"/>
  <c r="G64" i="2"/>
  <c r="F64" i="2"/>
  <c r="H63" i="2"/>
  <c r="G63" i="2"/>
  <c r="F63" i="2"/>
  <c r="H62" i="2"/>
  <c r="G62" i="2"/>
  <c r="F62" i="2"/>
  <c r="H61" i="2"/>
  <c r="G61" i="2"/>
  <c r="F61" i="2"/>
  <c r="H60" i="2"/>
  <c r="G60" i="2"/>
  <c r="F60" i="2"/>
  <c r="H59" i="2"/>
  <c r="G59" i="2"/>
  <c r="F59" i="2"/>
  <c r="H58" i="2"/>
  <c r="G58" i="2"/>
  <c r="F58" i="2"/>
  <c r="H57" i="2"/>
  <c r="G57" i="2"/>
  <c r="F57" i="2"/>
  <c r="H56" i="2"/>
  <c r="G56" i="2"/>
  <c r="F56" i="2"/>
  <c r="H55" i="2"/>
  <c r="G55" i="2"/>
  <c r="F55" i="2"/>
  <c r="H54" i="2"/>
  <c r="G54" i="2"/>
  <c r="F54" i="2"/>
  <c r="H53" i="2"/>
  <c r="G53" i="2"/>
  <c r="F53" i="2"/>
  <c r="H52" i="2"/>
  <c r="G52" i="2"/>
  <c r="F52" i="2"/>
  <c r="H51" i="2"/>
  <c r="G51" i="2"/>
  <c r="F51" i="2"/>
  <c r="H50" i="2"/>
  <c r="G50" i="2"/>
  <c r="F50" i="2"/>
  <c r="H49" i="2"/>
  <c r="G49" i="2"/>
  <c r="F49" i="2"/>
  <c r="H48" i="2"/>
  <c r="G48" i="2"/>
  <c r="F48" i="2"/>
  <c r="H47" i="2"/>
  <c r="G47" i="2"/>
  <c r="F47" i="2"/>
  <c r="H46" i="2"/>
  <c r="G46" i="2"/>
  <c r="F46" i="2"/>
  <c r="H45" i="2"/>
  <c r="G45" i="2"/>
  <c r="F45" i="2"/>
  <c r="H44" i="2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F157" i="1"/>
  <c r="F156" i="1" s="1"/>
  <c r="E157" i="1"/>
  <c r="F155" i="1"/>
  <c r="F154" i="1" s="1"/>
  <c r="E155" i="1"/>
  <c r="F153" i="1"/>
  <c r="F152" i="1" s="1"/>
  <c r="E153" i="1"/>
  <c r="E152" i="1" s="1"/>
  <c r="F147" i="1"/>
  <c r="F146" i="1" s="1"/>
  <c r="E147" i="1"/>
  <c r="E146" i="1" s="1"/>
  <c r="F145" i="1"/>
  <c r="F144" i="1" s="1"/>
  <c r="E145" i="1"/>
  <c r="F143" i="1"/>
  <c r="F142" i="1" s="1"/>
  <c r="E143" i="1"/>
  <c r="F137" i="1"/>
  <c r="E137" i="1"/>
  <c r="E136" i="1" s="1"/>
  <c r="F135" i="1"/>
  <c r="F134" i="1" s="1"/>
  <c r="E135" i="1"/>
  <c r="F133" i="1"/>
  <c r="F132" i="1" s="1"/>
  <c r="E133" i="1"/>
  <c r="F127" i="1"/>
  <c r="E127" i="1"/>
  <c r="E126" i="1" s="1"/>
  <c r="F122" i="1"/>
  <c r="F121" i="1" s="1"/>
  <c r="E122" i="1"/>
  <c r="E121" i="1" s="1"/>
  <c r="D116" i="1"/>
  <c r="F115" i="1"/>
  <c r="E115" i="1"/>
  <c r="E114" i="1" s="1"/>
  <c r="E117" i="1" s="1"/>
  <c r="F110" i="1"/>
  <c r="E110" i="1"/>
  <c r="F109" i="1"/>
  <c r="E109" i="1"/>
  <c r="D109" i="1"/>
  <c r="J102" i="1"/>
  <c r="J101" i="1" s="1"/>
  <c r="I102" i="1"/>
  <c r="I101" i="1" s="1"/>
  <c r="H102" i="1"/>
  <c r="H101" i="1" s="1"/>
  <c r="G102" i="1"/>
  <c r="G101" i="1" s="1"/>
  <c r="F102" i="1"/>
  <c r="F101" i="1" s="1"/>
  <c r="E102" i="1"/>
  <c r="E101" i="1" s="1"/>
  <c r="J100" i="1"/>
  <c r="J99" i="1" s="1"/>
  <c r="I100" i="1"/>
  <c r="I99" i="1" s="1"/>
  <c r="H100" i="1"/>
  <c r="H99" i="1" s="1"/>
  <c r="G100" i="1"/>
  <c r="G99" i="1" s="1"/>
  <c r="F100" i="1"/>
  <c r="F99" i="1" s="1"/>
  <c r="E100" i="1"/>
  <c r="E99" i="1" s="1"/>
  <c r="J98" i="1"/>
  <c r="J97" i="1" s="1"/>
  <c r="I98" i="1"/>
  <c r="I97" i="1" s="1"/>
  <c r="H98" i="1"/>
  <c r="H97" i="1" s="1"/>
  <c r="G98" i="1"/>
  <c r="G97" i="1" s="1"/>
  <c r="F98" i="1"/>
  <c r="F97" i="1" s="1"/>
  <c r="E98" i="1"/>
  <c r="E97" i="1" s="1"/>
  <c r="J92" i="1"/>
  <c r="J91" i="1" s="1"/>
  <c r="I92" i="1"/>
  <c r="I91" i="1" s="1"/>
  <c r="H92" i="1"/>
  <c r="H91" i="1" s="1"/>
  <c r="G92" i="1"/>
  <c r="G91" i="1" s="1"/>
  <c r="F92" i="1"/>
  <c r="F91" i="1" s="1"/>
  <c r="E92" i="1"/>
  <c r="E91" i="1" s="1"/>
  <c r="J90" i="1"/>
  <c r="J89" i="1" s="1"/>
  <c r="I90" i="1"/>
  <c r="I89" i="1" s="1"/>
  <c r="H90" i="1"/>
  <c r="H89" i="1" s="1"/>
  <c r="G90" i="1"/>
  <c r="G89" i="1" s="1"/>
  <c r="F90" i="1"/>
  <c r="F89" i="1" s="1"/>
  <c r="E90" i="1"/>
  <c r="J88" i="1"/>
  <c r="J87" i="1" s="1"/>
  <c r="I88" i="1"/>
  <c r="I87" i="1" s="1"/>
  <c r="H88" i="1"/>
  <c r="H87" i="1" s="1"/>
  <c r="G88" i="1"/>
  <c r="G87" i="1" s="1"/>
  <c r="F88" i="1"/>
  <c r="F87" i="1" s="1"/>
  <c r="E88" i="1"/>
  <c r="E87" i="1" s="1"/>
  <c r="I82" i="1"/>
  <c r="I81" i="1" s="1"/>
  <c r="H82" i="1"/>
  <c r="G82" i="1"/>
  <c r="G81" i="1" s="1"/>
  <c r="F82" i="1"/>
  <c r="F81" i="1" s="1"/>
  <c r="E82" i="1"/>
  <c r="E81" i="1" s="1"/>
  <c r="J80" i="1"/>
  <c r="J79" i="1" s="1"/>
  <c r="I80" i="1"/>
  <c r="I79" i="1" s="1"/>
  <c r="H80" i="1"/>
  <c r="H79" i="1" s="1"/>
  <c r="G80" i="1"/>
  <c r="G79" i="1" s="1"/>
  <c r="F80" i="1"/>
  <c r="F79" i="1" s="1"/>
  <c r="E80" i="1"/>
  <c r="E79" i="1" s="1"/>
  <c r="J78" i="1"/>
  <c r="J77" i="1" s="1"/>
  <c r="I78" i="1"/>
  <c r="I77" i="1" s="1"/>
  <c r="H78" i="1"/>
  <c r="H77" i="1" s="1"/>
  <c r="G78" i="1"/>
  <c r="G77" i="1" s="1"/>
  <c r="F78" i="1"/>
  <c r="F77" i="1" s="1"/>
  <c r="E78" i="1"/>
  <c r="E77" i="1" s="1"/>
  <c r="J72" i="1"/>
  <c r="J71" i="1" s="1"/>
  <c r="I72" i="1"/>
  <c r="I71" i="1" s="1"/>
  <c r="H72" i="1"/>
  <c r="H71" i="1" s="1"/>
  <c r="G72" i="1"/>
  <c r="G71" i="1" s="1"/>
  <c r="F72" i="1"/>
  <c r="F71" i="1" s="1"/>
  <c r="E72" i="1"/>
  <c r="E71" i="1" s="1"/>
  <c r="J67" i="1"/>
  <c r="J66" i="1" s="1"/>
  <c r="I67" i="1"/>
  <c r="I66" i="1" s="1"/>
  <c r="H67" i="1"/>
  <c r="H66" i="1" s="1"/>
  <c r="G67" i="1"/>
  <c r="G66" i="1" s="1"/>
  <c r="F67" i="1"/>
  <c r="F66" i="1" s="1"/>
  <c r="E67" i="1"/>
  <c r="E66" i="1" s="1"/>
  <c r="D61" i="1"/>
  <c r="I60" i="1"/>
  <c r="I59" i="1" s="1"/>
  <c r="I62" i="1" s="1"/>
  <c r="H60" i="1"/>
  <c r="H59" i="1" s="1"/>
  <c r="H62" i="1" s="1"/>
  <c r="G60" i="1"/>
  <c r="G59" i="1" s="1"/>
  <c r="G62" i="1" s="1"/>
  <c r="F60" i="1"/>
  <c r="F59" i="1" s="1"/>
  <c r="F62" i="1" s="1"/>
  <c r="E60" i="1"/>
  <c r="J55" i="1"/>
  <c r="I55" i="1"/>
  <c r="H55" i="1"/>
  <c r="G55" i="1"/>
  <c r="F55" i="1"/>
  <c r="E55" i="1"/>
  <c r="J54" i="1"/>
  <c r="I54" i="1"/>
  <c r="H54" i="1"/>
  <c r="G54" i="1"/>
  <c r="F54" i="1"/>
  <c r="E54" i="1"/>
  <c r="D54" i="1"/>
  <c r="M47" i="1"/>
  <c r="L47" i="1"/>
  <c r="J47" i="1"/>
  <c r="I47" i="1"/>
  <c r="H47" i="1"/>
  <c r="G47" i="1"/>
  <c r="F47" i="1"/>
  <c r="E47" i="1"/>
  <c r="M46" i="1"/>
  <c r="L46" i="1"/>
  <c r="J46" i="1"/>
  <c r="I46" i="1"/>
  <c r="H46" i="1"/>
  <c r="G46" i="1"/>
  <c r="F46" i="1"/>
  <c r="E46" i="1"/>
  <c r="M45" i="1"/>
  <c r="L45" i="1"/>
  <c r="J45" i="1"/>
  <c r="I45" i="1"/>
  <c r="H45" i="1"/>
  <c r="H44" i="1" s="1"/>
  <c r="G45" i="1"/>
  <c r="F45" i="1"/>
  <c r="E45" i="1"/>
  <c r="M39" i="1"/>
  <c r="L39" i="1"/>
  <c r="J39" i="1"/>
  <c r="I39" i="1"/>
  <c r="H39" i="1"/>
  <c r="G39" i="1"/>
  <c r="F39" i="1"/>
  <c r="E39" i="1"/>
  <c r="M38" i="1"/>
  <c r="L38" i="1"/>
  <c r="J38" i="1"/>
  <c r="I38" i="1"/>
  <c r="H38" i="1"/>
  <c r="G38" i="1"/>
  <c r="F38" i="1"/>
  <c r="E38" i="1"/>
  <c r="M37" i="1"/>
  <c r="L37" i="1"/>
  <c r="J37" i="1"/>
  <c r="I37" i="1"/>
  <c r="H37" i="1"/>
  <c r="G37" i="1"/>
  <c r="F37" i="1"/>
  <c r="E37" i="1"/>
  <c r="M31" i="1"/>
  <c r="L31" i="1"/>
  <c r="I31" i="1"/>
  <c r="H31" i="1"/>
  <c r="G31" i="1"/>
  <c r="F31" i="1"/>
  <c r="E31" i="1"/>
  <c r="M30" i="1"/>
  <c r="L30" i="1"/>
  <c r="J30" i="1"/>
  <c r="I30" i="1"/>
  <c r="H30" i="1"/>
  <c r="G30" i="1"/>
  <c r="F30" i="1"/>
  <c r="E30" i="1"/>
  <c r="M29" i="1"/>
  <c r="L29" i="1"/>
  <c r="J29" i="1"/>
  <c r="I29" i="1"/>
  <c r="H29" i="1"/>
  <c r="H28" i="1" s="1"/>
  <c r="G29" i="1"/>
  <c r="F29" i="1"/>
  <c r="E29" i="1"/>
  <c r="M23" i="1"/>
  <c r="L23" i="1"/>
  <c r="J23" i="1"/>
  <c r="I23" i="1"/>
  <c r="H23" i="1"/>
  <c r="G23" i="1"/>
  <c r="F23" i="1"/>
  <c r="E23" i="1"/>
  <c r="M18" i="1"/>
  <c r="L18" i="1"/>
  <c r="J18" i="1"/>
  <c r="I18" i="1"/>
  <c r="H18" i="1"/>
  <c r="G18" i="1"/>
  <c r="F18" i="1"/>
  <c r="E18" i="1"/>
  <c r="M13" i="1"/>
  <c r="L13" i="1"/>
  <c r="I13" i="1"/>
  <c r="H13" i="1"/>
  <c r="G13" i="1"/>
  <c r="F13" i="1"/>
  <c r="E13" i="1"/>
  <c r="K18" i="1" l="1"/>
  <c r="K23" i="1"/>
  <c r="C6" i="1"/>
  <c r="E28" i="1"/>
  <c r="G44" i="1"/>
  <c r="F44" i="1"/>
  <c r="F28" i="1"/>
  <c r="I96" i="1"/>
  <c r="J44" i="1"/>
  <c r="E44" i="1"/>
  <c r="H273" i="2"/>
  <c r="J36" i="1"/>
  <c r="I36" i="1"/>
  <c r="H36" i="1"/>
  <c r="G36" i="1"/>
  <c r="H272" i="2"/>
  <c r="J82" i="1"/>
  <c r="J60" i="1"/>
  <c r="J31" i="1"/>
  <c r="J13" i="1"/>
  <c r="D13" i="1" s="1"/>
  <c r="C13" i="1" s="1"/>
  <c r="M28" i="1"/>
  <c r="D137" i="1"/>
  <c r="D143" i="1"/>
  <c r="D155" i="1"/>
  <c r="D110" i="1"/>
  <c r="K39" i="1"/>
  <c r="D127" i="1"/>
  <c r="D157" i="1"/>
  <c r="G1" i="4"/>
  <c r="M44" i="1"/>
  <c r="F136" i="1"/>
  <c r="F131" i="1" s="1"/>
  <c r="K8" i="1"/>
  <c r="K13" i="1"/>
  <c r="K30" i="1"/>
  <c r="K31" i="1"/>
  <c r="K37" i="1"/>
  <c r="D115" i="1"/>
  <c r="D135" i="1"/>
  <c r="D145" i="1"/>
  <c r="K46" i="1"/>
  <c r="K47" i="1"/>
  <c r="D8" i="1"/>
  <c r="D23" i="1"/>
  <c r="D66" i="1"/>
  <c r="I44" i="1"/>
  <c r="G28" i="1"/>
  <c r="D37" i="1"/>
  <c r="D78" i="1"/>
  <c r="D80" i="1"/>
  <c r="F1" i="2"/>
  <c r="E36" i="1"/>
  <c r="I28" i="1"/>
  <c r="D39" i="1"/>
  <c r="D55" i="1"/>
  <c r="G76" i="1"/>
  <c r="D88" i="1"/>
  <c r="D90" i="1"/>
  <c r="G1" i="2"/>
  <c r="D102" i="1"/>
  <c r="D47" i="1"/>
  <c r="D46" i="1"/>
  <c r="D67" i="1"/>
  <c r="D18" i="1"/>
  <c r="C18" i="1" s="1"/>
  <c r="D30" i="1"/>
  <c r="D72" i="1"/>
  <c r="L28" i="1"/>
  <c r="L44" i="1"/>
  <c r="D99" i="1"/>
  <c r="D101" i="1"/>
  <c r="F151" i="1"/>
  <c r="F1" i="4"/>
  <c r="H1" i="4"/>
  <c r="D133" i="1"/>
  <c r="F86" i="1"/>
  <c r="F96" i="1"/>
  <c r="E156" i="1"/>
  <c r="D156" i="1" s="1"/>
  <c r="M36" i="1"/>
  <c r="G96" i="1"/>
  <c r="D122" i="1"/>
  <c r="E134" i="1"/>
  <c r="D134" i="1" s="1"/>
  <c r="D147" i="1"/>
  <c r="H86" i="1"/>
  <c r="H96" i="1"/>
  <c r="D121" i="1"/>
  <c r="E142" i="1"/>
  <c r="D142" i="1" s="1"/>
  <c r="D146" i="1"/>
  <c r="L36" i="1"/>
  <c r="I86" i="1"/>
  <c r="J86" i="1"/>
  <c r="E76" i="1"/>
  <c r="E96" i="1"/>
  <c r="D97" i="1"/>
  <c r="I76" i="1"/>
  <c r="G86" i="1"/>
  <c r="D77" i="1"/>
  <c r="F76" i="1"/>
  <c r="D79" i="1"/>
  <c r="F141" i="1"/>
  <c r="D91" i="1"/>
  <c r="D71" i="1"/>
  <c r="J96" i="1"/>
  <c r="D152" i="1"/>
  <c r="K38" i="1"/>
  <c r="D100" i="1"/>
  <c r="E144" i="1"/>
  <c r="D144" i="1" s="1"/>
  <c r="K29" i="1"/>
  <c r="D38" i="1"/>
  <c r="K45" i="1"/>
  <c r="E59" i="1"/>
  <c r="H81" i="1"/>
  <c r="E89" i="1"/>
  <c r="D89" i="1" s="1"/>
  <c r="D153" i="1"/>
  <c r="D87" i="1"/>
  <c r="D98" i="1"/>
  <c r="D29" i="1"/>
  <c r="D45" i="1"/>
  <c r="H4" i="3"/>
  <c r="F36" i="1"/>
  <c r="D92" i="1"/>
  <c r="F114" i="1"/>
  <c r="F126" i="1"/>
  <c r="D126" i="1" s="1"/>
  <c r="E132" i="1"/>
  <c r="E154" i="1"/>
  <c r="D154" i="1" s="1"/>
  <c r="C23" i="1" l="1"/>
  <c r="K28" i="1"/>
  <c r="D44" i="1"/>
  <c r="H1" i="2"/>
  <c r="C46" i="1"/>
  <c r="C47" i="1"/>
  <c r="D36" i="1"/>
  <c r="J81" i="1"/>
  <c r="D82" i="1"/>
  <c r="J59" i="1"/>
  <c r="D60" i="1"/>
  <c r="J28" i="1"/>
  <c r="D28" i="1" s="1"/>
  <c r="C28" i="1" s="1"/>
  <c r="D31" i="1"/>
  <c r="C31" i="1" s="1"/>
  <c r="C39" i="1"/>
  <c r="K44" i="1"/>
  <c r="D136" i="1"/>
  <c r="C45" i="1"/>
  <c r="C30" i="1"/>
  <c r="C8" i="1"/>
  <c r="C37" i="1"/>
  <c r="E151" i="1"/>
  <c r="D151" i="1" s="1"/>
  <c r="D96" i="1"/>
  <c r="K36" i="1"/>
  <c r="E141" i="1"/>
  <c r="D141" i="1" s="1"/>
  <c r="F117" i="1"/>
  <c r="D117" i="1" s="1"/>
  <c r="D114" i="1"/>
  <c r="C29" i="1"/>
  <c r="H76" i="1"/>
  <c r="E62" i="1"/>
  <c r="D132" i="1"/>
  <c r="E131" i="1"/>
  <c r="D131" i="1" s="1"/>
  <c r="C38" i="1"/>
  <c r="E86" i="1"/>
  <c r="D86" i="1" s="1"/>
  <c r="C44" i="1" l="1"/>
  <c r="J62" i="1"/>
  <c r="D62" i="1" s="1"/>
  <c r="D59" i="1"/>
  <c r="D81" i="1"/>
  <c r="J76" i="1"/>
  <c r="D76" i="1" s="1"/>
  <c r="C36" i="1"/>
</calcChain>
</file>

<file path=xl/comments1.xml><?xml version="1.0" encoding="utf-8"?>
<comments xmlns="http://schemas.openxmlformats.org/spreadsheetml/2006/main">
  <authors>
    <author>user</author>
  </authors>
  <commentList>
    <comment ref="B5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농산물: 과일, 채소, 쌀, 잡곡, 견과
축산물 : 정육, 계란
가공식품 : 그 외 가공식품(ex. 떡, 과일청, 참기름, 즙 등)</t>
        </r>
      </text>
    </comment>
    <comment ref="H5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aT지원예산 사용액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B5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농산물: 과일, 채소, 쌀, 잡곡, 견과
축산물 : 정육, 계란
가공식품 : 그 외 가공식품(ex. 떡, 과일청, 참기름, 즙 등)</t>
        </r>
      </text>
    </comment>
    <comment ref="H5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aT지원예산 사용액</t>
        </r>
      </text>
    </comment>
  </commentList>
</comments>
</file>

<file path=xl/sharedStrings.xml><?xml version="1.0" encoding="utf-8"?>
<sst xmlns="http://schemas.openxmlformats.org/spreadsheetml/2006/main" count="8630" uniqueCount="2060">
  <si>
    <t>※ 전체 기획전 결과</t>
  </si>
  <si>
    <t>1. 해당 월 참여 상품 수 및 업체수</t>
  </si>
  <si>
    <t>구분</t>
  </si>
  <si>
    <t>총 계</t>
  </si>
  <si>
    <t>농부가바로팜</t>
  </si>
  <si>
    <t>친환경</t>
  </si>
  <si>
    <t>소 계</t>
  </si>
  <si>
    <t>네이버</t>
  </si>
  <si>
    <t>지마켓</t>
  </si>
  <si>
    <t>롯데ON</t>
  </si>
  <si>
    <t>온누리마켓</t>
  </si>
  <si>
    <t>농가살리기</t>
  </si>
  <si>
    <t>오아시스</t>
  </si>
  <si>
    <t>업체수</t>
  </si>
  <si>
    <t>상품수</t>
  </si>
  <si>
    <t>2. 유통사 별 쿠폰 사용액</t>
  </si>
  <si>
    <t>쿠폰 사용액</t>
  </si>
  <si>
    <t>3. 유통사 별 매출 분석</t>
  </si>
  <si>
    <t>매출액</t>
  </si>
  <si>
    <t>4. 유통사 별 판매 건수</t>
  </si>
  <si>
    <t>판매건수</t>
  </si>
  <si>
    <t>5. 유통사별 품목별 쿠폰 사용액</t>
  </si>
  <si>
    <t>농산물</t>
  </si>
  <si>
    <t>축산물</t>
  </si>
  <si>
    <t>가공식품</t>
  </si>
  <si>
    <t>6. 유통사별 품목별 매출 분석</t>
  </si>
  <si>
    <t>7. 유통사별 품목별 판매 건수</t>
  </si>
  <si>
    <t>※ 농산물 온라인 마케터</t>
  </si>
  <si>
    <t>1. 월별 참여 업체 및 상품 수</t>
  </si>
  <si>
    <t>7월</t>
  </si>
  <si>
    <t>쿠폰 배정액</t>
  </si>
  <si>
    <t>잔여금액</t>
  </si>
  <si>
    <t>품목</t>
  </si>
  <si>
    <t>※ 유기농</t>
  </si>
  <si>
    <t>NO</t>
  </si>
  <si>
    <t>사업자등록번호</t>
  </si>
  <si>
    <t>업체명</t>
  </si>
  <si>
    <t>배정유통사</t>
  </si>
  <si>
    <t>판촉액</t>
  </si>
  <si>
    <t>도약</t>
  </si>
  <si>
    <t>511-87-00286</t>
  </si>
  <si>
    <t>농업회사법인 영주마실(주)</t>
  </si>
  <si>
    <t>롯데온</t>
  </si>
  <si>
    <t>302-81-25814</t>
  </si>
  <si>
    <t>영동감협동조합</t>
  </si>
  <si>
    <t>449-92-01723</t>
  </si>
  <si>
    <t>채씨네표고농원</t>
  </si>
  <si>
    <t>시작</t>
  </si>
  <si>
    <t>406-82-02051</t>
  </si>
  <si>
    <t>구천동농업협동조합</t>
  </si>
  <si>
    <t>성장</t>
  </si>
  <si>
    <t>529-44-01222</t>
  </si>
  <si>
    <t>나뚜라리농원</t>
  </si>
  <si>
    <t>416-81-92591</t>
  </si>
  <si>
    <t>좋은세상협동조합</t>
  </si>
  <si>
    <t>516-88-01860</t>
  </si>
  <si>
    <t>주식회사 농업회사법인 에상스팜</t>
  </si>
  <si>
    <t>709-22-01767</t>
  </si>
  <si>
    <t>푸드상상</t>
  </si>
  <si>
    <t>104-12-14323</t>
  </si>
  <si>
    <t>교동앵무새힐링농장</t>
  </si>
  <si>
    <t>514-03-53195</t>
  </si>
  <si>
    <t>삼진식품</t>
  </si>
  <si>
    <t>892-87-01864</t>
  </si>
  <si>
    <t>주식회사 마들</t>
  </si>
  <si>
    <t>803-88-01105</t>
  </si>
  <si>
    <t>오고농원(주)</t>
  </si>
  <si>
    <t>488-88-03205</t>
  </si>
  <si>
    <t>농업회사법인 랑이네세상 주식회사</t>
  </si>
  <si>
    <t>784-24-00666</t>
  </si>
  <si>
    <t>거창오미자</t>
  </si>
  <si>
    <t>888-94-01728</t>
  </si>
  <si>
    <t>파밍데이즈</t>
  </si>
  <si>
    <t>128-90-57082</t>
  </si>
  <si>
    <t>산골과수원</t>
  </si>
  <si>
    <t>626-86-01993</t>
  </si>
  <si>
    <t>농업회사법인 (주)자연의시간</t>
  </si>
  <si>
    <t>711-30-00994</t>
  </si>
  <si>
    <t>팜샐러드</t>
  </si>
  <si>
    <t>186-96-01664</t>
  </si>
  <si>
    <t>쌍둥이농장</t>
  </si>
  <si>
    <t>463-93-01691</t>
  </si>
  <si>
    <t>피스팜</t>
  </si>
  <si>
    <t>621-96-06105</t>
  </si>
  <si>
    <t>HK팜</t>
  </si>
  <si>
    <t>347-93-02082</t>
  </si>
  <si>
    <t>초록이들</t>
  </si>
  <si>
    <t>408-24-61681</t>
  </si>
  <si>
    <t>한국제다</t>
  </si>
  <si>
    <t>226-81-48890</t>
  </si>
  <si>
    <t>정선아라리한과농원 영농조합법인</t>
  </si>
  <si>
    <t>412-81-24086</t>
  </si>
  <si>
    <t>영흥농산영농조합법인</t>
  </si>
  <si>
    <t>142-33-00898</t>
  </si>
  <si>
    <t>어이딸부각</t>
  </si>
  <si>
    <t>144-92-00528</t>
  </si>
  <si>
    <t>햇터농장</t>
  </si>
  <si>
    <t>753-27-02040</t>
  </si>
  <si>
    <t>해피팜</t>
  </si>
  <si>
    <t>608-88-00253</t>
  </si>
  <si>
    <t>농업회사법인 주식회사 코리아식품</t>
  </si>
  <si>
    <t>201-98-68634</t>
  </si>
  <si>
    <t>아침에계란</t>
  </si>
  <si>
    <t>540-93-02100</t>
  </si>
  <si>
    <t>청운유통</t>
  </si>
  <si>
    <t>116-81-80195</t>
  </si>
  <si>
    <t>유한회사 못골농업회사</t>
  </si>
  <si>
    <t>208-22-52837</t>
  </si>
  <si>
    <t>소유농장</t>
  </si>
  <si>
    <t>412-90-50529</t>
  </si>
  <si>
    <t>행운가족농원</t>
  </si>
  <si>
    <t>571-81-00383</t>
  </si>
  <si>
    <t>농부플러스 농업회사법인 주식회사</t>
  </si>
  <si>
    <t>715-87-02493</t>
  </si>
  <si>
    <t>농업회삽법인 라이플로우 주식회사</t>
  </si>
  <si>
    <t>191-97-01154</t>
  </si>
  <si>
    <t>파머레시피</t>
  </si>
  <si>
    <t>792-88-00316</t>
  </si>
  <si>
    <t>농업회사법인(주)새나라</t>
  </si>
  <si>
    <t>221-13-36518</t>
  </si>
  <si>
    <t>두루푸드</t>
  </si>
  <si>
    <t>280-87-01644</t>
  </si>
  <si>
    <t>디에스영농조합법인</t>
  </si>
  <si>
    <t>464-96-01832</t>
  </si>
  <si>
    <t>고센153</t>
  </si>
  <si>
    <t>511-81-14298</t>
  </si>
  <si>
    <t>영농조합법인상주곶감유통사업단</t>
  </si>
  <si>
    <t>519-33-01006</t>
  </si>
  <si>
    <t>온드리 목장</t>
  </si>
  <si>
    <t>832-86-02035</t>
  </si>
  <si>
    <t>주식회사 태범프레시</t>
  </si>
  <si>
    <t>127-42-46728</t>
  </si>
  <si>
    <t>철원봉학미곡처리장</t>
  </si>
  <si>
    <t>159-96-00590</t>
  </si>
  <si>
    <t>바른농산물</t>
  </si>
  <si>
    <t>293-54-00624</t>
  </si>
  <si>
    <t>이화수본</t>
  </si>
  <si>
    <t>416-81-59229</t>
  </si>
  <si>
    <t>농업회사법인(주)가남농원</t>
  </si>
  <si>
    <t>874-81-00021</t>
  </si>
  <si>
    <t>농업회사법인주식회사논길</t>
  </si>
  <si>
    <t>508-81-33305</t>
  </si>
  <si>
    <t>아침햇살영농조합법인</t>
  </si>
  <si>
    <t>127-81-93991</t>
  </si>
  <si>
    <t>농업회사법인 철원미곡 주식회사</t>
  </si>
  <si>
    <t>511-81-25311</t>
  </si>
  <si>
    <t>농업회사법인 주식회사 담아</t>
  </si>
  <si>
    <t>717-86-01590</t>
  </si>
  <si>
    <t>농업회사법인 미스터돌 주식회사</t>
  </si>
  <si>
    <t>382-91-01817</t>
  </si>
  <si>
    <t>임마누엘농장</t>
  </si>
  <si>
    <t>132-82-07849</t>
  </si>
  <si>
    <t>아이비영농조합</t>
  </si>
  <si>
    <t>765-95-00739</t>
  </si>
  <si>
    <t>알동네</t>
  </si>
  <si>
    <t>875-96-01444</t>
  </si>
  <si>
    <t>양림해오름농장</t>
  </si>
  <si>
    <t>664-81-03697</t>
  </si>
  <si>
    <t>농업회사법인주식회사파밍</t>
  </si>
  <si>
    <t>623-96-01519</t>
  </si>
  <si>
    <t>초원꿀벌농장</t>
  </si>
  <si>
    <t>117-13-93791</t>
  </si>
  <si>
    <t>유혜광생돈까스</t>
  </si>
  <si>
    <t>454-04-02917</t>
  </si>
  <si>
    <t>안녕 삼촌농부</t>
  </si>
  <si>
    <t>256-98-01778</t>
  </si>
  <si>
    <t>기반</t>
  </si>
  <si>
    <t>249-56-00257</t>
  </si>
  <si>
    <t>문경새재뻥마을</t>
  </si>
  <si>
    <t>459-15-02771</t>
  </si>
  <si>
    <t>찬찬한상</t>
  </si>
  <si>
    <t>139-05-68827</t>
  </si>
  <si>
    <t>어반그린</t>
  </si>
  <si>
    <t>557-86-02740</t>
  </si>
  <si>
    <t>농업회사법인 농촌연구소(주)</t>
  </si>
  <si>
    <t>113-87-00743</t>
  </si>
  <si>
    <t>농업회사법인 머쉬그로(주)</t>
  </si>
  <si>
    <t>671-67-00557</t>
  </si>
  <si>
    <t>현풍떡갈비</t>
  </si>
  <si>
    <t>132-05-76796</t>
  </si>
  <si>
    <t>광이원</t>
  </si>
  <si>
    <t>499-13-02310</t>
  </si>
  <si>
    <t>농사짓는마을</t>
  </si>
  <si>
    <t>440-81-03112</t>
  </si>
  <si>
    <t>까망 주식회사</t>
  </si>
  <si>
    <t>593-86-01295</t>
  </si>
  <si>
    <t>주식회사 더락</t>
  </si>
  <si>
    <t>409-23-97341</t>
  </si>
  <si>
    <t>선김치</t>
  </si>
  <si>
    <t>372-94-01830</t>
  </si>
  <si>
    <t>제주점순이네</t>
  </si>
  <si>
    <t>460-88-01363</t>
  </si>
  <si>
    <t>농업회사법인 주식회사 마이티팜</t>
  </si>
  <si>
    <t>126-82-11620</t>
  </si>
  <si>
    <t>여주시농협조합공동사업법인</t>
  </si>
  <si>
    <t>412-81-31307</t>
  </si>
  <si>
    <t>농업회사법인(주)운림가</t>
  </si>
  <si>
    <t>485-88-00795</t>
  </si>
  <si>
    <t>농업회사법인 주식회사 드림라이스</t>
  </si>
  <si>
    <t>382-88-01160</t>
  </si>
  <si>
    <t>영농조합법인 팔공김치</t>
  </si>
  <si>
    <t>209-87-01228</t>
  </si>
  <si>
    <t>농업회사법인 유한회사 해오름팜농장</t>
  </si>
  <si>
    <t>131-86-09478</t>
  </si>
  <si>
    <t>맑은샘농업회사법인주식회사</t>
  </si>
  <si>
    <t>152-11-02907</t>
  </si>
  <si>
    <t>파주리치농산</t>
  </si>
  <si>
    <t>596-98-01526</t>
  </si>
  <si>
    <t>미에덴팜</t>
  </si>
  <si>
    <t>654-91-01691</t>
  </si>
  <si>
    <t>청실농원</t>
  </si>
  <si>
    <t>280-90-00306</t>
  </si>
  <si>
    <t>짱아찌네농장</t>
  </si>
  <si>
    <t>531-92-00800</t>
  </si>
  <si>
    <t>상황조은농장</t>
  </si>
  <si>
    <t>383-94-02028</t>
  </si>
  <si>
    <t>헬로우팜</t>
  </si>
  <si>
    <t>586-91-01888</t>
  </si>
  <si>
    <t>현대농장 수퍼방토</t>
  </si>
  <si>
    <t>418-90-22360</t>
  </si>
  <si>
    <t>무주참벌꿀</t>
  </si>
  <si>
    <t>613-81-60803</t>
  </si>
  <si>
    <t>다모아영농조합법인</t>
  </si>
  <si>
    <t>511-09-26842</t>
  </si>
  <si>
    <t>해피메이킹</t>
  </si>
  <si>
    <t>519-93-00689</t>
  </si>
  <si>
    <t>성주참외 보화농장</t>
  </si>
  <si>
    <t>701-93-02082</t>
  </si>
  <si>
    <t>로토정</t>
  </si>
  <si>
    <t>477-93-01384</t>
  </si>
  <si>
    <t>수촌농장</t>
  </si>
  <si>
    <t>188-81-01220</t>
  </si>
  <si>
    <t>주식회사 지향</t>
  </si>
  <si>
    <t>616-81-78184</t>
  </si>
  <si>
    <t>(주)올찬 농업회사법인</t>
  </si>
  <si>
    <t>543-88-02648</t>
  </si>
  <si>
    <t>(주)복숭아집밤비네</t>
  </si>
  <si>
    <t>447-92-02158</t>
  </si>
  <si>
    <t>애플온</t>
  </si>
  <si>
    <t>512-05-48837</t>
  </si>
  <si>
    <t>우가네농장</t>
  </si>
  <si>
    <t>386-97-01806</t>
  </si>
  <si>
    <t>애플향농원</t>
  </si>
  <si>
    <t>653-96-01295</t>
  </si>
  <si>
    <t>봄과하늘이네밭</t>
  </si>
  <si>
    <t>505-21-96189</t>
  </si>
  <si>
    <t>쌈바쌈바</t>
  </si>
  <si>
    <t>412-87-02406</t>
  </si>
  <si>
    <t>진솔건강주식회사</t>
  </si>
  <si>
    <t>177-81-00798</t>
  </si>
  <si>
    <t>농업회사법인 팜팜(주)</t>
  </si>
  <si>
    <t>608-28-92628</t>
  </si>
  <si>
    <t>마늘본가</t>
  </si>
  <si>
    <t>475-10-02064</t>
  </si>
  <si>
    <t>오직건강마늘</t>
  </si>
  <si>
    <t>532-17-01799</t>
  </si>
  <si>
    <t>G.I.F&amp;T</t>
  </si>
  <si>
    <t>386-96-01395</t>
  </si>
  <si>
    <t>방울따옴</t>
  </si>
  <si>
    <t>454-96-00874</t>
  </si>
  <si>
    <t>오나라네맛좋은딸기</t>
  </si>
  <si>
    <t>126-99-15769</t>
  </si>
  <si>
    <t>정진농장</t>
  </si>
  <si>
    <t>878-91-00963</t>
  </si>
  <si>
    <t>감귤소나이</t>
  </si>
  <si>
    <t>342-03-03125</t>
  </si>
  <si>
    <t>예림농원</t>
  </si>
  <si>
    <t>185-87-01669</t>
  </si>
  <si>
    <t>주식회사 삼형제월드</t>
  </si>
  <si>
    <t>218-37-00631</t>
  </si>
  <si>
    <t>부엉이네오솔길</t>
  </si>
  <si>
    <t>411-08-51893</t>
  </si>
  <si>
    <t>듬뿍농원</t>
  </si>
  <si>
    <t>502-93-44001</t>
  </si>
  <si>
    <t>샤론포도농원</t>
  </si>
  <si>
    <t>478-50-00760</t>
  </si>
  <si>
    <t>푸드스토리</t>
  </si>
  <si>
    <t>301-92-21674</t>
  </si>
  <si>
    <t>진천블루베리농장(팜)</t>
  </si>
  <si>
    <t>797-88-03152</t>
  </si>
  <si>
    <t>농업회사법인 주식회사 팔농</t>
  </si>
  <si>
    <t>725-97-02000</t>
  </si>
  <si>
    <t>농부아저씨</t>
  </si>
  <si>
    <t>726-87-00175</t>
  </si>
  <si>
    <t>농업회사법인 주식회사 미담</t>
  </si>
  <si>
    <t>135-81-57787</t>
  </si>
  <si>
    <t>조은 영농조합법인</t>
  </si>
  <si>
    <t>350-86-02760</t>
  </si>
  <si>
    <t>농업회사법인 주식회사 미프레쉬</t>
  </si>
  <si>
    <t>172-60-00288</t>
  </si>
  <si>
    <t>장기선마농원</t>
  </si>
  <si>
    <t>577-94-01721</t>
  </si>
  <si>
    <t>맑은농장</t>
  </si>
  <si>
    <t>638-68-00222</t>
  </si>
  <si>
    <t>그린푸드</t>
  </si>
  <si>
    <t>608-96-64761</t>
  </si>
  <si>
    <t>들판열매</t>
  </si>
  <si>
    <t>511-90-18321</t>
  </si>
  <si>
    <t>상주토성곶감농원</t>
  </si>
  <si>
    <t>849-88-03360</t>
  </si>
  <si>
    <t>아일랜드마켓 농업회사법인 유한회사</t>
  </si>
  <si>
    <t>125-86-20444</t>
  </si>
  <si>
    <t>풍년주식회사농업회사법인</t>
  </si>
  <si>
    <t>308-81-31629</t>
  </si>
  <si>
    <t>영농조합법인아농이</t>
  </si>
  <si>
    <t>296-81-01216</t>
  </si>
  <si>
    <t>농업회사법인하늘농원주식회사</t>
  </si>
  <si>
    <t>271-88-03422</t>
  </si>
  <si>
    <t>농업회사법인 주식회사 해리농부</t>
  </si>
  <si>
    <t>593-91-01533</t>
  </si>
  <si>
    <t>팜166</t>
  </si>
  <si>
    <t>769-88-03123</t>
  </si>
  <si>
    <t>농업회사법인 주식회사 정인</t>
  </si>
  <si>
    <t>234-81-04990</t>
  </si>
  <si>
    <t>농업회사법인 주식회사 고인돌</t>
  </si>
  <si>
    <t>749-87-02443</t>
  </si>
  <si>
    <t>농업회사법인 주식회사 더자인</t>
  </si>
  <si>
    <t>511-98-46139</t>
  </si>
  <si>
    <t>상주에덴곶감농원</t>
  </si>
  <si>
    <t>608-18-95776</t>
  </si>
  <si>
    <t>의령부자망개떡</t>
  </si>
  <si>
    <t>562-81-04158</t>
  </si>
  <si>
    <t>주식회사 드림엘링크</t>
  </si>
  <si>
    <t>616-81-85948</t>
  </si>
  <si>
    <t>농업회사법인 제프런 주식회사</t>
  </si>
  <si>
    <t>540-96-00855</t>
  </si>
  <si>
    <t>예다움곶감</t>
  </si>
  <si>
    <t>391-87-03582</t>
  </si>
  <si>
    <t>농업회사법인 주식회사 그린모먼트</t>
  </si>
  <si>
    <t>221-92-02444</t>
  </si>
  <si>
    <t>할배장터</t>
  </si>
  <si>
    <t>432-01-02406</t>
  </si>
  <si>
    <t>건강드림</t>
  </si>
  <si>
    <t>111-03-63698</t>
  </si>
  <si>
    <t>해나루발효식품</t>
  </si>
  <si>
    <t>820-81-03211</t>
  </si>
  <si>
    <t>농업회사법인 주식회사 드레스푸드</t>
  </si>
  <si>
    <t>262-27-01939</t>
  </si>
  <si>
    <t>박사기름</t>
  </si>
  <si>
    <t>847-12-02040</t>
  </si>
  <si>
    <t>농진담</t>
  </si>
  <si>
    <t>453-94-01880</t>
  </si>
  <si>
    <t>수확의 정석</t>
  </si>
  <si>
    <t>606-81-52718</t>
  </si>
  <si>
    <t>두원식품(주)</t>
  </si>
  <si>
    <t>316-01-24597</t>
  </si>
  <si>
    <t>청정태안식품</t>
  </si>
  <si>
    <t>324-88-02106</t>
  </si>
  <si>
    <t>농업회사법인주식회사 말린</t>
  </si>
  <si>
    <t>312-06-28581</t>
  </si>
  <si>
    <t>153양봉원</t>
  </si>
  <si>
    <t>323-88-00158</t>
  </si>
  <si>
    <t>당진해나루쌀조합공동사업법인</t>
  </si>
  <si>
    <t>137-91-64304</t>
  </si>
  <si>
    <t>강화오이총각</t>
  </si>
  <si>
    <t>257-35-01010</t>
  </si>
  <si>
    <t>양파만</t>
  </si>
  <si>
    <t>308-82-08921</t>
  </si>
  <si>
    <t>농업회사법인 우듬지팜주식회사</t>
  </si>
  <si>
    <t>616-26-53957</t>
  </si>
  <si>
    <t>탐라몰</t>
  </si>
  <si>
    <t>788-81-03144</t>
  </si>
  <si>
    <t>농업회사법인 주식회사 비에이비</t>
  </si>
  <si>
    <t>776-41-01486</t>
  </si>
  <si>
    <t>영산강 푸드</t>
  </si>
  <si>
    <t>873-88-00110</t>
  </si>
  <si>
    <t>영농조합법인 우보산초</t>
  </si>
  <si>
    <t>120-86-08936</t>
  </si>
  <si>
    <t>(주)케이에프지(KFG Co., Ltd.)</t>
  </si>
  <si>
    <t>613-92-05994</t>
  </si>
  <si>
    <t>지리산황금농원</t>
  </si>
  <si>
    <t>511-90-56233</t>
  </si>
  <si>
    <t>상주곶감대장</t>
  </si>
  <si>
    <t>491-96-01789</t>
  </si>
  <si>
    <t>온전히팜</t>
  </si>
  <si>
    <t>775-86-01989</t>
  </si>
  <si>
    <t>농업회사법인 유한회사 늘품연</t>
  </si>
  <si>
    <t>652-76-00368</t>
  </si>
  <si>
    <t>할매장터</t>
  </si>
  <si>
    <t>817-85-01855</t>
  </si>
  <si>
    <t>주식회사 대현상회 망미점</t>
  </si>
  <si>
    <t>412-81-50546</t>
  </si>
  <si>
    <t>농업회사법인(유)코리아푸드</t>
  </si>
  <si>
    <t>887-10-00764</t>
  </si>
  <si>
    <t>도원명가</t>
  </si>
  <si>
    <t>381-44-00882</t>
  </si>
  <si>
    <t>메이</t>
  </si>
  <si>
    <t>185-96-01074</t>
  </si>
  <si>
    <t>영프로식품</t>
  </si>
  <si>
    <t>141-06-23534</t>
  </si>
  <si>
    <t>명품수제프레시하우스</t>
  </si>
  <si>
    <t>114-86-65039</t>
  </si>
  <si>
    <t>(주)우영채널</t>
  </si>
  <si>
    <t>555-28-01518</t>
  </si>
  <si>
    <t>현주농장</t>
  </si>
  <si>
    <t>605-38-29687</t>
  </si>
  <si>
    <t>나행상회</t>
  </si>
  <si>
    <t>809-86-00022</t>
  </si>
  <si>
    <t>농업회사법인 주식회사 착한푸드</t>
  </si>
  <si>
    <t>540-25-00229</t>
  </si>
  <si>
    <t>신기농원</t>
  </si>
  <si>
    <t>613-81-38510</t>
  </si>
  <si>
    <t>(주)율림에프앤비 농업회사법인</t>
  </si>
  <si>
    <t>761-38-00336</t>
  </si>
  <si>
    <t>새암농장</t>
  </si>
  <si>
    <t>886-86-03308</t>
  </si>
  <si>
    <t>농업회사법인 그레프 주식회사</t>
  </si>
  <si>
    <t>181-02-01980</t>
  </si>
  <si>
    <t>듬뿍곡간</t>
  </si>
  <si>
    <t>499-51-00634</t>
  </si>
  <si>
    <t>청라</t>
  </si>
  <si>
    <t>416-81-79884</t>
  </si>
  <si>
    <t>지리산피아골식품영농조합법인</t>
  </si>
  <si>
    <t>639-81-03411</t>
  </si>
  <si>
    <t>농업회사법인 주식회사 노스팜</t>
  </si>
  <si>
    <t>771-81-03506</t>
  </si>
  <si>
    <t>(주)더바른컴퍼니</t>
  </si>
  <si>
    <t>585-96-01916</t>
  </si>
  <si>
    <t>싱싱보따리</t>
  </si>
  <si>
    <t>880-17-02847</t>
  </si>
  <si>
    <t>너른그린</t>
  </si>
  <si>
    <t>606-88-00470</t>
  </si>
  <si>
    <t>상주아람곶감 영농조합법인</t>
  </si>
  <si>
    <t>575-87-02008</t>
  </si>
  <si>
    <t>(주)왕의산농원소담바리농업회사법인</t>
  </si>
  <si>
    <t>623-90-01875</t>
  </si>
  <si>
    <t>다소니농장</t>
  </si>
  <si>
    <t>807-95-01634</t>
  </si>
  <si>
    <t>명품남매농장</t>
  </si>
  <si>
    <t>290-94-00335</t>
  </si>
  <si>
    <t>형지표고버섯</t>
  </si>
  <si>
    <t>839-87-03615</t>
  </si>
  <si>
    <t>농업회사법인 주식회사 다움랩스</t>
  </si>
  <si>
    <t>357-18-02554</t>
  </si>
  <si>
    <t>집밥스토리</t>
  </si>
  <si>
    <t>407-05-49397</t>
  </si>
  <si>
    <t>노고단식품</t>
  </si>
  <si>
    <t>268-86-01730</t>
  </si>
  <si>
    <t>농업회사법인 곤충킹주식회사</t>
  </si>
  <si>
    <t>579-90-00021</t>
  </si>
  <si>
    <t>조양식품</t>
  </si>
  <si>
    <t>733-81-01525</t>
  </si>
  <si>
    <t>당진시농협쌀조합공동사업법인</t>
  </si>
  <si>
    <t>431-86-01809</t>
  </si>
  <si>
    <t>농업회사법인 복내리는당산나무 주식회사</t>
  </si>
  <si>
    <t>511-90-53861</t>
  </si>
  <si>
    <t>상주곶감대가</t>
  </si>
  <si>
    <t>418-98-34367</t>
  </si>
  <si>
    <t>새힘 성주참외라이프</t>
  </si>
  <si>
    <t>204-86-28088</t>
  </si>
  <si>
    <t>주식회사 토종마을</t>
  </si>
  <si>
    <t>308-81-11910</t>
  </si>
  <si>
    <t>(합자)황산벌농업회사</t>
  </si>
  <si>
    <t>245-06-03392</t>
  </si>
  <si>
    <t>애산농원</t>
  </si>
  <si>
    <t>123-86-43136</t>
  </si>
  <si>
    <t>농업회사법인자연애에프앤비(주)</t>
  </si>
  <si>
    <t>756-87-00841</t>
  </si>
  <si>
    <t>농업회사법인주식회사 늘해랑</t>
  </si>
  <si>
    <t>105-21-32350</t>
  </si>
  <si>
    <t>지애(至愛)</t>
  </si>
  <si>
    <t>131-35-96215</t>
  </si>
  <si>
    <t>신선식품</t>
  </si>
  <si>
    <t>182-88-01920</t>
  </si>
  <si>
    <t>안동명가 영농조합법인</t>
  </si>
  <si>
    <t>678-09-01770</t>
  </si>
  <si>
    <t>고향떡집</t>
  </si>
  <si>
    <t>218-96-02728</t>
  </si>
  <si>
    <t>삼산1리개두릅 농산물 농원</t>
  </si>
  <si>
    <t>883-95-01472</t>
  </si>
  <si>
    <t>그린몬스터즈</t>
  </si>
  <si>
    <t>781-04-02857</t>
  </si>
  <si>
    <t>하람떡방</t>
  </si>
  <si>
    <t>477-86-03031</t>
  </si>
  <si>
    <t>농업회사법인 (주) 살레농수산</t>
  </si>
  <si>
    <t>205-67-00156</t>
  </si>
  <si>
    <t>풀빛농장</t>
  </si>
  <si>
    <t>806-87-01465</t>
  </si>
  <si>
    <t>농업회사법인뜬돌농원주식회사</t>
  </si>
  <si>
    <t>508-90-95905</t>
  </si>
  <si>
    <t>별마루농원</t>
  </si>
  <si>
    <t>159-98-00084</t>
  </si>
  <si>
    <t>지구네밤농원</t>
  </si>
  <si>
    <t>821-15-02618</t>
  </si>
  <si>
    <t>달아유과수원</t>
  </si>
  <si>
    <t>471-91-01719</t>
  </si>
  <si>
    <t>채소집</t>
  </si>
  <si>
    <t>305-28-13651</t>
  </si>
  <si>
    <t>홍성한우돈직판장</t>
  </si>
  <si>
    <t>615-19-39008</t>
  </si>
  <si>
    <t>감익는마을 천연식초</t>
  </si>
  <si>
    <t>675-81-03509</t>
  </si>
  <si>
    <t>팜올린</t>
  </si>
  <si>
    <t>104-49-01294</t>
  </si>
  <si>
    <t>농장누가</t>
  </si>
  <si>
    <t>404-81-43909</t>
  </si>
  <si>
    <t>두레영농조합법인</t>
  </si>
  <si>
    <t>674-92-02158</t>
  </si>
  <si>
    <t>더자연사랑</t>
  </si>
  <si>
    <t>343-53-00316</t>
  </si>
  <si>
    <t>그랑농원</t>
  </si>
  <si>
    <t>510-90-49461</t>
  </si>
  <si>
    <t>토댁</t>
  </si>
  <si>
    <t>615-14-93195</t>
  </si>
  <si>
    <t>초림단지묵</t>
  </si>
  <si>
    <t>848-97-01191</t>
  </si>
  <si>
    <t>안동호두농장</t>
  </si>
  <si>
    <t>131-86-58305</t>
  </si>
  <si>
    <t>농업회사법인 주식회사 우리김치</t>
  </si>
  <si>
    <t>602-88-01725</t>
  </si>
  <si>
    <t>농업회사법인(주)서대산푸드</t>
  </si>
  <si>
    <t>303-09-74670</t>
  </si>
  <si>
    <t>시골내음건강</t>
  </si>
  <si>
    <t>677-87-02304</t>
  </si>
  <si>
    <t>주식회사 시즌드시즌</t>
  </si>
  <si>
    <t>670-81-01262</t>
  </si>
  <si>
    <t>(주)한마당</t>
  </si>
  <si>
    <t>847-88-01537</t>
  </si>
  <si>
    <t>주식회사 영인에프앤에스</t>
  </si>
  <si>
    <t>511-81-21260</t>
  </si>
  <si>
    <t>행복예감곶감 영농조합법인</t>
  </si>
  <si>
    <t>408-91-76416</t>
  </si>
  <si>
    <t>옥과농원</t>
  </si>
  <si>
    <t>282-81-02797</t>
  </si>
  <si>
    <t>주식회사로컬오누이</t>
  </si>
  <si>
    <t>676-81-00897</t>
  </si>
  <si>
    <t>농업회사법인 지리산별마루 유한회사</t>
  </si>
  <si>
    <t>292-67-00387</t>
  </si>
  <si>
    <t>꽃신호청신호</t>
  </si>
  <si>
    <t>642-81-00628</t>
  </si>
  <si>
    <t>주식회사 강평농업회사법인</t>
  </si>
  <si>
    <t>409-86-39292</t>
  </si>
  <si>
    <t>농업회사법인 주식회사 누리보듬</t>
  </si>
  <si>
    <t>448-93-01936</t>
  </si>
  <si>
    <t>제이제이</t>
  </si>
  <si>
    <t>178-87-00546</t>
  </si>
  <si>
    <t>농업회사법인(주)씨앤씨정</t>
  </si>
  <si>
    <t>613-81-51809</t>
  </si>
  <si>
    <t>영농조합법인 농담</t>
  </si>
  <si>
    <t>485-94-01820</t>
  </si>
  <si>
    <t>늘푸름</t>
  </si>
  <si>
    <t>768-87-03220</t>
  </si>
  <si>
    <t>농업회사법인 케이에스팜(주)</t>
  </si>
  <si>
    <t>136-04-11105</t>
  </si>
  <si>
    <t>쿠시룽</t>
  </si>
  <si>
    <t>653-87-00241</t>
  </si>
  <si>
    <t>구방한과</t>
  </si>
  <si>
    <t>145-29-01924</t>
  </si>
  <si>
    <t>슬기로운 청년 농부</t>
  </si>
  <si>
    <t>501-03-42256</t>
  </si>
  <si>
    <t>달구벌한과</t>
  </si>
  <si>
    <t>119-88-01766</t>
  </si>
  <si>
    <t>농업회사법인 디에스푸즈 주식회사</t>
  </si>
  <si>
    <t>171-94-01673</t>
  </si>
  <si>
    <t>지리산진미농원</t>
  </si>
  <si>
    <t>184-20-01950</t>
  </si>
  <si>
    <t>그린하모니</t>
  </si>
  <si>
    <t>570-93-01757</t>
  </si>
  <si>
    <t>그로운</t>
  </si>
  <si>
    <t>116-81-97167</t>
  </si>
  <si>
    <t>(주)페어베이커리</t>
  </si>
  <si>
    <t>264-81-50516</t>
  </si>
  <si>
    <t>농업회사법인 유한회사 자연식품</t>
  </si>
  <si>
    <t>514-81-74335</t>
  </si>
  <si>
    <t>농업회사법인 주식회사 생생초</t>
  </si>
  <si>
    <t>623-92-02179</t>
  </si>
  <si>
    <t>담아토</t>
  </si>
  <si>
    <t>438-81-03064</t>
  </si>
  <si>
    <t>농업회사법인(주) 피어오름</t>
  </si>
  <si>
    <t>126-86-80182</t>
  </si>
  <si>
    <t>길경영농조합법인</t>
  </si>
  <si>
    <t>112-28-97097</t>
  </si>
  <si>
    <t>시내들</t>
  </si>
  <si>
    <t>137-86-09516</t>
  </si>
  <si>
    <t>농업회사법인 주식회사 싸주아리</t>
  </si>
  <si>
    <t>608-03-39557</t>
  </si>
  <si>
    <t>하늘바라기</t>
  </si>
  <si>
    <t>622-81-28184</t>
  </si>
  <si>
    <t>주식회사 열두달</t>
  </si>
  <si>
    <t>351-81-01207</t>
  </si>
  <si>
    <t>농업회사법인연꽃정원유한회사</t>
  </si>
  <si>
    <t>409-82-16307</t>
  </si>
  <si>
    <t>씨튼장애인직업재활센터</t>
  </si>
  <si>
    <t>307-81-28140</t>
  </si>
  <si>
    <t>행복우리식품영농조합</t>
  </si>
  <si>
    <t>604-02-68674</t>
  </si>
  <si>
    <t>알찬연근팜</t>
  </si>
  <si>
    <t>677-97-01944</t>
  </si>
  <si>
    <t>도하팜</t>
  </si>
  <si>
    <t>418-81-43306</t>
  </si>
  <si>
    <t>농업회사법인버섯마루유한회사</t>
  </si>
  <si>
    <t>404-81-37601</t>
  </si>
  <si>
    <t>내기마을</t>
  </si>
  <si>
    <t>317-39-00698</t>
  </si>
  <si>
    <t>안동시 북후면</t>
  </si>
  <si>
    <t>679-54-00740</t>
  </si>
  <si>
    <t>함께하는 근남면 사람들</t>
  </si>
  <si>
    <t>721-34-00290</t>
  </si>
  <si>
    <t>가야산아래</t>
  </si>
  <si>
    <t>183-95-00048</t>
  </si>
  <si>
    <t>신사리마을</t>
  </si>
  <si>
    <t>319-94-01654</t>
  </si>
  <si>
    <t>문경초록마을</t>
  </si>
  <si>
    <t>834-86-00464</t>
  </si>
  <si>
    <t>평해마을</t>
  </si>
  <si>
    <t>131-86-58421</t>
  </si>
  <si>
    <t>인천드레</t>
  </si>
  <si>
    <t>851-18-01907</t>
  </si>
  <si>
    <t>대구/영천 마을</t>
  </si>
  <si>
    <t>279-86-00070</t>
  </si>
  <si>
    <t>두레마을</t>
  </si>
  <si>
    <t>210-97-02245</t>
  </si>
  <si>
    <t>참외쀼</t>
  </si>
  <si>
    <t>2026 aT 농산물 온라인 마케터 업체 별 매출 보고</t>
  </si>
  <si>
    <t>기간 : 07월 06일 ~ 07월 31일</t>
  </si>
  <si>
    <t xml:space="preserve">합계 </t>
  </si>
  <si>
    <t>유통사명</t>
  </si>
  <si>
    <t>품목분류</t>
  </si>
  <si>
    <t>사업자명</t>
  </si>
  <si>
    <t>사업자번호</t>
  </si>
  <si>
    <t xml:space="preserve">상품명 </t>
  </si>
  <si>
    <t>판매 건수</t>
  </si>
  <si>
    <t>운림가 55년전통 대용량 전라도 국산 배추 김장 포기 김치 5kg [원산지:국산]</t>
  </si>
  <si>
    <t>여주시농협RPC 대왕님표 여주쌀 진상미 당일도정 25년 햅쌀 10kg, 1개 [원산지:국산(경기도 여주시)]</t>
  </si>
  <si>
    <t>신비복숭아 황도 백도 황도복숭아 쫀득이 딱딱이 선물용 프리미엄 복숭아 3kg 별마루농원 [원산지:국산(경상북도 의성군)]</t>
  </si>
  <si>
    <t>초록이들 4kg 대용량 상추 유럽 샐러드 채소 유러피안 쌈 버터헤드 카이피라 프릴 양상추 [원산지:국산(충청남도 논산시)]</t>
  </si>
  <si>
    <t>국민닭갈비 두루푸드 춘천닭갈비 택배 홈파티 캠핑요리 [원산지:닭고기 넓적다리(국산), 고추가루(국산), 기타(상세설명참조)]</t>
  </si>
  <si>
    <t>운림가 55년전통 국산 알타리 총각김치 2kg [원산지:국산]</t>
  </si>
  <si>
    <t>[초록이들]500g/1kg 유럽 샐러드 채소 유러피안 상추 쌈 버터헤드 카이피라 프릴등 [원산지:국산(충청남도 논산시)]</t>
  </si>
  <si>
    <t>운림가 55년전통 국산 전라도 묵은지 2kg 저온 숙성 익은 김치 [원산지:국산]</t>
  </si>
  <si>
    <t>아침에계란 청춘이란 난각번호1번 발효곡물 먹은 자연방사 유정란 20구 40구 60구 [원산지:국산(경상북도 영덕군)]</t>
  </si>
  <si>
    <t>운림가 55년전통 국내산 쪽 파김치 1kg [원산지:국산]</t>
  </si>
  <si>
    <t>여주시농협RPC 대왕님표 여주쌀 진상미 당일도정 25년 햅쌀 10kg, 2개 [원산지:국산(경기도 여주시)]</t>
  </si>
  <si>
    <t>온드리목장 1kg 무가당 꾸덕한 그릭요거트 대용량 [원산지:국산(전라남도 화순군)]</t>
  </si>
  <si>
    <t>25년 햅쌀/삼광 고시히카리 10Kg 강화섬쌀 최근 도정 신선한 랑이네 갓 도정쌀 정미소직판 [원산지:국산(인천광역시 강화군)]</t>
  </si>
  <si>
    <t>여주땅콩 햇땅콩 고소한 국산 볶은 볶음 땅콩 생땅콩 300g 450g [원산지:국산(경기도 여주시)]</t>
  </si>
  <si>
    <t>유황한돈 냉장 삼겹살 목살 1kg 오겹살 캠핑 등갈비 갈매기살 가브리살 항정살 [원산지:국산]</t>
  </si>
  <si>
    <t>[농할쿠폰] 한돈 삼겹살 구이용 냉장, 500g, 2개 [원산지:국산]</t>
  </si>
  <si>
    <t>오미자 청 엑기스 원액 1500ml [원산지:국산(경기도 연천군) 등]</t>
  </si>
  <si>
    <t>자두 도담자두 의성옥자두 후무사 대석 5kg GAP [원산지:국산(경상북도 의성군)]</t>
  </si>
  <si>
    <t>안동사과 3kg 5kg 부사 못난이사과 고당도 [원산지:국산(경상북도 안동시)]</t>
  </si>
  <si>
    <t>문경 오미자 청 원액 생오미자 당절임 (흰설탕) [원산지:국산(경상북도 문경시)]</t>
  </si>
  <si>
    <t>로토정 유럽종 완숙토마토 5kg [원산지:국산(경상북도 봉화군)]</t>
  </si>
  <si>
    <t>거창 수제 오미자 청 오미자 원액 엑기스 과일청 1L, 1개 [원산지:국산(경상남도 거창군)]</t>
  </si>
  <si>
    <t>복숭아 황도 양홍장 건강한 정직한 고당도 프리미엄 가을복숭아 반딱딱이 의성햇살어린 4kg [원산지:국산(경상북도 의성군)]</t>
  </si>
  <si>
    <t>백미·7분도 5kg/25년 고시히카리 햅쌀/당일도정 특등급/랑이네갓도정쌀 지퍼백포장 [원산지:국산(인천광역시 강화군)]</t>
  </si>
  <si>
    <t>오미자청 문경오미자청 진액 1,000ml [원산지:국산(경상북도 문경시)]</t>
  </si>
  <si>
    <t>[농할쿠폰] 한돈 목살 구이용 냉장, 500g, 2개 [원산지:국산]</t>
  </si>
  <si>
    <t>온드리목장 1kg 무지방 무가당 그릭요거트 대용량 [원산지:국산(전라남도 화순군)]</t>
  </si>
  <si>
    <t>농부가바로팜 무항생제 Non-Gmo 동물복지 유정란 60구 신선계란 난각번호2번 [원산지:국산(전라남도 나주시)]</t>
  </si>
  <si>
    <t>온드리목장 500g 무가당 꾸덕한 그릭요거트 산미없이 고소한 [원산지:국산(전라남도 화순군)]</t>
  </si>
  <si>
    <t>25년 햅쌀 나들미 10Kg 강화섬쌀 최근 도정 신선한 랑이네 갓 도정쌀 정미소직판 [원산지:국산(인천광역시 강화군)]</t>
  </si>
  <si>
    <t>상주곶감 명절선물세트 대봉 건시 반건시 가정용 못난이곶감 실속형 [원산지:국산(경상북도 상주시)]</t>
  </si>
  <si>
    <t>수경재배 당일수확 청상추 2kg,4kg [원산지 - 경남 고성] [원산지:국산(경상남도 고성군)]</t>
  </si>
  <si>
    <t>고창 하우스 당도선별 아삭한 꿀수박 산지직송 5kg 6kg 7kg 8kg 9kg [원산지:국산 등]</t>
  </si>
  <si>
    <t>대추방울토마토 GAP 신선한 산지직송 3kg 1.5kg 로얄과 현대농장 방울 토마토 [원산지:국산(경기도 평택시)]</t>
  </si>
  <si>
    <t>여주시농협RPC 대왕님표 여주쌀 현미 진상 당일도정 25년 햅쌀 10kg, 1개 [원산지:국산(경기도 여주시)]</t>
  </si>
  <si>
    <t>토댁 성주참외 5kg 꼬마참외 프리미엄 못난이 [원산지:국산(경상북도 성주군)]</t>
  </si>
  <si>
    <t>당일수확 국산 제주산 100% 생블루베리 생과 1kg [원산지:국산(제주특별자치도 제주시)]</t>
  </si>
  <si>
    <t>버섯 그대로 5종 국산 무농약 모둠 버섯 요리 키트 48g, 5개 [원산지:국산(전라북도 진안군)]</t>
  </si>
  <si>
    <t>상주 곶감 반건시 건시 실속형 선물세트 대봉 못난이 [원산지:곶감: 상주, 호두: 미국, 크림치즈: 호주]</t>
  </si>
  <si>
    <t>고급 티백 전통차 어르신 남자친구 부모님 인사 진명차 한차 4호 선물 세트 [원산지:국산(경상북도 영천시) 등]</t>
  </si>
  <si>
    <t>가득 담은 버섯 영양밥 즉석밥 국산 무농약 고식이섬유 간편식 약밥 160g, 10개 [원산지:국산]</t>
  </si>
  <si>
    <t>문경 오미자 원액 행복한 오미자청 1.5L 4병 [원산지:국산(경상북도 문경시)]</t>
  </si>
  <si>
    <t>[모두닭갈비] 춘천 1+1팩 국산 닭다리살 캠핑 500gx2팩 (3~4인분) [원산지:국산]</t>
  </si>
  <si>
    <t>[로컬오누이] 나주 멜론속살떡 메론떡 [원산지:국산]</t>
  </si>
  <si>
    <t>무첨가 국내산 우도 프리미넛 땅콩버터 420g (당일제조 무가당 땅콩잼) [원산지:국산(제주특별자치도 제주시)]</t>
  </si>
  <si>
    <t>감익는마을 7년숙성 천연 감식초 1.5L 항아리발효 자연침전 무설탕 무첨가 [원산지:국산(경상남도 밀양시)]</t>
  </si>
  <si>
    <t>국산 무항생제 생 닭가슴살 5kg (500g X 10EA) 소포장 냉장 [원산지:국산]</t>
  </si>
  <si>
    <t>쑥즙 강화약쑥즙 싸주아리 유기농 3년숙성 추출액 사자발쑥 인진 액기스 엑기스 진액 무농약 [원산지:국산(인천광역시 강화군)]</t>
  </si>
  <si>
    <t>안동 가정용 꼬마 흠과 미니 못난이사과 5kg [원산지:국산(경상북도 안동시)]</t>
  </si>
  <si>
    <t>한돈 찌개용 돼지고기 김치찌개 카레 짜장용 냉장, 300g, 4개 [원산지:국산]</t>
  </si>
  <si>
    <t>제주 미에덴팜 미니 단호박 밤호박 보우짱 산지직송 [원산지:국산(제주특별자치도 제주시)]</t>
  </si>
  <si>
    <t>경기 평택 오성쌀 20kg, 1개 [원산지:국산(경기도 평택시) 등]</t>
  </si>
  <si>
    <t>[당일착유] 고창 오복농산 냉압착 국산 참기름 들기름 생들기름 180ml (신선도 보장) [원산지:국산(전라북도 고창군)]</t>
  </si>
  <si>
    <t>복숭아 신비복숭아 납작복숭아 대극천 딱복 물복 말랑이 황도 백도 신선 경봉 [원산지:국산(경상북도 경산시) 등]</t>
  </si>
  <si>
    <t>두루푸드 국민닭갈비 춘천닭갈비 택배 홈파티 캠핑요리 전통맛 [원산지:닭고기 넓적다리(국산), 고추가루(국산), 기타(상세설명참조)]</t>
  </si>
  <si>
    <t>예다움 상주 곶감 반건시 크림치즈호두말이 곶감단지 실속형 가정용 디저트 선물세트 와인안주 [원산지:상세설명에 표시]</t>
  </si>
  <si>
    <t>선물하기 좋은 국산팥을 사용한 수제 의령 부자 망개떡 40개 [원산지:상세설명에 표시]</t>
  </si>
  <si>
    <t>온드리목장 요거트 1000ml 더 진하게 발효한 대용량 요거트 [원산지:국산(전라남도 화순군) 등]</t>
  </si>
  <si>
    <t>강화섬쌀로 만든 시골쌀라면 104g, 20개 [원산지:국산]</t>
  </si>
  <si>
    <t>[달과] 꿀당도 칠곡 복숭아 1.5kg 선물용 황도 백도 천중도 망고맛 빅복숭아 신선 과일 / 달아유과수원 [원산지:국산(경상북도 칠곡군)]</t>
  </si>
  <si>
    <t>한돈 통 사태 보쌈 수육 장조림 찌개용 고기 냉장, 500g, 2개 [원산지:국산]</t>
  </si>
  <si>
    <t>[당일발송]제주 미니단호박 밤호박 보우짱 1kg 2kg 3kg 5kg 10kg 가정용 산지직송 [원산지:국산(제주특별자치도 서귀포시)]</t>
  </si>
  <si>
    <t>거창 수제 오미자 청 오미자 원액 엑기스 과일청 1L, 6개 [원산지:국산(경상남도 거창군)]</t>
  </si>
  <si>
    <t>온드리목장 500g 무지방 무가당 그릭요거트 [원산지:국산(전라남도 화순군)]</t>
  </si>
  <si>
    <t>GAP 토마토 2.5kg 유럽종 완숙토마토 [원산지:국산(경상북도 봉화군)]</t>
  </si>
  <si>
    <t>아기떡갈비 한우 한돈 수제 패티 현풍 세가지맛 3팩, 90g, 15개 [원산지:상세설명에 표시]</t>
  </si>
  <si>
    <t>전통 진명차 수제한차 2종 국산 목에 좋은 차 교수님 건강 선물 세트 20티백 [원산지:국산(경상북도 영천시) 등]</t>
  </si>
  <si>
    <t>성주참외 프리미엄 특품 꿀 참외 중과 선물용 고당도 2kg 3kg 5kg [원산지:국산(경상북도 성주군)]</t>
  </si>
  <si>
    <t>순희엄마 수제 천연발효 사과식초 애사비 1000ml 선물세트 [원산지:국산(경상남도 거창군)]</t>
  </si>
  <si>
    <t>햇 우거지 무청시래기 데친 시래기 나물 올식 [원산지:국산(전라북도 고창군)]</t>
  </si>
  <si>
    <t>영호진미 백미 무훈증 당일도정 맛있는쌀 10kg, 1개 [원산지:국산(경상남도 함안군)]</t>
  </si>
  <si>
    <t>참마 산마 깍은마 손질마 100g 7팩 200g 5팩[당일손질] [원산지:국산(경기도 연천군)]</t>
  </si>
  <si>
    <t>경북 김천 산지직송 당일수확 햇 자두 1kg 가정용 [원산지:국산 등]</t>
  </si>
  <si>
    <t>씨없는 청도 반시 감말랭이 500g, 1kg [원산지:국산(경상북도 청도군)]</t>
  </si>
  <si>
    <t>안동 흠과 주스용 쥬스용 사과 랜덤과 5kg 10kg [원산지:국산(경상북도 안동시)]</t>
  </si>
  <si>
    <t>경기 평택 오성쌀 10kg, 1개 [원산지:국산(경기도 평택시) 등]</t>
  </si>
  <si>
    <t>무첨가 국내산 우도 프리미넛 땅콩버터 230g (당일제조 무가당 땅콩잼) [원산지:국산(제주특별자치도 제주시)]</t>
  </si>
  <si>
    <t>품질대박 황토밭 맑은농장 김천자두 5kg(왕왕특고당도) 도담자두 [원산지:국산(경상북도 김천시)]</t>
  </si>
  <si>
    <t>25년 햇 찹쌀 10Kg 강화섬쌀 최근 도정 신선한 랑이네 갓 도정쌀 정미소직판 [원산지:국산(인천광역시 강화군)]</t>
  </si>
  <si>
    <t>예다움 상주곶감 반건시 명절 상견례 선물세트 곶감단지 크림치즈호두말이 [원산지:상세설명에 표시]</t>
  </si>
  <si>
    <t>거창 수제 오미자 청 오미자 원액 엑기스 과일청 1L, 4개 [원산지:국산(경상남도 거창군)]</t>
  </si>
  <si>
    <t>애플링 동결건조 사과 배칩20g 딸기칩15g 3팩 국산100% 무첨가 간식 [원산지:국산(경상북도 문경시)]</t>
  </si>
  <si>
    <t>[오복농산]전북고창 2026년 햇 오디 냉동 생과 5kg [진공포장] 뽕나무 열매 [원산지:국산(전라북도 고창군)]</t>
  </si>
  <si>
    <t>온드리목장 무가당 드링킹 그릭요거트 120g [원산지:국산(전라남도 화순군)]</t>
  </si>
  <si>
    <t>뻥튀기 다이어트간식 임산부간식 오미자사과꽃뻥 (접시형) [원산지:상세표기 참조]</t>
  </si>
  <si>
    <t>국내산 건표고버섯 슬라이스 1kg 말린 마른 표고버섯 참나무 500g [원산지:국산(전라북도 부안군)]</t>
  </si>
  <si>
    <t>강화섬쌀로 만든 시골쌀라면 104g, 10개 [원산지:국산]</t>
  </si>
  <si>
    <t>2kg 백미/25년 고시히카리 햅쌀/당일도정 특등급 선물용 정미소직판 [원산지:국산(인천광역시 강화군)]</t>
  </si>
  <si>
    <t>[그로운] 뿌리가 살아있는 무농약 유러피안 샐러드 상추6종 산지직송 유럽 상추 로메인 버터헤드 [원산지:국산(경상남도 사천시)]</t>
  </si>
  <si>
    <t>품질대박 황토밭 맑은농장 김천자두 5kg(왕왕특고당도) 후무사자두 [원산지:국산(경상북도 김천시)]</t>
  </si>
  <si>
    <t>뻥튀기 다이어트간식 임산부간식 오미자사과꽃뻥(동전형) [원산지:상세표기 참조]</t>
  </si>
  <si>
    <t>두루푸드 국민닭갈비 춘천닭갈비 택배 홈파티 캠핑요리 간장닭갈비 [원산지:닭고기 넓적다리(국산), 기타(상세설명참조)]</t>
  </si>
  <si>
    <t>애플링 딸기칩 10봉 국산100% 동결건조 / 아기부터 온가족 건강간식 [원산지:국산(경상북도 문경시)]</t>
  </si>
  <si>
    <t>문경 오미자 원액 행복한 오미자청 1.5L [원산지:국산(경상북도 문경시)]</t>
  </si>
  <si>
    <t>생목이버섯 500g 손질이필요없는 국내산 친환경 GAP 선물셋트 잡채 건 모기버섯 [원산지:국산(경기도 용인시)]</t>
  </si>
  <si>
    <t>두루푸드 국민닭갈비 춘천닭갈비 택배 홈파티 캠핑요리 올인원세트 3인용 / 1.5인용 [원산지:닭넓적다리(국산), 고추가루(국산), 기타(상세설명참조)]</t>
  </si>
  <si>
    <t>상주곶감 명절선물세트 흑인삼 먹고 자란 대봉 건시 반건시 곶감 프리미엄 보자기 포장 [원산지:국산(경상북도 상주시)]</t>
  </si>
  <si>
    <t>농장직송 케일 쌈 주스 그린스무디 쌈채소 샐러드야채 당일수확 2kg, 1개 [원산지:국산(경기도 양평군)]</t>
  </si>
  <si>
    <t>로메인, 청로메인 500g 1kg 농장직송 당일수확 [원산지:국산(경기도 양평군)]</t>
  </si>
  <si>
    <t>프리미엄 맑은농장 김천자두 5kg(왕왕특고당도) 후무사자두</t>
  </si>
  <si>
    <t>청청하루 무농약 도라지청 300g, 1개 [원산지:국산]</t>
  </si>
  <si>
    <t>프리바이오틱스 인더잼 딸기잼 (딸기쨈) 병 280g / 스틱 200g [원산지:국산(전라북도 정읍시)]</t>
  </si>
  <si>
    <t>애플링 국산 동결건조 사과칩·배칩 무첨가 건강간식 어린이 유아 [원산지:국산(경상북도 문경시)]</t>
  </si>
  <si>
    <t>자두 대석 5kg GAP 노지 의성 옥자두 로얄대석 고당도 임산부 당일수확 산지직송 [원산지:국산(경상북도 의성군)]</t>
  </si>
  <si>
    <t>농부가바로팜 무항생제 동물복지 유정란 60구 신선계란 난각번호2번 [원산지:국산(전라남도 나주시)]</t>
  </si>
  <si>
    <t>버섯 그대로 톡톡 국산 무농약 말린 버섯 모둠 요리용 [원산지:국산(전라북도 진안군)]</t>
  </si>
  <si>
    <t>성주참외 2kg 3kg 5kg 10kg 가정용 비품 고당도 꿀참외 보화농장 산지직송 [원산지:국산(경상북도 성주군)]</t>
  </si>
  <si>
    <t>토댁 수양대군 볏짚배양토 성주 꿀참외 2.5kg [원산지:국산(경상북도 성주군)]</t>
  </si>
  <si>
    <t>[오동리 콩국수]파주장단콩과 자가생면 걸쭉하고 크리미한 콩국물(680g 콩국물 실온보관) [원산지:국산(경기도 파주시)]</t>
  </si>
  <si>
    <t>농부가바로팜 무항생제 Non-Gmo 동물복지 유정란 40구 신선계란 난각번호2번 [원산지:국산(전라남도 나주시)]</t>
  </si>
  <si>
    <t>버섯 그대로 5종 국산 무농약 모둠 버섯 요리 키트 48g, 3개 [원산지:국산(전라북도 진안군)]</t>
  </si>
  <si>
    <t>루꼴라 로켓 로케트 1kg, 1개 [원산지:국산(경기도 양평군)]</t>
  </si>
  <si>
    <t>농장직송 와일드루꼴라 500g, 1개 [원산지:국산(경기도 양평군)]</t>
  </si>
  <si>
    <t>농장직송 와일드루꼴라 1kg, 1개 [원산지:국산(경기도 양평군)]</t>
  </si>
  <si>
    <t>[도하팜] [유러피안 모듬 믹스] 무농약 채소 샐러드 쌈채소 유럽 상추 [원산지:국산(경상남도 밀양시)]</t>
  </si>
  <si>
    <t>거창 수제 오미자 청 오미자 원액 엑기스 과일청 750ml, 1개 [원산지:국산(경상남도 거창군)]</t>
  </si>
  <si>
    <t>산지직송 달콤한 코코벨 대추방울토마토 [GAP] 하루방토 파밍데이즈 로얄과 1kg, 2kg [원산지:국산(경상북도 경주시)]</t>
  </si>
  <si>
    <t>제주 우도 땅콩 프리미넛 볶음땅콩 550g 당일제조 국내산 우도 [원산지:국산(제주특별자치도 제주시)]</t>
  </si>
  <si>
    <t>청청하루 무농약 도라지청 600g, 1개 [원산지:국산]</t>
  </si>
  <si>
    <t>현미 5Kg / 25년 고시히카리 햅쌀 랑이네 갓도정쌀 강화섬쌀 지퍼백 당일도정 [원산지:국산(인천광역시 강화군)]</t>
  </si>
  <si>
    <t>애플링 국산 동결건조 사과칩·배칩 자유구성 / 유아 휴대용 건강간식 [원산지:국산(경상북도)]</t>
  </si>
  <si>
    <t>수경재배 당일수확 꽃상추 2kg,4kg [원산지 - 경남 고성]</t>
  </si>
  <si>
    <t>길경농원 국산 식품명인 콩고물 도라지정과 250g 부모님 명절 설날 선물 [원산지:국산 등]</t>
  </si>
  <si>
    <t>품질보장 황토밭 맑은농장 김천자두 3kg(왕왕특고당도) 도담자두 [원산지:국산(경상북도 김천시)]</t>
  </si>
  <si>
    <t>[제주점순이네]제주 마늘 햇마늘 대사이즈 반접 한접 1kg 2.5kg 4.5kg 9kg [원산지:국산(제주특별자치도 서귀포시)]</t>
  </si>
  <si>
    <t>두루푸드 국민닭갈비 춘천닭갈비 택배 홈파티 캠핑요리 숯불닭갈비 [원산지:닭넓적다리(국산), 고추가루(국산), 기타(상세설명참조)]</t>
  </si>
  <si>
    <t>문경 오미자 2025년 생오미자 당절임 (원당) [원산지:국산(경상북도 문경시)]</t>
  </si>
  <si>
    <t>두루푸드 국민닭갈비 춘천닭갈비 택배 홈파티 캠핑요리 허브소금닭갈비 [원산지:닭고기 넓적다리(국산), 기타(상세설명참조)]</t>
  </si>
  <si>
    <t>이기순 명인의 순 프리미엄 울금 포기 김치 5kg 국산 100% 국내산 배추 김장 [원산지:국산]</t>
  </si>
  <si>
    <t>국산 무농약 상황버섯진액 GAP인증 버섯즙 부모님선물 효도선물 45포, 1개 [원산지:국산(전라남도 고흥군)]</t>
  </si>
  <si>
    <t>문경 오미자 원액 행복한 오미자청 1.5L (비정제 원당) 2병 [원산지:국산(경상북도 문경시)]</t>
  </si>
  <si>
    <t>[오동리팥죽] 국내산팥과 찹쌀로 만든 달지 않은 동지새알팥죽(680g 팥물상온보관) [원산지:국산]</t>
  </si>
  <si>
    <t>문경 오미자 원액 행복한 오미자청 1.5L (흰설탕) 2병 [원산지:국산(경상북도 문경시)]</t>
  </si>
  <si>
    <t>[오동리 콩국물] 파주장단콩 걸쭉한 콩국수용 콩국물 300g, 500g (국산콩 100%) [원산지:국산(경기도 파주시)]</t>
  </si>
  <si>
    <t>[오복농산] 햇 생옥수수 냉동 미백 흑찰옥수수 [원산지:국산(전라북도 고창군)]</t>
  </si>
  <si>
    <t>교수님 무카페인 귤피 도라지 박하 목에 좋은 3종 차선물세트 선물용차 60티백 [원산지:국산(경상북도 영천시) 등]</t>
  </si>
  <si>
    <t>국내산 냉동 닭오돌뼈 연골 야키토리 5kg [원산지:국산(전라북도 군산시)]</t>
  </si>
  <si>
    <t>오미자청 원액 엑기스 500ml 2병 선물세트 [원산지:국산(경기도 연천군)]</t>
  </si>
  <si>
    <t>문경 오미자 2025년 생오미자 당절임 (흰설탕) [원산지:국산(경상북도 문경시)]</t>
  </si>
  <si>
    <t>2kg 7분도 현미/25년 고시히카리 햅쌀/당일도정 특등급 선물용 정미소직판 [원산지:국산(인천광역시 강화군)]</t>
  </si>
  <si>
    <t>문경 오미자 원액 행복한 오미자청1.5L(비정제 원당) 4병 [원산지:국산]</t>
  </si>
  <si>
    <t>감익는마을 7년숙성 천연 감식초 500ml x2 항아리발효 자연침전 무설탕 무첨가 [원산지:국산(경상남도 밀양시) 등]</t>
  </si>
  <si>
    <t>국산 무항생제 닭가슴살 10kg (500g X 20EA)냉장 신선 [원산지:국산]</t>
  </si>
  <si>
    <t>당일수확 농장직송 생바질 스위트 식용허브 1kg, 1개 [원산지:국산(경기도 양평군)]</t>
  </si>
  <si>
    <t>고당도 스테비아 방울토마토 단마토 1kg 2kg 산지직송 스테비아토마토[비오채] [원산지:국산(충청남도 부여군)]</t>
  </si>
  <si>
    <t>국내산 냉동 닭내장 1kg 곱창,알탕, 닭부산물 [원산지:국산(전라북도 익산시)]</t>
  </si>
  <si>
    <t>옛가마니 선물용 쌀 2.5kg 25년 고시히카리 햅쌀 /당일도정 특등급/ 소포장 [원산지:국산(인천광역시 강화군)]</t>
  </si>
  <si>
    <t>청도 복숭아 왕특대과 특대과 특판전! (물복 딱복 부드러운 말랭이 말랑이 말랭 말랑 딱딱이 아삭이 털 복숭아) 4kg [원산지:국산(경상북도 청도군)]</t>
  </si>
  <si>
    <t>성주 참외 10kg 프리미엄 특품 중과 고당도 꿀 참외 보화 농장 산지 직송 [원산지:국산(경상북도 성주군)]</t>
  </si>
  <si>
    <t>초원 국내산 생 무뼈닭발 뼈없는 닭발 900g x2봉 [원산지:국산]</t>
  </si>
  <si>
    <t>오복농산 국내산 저온압착 전통기름 3종 참기름 들기름 생들기름 180ml 250ml [원산지:국산(전라북도 고창군)]</t>
  </si>
  <si>
    <t>한돈 돼지 안심 탕수육 장조림 돈까스 고기 냉장, 500g, 2개 [원산지:국산]</t>
  </si>
  <si>
    <t>[시즌드시즌] 프리미엄 티하우스 카페인 없는 '사계'차 선물세트 [원산지:상세설명에 표시]</t>
  </si>
  <si>
    <t>[무항생제 닭다리살 슬라이스] 국내산 닭정육 닭순살 냉장 500g [원산지:국산(전라북도 김제시)]</t>
  </si>
  <si>
    <t>초원 국내산 생 무뼈닭발 뼈없는 닭발 900g [원산지:국산]</t>
  </si>
  <si>
    <t>고당도 맑은농장 김천자두 5kg(왕특고당도) 후무사자두 [원산지:국산(경상북도 김천시)]</t>
  </si>
  <si>
    <t>식품명인 콩고물 도라지정과 선물세트 20g 10개입 [원산지:국산 등]</t>
  </si>
  <si>
    <t>문경 오미자 원액 행복한 오미자청 1.5L (비정제 원당) [원산지:국산(경상북도 문경시)]</t>
  </si>
  <si>
    <t>안동사과 10kg 부사 못난이사과 가정용 [원산지:국산(경상북도 안동시)]</t>
  </si>
  <si>
    <t>유기농 꽃차 메리골드차 15g, 7g 마리골드 금잔화 [원산지:국산(경상남도 창원시 마산합포구)]</t>
  </si>
  <si>
    <t>농부가바로팜 무항생제 동물복지 유정란 40구 신선계란 난각번호2번 [원산지:국산(전라남도 나주시)]</t>
  </si>
  <si>
    <t>치커리 적치커리 쌈채소 샐러드야채 500g 1kg 농장직송 당일수확 [원산지:국산(경기도 양평군)]</t>
  </si>
  <si>
    <t>길경농원 도라지 6년근 도라지즙 도라지엑기스 길경 청청하루 [원산지:국산]</t>
  </si>
  <si>
    <t>온드리목장 100g 무가당 꾸덕한 그릭요거트 산미없이 고소한 [원산지:국산(전라남도 화순군)]</t>
  </si>
  <si>
    <t>25년 백옥찰 찹쌀 5kg 10kg 20kg 손잡이형 무훈증 당일도정 맛있는쌀</t>
  </si>
  <si>
    <t>청청하루 식품명인 궁중 도라지정과 250g, 2개 [원산지:국산]</t>
  </si>
  <si>
    <t>여주시농협RPC 대왕님표 여주쌀 현미 진상 당일도정 25년 햅쌀 10kg, 2개 [원산지:국산(경기도 여주시)]</t>
  </si>
  <si>
    <t>[오동리 팥물] 국내산 팥만으로 만든 달지않은 팥물(상온보관 500ml) [원산지:국산]</t>
  </si>
  <si>
    <t>가득 담은 버섯 영양밥 즉석밥 국산 무농약 고식이섬유 간편식 약밥 160g, 4개 [원산지:국산]</t>
  </si>
  <si>
    <t>국내산 냉동 닭고기 부산물 토종닭발 10kg 종류별 [원산지:국산]</t>
  </si>
  <si>
    <t>거창 수제 오미자 청 오미자 원액 엑기스 과일청 750ml, 4개 [원산지:국산(경상남도 거창군)]</t>
  </si>
  <si>
    <t>오미자청 원액 엑기스 500ml [원산지:국산(경기도 연천군) 등]</t>
  </si>
  <si>
    <t>[양파만] 국내산 양파 카라멜라이징 카라멜라이즈 볶음양파 간편조미료 실속형 [원산지:국산(경상북도 고령군)]</t>
  </si>
  <si>
    <t>국내산 뼈없는닭발 200g 무뼈닭발 [원산지:국산]</t>
  </si>
  <si>
    <t>청청하루 식품명인 궁중 도라지정과 500g, 3개 [원산지:국산]</t>
  </si>
  <si>
    <t>예다움 상주 곶감 혼합1호 가정의달 부모님 선물세트 반건시 대과 크림치즈호두말이 30과 [원산지:상세설명에 표시]</t>
  </si>
  <si>
    <t>오색 대추 방울 토마토 GAP 3kg 1.5kg 현대농장 수퍼방토 [원산지:국산(경기도 평택시)]</t>
  </si>
  <si>
    <t>상주 곶감 반건시 혼합 9구 15구 곶감단지 크림치즈 호두말이 디저트 실속형 선물세트 [원산지:상세설명에 표시]</t>
  </si>
  <si>
    <t>문경 오미자 원액 오미자럽 오미자청1.5L 4병 [원산지:국산(경상북도 문경시)]</t>
  </si>
  <si>
    <t>이기순 명인의 순 고춧가루 500g 1kg 햇 25년산 국산 가정용 업소용 요리용 보통맛 [원산지:국산]</t>
  </si>
  <si>
    <t>[오플룻트] 유럽종 완숙 못난이 토마토 델라토 5kg [원산지:국산(경상북도 상주시)]</t>
  </si>
  <si>
    <t>국내산 상황버섯 실속형(연천 상황조은농장 상황버섯) 500g [원산지:국산(경기도 연천군)]</t>
  </si>
  <si>
    <t>[정담은 농장]쿠시룽 현미누룽지 세트, 대(30개입) 유기농1분도현미 명절선물 답례품 간식 [원산지:상세설명에 표시]</t>
  </si>
  <si>
    <t>해피팜땅콩버터 [원산지:국산(강원도 삼척시)]</t>
  </si>
  <si>
    <t>길경농원 국산 도라지즙 3년근 6년근 도라지배즙 청청하루 [원산지:국산]</t>
  </si>
  <si>
    <t>국산천연벌꿀 곰돌이꿀 250g 벚꽃 아카시아 야생화 피나무 [원산지:국산(충청남도 아산시) 등]</t>
  </si>
  <si>
    <t>달달 향긋한 경산 신품종 망고복숭아 옐로복숭아 900g 1.8kg [원산지:국산(경상북도 경산시)]</t>
  </si>
  <si>
    <t>이기순 명인의 순 열무김치 2kg 국산 열무 국내산 김치 맛집 주문 국수 냉면 프리미엄 [원산지:국산]</t>
  </si>
  <si>
    <t>경기G마크 GAP 저탄소 농산물 평화농원 먹골배 신고배 가공용 배즙용 요리용 15kg [원산지:국산(경기도 남양주시)]</t>
  </si>
  <si>
    <t>순희엄마 수제 천연발효 쓴맛없는 여주식초 선물세트 500mlX2개 [원산지:국산(경상남도 거창군)]</t>
  </si>
  <si>
    <t>영호진미 백미 무훈증 당일도정 맛있는쌀 3kg, 1개 [원산지:국산(경상남도 함안군)]</t>
  </si>
  <si>
    <t>청청하루 식품명인 궁중 도라지정과 500g, 1개 [원산지:국산]</t>
  </si>
  <si>
    <t>1kg 3개 선물세트(백미, 7분도) 25년 고시히카리 햅쌀/ 당일도정 특등급/소포장 [원산지:국산(인천광역시 강화군)]</t>
  </si>
  <si>
    <t>국내산 통 닭발 생 무뼈닭발(200g x 5팩) 냉동 뼈없는 닭발 [원산지:국산]</t>
  </si>
  <si>
    <t>로메인 적로메인 농장직송 발송당일수확 1kg 2kg 샐러드야채 쌈채소 [원산지:국산(경기도 양평군)]</t>
  </si>
  <si>
    <t>영호진미 백미 무훈증 당일도정 맛있는쌀 10kg, 2개 [원산지:국산(경상남도 함안군)]</t>
  </si>
  <si>
    <t>농장직송 케일 쌈 그린스무디 2kg, 1개 [원산지:국산(경기도 양평군)]</t>
  </si>
  <si>
    <t>선물하기 좋은 카페인 없는 마시는 프리미엄 블렌딩 차 3종 선물세트 30티백 [원산지:국산(경상북도 영천시) 등]</t>
  </si>
  <si>
    <t>비타민채소 그린비타민 다채 샐러드야채 특수야채 이유식재료 1kg 500g [원산지:국산(경기도 양평군)]</t>
  </si>
  <si>
    <t>[도하팜][버터헤드 단품] 수경재배 무농약 GAP 유럽샐러드 유럽 상추 [원산지:국산(경상남도 밀양시)]</t>
  </si>
  <si>
    <t>사조 오리 주물럭 양념 오리불고기 1kg 넉넉한 양 [원산지:국산(전라남도 나주시)]</t>
  </si>
  <si>
    <t>토댁 성주 못난이참외 3kg, 1개 [원산지:국산(경상북도 성주군)]</t>
  </si>
  <si>
    <t>복숭아 신비복숭아 신선 천도 딱딱이 옐로드림 복숭아 [예약판매] [원산지:국산(경상북도 경산시)]</t>
  </si>
  <si>
    <t>농장직송 케일 쌈 주스 그린스무디 쌈채소 샐러드야채 당일수확 1kg, 1개 [원산지:국산(경기도 양평군)]</t>
  </si>
  <si>
    <t>버섯 페스토 우마미 깊은 수제 만능 버섯소스 파스타 리조또 주먹밥 이유식 잼대용 180g [원산지:국산(경기도 용인시 처인구) 등]</t>
  </si>
  <si>
    <t>온드리목장 100g 무지방 무가당 그릭요거트 [원산지:국산(전라남도 화순군)]</t>
  </si>
  <si>
    <t>[상주토성곶감] 건시 선물세트 2.5kg, 1개 [원산지:국산(경상북도 상주시)]</t>
  </si>
  <si>
    <t>100g 낱개 25년 고시히카리 햅쌀 /당일도정 특등급/ 소포장 선물 캠핑용 [원산지:국산(인천광역시 강화군)]</t>
  </si>
  <si>
    <t>품질보장 황토밭 맑은농장 김천자두 3kg(왕왕특고당도) 후무사자두 [원산지:국산(경상북도 김천시)]</t>
  </si>
  <si>
    <t>25년 햅쌀 백진주 10Kg 강화섬쌀 최근 도정 신선한 랑이네 갓 도정쌀 정미소직판 [원산지:국산(인천광역시 강화군)]</t>
  </si>
  <si>
    <t>국내산 무항생제 가슴살 1kg x10팩 [원산지:국산]</t>
  </si>
  <si>
    <t>농부가바로팜 무항생제 동물복지 유정란 중란 60구 신선계란 난각번호2번 [원산지:국산(전라남도 나주시)]</t>
  </si>
  <si>
    <t>영호진미 현미 1분도 5분도 7분도 5kg 10kg 손잡이형 무훈증 당일도정 맛있는쌀 [원산지:국산(경상남도 함안군)]</t>
  </si>
  <si>
    <t>루꼴라 로켓 로케트 500g, 1개 [원산지:국산(경기도 양평군)]</t>
  </si>
  <si>
    <t>농부가바로팜 무항생제 동물복지 유정란 혼합 60구(유30+중30) 신선계란 난각번호2번 [원산지:국산(전라남도 나주시)]</t>
  </si>
  <si>
    <t>길경농원 식품명인 국산 코코아 도라지정과 실속형 [원산지:국산 등]</t>
  </si>
  <si>
    <t>국내산 임산부 달지 않은 수제 건 대추 차 티백 50개입, 1개 [원산지:국산(경상북도 영천시)]</t>
  </si>
  <si>
    <t>연꽃정원 연잎밥 [원산지:국산(경기도 김포시) 등]</t>
  </si>
  <si>
    <t>2026 첫 수확 문경 햇체리 1kg [원산지:국산(경상북도 문경시)]</t>
  </si>
  <si>
    <t>식품명인 국산 도라지 선물세트 도라지청 도라지차 콩고물 도라지정과 상견례 답례품 명절 [원산지:국산 등]</t>
  </si>
  <si>
    <t>버섯 그대로 5종 국산 무농약 모둠 버섯 요리 키트 48g, 1개 [원산지:국산(전라북도 진안군)]</t>
  </si>
  <si>
    <t>당일수확 농장직송 생바질 스위트 식용허브 500g, 1개 [원산지:국산(경기도 양평군)]</t>
  </si>
  <si>
    <t>100g 14개입/25년 고시히카리 햅쌀 랑이네갓도정쌀 /소포장 선물 캠핑용 당일도정 특등급 [원산지:국산(인천광역시 강화군)]</t>
  </si>
  <si>
    <t>이기순 명인의 순 깍두기 2kg 국산 무 국내산 김치 맛집 주문 무김치 프리미엄 [원산지:국산]</t>
  </si>
  <si>
    <t>GAP 현대농장 수퍼방토 1.5kg 산지직송 신선보장 대추 방울 토마토 [원산지:국산(경기도 평택시)]</t>
  </si>
  <si>
    <t>농장직송 와일드루꼴라 300g, 1개 [원산지:국산(경기도 양평군)]</t>
  </si>
  <si>
    <t>딜 허브 생잎 차지키소스 레몬딜버터 50g 100g</t>
  </si>
  <si>
    <t>오미자청 원액 엑기스 50ml 5병 한잔용 휴대용 [원산지:국산(경기도 연천군) 등]</t>
  </si>
  <si>
    <t>문경 오미자 원액 오미자럽 오미자청1.5L 2병 [원산지:국산(경상북도 문경시)]</t>
  </si>
  <si>
    <t>[오동리 새알심]국내산 찹쌀로 만든 쫀득한 오동리 새알심 1.8kg (180gx10팩) [원산지:국산]</t>
  </si>
  <si>
    <t>25년 백옥찰 현미찹쌀 찰현미 3kg 6kg 무훈증 당일도정 맛있는쌀</t>
  </si>
  <si>
    <t>당일수확 농장직송 생바질 스위트 식용허브 300g, 1개 [원산지:국산(경기도 양평군)]</t>
  </si>
  <si>
    <t>해피메이킹 문경 행복한 오미자 생 오미자 청 [원산지:국산(경상북도 문경시)]</t>
  </si>
  <si>
    <t>[7종 티백 보자기포장] 카페인없는차 프리미엄 7종 샘플러: 봄, 여름, 가을, 겨울, 아침, 오후, 밤 [원산지:상세설명에 표시]</t>
  </si>
  <si>
    <t>[멜론집아들] 고당도 머스크 메론 세지 농협 세론이 나주 세지멜론 임신 부모님 선물세트 [원산지:국산(전라남도 나주시)]</t>
  </si>
  <si>
    <t>곶감 500g x 2통.씨없는 반건시.발효 눈꽃곶감.수제 건조.감익는마을 [원산지:국산(경상남도 밀양시)]</t>
  </si>
  <si>
    <t>단양 전통 집고추장 마늘쫑장아찌 400g [원산지:국산(충청북도 단양군)]</t>
  </si>
  <si>
    <t>새콤달콤 맑은농장 김천자두 5kg(특품) 후무사자두 [원산지:국산(경상북도 김천시)]</t>
  </si>
  <si>
    <t>25년 영호진미 현미 1분도 5분도 7분도 3kg 6kg 무훈증 당일도정 맛있는쌀</t>
  </si>
  <si>
    <t>순희엄마 순정마초 흑마늘 천연발효 식초 2병 1000ml 선물세트 [원산지:국산]</t>
  </si>
  <si>
    <t>[오동리 팥칼국수]국내산 팥으로 만든 자가생면 팥칼국수(700g) [원산지:국산]</t>
  </si>
  <si>
    <t>청청하루 무농약 도라지청 300g, 3개 [원산지:국산]</t>
  </si>
  <si>
    <t>덖음차 유기농 햇 볶은 작두콩차 80g [원산지:국산(경상남도 창원시 마산합포구)]</t>
  </si>
  <si>
    <t>덖음 수제차 목련 꽃차 9g, 4g 신이화차 [원산지:국산(경상남도 창원시 마산합포구)]</t>
  </si>
  <si>
    <t>길경농원 청청하루 무농약 도라지 분말 가루 [원산지:국산(경기도)]</t>
  </si>
  <si>
    <t>경기 평택 찹쌀 10kg [원산지:국산(경기도 평택시)]</t>
  </si>
  <si>
    <t>연꽃정원 유기농연근차, 유기농연잎차 [원산지:국산(경기도 김포시)]</t>
  </si>
  <si>
    <t>[시즌드시즌 실속형 틴케이스 15TB] 카페인없는차_아침, 오후, 밤_프리미엄 티하우스 시즌드시즌 '하루'티 [원산지:상세설명에 표시]</t>
  </si>
  <si>
    <t>우리밀 한입스콘 플레인 초코칩 바다김 오트밀레이즌 쑥고물 구움과자 5종 세트 [원산지:국산(경기도 부천시)]</t>
  </si>
  <si>
    <t>농장직송 농장직송 적근대 2kg, 1개 [원산지:국산(경기도 양평군)]</t>
  </si>
  <si>
    <t>25년 백옥찰 찹쌀 3kg 6kg 무훈증 당일도정 맛있는쌀</t>
  </si>
  <si>
    <t>국내산 설탕 없어 달지 않은 생강차 50티백 [원산지:국산(전라북도 무주군)]</t>
  </si>
  <si>
    <t>청청하루 무농약 도라지청 150g, 1개 [원산지:국산]</t>
  </si>
  <si>
    <t>[오동리 들기름막국수]글루텐프리 No밀가루 쫄깃한 식감의 국내산 100%메밀 막국수 [원산지:국산]</t>
  </si>
  <si>
    <t>(153양봉원) 국산 천연벌꿀 숙성꿀 숙성아카시아꿀 2.4kg [원산지:국산(충청남도 아산시) 등]</t>
  </si>
  <si>
    <t>길경농원 청청하루 무농약 도라지청 150g 4병 명절 부모님 선물 세트 [원산지:국산]</t>
  </si>
  <si>
    <t>예다움 상주곶감 VIP 2호 가정의달 부모님 선물세트 왕반건시 곶감단지 크림치즈말이 36과 [원산지:상세설명에 표시]</t>
  </si>
  <si>
    <t>예다움 상주 곶감 VIP 3호 명절 가정의달 부모님 선물세트 특대 반건시 40과 [원산지:국산(경상북도 상주시) 등]</t>
  </si>
  <si>
    <t>당 없는 호박 현미 팥 차 20티백 [원산지:국산(충청북도 괴산군) 등]</t>
  </si>
  <si>
    <t>해피팜구운땅콩 [원산지:국산(강원도 삼척시)]</t>
  </si>
  <si>
    <t>찰흑미 출시/2Kg 소포장/랑이네갓도정쌀 선물용 단체선물 [원산지:국산(인천광역시 강화군)]</t>
  </si>
  <si>
    <t>농장직송 농장직송 적근대 1kg, 1개 [원산지:국산(경기도 양평군)]</t>
  </si>
  <si>
    <t>식품명인 콩고물 도라지정과 도라지차 선물세트 250g 2개입 [원산지:국산 등]</t>
  </si>
  <si>
    <t>[무항생제 닭다리살 슬라이스] 국내산 닭정육 닭순살 냉장 1kg [원산지:국산(전라북도 김제시)]</t>
  </si>
  <si>
    <t>말차 30g [원산지:국산(전라남도 영암군)]</t>
  </si>
  <si>
    <t>길경농원 청청하루 꼬다리 도라지정과 120g [원산지:국산]</t>
  </si>
  <si>
    <t>예다움 상주 곶감 VIP 1호 가정의달 선물세트 특대 반건시 곶감단지 크림치즈말이 40과 [원산지:상세설명에 표시]</t>
  </si>
  <si>
    <t>[명성통닭] 옛날통닭 오븐구이 700g x 2마리 에어프라이어 15분완성 [원산지:국산(전라북도 익산시)]</t>
  </si>
  <si>
    <t>단양 4년 숙성 국산 콩 전통 재래식 시골 집 진간장 500ml [원산지:국산(충청북도 단양군)]</t>
  </si>
  <si>
    <t>사조 오리 주물럭 양념 오리불고기 600g 넉넉한 양 [원산지:국산(전라남도 나주시)]</t>
  </si>
  <si>
    <t>청도 복숭아 왕특대과 특대과 특판전! 12과 (물복 딱복 부드러운 말랭이 말랑이 말랭 말랑 딱딱이 아삭이 털 복숭아) 4kg [원산지:국산(경상북도 청도군)]</t>
  </si>
  <si>
    <t>이기순 명인의 순 볶음김치 1kg 국산배추 고춧가루 사용 볶은김치 두부 도시락 찌개 제육 [원산지:국산]</t>
  </si>
  <si>
    <t>쌀 그래 초코샌드 리얼 초콜릿 샌드 유기농 쌀과자 사무실간식 아이간식 건강한 과자 글루텐 [원산지:국산(경기도 용인시 처인구)]</t>
  </si>
  <si>
    <t>한국제다 홍삼말차 40g [원산지:국산(전라남도 영암군)]</t>
  </si>
  <si>
    <t>유기농 전통차 당아욱 꽃차 2g 블루멜로우티 [원산지:국산]</t>
  </si>
  <si>
    <t>농부가바로팜 무항생제 동물복지 구운유정란 60구 신선계란 난각번호2번 [원산지:국산(전라남도 나주시)]</t>
  </si>
  <si>
    <t>단양 5년 숙성 국산 콩 전통 재래식 시골 집된장 2kg [원산지:국산(충청북도 단양군)]</t>
  </si>
  <si>
    <t>애플링 국내산 동결건조 사과칩 20g x3봉/ 아기간식 건강과일간식 [원산지:국산(경상북도 문경시)]</t>
  </si>
  <si>
    <t>청춘불판 직화불곱창 400g 혼술 캠핑 안주 돼지곱창 [원산지:상세설명에 표시]</t>
  </si>
  <si>
    <t>국내산 유기농 꽃차 4종 선물세트(맨드라미3g + 메리골드7g + 목련4g + 당아욱2g) [원산지:국산(경상남도 창원시 마산합포구)]</t>
  </si>
  <si>
    <t>이기순 명인의 순 석박지 2kg 국산 무 국내산 김치 맛집 주문 무김치 프리미엄 [원산지:국산]</t>
  </si>
  <si>
    <t>유기농 꽃차 소드림 2종 선물세트(메리골드, 당아욱꽃차, 목련꽃) [원산지:국산]</t>
  </si>
  <si>
    <t>이기순 명인의 순 프리미엄 울금 백김치 2kg 국내산 배추 어린이집 유치원 남녀노소 물김치 [원산지:국산]</t>
  </si>
  <si>
    <t>청청하루 무농약 도라지청 300g, 2개 [원산지:국산]</t>
  </si>
  <si>
    <t>수리취 의령망개떡 40개 [원산지:상세설명에 표시]</t>
  </si>
  <si>
    <t>1kg 선물용 와인상자/25년 고시히카리 햅쌀/당일도정 특등급 선물용 정미소직판 [원산지:국산(인천광역시 강화군)]</t>
  </si>
  <si>
    <t>도하팜 업소용 대용량 프릴아이스 [원산지:국산(경상남도 밀양시)]</t>
  </si>
  <si>
    <t>예다움 상주 곶감 혼합2호 가정의달 부모님 상견례 선물세트 반건시 대과 곶감단지 30과 [원산지:상세설명에 표시]</t>
  </si>
  <si>
    <t>달콤한 참외 동결건조 후레이크 18g 10봉 [원산지:국산(경상북도 성주군)]</t>
  </si>
  <si>
    <t>[인천직구] 인천드레 강화 천연 벌꿀 아카시아꿀 야생화꿀 잡화꿀 1.2kg [원산지:국산(인천광역시 강화군)]</t>
  </si>
  <si>
    <t>25년 백옥찰 현미찹쌀 찰현미 5kg 10kg 20kg 손잡이형 무훈증 당일도정 맛있는쌀</t>
  </si>
  <si>
    <t>[시즌드시즌 실속형 틴케이스 15TB] 카페인없는차_봄, 여름, 가을, 겨울_프리미엄 티하우스 시즌드시즌 '사계'티 [원산지:상세설명에 표시]</t>
  </si>
  <si>
    <t>국산 무농약 상황버섯진액 GAP인증 버섯즙 부모님선물 효도선물 25포, 1개 [원산지:국산(전라남도 고흥군)]</t>
  </si>
  <si>
    <t>[도하팜] [프릴아이스] 무농약 프리미엄 수경재배 유럽 샐러드채소 농장직송 유럽 상추 [원산지:국산(경상남도 밀양시)]</t>
  </si>
  <si>
    <t>국산 무항생제 닭고기 부위별 닭가슴살 모듬 볶음탕 1kg 신선 [원산지:국산]</t>
  </si>
  <si>
    <t>이기순 명인의 순 맛김치 2kg 국산 배추 국내산 맛집 주문 절단 썰은김치 프리미엄 [원산지:국산]</t>
  </si>
  <si>
    <t>예다움 상주 곶감 건시 실속형 가정용 감또개 못난이 곶감 [원산지:국산(경상북도 상주시)]</t>
  </si>
  <si>
    <t>국내산 냉동 닭고기 닭목살 1kg 생닭목살구이 닭특수부위 [원산지:국산]</t>
  </si>
  <si>
    <t>[인천직구]정들콩 전통 조청 고추장 1kg 수제고추장 [원산지:국산(인천광역시 강화군)]</t>
  </si>
  <si>
    <t>문경초록마을 2025년 GAP 백두대간의 자연담수로 재배한 우렁이쌀 4kg [원산지:국산(경상북도 문경시)]</t>
  </si>
  <si>
    <t>길경농원 청청하루 도라지청 스틱 홍도라지청 키즈 국산 명절 선물 [원산지:국산]</t>
  </si>
  <si>
    <t>청청하루 우리 아이 홍도라지청 스틱 어린이 도라지청 배도라지청 [원산지:국산]</t>
  </si>
  <si>
    <t>쌀그래 초코샌드 라이스 칩 선물세트 새암농장 리얼초콜릿 샌드 유기농 쌀과자 282g [원산지:국산(경기도 용인시 처인구)]</t>
  </si>
  <si>
    <t>농장직송 케일 쌈 주스 그린스무디 쌈채소 샐러드야채 당일수확 500g, 1개 [원산지:국산(경기도 양평군)]</t>
  </si>
  <si>
    <t>고소애 분말 고단백질 파우더 100g [원산지:국산(전라북도 장수군)]</t>
  </si>
  <si>
    <t>강화섬쌀로 만든 시골쌀라면 104g, 5개 [원산지:국산]</t>
  </si>
  <si>
    <t>손질이필요없는 무농약 건목이버섯 새암농장 생 잡채 미루나무 모기 버섯 50g 천연물광팩 [원산지:국산(경기도 용인시)]</t>
  </si>
  <si>
    <t>신선한 우리밀 앉은키밀 공정무역 우리밀 한입스콘 구움과자 디저트 플레인, 100g, 1개 [원산지:국산(경기도 부천시)]</t>
  </si>
  <si>
    <t>국산 무항생제 닭가슴살 1.5kg (500g x 3팩) 소포장 트레이 포장 [원산지:국산]</t>
  </si>
  <si>
    <t>청청하루 식품명인 궁중 도라지정과 250g, 1개 [원산지:국산]</t>
  </si>
  <si>
    <t>예다움 상주 곶감 정3호 가정의달 부모님 상견례 선물세트 반건시 크림치즈호두말이 30과 [원산지:상세설명에 표시]</t>
  </si>
  <si>
    <t>예다움 상주 곶감 반건시 정2호 명절 가정의달 부모님 상견례 선물세트 30과 [원산지:국산(경상북도 상주시)]</t>
  </si>
  <si>
    <t>[오동리 메밀면콩국수]파주장단콩과 글루텐프리 국산 100%메밀숙면(660g 콩물실온보관) [원산지:국산(경기도 파주시)]</t>
  </si>
  <si>
    <t>연꽃정원 유기농 연근조림/연근조림 [원산지:국산(경기도 김포시)]</t>
  </si>
  <si>
    <t>3대째 평택쌀(찰진쌀) 10kg, 1개 [원산지:국산(경기도 평택시)]</t>
  </si>
  <si>
    <t>국내산 상황버섯 실속형(연천 상황조은농장 상황버섯) 200g [원산지:국산(경기도 연천군)]</t>
  </si>
  <si>
    <t>애플링 하루 한 팩 모듬과일칩 4g 사과·배·딸기혼합/국산 동결건조 /어린이,건강간식 [원산지:국산(경상북도 문경시)]</t>
  </si>
  <si>
    <t>성주 참외 고당도 꼬마 중과 가정용 당조 2kg [원산지:국산(경상북도 성주군)]</t>
  </si>
  <si>
    <t>[오동리 건강한팥물]국내산 팥으로 만든 항산성UP 무설탕 무소금 팥물(상온보관 500ml) [원산지:국산]</t>
  </si>
  <si>
    <t>[인천직구]정들콩 재래식 전통 집 수제된장 1kg [원산지:국산(인천광역시 강화군)]</t>
  </si>
  <si>
    <t>땡큐베리딸기잼 콩포트 530g 땡큐베리블루팜 [원산지:국산(경상북도 성주군)]</t>
  </si>
  <si>
    <t>오미자청 원액 엑기스 500ml 선물용 [원산지:국산(경기도 연천군) 등]</t>
  </si>
  <si>
    <t>복숭아 납작 거반도 의성 GAP 유럽 도넛 ufo복숭아 2kg [원산지:국산(경상북도 의성군)]</t>
  </si>
  <si>
    <t>25년 백옥찰 찹쌀 2kg 4kg 소포장 무훈증 당일도정 맛있는쌀</t>
  </si>
  <si>
    <t>25년 백옥찰 현미찹쌀 찰현미 2kg 4kg 소포장 무훈증 당일도정 맛있는쌀</t>
  </si>
  <si>
    <t>1.5kg - mix 오색+빨강 대추 방울 토마토 GAP 현대농장 수퍼방토 [원산지:국산(경기도 평택시)]</t>
  </si>
  <si>
    <t>농부부부가 키운 고당도 성주 참외 당일수확 5.5kg [원산지:국산(경상북도 성주군)]</t>
  </si>
  <si>
    <t>농부가바로팜 무항생제 동물복지 유정란 유구 혼합 60구 신선계란 난각번호2번 [원산지:국산(전라남도 나주시)]</t>
  </si>
  <si>
    <t>새콤달콤 맑은농장 김천자두 3kg(특품) 후무사자두 [원산지:국산(경상북도 김천시)]</t>
  </si>
  <si>
    <t>애플링 국산 동결건조 사과·배칩 3팩 자유선택 유아 어린이 건강간식 .다이어트 [원산지:국산(경상북도)]</t>
  </si>
  <si>
    <t>애플링 국산 딸기칩3봉 무첨가 동결건조 과일칩 어린이 유아 건강간식 [원산지:국산(경상북도 문경시)]</t>
  </si>
  <si>
    <t>문경 오미자 원액 행복한 오미자청 500ml 두병 [원산지:국산(경상북도 문경시)]</t>
  </si>
  <si>
    <t>[상주토성곶감] 건시 선물세트 1.2kg, 1개 [원산지:국산(경상북도 상주시)]</t>
  </si>
  <si>
    <t>메론 제철 설향 하미과 그린 골드 머스크메론 프리미엄 산지직송 고당도 멜론 선물세트 가정용 [원산지:국산]</t>
  </si>
  <si>
    <t>균일가 유기농 꽃차 2종 선물세트(벚꽃 메리골드 당아욱 아카시아 등) [원산지:국산(경상남도 창원시 마산합포구)]</t>
  </si>
  <si>
    <t>200g 낱개 25년 고시히카리 햅쌀 /당일도정 특등급/소포장 선물 캠핑용 [원산지:국산(인천광역시 강화군)]</t>
  </si>
  <si>
    <t>한국제다 현미녹차 100g 지관 [원산지:국산(전라남도 영암군)]</t>
  </si>
  <si>
    <t>운동할때 마시는 국내산 구수한 우엉차 티백 50개입, 1개 [원산지:국산(경상북도 안동시)]</t>
  </si>
  <si>
    <t>구수한 국산 뽕나무잎 상엽차 50티백 [원산지:국산(충청북도 제천시)]</t>
  </si>
  <si>
    <t>이기순 명인의 순 총각김치 2kg 국산 총각무 국내산 맛집 주문 무청 알타리 아삭 프리미엄 [원산지:국산]</t>
  </si>
  <si>
    <t>단양 전통 집고추장 국산 마늘장아찌 800g [원산지:국산(충청북도 단양군)]</t>
  </si>
  <si>
    <t>문경 오미자 원액 오미자럽 오미자청 1.5L [원산지:국산(경상북도 문경시)]</t>
  </si>
  <si>
    <t>[걸쭉한콩국물]무설탕 무첨가 짜먹는 걸쭉한 파주장단콩 콩국물 5팩(150g/팩 상온보관) [원산지:국산(경기도 파주시)]</t>
  </si>
  <si>
    <t>농부가 키운 유기농꽃차 구절초차 17g [원산지:국산(경상남도 창원시 마산합포구)]</t>
  </si>
  <si>
    <t>[모두양념닭발] 1+1팩 오직 국내산 무뼈닭발 200g포장 [원산지:국산(전라북도 익산시)]</t>
  </si>
  <si>
    <t>농부부부가 키운 고당도 성주 참외 당일수확 3.3KG [원산지:국산(경상북도 성주군)]</t>
  </si>
  <si>
    <t>몸에 좋은 대추 생강 차 20티백 [원산지:국산(경상북도 영천시) 등]</t>
  </si>
  <si>
    <t>유기농 수제차 당아욱 꽃차 4g , 2g 블루멜로우티 [원산지:국산(경상남도 창원시 마산합포구)]</t>
  </si>
  <si>
    <t>국산 무항생제 생닭가슴살 500g x 2팩(1kg)냉장 신선 [원산지:국산]</t>
  </si>
  <si>
    <t>100g 7개입/25년 고시히카리 햅쌀 랑이네갓도정쌀 /소포장 선물 캠핑용 당일도정 특등급 [원산지:국산(인천광역시 강화군)]</t>
  </si>
  <si>
    <t>참마빵 연천 마빵 구운마빵 5개 장기선마카페 [원산지:국산(경기도)]</t>
  </si>
  <si>
    <t>[닭가슴살+닭다리살 슬라이스 친구] 국산 무항생제 (500g x 2팩) 소포장 진공포장 [원산지:국산(전라북도 김제시)]</t>
  </si>
  <si>
    <t>[모두 한입닭갈비] 춘천 3팩 국산 닭정육 캠핑 500gx3팩 (3~4인분) [원산지:국산]</t>
  </si>
  <si>
    <t>물대신 마시기 좋은 향긋한 귤피차 50티백 [원산지:국산(제주특별자치도 서귀포시)]</t>
  </si>
  <si>
    <t>청도 복숭아 왕특대과 특대과 특판전! 16과 (물복 딱복 부드러운 말랭이 말랑이 말랭 말랑 딱딱이 아삭이 털 복숭아) 4kg [원산지:국산(경상북도 청도군)]</t>
  </si>
  <si>
    <t>단양 전통 한식 집 간장 할라피뇨 국산 궁채 모듬장아찌 800g [원산지:국산(충청북도 단양군) 등]</t>
  </si>
  <si>
    <t>답운농장 큰며느리 차3종세트 20티백 3종 세트 [원산지:국산(경상북도 울진군)]</t>
  </si>
  <si>
    <t>건조고소애 건강영양간식 100g 식용곤충식품 고단백 단백질보충 [원산지:국산(전라북도 장수군)]</t>
  </si>
  <si>
    <t>국내산 껍질 벗긴 참마 분말 마가루 150g [원산지:국산(경기도 연천군)]</t>
  </si>
  <si>
    <t>로즈마리생잎 모히또용 데코용 허브 농장직송 당일수확 - 50g 100g [원산지:국산(경기도 양평군)]</t>
  </si>
  <si>
    <t>통밀 식이섬유 공정무역 우리밀 한입스콘 구움과자 디저트 오트밀 레이즌, 100g, 1개 [원산지:국산(경기도 부천시)]</t>
  </si>
  <si>
    <t>[인천직구]정들콩 국산콩 무염 청국장 100g 10개입 [원산지:국산(인천광역시 강화군)]</t>
  </si>
  <si>
    <t>청춘불판 무뼈불닭발 200g 뼈없는 매운 닭발 술안주 혼술 캠핑 [원산지:상세설명에 표시]</t>
  </si>
  <si>
    <t>농장직송 케일 쌈 그린스무디 1kg, 1개 [원산지:국산(경기도 양평군)]</t>
  </si>
  <si>
    <t>한국제다 그린티믹스 14 스틱 [원산지:국산(전라남도 영암군)]</t>
  </si>
  <si>
    <t>유기농차 목련 꽃차 4g 신이화차 [원산지:국산(경상남도 창원시 마산합포구)]</t>
  </si>
  <si>
    <t>한국식 페퍼민트 국내산 목에 좋은 코뻥 박하차 티백 50개입, 1개 [원산지:국산(전라남도 구례군)]</t>
  </si>
  <si>
    <t>국내산 국산 구수한 볶은 작두콩차 티백 50개입, 1개 [원산지:국산(경상북도 경산시)]</t>
  </si>
  <si>
    <t>청춘불판 직화껍데기 350g 국내산 직화 불향 자체양념소스 [원산지:상세설명에 표시]</t>
  </si>
  <si>
    <t>루꼴라 로켓 로케트 300g, 1개 [원산지:국산(경기도 양평군)]</t>
  </si>
  <si>
    <t>애플링 국산 동결건조 배칩 3팩 / 무첨가 건강간식 아기간식 [원산지:국산(경상북도 상주시)]</t>
  </si>
  <si>
    <t>이기순 명인의 순 갓김치 1kg 2kg 국산 갓 국내산 김치 맛집 주문 전라도 프리미엄 [원산지:국산]</t>
  </si>
  <si>
    <t>국내산 육수용 닭뼈 10kg (5kg x2봉) 닭몸통뼈 사골뼈 [원산지:국산]</t>
  </si>
  <si>
    <t>농장직송 적겨자 잎 쌈채소 500g, 1개 [원산지:국산(경기도 양평군)]</t>
  </si>
  <si>
    <t>농장직송 농장직송 적근대 300g, 1개 [원산지:국산(경기도 양평군)]</t>
  </si>
  <si>
    <t>국내산 밤티 밤속껍질 율피 밤차 50티백 [원산지:국산(충청남도 아산시)]</t>
  </si>
  <si>
    <t>고기얌 불오돌뼈 250g 국내산 매운 양념 캠핑 혼술 안주 [원산지:상세설명에 표시]</t>
  </si>
  <si>
    <t>[오복농산] 박 계영님의 건 여주 / 여주차 [원산지:국산(전라북도 고창군)]</t>
  </si>
  <si>
    <t>신선한 우리밀 앉은키밀 공정무역 우리밀 한입스콘 구움과자 디저트 초코칩, 100g, 1개 [원산지:국산(경기도 부천시)]</t>
  </si>
  <si>
    <t>신선한 우리밀 앉은키밀 공정무역 우리밀 한입스콘 구움과자 디저트 바다김, 100g, 1개 [원산지:국산(경기도 부천시)]</t>
  </si>
  <si>
    <t>신선한 우리밀 앉은키밀 공정무역 우리밀 한입스콘 구움과자 디저트 쑥고물, 100g, 1개 [원산지:국산(경기도)]</t>
  </si>
  <si>
    <t>농장직송 농장직송 적근대 500g, 1개 [원산지:국산(경기도 양평군)]</t>
  </si>
  <si>
    <t>국내산 냉동 닭특수부위 닭똥집 닭근위 900g [원산지:국산]</t>
  </si>
  <si>
    <t>고소애 오란다 고단백 프로틴 간식 [원산지:국산(경기도 고양시)]</t>
  </si>
  <si>
    <t>당일수확 농장직송 생바질 스위트 식용허브 100g, 1개 [원산지:국산(경기도 양평군)]</t>
  </si>
  <si>
    <t>고단백 고소애 초코칩쿠키(1개) 프로틴 간식 식용 곤충 밀웜 쿠키 어린이 영양간식 [원산지:국산(경기도)]</t>
  </si>
  <si>
    <t>쌀그래 아몬드 서리태 라이스칩 아몬드 서리태 누룽지 쌀과자 무설탕 저염 아이간식 새암농장 [원산지:국산(경기도 용인시)]</t>
  </si>
  <si>
    <t>국내산 한돈 수제 돼지갈비찜 600g (2종 중 택1)</t>
  </si>
  <si>
    <t>국내산 한돈 수제 양념 돼지갈비 450G (2종 중 택1)</t>
  </si>
  <si>
    <t>농업회사법인 라이플로우 주식회사</t>
  </si>
  <si>
    <t>[온누리7%혜택][주왕산가든] 한우불고기 전골 밀키트 750g 3인분 불고기 육수 야채 소불고기</t>
  </si>
  <si>
    <t>[온누리7%혜택][주왕산가든] 명품 한돈 수제 돼지갈비 실속형 500g 양념돼지갈비 밀키트</t>
  </si>
  <si>
    <t>[출고당일도정] 2025년산 햅쌀 당진해나루쌀 삼광미 특등급 쌀10kg</t>
  </si>
  <si>
    <t>[출고당일도정] 2025년산 햅쌀 당진해나루쌀 삼광미 특등급 쌀20kg</t>
  </si>
  <si>
    <t>[출고당일도정] 2025년산 햅쌀 당진해나루 당찬쌀 상등급 20kg</t>
  </si>
  <si>
    <t>[출고당일도정] 2025년산 햅쌀 당진해나루 당찬쌀 상등급 10kg</t>
  </si>
  <si>
    <t>[출고당일도정] 2025년산 햅쌀 당진해나루 신유빈쌀 삼광미 특등급 쌀10kg</t>
  </si>
  <si>
    <t>[온누리7%혜택][말바우시장 선김치] 전라도 국산 알타리 총각김치</t>
  </si>
  <si>
    <t>[온누리7%혜택][말바우시장 선김치] 전라도 국산 얼갈이김치</t>
  </si>
  <si>
    <t>[온누리7%혜택][말바우시장 선김치] 전라도 국산 파김치</t>
  </si>
  <si>
    <t>[온누리7%혜택][말바우시장 선김치] 전라도 국산 여수갓김치</t>
  </si>
  <si>
    <t>[온누리7%혜택][말바우시장 선김치] 전라도 국산 알배기 겉절이 김치 외</t>
  </si>
  <si>
    <t>[온누리7%혜택][말바우시장 선김치] 전라도 국산 열무김치</t>
  </si>
  <si>
    <t>[온누리7%혜택][말바우시장 선김치] 전라도 국산 오이소박이 김치</t>
  </si>
  <si>
    <t>[온누리7%혜택][100% 국산 청양고추] 말바우시장 선김치 맛있게 매운 실비 배추겉절이</t>
  </si>
  <si>
    <t>[온누리7%혜택][100% 국산 청양고추] 말바우시장 선김치 맛있게 매운 실비 배추김치</t>
  </si>
  <si>
    <t>[온누리7%혜택][말바우시장 선김치] 전라도 국산 포기 배추김치</t>
  </si>
  <si>
    <t>[온누리7%혜택]말바우시장 국산 전라도 알배기 겉절이 김치</t>
  </si>
  <si>
    <t>[온누리7%혜택][100% 국산 청양고추] 말바우시장 선김치 맛있게 매운 실비 파김치</t>
  </si>
  <si>
    <t>[온누리7%혜택][말바우시장 선김치] 국산 전라도 가정식 깍두기 김치</t>
  </si>
  <si>
    <t>[온누리7%혜택][말바우시장 선김치] 국산 전라도 가정식 석박지</t>
  </si>
  <si>
    <t>[온누리7%혜택][말바우시장 선김치] 국산 전라도 부추김치</t>
  </si>
  <si>
    <t>[온누리7%혜택][말바우시장 선김치] 국산 전라도 가정식 수제 백김치</t>
  </si>
  <si>
    <t>[온누리7%혜택][말바우시장 선김치] 국산 전라도 다발무김치</t>
  </si>
  <si>
    <t>[온누리7%혜택][말바우시장 선김치] 전라도 국산 알배기 겉절이 김치 1kg 외</t>
  </si>
  <si>
    <t>[온누리7%혜택][말바우시장 선김치] 25년 국산 햇고춧가루 김치 반찬용</t>
  </si>
  <si>
    <t>[온누리7%혜택]국산 석류와 배를 담은 수제생강청 착즙원액 스틱 30포</t>
  </si>
  <si>
    <t>[온누리7%혜택]물한방울 섞지 않은 100%착즙 국산 수제 생강청 생강원액 420g</t>
  </si>
  <si>
    <t>[온누리7%혜택]정선 약도라지 착즙원액 국산 도라지청 추석 설 명절 선물 420g</t>
  </si>
  <si>
    <t>[온누리7%혜택][살수록할인]정선사위 정선약도라지청 착즙 원액 스틱 30포3박스</t>
  </si>
  <si>
    <t>[온누리7%혜택]강옥연 국산 수제 한입 도라지정과 한입 더덕정과 명절 선물 100g</t>
  </si>
  <si>
    <t>[온누리7%혜택]국산 도라지청 약도라지 착즙 원액 420g</t>
  </si>
  <si>
    <t>[온누리7%혜택]국산 콩고물 수제 도라지정과 350g (실크 보자기포장 포함) 상견례 추석 명절 선물세트</t>
  </si>
  <si>
    <t>[온누리7%혜택]국산 콩고물 수제 도라지정과 500g (고급 보자기포장 포함) 상견례 추석 명절 선물세트</t>
  </si>
  <si>
    <t>[온누리7%혜택]국산 콩고물 수제 도라지정과 300g (고급 보자기포장 포함) 상견례 추석 명절 선물세트</t>
  </si>
  <si>
    <t>[온누리7%혜택]국산 생강 착즙원액 650g 생강청 생강차</t>
  </si>
  <si>
    <t>[온누리7%혜택]국산 콩고물 수제 더덕정과 350g (실크 보자기포장 포함) 상견례 추석 명절 선물세트</t>
  </si>
  <si>
    <t>[온누리7%혜택]정선 약도라지 착즙원액 국산 도라지청 추석 설 명절 선물 150g</t>
  </si>
  <si>
    <t>[온누리7%혜택]물한방울 섞지 않은 100% 착즙 국산 수제 생강청 생강원액 630g</t>
  </si>
  <si>
    <t>[온누리7%혜택]국산 도라지청 약도라지 착즙 원액 630g</t>
  </si>
  <si>
    <t>[온누리7%혜택]국산 구수한 가마솥 우리쌀 누룽지 간식 1kg</t>
  </si>
  <si>
    <t>더바른컴퍼니</t>
  </si>
  <si>
    <t>[떡1위] 반반 바람떡 1box 개별포장 100%국산쌀</t>
  </si>
  <si>
    <t>[떡1위] 초코팅 피넛버터크림떡 1box 개별포장 100%국산쌀</t>
  </si>
  <si>
    <t>[떡1위] 초코팅 말차크림떡 1box 개별포장 100%국산쌀</t>
  </si>
  <si>
    <t>[떡 1위] 더바른떡 콩쑥개떡 1box 100%국산쌀</t>
  </si>
  <si>
    <t>[떡1위] 파베초코크림떡 1box 개별포장 100%국산쌀</t>
  </si>
  <si>
    <t>[떡1위] 복숭아요거트크림떡 1box 개별포장 100%국산쌀</t>
  </si>
  <si>
    <t>[APP전용] 더바른 앙꼬절편 4종 1팩/2팩 (흰팥,쑥,흑임자,고구마)</t>
  </si>
  <si>
    <t>[떡 1위] 굳지않는 삼색꿀떡 1box 개별포장 100%국산쌀</t>
  </si>
  <si>
    <t>[떡1위] 저당 밥알찹쌀떡 1box 개별포장 100%국산쌀</t>
  </si>
  <si>
    <t>[떡1위] 딸기크림떡/밤크림떡 1box/2box 개별포장 100%국산쌀</t>
  </si>
  <si>
    <t>[떡 1위] 딸기크림떡 1box 개별포장 100%국산쌀</t>
  </si>
  <si>
    <t>팥/흑임자/고구마앙꼬절편 500G+500G</t>
  </si>
  <si>
    <t>[떡 1위] 자연해동 오색송편 1pack (추가 구매시 더 큰 할인)</t>
  </si>
  <si>
    <t>[떡 1위] 삼색가래떡 1kg 100%국산쌀</t>
  </si>
  <si>
    <t>[떡 1위] 영양찰떡 1box 개별포장 100%국산쌀</t>
  </si>
  <si>
    <t>[떡 1위] 우유꿀설기 1box 개별포장 100%국산쌀</t>
  </si>
  <si>
    <t>[떡 1위] 흑임자찹쌀떡 1box 100%국산쌀</t>
  </si>
  <si>
    <t>[떡 1위] 카스테라찹쌀떡 1box 100%국산쌀</t>
  </si>
  <si>
    <t>[떡 1위] 크림찹쌀떡 1box 100%국산쌀</t>
  </si>
  <si>
    <t>[떡 1위] 콩가루쑥인절미 1box 100%국산쌀</t>
  </si>
  <si>
    <t>[떡 1위 흑임자호박인절미 1box 100%국산쌀</t>
  </si>
  <si>
    <t>[떡1위] 카스테라호박인절미 1box 100%국산쌀</t>
  </si>
  <si>
    <t>국산 농산물로 만든 프리미엄 산채주먹밥(고추장버전) 100gx5팩</t>
  </si>
  <si>
    <t>국산 농산물로 만든 프리미엄 산채주먹밥(간장버전) 100gx5팩</t>
  </si>
  <si>
    <t>산나물반찬 완제품 150gx5종세트 (고사리/취나물/부지깽이/곤드레/토란대)</t>
  </si>
  <si>
    <t>국산두부 짜글이 200g 비빔장 덮밥소스</t>
  </si>
  <si>
    <t>구수한 우거지 된장국 500gx5팩</t>
  </si>
  <si>
    <t>구수한 우거지 된장국 500gx3팩</t>
  </si>
  <si>
    <t>프리미엄 구수한 감칠맛 고로쇠 청국장찌개 450g x 5팩</t>
  </si>
  <si>
    <t>프리미엄 구수한 감칠맛 고로쇠 청국장찌개 450g x 3팩</t>
  </si>
  <si>
    <t>프리미엄 구수한 감칠맛 고로쇠 청국장찌개 450g</t>
  </si>
  <si>
    <t>볶아먹는 산채비빔밥 밀키트 200g x 5팩</t>
  </si>
  <si>
    <t>볶아먹는 산채비빔밥 밀키트 200g x 3팩</t>
  </si>
  <si>
    <t>볶아먹는 산채비빔밥 밀키트 200g</t>
  </si>
  <si>
    <t>초간편 3분나물 반찬 쿠킹박스 밀키트 데친곤드레 240g</t>
  </si>
  <si>
    <t>고로쇠 시래기된장국 600g x 2팩</t>
  </si>
  <si>
    <t>전통한식 프리미엄 고로쇠된장 3kg</t>
  </si>
  <si>
    <t>냄새없이 구수한 무염 생청국장 200g x 3팩</t>
  </si>
  <si>
    <t>초간편 3분나물 산나물반찬 밀키트 데친취나물 240g</t>
  </si>
  <si>
    <t>초간편 3분나물 240gx4종(고사리/취나물/부지깽이/곤드레)</t>
  </si>
  <si>
    <t>고로쇠 시래기된장국 600g x 3팩</t>
  </si>
  <si>
    <t>아삭아삭 새콤달콤 매실장아찌 340g</t>
  </si>
  <si>
    <t>튜브형 장류3종세트-고로쇠된장/찹쌀고추장/만능쌈장</t>
  </si>
  <si>
    <t>매실 만능쌈장 1kg</t>
  </si>
  <si>
    <t>매실 만능쌈장 500g</t>
  </si>
  <si>
    <t>매실 만능쌈장 340g</t>
  </si>
  <si>
    <t>캠핑 여행용 매실 만능쌈장 230g</t>
  </si>
  <si>
    <t>전통한식 프리미엄 찹쌀고추장 340g</t>
  </si>
  <si>
    <t>고로쇠 시래기된장국 600g x 5팩</t>
  </si>
  <si>
    <t>전통한식 프리미엄 고로쇠된장 340g</t>
  </si>
  <si>
    <t>피아골미선씨 캠핑 여행용 전통한식 고로쇠된장 230g</t>
  </si>
  <si>
    <t>캠핑 여행용 찹쌀고추장 230g</t>
  </si>
  <si>
    <t>초간편 3분나물 산나물반찬 밀키트 데친부지깽이 240g</t>
  </si>
  <si>
    <t>초간편 3분나물 산나물반찬 밀키트 데친고사리 240g</t>
  </si>
  <si>
    <t>프리미엄 선물세트 10호/장류4종 세트</t>
  </si>
  <si>
    <t>프리미엄 선물세트 9호/장류3종(옻수저) 세트</t>
  </si>
  <si>
    <t>프리미엄 선물세트 8호/장류3종 세트</t>
  </si>
  <si>
    <t>프리미엄 선물세트 7호/장류3종(옻수저) 세트</t>
  </si>
  <si>
    <t>프리미엄 선물세트 6호/장류3종(옻수저) 세트</t>
  </si>
  <si>
    <t>프리미엄 선물세트 3호/장류4종 세트</t>
  </si>
  <si>
    <t>프리미엄 선물세트 2호/장류3종(옻수저) 세트</t>
  </si>
  <si>
    <t>프리미엄 선물세트 1호/장류3종(옻수저) 세트</t>
  </si>
  <si>
    <t>냄새없이 구수한 무염 생청국장 200g x 5팩</t>
  </si>
  <si>
    <t>아삭아삭 새콤달콤 매실장아찌 1kg</t>
  </si>
  <si>
    <t>전통한식 프리미엄 찹쌀고추장 500g</t>
  </si>
  <si>
    <t>전통한식 프리미엄 찹쌀고추장 1kg</t>
  </si>
  <si>
    <t>전통한식 프리미엄 찹쌀고추장 2kg</t>
  </si>
  <si>
    <t>아삭아삭 새콤달콤 매실장아찌 500g</t>
  </si>
  <si>
    <t>전통한식 프리미엄 고로쇠간장 300ml</t>
  </si>
  <si>
    <t>전통한식 프리미엄 고로쇠된장 500g</t>
  </si>
  <si>
    <t>전통한식 프리미엄 고로쇠된장 950g</t>
  </si>
  <si>
    <t>전통한식 프리미엄 고로쇠된장 2kg</t>
  </si>
  <si>
    <t>[APP전용]에상스팜 유러피안 샐러드야채 모듬쌈 로메인 상추 버터헤드 바타비아 크리스탈 1kg</t>
  </si>
  <si>
    <t>유러피안 샐러드야채 모듬쌈 로메인 상추 버터헤드 바타비아 크리스탈 1kg</t>
  </si>
  <si>
    <t>[홍익상회] 춘천닭갈비 500g x 3팩 국내산닭고기 양념 순살</t>
  </si>
  <si>
    <t>싱싱보따리 의성 햇마늘 통마늘 대서마늘 당일출고</t>
  </si>
  <si>
    <t>수제채반곶감호두말이선물세트1kg</t>
  </si>
  <si>
    <t>반건시곶감1.8kg(개당 60g내외 10과*3팩)</t>
  </si>
  <si>
    <t>반건시선물세트2.6kg(75g 35과)</t>
  </si>
  <si>
    <t>대봉반건시선물세트3.3kg(90g이상 35과)</t>
  </si>
  <si>
    <t>대봉반건시선물세트4.5kg(150g이상 30과)</t>
  </si>
  <si>
    <t>대봉실속반건시(500g*1팩)</t>
  </si>
  <si>
    <t>반건시선물세트1.8kg(75g이상 24과)</t>
  </si>
  <si>
    <t>반건시곶감선물세트30개입(개당50~60g 10과3팩)</t>
  </si>
  <si>
    <t>대봉반건시선물세트3.6kg(120g이상 30과)</t>
  </si>
  <si>
    <t>곶감호두말이선물세트1.5kg(반건시곶감1kg+호두말이500g)</t>
  </si>
  <si>
    <t>[온누리7%혜택]상주곶감 건시 개별포장 선물세트 1호</t>
  </si>
  <si>
    <t>[온누리7%혜택]상주삼백곶감 크림치즈호두말이2호(치즈호두말이3팩) 선물세트</t>
  </si>
  <si>
    <t>[온누리7%혜택]상주삼백곶감 실속포장 대봉감말랭이 1kg</t>
  </si>
  <si>
    <t>[온누리7%혜택]상주삼백곶감 가정용 실속곶감1kg대과</t>
  </si>
  <si>
    <t>[온누리7%혜택]상주삼백곶감 가정용 실속곶감1kg중과</t>
  </si>
  <si>
    <t>[온누리7%혜택]상주삼백곶감 가정용 실속곶감1kg소과</t>
  </si>
  <si>
    <t>[온누리7%혜택]상주삼백곶감 크림치즈호두말이1호 세트</t>
  </si>
  <si>
    <t>[온누리7%혜택]상주삼백곶감 반건시선물세트2.8kg(70g*40개)</t>
  </si>
  <si>
    <t>[온누리7%혜택]상주삼백곶감 반건시선물세트2.4kg(60g*40개)</t>
  </si>
  <si>
    <t>[온누리7%혜택]상주삼백곶감 상주삼백곶감 반건시선물세트1.2kg(60g*20개)</t>
  </si>
  <si>
    <t>[온누리7%혜택]상주삼백곶감 선물세트 반건시1.2kg(40g30개입)</t>
  </si>
  <si>
    <t>[온누리7%혜택]상주삼백곶감 상주삼백곶감 반건시선물세트1kg(50g*20개)</t>
  </si>
  <si>
    <t>[온누리7%혜택]실속 크림치즈호두말이1팩 270-300g</t>
  </si>
  <si>
    <t>[온누리7%혜택]상주삼백곶감 반건시선물세트2kg(50g*40개)</t>
  </si>
  <si>
    <t>[온누리7%혜택]상주삼백곶감 상주삼백곶감 반건시선물세트(40g*20개)</t>
  </si>
  <si>
    <t>[온누리7%혜택]상주삼백곶감 크림치즈호두말이3호(반건시2팩치즈호두말이1팩) 선물세트</t>
  </si>
  <si>
    <t>[온누리7%혜택]상주삼백곶감 상주곶감선물세트 1.5kg특품</t>
  </si>
  <si>
    <t>[온누리7%혜택]상주삼백곶감 상주곶감선물세트 1kg특품</t>
  </si>
  <si>
    <t>[온누리7%혜택]상주삼백곶감 명품 개별반건시 트레이40구(트레이 60g*40개입)</t>
  </si>
  <si>
    <t>[온누리7%혜택]상주삼백곶감 프리미엄 대봉왕특반건시트레이21구</t>
  </si>
  <si>
    <t>[온누리7%혜택]상주삼백곶감 프리미엄 왕특대봉반건시 개별반건시15구</t>
  </si>
  <si>
    <t>지리산농산</t>
  </si>
  <si>
    <t>[온누리7%혜택][지리산농산 공식인증점]지리산산청 가정용햇곶감 대용량/ 달콤촉촉 반건시500g</t>
  </si>
  <si>
    <t>[온누리7%혜택][지리산농산 공식인증점]달콤쫀득 지리산산청 햇곶감 가정용 반접 50과 대용량</t>
  </si>
  <si>
    <t>[온누리7%혜택][지리산농산공식인증점]산청고종시 쫀득이 햇곶감절편 500g</t>
  </si>
  <si>
    <t>[온누리7%혜택][지리산농산 공식인증점] 지리산 산청 곶감특산품 상품전</t>
  </si>
  <si>
    <t>[온누리7%혜택][지리산농산 공식인증점] 지리산산청 100%자연산 사양벌꿀 상품전</t>
  </si>
  <si>
    <t>[온누리7%혜택][지리산농산 공식인증점] 지리산산청 100%자연산 아까시꽃 천연벌꿀 상품전</t>
  </si>
  <si>
    <t>[온누리7%혜택]지리산 산청 특등급 햇고사리 600g(한근) 국내산 프리미엄 건고사리</t>
  </si>
  <si>
    <t>[온누리7%혜택] 하동 북천 황토밭 무농약 햇 고구마(진율미 / 호풍미) 5kg</t>
  </si>
  <si>
    <t>고품질 특품 정량 로메인청상추 1kg/2kg</t>
  </si>
  <si>
    <t>[무농약 GAP인증] 유러피안 샐러드 1kg 상추 (도시의푸른농장) 로메인 버터헤드 바타비아 바타아이스 프릴아이스</t>
  </si>
  <si>
    <t>농업법인 주식회사 드림라이스</t>
  </si>
  <si>
    <t>25년 햅쌀 드림 향진주 쌀 10kg 단일품종 당일도정</t>
  </si>
  <si>
    <t>[하루세끼쌀]25년 햅쌀 옥구농협 예담채 십리향 10kg 상등급+당일도정+단일품종</t>
  </si>
  <si>
    <t>25년 햅쌀 새청무 쌀 10kg 단일품종 당일도정</t>
  </si>
  <si>
    <t>25년 햅쌀 프리미엄 경기미 10kg 당일도정</t>
  </si>
  <si>
    <t>[온누리7%혜택]달구벌한과 찹쌀유과 (420g)</t>
  </si>
  <si>
    <t>[온누리7%혜택]달구벌한과 찹쌀유과 2호 560g</t>
  </si>
  <si>
    <t>[온누리7%혜택]달구벌 찹쌀유과 실속형 9봉 1.2kg</t>
  </si>
  <si>
    <t>[온누리7%혜택]달구벌 대구유과</t>
  </si>
  <si>
    <t>[온누리7%혜택]달구벌 대구유과 10+1</t>
  </si>
  <si>
    <t>청라상회 원적외선 구운계란 30구 60구 무항생제 맥반석계란 HACCP 햇썹 인증</t>
  </si>
  <si>
    <t>청라상회 원적외선 구운계란 60구 무항생제 맥반석계란 HACCP 햇썹 인증</t>
  </si>
  <si>
    <t>청라상회 원적외선 구운계란 대란 60구 무항생제 맥반석계란 HACCP 햇썹 인증</t>
  </si>
  <si>
    <t>청라상회 무항생제 구운계란 맥반석계란 초란 30구 60구 HACCP 인증 안심포장</t>
  </si>
  <si>
    <t>청라상회 원적외선 구운계란 30구+30구 (총60구) 무항생제 맥반석계란 HACCP 햇썹 인증</t>
  </si>
  <si>
    <t>청라상회 무항생제 맥반석 구운계란 초란 30구 60구 HACCP 인증 안심포장</t>
  </si>
  <si>
    <t>산지직송 추부깻잎100% 당일제조 밥도둑500g 안매운 양념생깻잎 맛있게 매운실비깻잎김치</t>
  </si>
  <si>
    <t>깻잎통째로 넣은 깻잎현미찹쌀인절미 빙수 팥죽 콩고물</t>
  </si>
  <si>
    <t>산지직송 추부깻잎 100% 된장 깻잎장아찌 양념깻잎장아찌 수제장아찌 2종</t>
  </si>
  <si>
    <t>건강식 아침대용 우리쌀 깻잎통째로 넣은 현미쌀 깻잎가래떡</t>
  </si>
  <si>
    <t>[온누리7%혜택][부세페 최종가 6930원]55년전통 대현상회 국산 된장 간장 고추장 모음 / 백년가게가 만든 전통 장류</t>
  </si>
  <si>
    <t>[온누리7%혜택][부세페 최종가 3430원]55년전통 대현상회 국산 보리차 옥수수 둥굴레 우엉차 메밀차 돼지감자 작두콩 현미차</t>
  </si>
  <si>
    <t>대현상회 국산 볶은 참깨 검은깨 들깨가루</t>
  </si>
  <si>
    <t>26년 [강화섬] 강화특산품 고소하고 부드러운 찰보리쌀(2.5kg)</t>
  </si>
  <si>
    <t>우리나라 대표 발효음식 청국장 (묵은지청국장+차돌박이 묵은지청국장)</t>
  </si>
  <si>
    <t>늘푸른</t>
  </si>
  <si>
    <t>[당일수확] 유기농 무농약 친환경 대추방울토마토 (2kg/5kg)</t>
  </si>
  <si>
    <t>단단하고 예쁜 완숙토마토 (2kg/3kg)</t>
  </si>
  <si>
    <t>삶은 돼지 소창 1kg</t>
  </si>
  <si>
    <t>삶은 돼지 대창 1kg</t>
  </si>
  <si>
    <t>삶은 돼지 오소리감투 1kg</t>
  </si>
  <si>
    <t>삶은 돼지 허파 1kg</t>
  </si>
  <si>
    <t>삶은 돼지머리 슬라이스 1kg</t>
  </si>
  <si>
    <t>초신선 돼지머리 수육 500g + 소스포함</t>
  </si>
  <si>
    <t>국내산 돼지 뒷고기 덜미살 꼬들목살 500g</t>
  </si>
  <si>
    <t>국내산 돼지 뒷고기 모둠 500g</t>
  </si>
  <si>
    <t>국내산 돼지 뒷고기 돈두롤 500g</t>
  </si>
  <si>
    <t>국내산 돼지 뒷고기 돈두삼겹살 500g</t>
  </si>
  <si>
    <t>행사특가/국내산 삶은 돼지 소창(쨈창)1kg+1kg</t>
  </si>
  <si>
    <t>국내산 삶은 돼지 염통 1kg</t>
  </si>
  <si>
    <t>다이어트 간식 한입크기 쌀과자 미니뻥튀기 오곡오곡 50g x 5봉</t>
  </si>
  <si>
    <t>다이어트 간식 한입크기 쌀과자 미니뻥튀기 오곡오곡 50g x 15봉</t>
  </si>
  <si>
    <t>HACCP 해썹인증 김과자 저염 수제 찹쌀 김부각 40g 3봉</t>
  </si>
  <si>
    <t>HACCP 해썹인증 김과자 저염 수제 찹쌀 김부각 40g 10봉</t>
  </si>
  <si>
    <t>HACCP 해썹인증 김과자 저염 수제 찹쌀 김부각 선물세트2호</t>
  </si>
  <si>
    <t>HACCP 해썹인증 김과자 저염 수제 찹쌀 김부각 선물세트3호</t>
  </si>
  <si>
    <t>농업회사법인 지리산별마루(유)</t>
  </si>
  <si>
    <t>숨톡 요구르트맛 30개입 1박스 도라지 맥문동 한방 아이 어린이 가족 캔디 비타민 사탕 건강간식</t>
  </si>
  <si>
    <t>숨톡 포도맛 30개입 1박스 도라지 맥문동 한방 아이 어린이 가족 캔디 비타민 사탕 건강간식</t>
  </si>
  <si>
    <t>지리산 별마루 차 선물세트 볶음차 도라지 우엉 무 세트 부모님 선물 답례품</t>
  </si>
  <si>
    <t>양파즙 대추양파 자색양파 양파액기스 순수양파 껍질째 양파즙 건강즙</t>
  </si>
  <si>
    <t>도라지배즙 100ml 30포 생생 진한 도라지 배 액기스 음료</t>
  </si>
  <si>
    <t>[30%중복쿠폰] 도라지배청 400g 도라지 배 아기 조청 시럽 소스 간식</t>
  </si>
  <si>
    <t>무우차100g 지리산 무우 무말랭이 볶은무 차</t>
  </si>
  <si>
    <t>우엉차 150g 단품 지리산 우엉 말린우엉차 볶아만든 우엉 차</t>
  </si>
  <si>
    <t>[20%중복쿠폰] 천왕봉 신의 약도라지정 도차리청 단품 400g 선물세트 선물 부모님선물 농축액 조청</t>
  </si>
  <si>
    <t>더 건강한 도라지 진액 농축액 15ml 스틱 선물 실속</t>
  </si>
  <si>
    <t>프로즌 수제청 과일청 오미자청 1.5kg</t>
  </si>
  <si>
    <t>프로즌 수제청 과일청 냉동 청귤슬라이스청 1.5kg</t>
  </si>
  <si>
    <t>프로즌 수제청 과일청 냉동 자두복숭아청 1.5kg</t>
  </si>
  <si>
    <t>프로즌 수제청 냉동 배도라지대추생강청 1.5kg</t>
  </si>
  <si>
    <t>프로즌 수제청 과일청 냉동 청귤착즙청 1.5kg</t>
  </si>
  <si>
    <t>수제청 과일청 배도라지대추생강청 1kg 에이드 음료 차 대용량 카페 납품</t>
  </si>
  <si>
    <t>수제청 과일청 배생강착즙청 1kg 에이드 음료 차 대용량 카페 납품</t>
  </si>
  <si>
    <t>수제청 과일청 자두착즙청 1kg 에이드 음료 차 대용량 카페 납품</t>
  </si>
  <si>
    <t>수제청 과일청 유자청 1kg 에이드 음료 차 대용량 카페 납품</t>
  </si>
  <si>
    <t>수제청 과일청 오미자청 1kg 에이드 음료 차 대용량 카페 납품</t>
  </si>
  <si>
    <t>수제청 과일청 생강착즙청 1kg 에이드 음료 차 대용량 카페 납품</t>
  </si>
  <si>
    <t>수제청 과일청 매실청 1kg 에이드 음료 차 대용량 카페 납품</t>
  </si>
  <si>
    <t>수제청 과일청 감귤착즙청 1kg 에이드 음료 차 대용량 카페 납품</t>
  </si>
  <si>
    <t>수제청 과일청 감귤청 1kg 에이드 음료 차 대용량 카페 납품</t>
  </si>
  <si>
    <t>수제청 과일청 청귤착즙청 1kg 에이드 음료 차 대용량 카페 납품</t>
  </si>
  <si>
    <t>수제청 과일청 청귤청 1kg 에이드 음료 차 대용량 카페 납품</t>
  </si>
  <si>
    <t>수제청 과일청 샤인머스켓착즙청 1kg 에이드 음료 차 대용량 카페 납품</t>
  </si>
  <si>
    <t>수제청 과일청 샤인머스켓청 1kg 에이드 음료 차 대용량 카페 납품</t>
  </si>
  <si>
    <t>수제청 과일청 토마토바질청 1kg 에이드 음료 차 대용량 카페 납품</t>
  </si>
  <si>
    <t>수제청 과일청 자두복숭아청 1kg 에이드 음료 차 대용량 카페 납품</t>
  </si>
  <si>
    <t>수제청 과일청 자두착즙청 1200g 에이드 음료 차 답례품 선물</t>
  </si>
  <si>
    <t>수제청 과일청 생강착즙청 1200g 에이드 음료 차 답례품 선물</t>
  </si>
  <si>
    <t>수제청 과일청 토마토바질청 1000g 에이드 음료 차 답례품 선물</t>
  </si>
  <si>
    <t>수제청 과일청 유자청 1200g 에이드 음료 차 답례품 선물</t>
  </si>
  <si>
    <t>수제청 과일청 오미자청 1200g 에이드 음료 차 답례품 선물</t>
  </si>
  <si>
    <t>수제청 과일청 생강고 1000g 진저라떼 음료 생강차 답례품 선물</t>
  </si>
  <si>
    <t>수제청 과일청 배도라지대추생강청 1200g 생강차 음료 답례품 선물</t>
  </si>
  <si>
    <t>수제청 과일청 감귤청 1000g 에이드 음료 차 답례품 선물</t>
  </si>
  <si>
    <t>수제청 과일청 청귤청 1000g 풋귤 에이드 음료 차 답례품 선물</t>
  </si>
  <si>
    <t>수제청 과일청 자두복숭아청 1200g 에이드 음료 차 답례품 선물</t>
  </si>
  <si>
    <t>수제청 과일청 샤인머스켓청 1200g 에이드 음료 차 답례품 선물</t>
  </si>
  <si>
    <t>수제청 과일청 자두착즙청 800g 에이드 음료 차 답례품 선물</t>
  </si>
  <si>
    <t>수제청 과일청 생강착즙청 800g 에이드 음료 차 답례품 선물</t>
  </si>
  <si>
    <t>수제청 과일청 토마토바질청 700g 에이드 음료 차 답례품 선물</t>
  </si>
  <si>
    <t>수제청 과일청 유자청 800g 에이드 음료 차 답례품 선물</t>
  </si>
  <si>
    <t>수제청 과일청 오미자청 800g 에이드 음료 차 답례품 선물</t>
  </si>
  <si>
    <t>수제청 과일청 생강고 800g 에이드 음료 차 답례품 선물</t>
  </si>
  <si>
    <t>수제청 과일청 배도라지대추생강청 800g 생강차 음료 답례품 선물</t>
  </si>
  <si>
    <t>수제청 과일청 감귤청 700g 에이드 음료 차 답례품 선물</t>
  </si>
  <si>
    <t>수제청 과일청 청귤청 700g 풋귤 에이드 음료 차 답례품 선물</t>
  </si>
  <si>
    <t>수제청 과일청 자두복숭아청 800g 에이드 음료 차 답례품 선물</t>
  </si>
  <si>
    <t>수제청 과일청 샤인머스켓청 800g 에이드 음료 차 답례품 선물</t>
  </si>
  <si>
    <t>수제청 과일청 자두착즙청 600g 에이드 음료 차 답례품 선물</t>
  </si>
  <si>
    <t>수제청 과일청 생강착즙청 600g 에이드 음료 차 답례품 선물</t>
  </si>
  <si>
    <t>수제청 과일청 토마토바질청 500g 에이드 음료 차 답례품 선물</t>
  </si>
  <si>
    <t>수제청 과일청 유자청 600g 에이드 음료 차 답례품 선물</t>
  </si>
  <si>
    <t>수제청 과일청 오미자청 600g 에이드 음료 차 답례품 선물</t>
  </si>
  <si>
    <t>수제청 과일청 생강고 600g 에이드 음료 차 답례품 선물</t>
  </si>
  <si>
    <t>수제청 과일청 배도라지대추생강청 600g 에이드 음료 차 답례품 선물</t>
  </si>
  <si>
    <t>수제청 과일청 감귤청 600g 에이드 음료 차 답례품 선물</t>
  </si>
  <si>
    <t>수제청 과일청 청귤청 600g 풋귤 에이드 음료 차 답례품 선물</t>
  </si>
  <si>
    <t>수제청 과일청 자두복숭아청 600g 에이드 음료 차 답례품 선물</t>
  </si>
  <si>
    <t>수제청 과일청 샤인머스켓청 600g 에이드 음료 차 답례품 선물</t>
  </si>
  <si>
    <t>프리미엄 매실청 850g 콜드프레스 수제청 과일청 에이드 음료 답례품 선물 세트</t>
  </si>
  <si>
    <t>프리미엄 오미자청 850g 콜드프레스 수제청 과일청 에이드 음료 답례품 선물 세트</t>
  </si>
  <si>
    <t>프리미엄 배생강착즙청 850g 콜드프레스 수제청 과일청 에이드 음료 답례품 선물 세트</t>
  </si>
  <si>
    <t>프리미엄 감귤착즙청 850g 콜드프레스 수제청 과일청 에이드 음료 답례품 선물 세트</t>
  </si>
  <si>
    <t>프리미엄 청귤착즙청 850g 콜드프레스 수제청 과일청 에이드 음료 답례품 선물 세트</t>
  </si>
  <si>
    <t>프리미엄 매실청 650g 콜드프레스 수제청 과일청 에이드 음료 답례품 선물 세트</t>
  </si>
  <si>
    <t>프리미엄 오미자청 650g 콜드프레스 수제청 과일청 에이드 음료 답례품 선물 세트</t>
  </si>
  <si>
    <t>프리미엄 배생강착즙청 650g 콜드프레스 수제청 과일청 에이드 음료 답례품 선물 세트</t>
  </si>
  <si>
    <t>프리미엄 감귤착즙청 650g 콜드프레스 수제청 과일청 에이드 음료 답례품 선물 세트</t>
  </si>
  <si>
    <t>프리미엄 청귤착즙청 650g 콜드프레스 수제청 과일청 에이드 음료 답례품 선물 세트</t>
  </si>
  <si>
    <t>선물박스 수제청 과일청 배도라지대추생강청 600g 에이드 음료 차 답례품 명절 선물</t>
  </si>
  <si>
    <t>선물박스 수제청 과일청 유자청+배도라지대추생강청 600g 세트 에이드 음료 차 답례품 명절 선물</t>
  </si>
  <si>
    <t>선물박스 수제청 과일청 생강고+유자청 600g 세트 에이드 음료 차 답례품 명절 선물</t>
  </si>
  <si>
    <t>[온누리7%혜택]55년전통 대현상회 무첨가 국산 볶은 콩가루 500g / 무설탕 백년가게 방앗간</t>
  </si>
  <si>
    <t>[온누리7%혜택][부세페 최종가 6930원]55년전통 대현상회 무첨가 국산 볶은 검은콩가루 / 무설탕 백년가게 방앗간</t>
  </si>
  <si>
    <t>[온누리7%혜택]55년전통 대현상회 국산 햇 고춧가루 양념용 고운입자 땡초 고추씨 모음 / 백년가게</t>
  </si>
  <si>
    <t>[온누리7%혜택]55년전통 대현상회 저온압착 국산 참기름 들기름 350ml 선물세트 / HACCP 인증 백년가게 방앗간</t>
  </si>
  <si>
    <t>[온누리7%혜택]55년전통 대현상회 저온압착 국산 참기름 들기름 180ml 선물세트/ HACCP 인증 백년가게 방앗간</t>
  </si>
  <si>
    <t>[온누리7%혜택][부세페 최종가 14630원55년전통 대현상회 저온압착 국산 참기름 들기름 생들기름 180ml / HACCP 인증 백년가게 방앗</t>
  </si>
  <si>
    <t>[온누리7%혜택][부세페 최종가 21630원]55년전통 대현상회 저온압착 국산 참기름 들기름 생들기름 350ml / HACCP 인증 백년가게 방앗</t>
  </si>
  <si>
    <t>[라스트찬스][GAP청년농직송] 26년 국산 저장가능 햇양파 2kg 3kg 5kg 10kg</t>
  </si>
  <si>
    <t>[딜크릿] 삼형제고기 1등급 한돈 찌개용 모듬 고기 냉장 2kg (1kg x 2팩)</t>
  </si>
  <si>
    <t>1등급 한돈 다짐육 대용량 냉장 1kg x 2팩</t>
  </si>
  <si>
    <t>1등급 한돈 돼지 등뼈 감자탕용 대용량 3kg x 2팩</t>
  </si>
  <si>
    <t>삼형제 1등급 한돈 돼지 사태 수육용 냉장 1kg</t>
  </si>
  <si>
    <t>삼형제고기 한돈 간장 고추장 불고기 1kg (200g x 5팩)</t>
  </si>
  <si>
    <t>1등급 한돈 돼지 뒷다리살 제육용 보쌈용 찌개용 냉장 1kg</t>
  </si>
  <si>
    <t>1등급 국내산 한돈 삼겹살 1kg 구이용 제육용 보쌈용 찌개용</t>
  </si>
  <si>
    <t>1등급 국내산 한돈 목살 1kg 구이용 제육용 보쌈용 찌개용</t>
  </si>
  <si>
    <t>[홍익상회] 춘천 홍익닭갈비 500g x 3팩 국내산 닭고기 양념 순살</t>
  </si>
  <si>
    <t>유혜광 수제통등심돈까스 16장(총8팩)(소스 별도구매)</t>
  </si>
  <si>
    <t>[온세일]제주 하우스 감귤 4.5kg 로얄과 귤</t>
  </si>
  <si>
    <t>[온세일]제주 하우스 감귤 4.5kg 프리미엄S과 귤</t>
  </si>
  <si>
    <t>[온누리7%혜택]HACCP 국산 비건고춧가루 1kg (고운, 보통)</t>
  </si>
  <si>
    <t>[온누리7%혜택]HACCP 국산 비건고춧가루 200g (고운, 보통)</t>
  </si>
  <si>
    <t>[온누리7%혜택]내 몸에 좋은 국산 블랙미숫가루</t>
  </si>
  <si>
    <t>[온누리7%혜택]국산 저속노화잡곡 식단관리 예쁜 병 그대로 깔끔한 수납 방앗간아이</t>
  </si>
  <si>
    <t>[온누리7%혜택]고소한 국산 볶은참깨 200g</t>
  </si>
  <si>
    <t>[온누리7%혜택]HACCP 국산 비건고춧가루 100g (고운,보통)</t>
  </si>
  <si>
    <t>[온누리7%혜택]좋은 국산 참깨로 짜는 방앗간아이 고소한 국산 참기름 180ml</t>
  </si>
  <si>
    <t>[온누리7%혜택]내 몸에 좋은 볶은 옥수수차 300g</t>
  </si>
  <si>
    <t>[온누리7%혜택]껍질 깐 고소한 국산 들깨가루 200g</t>
  </si>
  <si>
    <t>[온누리7%혜택]내 몸에 좋은 국산 보리미숫가루 250g</t>
  </si>
  <si>
    <t>지향</t>
  </si>
  <si>
    <t>[APP전용] 바르온 삼계탕 1kg x 4팩</t>
  </si>
  <si>
    <t>[2025년산] 햅쌀 철원오대쌀 10kg 철원미곡</t>
  </si>
  <si>
    <t>삼광 육군병장쌀 10kg</t>
  </si>
  <si>
    <t>김의준고구마 2025년 무농약 세척 꿀고구마 3kg/5kg</t>
  </si>
  <si>
    <t>25년 당도선별 아삭 달콤 사과 경북 저탄소 12brix이상</t>
  </si>
  <si>
    <t>GAP인증 당일수확 무농약 샐러드 쌈채소 3~5종 믹스 800g/1kg 스마트팜 재배 샐러드 쌈채소</t>
  </si>
  <si>
    <t>경북 제철 햇자두 1kg/2kg 과즙풍부 당일수확 산지직송</t>
  </si>
  <si>
    <t>껍질째 먹는 고당도 세척사과 2kg/3kg/5kg/10kg 경북 사과</t>
  </si>
  <si>
    <t>[철원미곡] 2025년 햅쌀 오대현미 10kg</t>
  </si>
  <si>
    <t>[철원미곡] 2025년산 햅쌀 철원오대쌀 4kg</t>
  </si>
  <si>
    <t>[콩여울] 청정고창 저온압착 참기름 165ml/260ml</t>
  </si>
  <si>
    <t>[콩여울] 직접채밀 1+등급 천연벌꿀 아카시아꿀 300g/600g/2.4kg</t>
  </si>
  <si>
    <t>[콩여울] 고창예찬6호 참기름260ml+들기름260ml+볶은참깨120g</t>
  </si>
  <si>
    <t>모시떡 영광모싯잎 모시송편 통동부 20개</t>
  </si>
  <si>
    <t>쑥 인절미 12개입 맛있는 쑥떡 찰떡 햇쑥인절미 맛집</t>
  </si>
  <si>
    <t>[콩여울] 청정고창 저온압착 들기름 165ml/260ml</t>
  </si>
  <si>
    <t>영양산나믈(건곤드레, 건취나물, 건고사리)</t>
  </si>
  <si>
    <t>[철원미곡] 2025년 햅쌀 찹쌀 10kg</t>
  </si>
  <si>
    <t>[콩여울] 직접채밀 순수 천연벌꿀 야생화꿀 300g/600g</t>
  </si>
  <si>
    <t>[까망목장] 요하트 수제 쫀득 그릭요거트 플레인 식사대용 고단백 고칼슘 무가당 500g</t>
  </si>
  <si>
    <t>25년 [산지직송] 국내산 검정쌀 찰흑미 (500g/1kg/3kg/5kg)</t>
  </si>
  <si>
    <t>[콩여울] 직접채밀 순수 천연벌꿀 밤꿀 300g/600g</t>
  </si>
  <si>
    <t>25년 건고추 국내산 세척 건고추 1근(600g) 순한맛/보통맛/매운맛</t>
  </si>
  <si>
    <t>모시떡 영광모싯잎 모시송편 기피 20개</t>
  </si>
  <si>
    <t>국내산 25년 영주 봉화 3년근 약도라지</t>
  </si>
  <si>
    <t>국내산 영주 봉화 흙생강 세척생강 (알뜰/특품) 1kg</t>
  </si>
  <si>
    <t>착한송이버섯 800g</t>
  </si>
  <si>
    <t>논산농부의 수제 생강청 280g / 460g 생강진액</t>
  </si>
  <si>
    <t>모시떡 영광모싯잎 모시송편 흑임자 20개</t>
  </si>
  <si>
    <t>논산농부의 수제 레몬생강청 700g</t>
  </si>
  <si>
    <t>블랙푸드 잡곡 국내산 서리태 (500g/1kg/2kg/4kg)</t>
  </si>
  <si>
    <t>[콩여울] 고창예찬1호 참기름+들기름+생들기름 165ml</t>
  </si>
  <si>
    <t>[철원미곡] 2025년 햅쌀 찰현미 10kg</t>
  </si>
  <si>
    <t>[콩여울] 고창예찬2호 참기름+들기름+재래식간장 165ml</t>
  </si>
  <si>
    <t>[콩여울] 청정고창 저온압착 생들기름 165ml/260ml</t>
  </si>
  <si>
    <t>[콩여울] 정담고을1호 참기름+들기름 165ml</t>
  </si>
  <si>
    <t>[콩여울] 정담고을2호 생들기름+생들기름 165ml</t>
  </si>
  <si>
    <t>우리쌀로만든 쫀득한 떡볶이떡 200g 5개</t>
  </si>
  <si>
    <t>논산농부의 수제 양파청양장아찌 580g(병)</t>
  </si>
  <si>
    <t>직접수확한 쑥으로 만든 쑥떡 쑥개떡 1kg</t>
  </si>
  <si>
    <t>논산농부의 수제 눈꽃딸기청 600g / 1100g</t>
  </si>
  <si>
    <t>에코프리베 쓰지않은 여주차 티백 1.5g x (10ea / 20ea / 60ea) 저온 다회 덖음차 국내 특허 [ECOFRIBAE]</t>
  </si>
  <si>
    <t>논산농부의 수제 오이장아찌 300g (팩포장)</t>
  </si>
  <si>
    <t>25년 [산지직송] 국내산 블랙푸드 흑보리(500g/1kg/4kg/5kg)</t>
  </si>
  <si>
    <t>논산농부의 수제 모듬 야채피클 580g(병) / 1kg(팩)</t>
  </si>
  <si>
    <t>에코프리베 어린이 홍삼 작두콩차 티백 30g (1.5gx20ea) 저온 다회 덖음차 [ECOFRIBAE]</t>
  </si>
  <si>
    <t>논산농부의 수제 유자청 700g</t>
  </si>
  <si>
    <t>에코프리베 호박 팥차 티백 1.5g x (10ea / 20ea) 저온 다회 덖음차 [ECOFRIBAE]</t>
  </si>
  <si>
    <t>논산농부의 수제 마늘종장아찌 580g(병)</t>
  </si>
  <si>
    <t>논산농부의 수제 청양고추장아찌 300g(팩) x 2ea / 580g(병)</t>
  </si>
  <si>
    <t>에코프리베 작두콩차 티백 1.5g x (10ea / 20ea / 60ea) 저온 다회 덖음차 [ECOFRIBAE]</t>
  </si>
  <si>
    <t>논산농부의 수제 오이장아찌무침 170g (팩포장) x 2ea 오이지무침 오이지</t>
  </si>
  <si>
    <t>직접 수확한 쑥으로 만든 쑥떡 쑥인절미 1kg</t>
  </si>
  <si>
    <t>논산농부의 수제 애기오이피클 580g(병) / 1kg(팩)</t>
  </si>
  <si>
    <t>영양만점 잡곡 강화섬 국내산 대두 백태콩 메주콩 (600g/1kg/5kg/10kg)</t>
  </si>
  <si>
    <t>산지출고 [25년] 국내산 늘보리쌀 (500g/1kg/4kg/5kg)</t>
  </si>
  <si>
    <t>춘천 닭갈비 오리지널 1kg 국내산 닭다리살(닭다리살 함량 85%)</t>
  </si>
  <si>
    <t>산지직송 하미과메론 양구메론 경북고령 고당도 그린하미과 골드하미과3kg 5kg</t>
  </si>
  <si>
    <t>(신선집중/15%+NH10%) 한상궁김치 겉절이 2kg / 출고당일생산</t>
  </si>
  <si>
    <t>농업회사법인머쉬그로(주)</t>
  </si>
  <si>
    <t>최상등급품질 양송이버섯 1kg 2kg 산지직송 오후2시당일출고 무료배송 직접재배 산지직송 최대할인가</t>
  </si>
  <si>
    <t>양송이 마이스터 재배 화이트 양송이버섯 못난이 꼬다마 구이용 피자용 매장사용 소포장 스프용 1kg 2kg</t>
  </si>
  <si>
    <t>(신선집중) 국내산 한돈 프리미엄 대패 삼겹살 1.2kg</t>
  </si>
  <si>
    <t>국내산 한돈 칼집 고추장 삼겹살 300g + 300g</t>
  </si>
  <si>
    <t>(신선집중) 국내산 한돈 한입 옛날 삼겹살 400g + 400g</t>
  </si>
  <si>
    <t>haccp인증 국내산 한돈 간장 LA돼지갈비 300g+300g</t>
  </si>
  <si>
    <t>국내산 한돈 프리미엄 대패 삼겹살 400g + 400g</t>
  </si>
  <si>
    <t>haccp인증 국내산 한돈 고추장 주물럭 300g x6팩(총 1.8kg)</t>
  </si>
  <si>
    <t>국내산 한돈 고추장 주물럭 300g + 300g 제육볶음</t>
  </si>
  <si>
    <t>해를품은 국산 꿀고구마 말랭이 60g 20봉 페이스트 고구마말랭이</t>
  </si>
  <si>
    <t>(신선집중) 해를품은 고구마스틱 고구마말랭이 20g x 30개 꿀고구마 그대로</t>
  </si>
  <si>
    <t>(신선집중) 해를품은 고구마스틱 고구마말랭이 20g x 20개 꿀고구마 그대로</t>
  </si>
  <si>
    <t>무항생제 싱싱한 계란 특란 60구 (30구 x 2판) 생계란</t>
  </si>
  <si>
    <t>농협 공동선별 햇 남해 통마늘 3kg(상) 실중량 지리적표시품</t>
  </si>
  <si>
    <t>창녕 찰토마토 5kg(S-M) 창녕농협 품질보장</t>
  </si>
  <si>
    <t>산지발송 해남 꿀고구마 3kg 특상(120g~300g) 해남 산지발송</t>
  </si>
  <si>
    <t>국내산 안동 산마 3kg 가정용(혼합) 실중량</t>
  </si>
  <si>
    <t>진주 파프리카 산지직송 파프리카 3kg 실속형 (실중량)</t>
  </si>
  <si>
    <t>(마싯구마)군고구마 말랭이 75g</t>
  </si>
  <si>
    <t>(선물용)군고구마말랭이 75g8봉지</t>
  </si>
  <si>
    <t>(선물용)군고구마말랭이 75g10봉지</t>
  </si>
  <si>
    <t>마싯구마 아이스 군고구마 1kg(한입형/4~8봉지)</t>
  </si>
  <si>
    <t>마싯구마 아이스 군고구마 1kg(혼합형/4~8봉지)</t>
  </si>
  <si>
    <t>마싯구마 아이스 군고구마 1kg(정량형/6-8봉지)</t>
  </si>
  <si>
    <t>마싯구마 아이스 군고구마 낱팩골라담기</t>
  </si>
  <si>
    <t>마싯구마 누드한입군고구마 1봉지</t>
  </si>
  <si>
    <t>김명월 검정콩 청국장가루 1kg(500g2통)</t>
  </si>
  <si>
    <t>김명월 흰콩 청국장가루 1kg(500g2통)</t>
  </si>
  <si>
    <t>김명월 청국장가루 SET(흰콩 500g+검정콩 500g)</t>
  </si>
  <si>
    <t>(신선집중) 사대부 포기김치 10kg (국내산 100% 원재료 한국소비자만족브랜드 대상)</t>
  </si>
  <si>
    <t>주식회사 율림에프앤비 농업회사법인</t>
  </si>
  <si>
    <t>국내산 밤 100% 알토리 맛밤 50g10봉 햇밤 찐밤 무첨가 간식 100% 무첨가 건강 간식</t>
  </si>
  <si>
    <t>백진주 쌀 4kg /25년산 햅쌀/오늘출발</t>
  </si>
  <si>
    <t>백진주 쌀 10kg /25년산 햅쌀/오늘출발</t>
  </si>
  <si>
    <t>백진주 쌀 20kg /25년산 햅쌀/오늘출발</t>
  </si>
  <si>
    <t>김포금쌀 하이아미 2kg 특등급 키 크는 기능성 쌀 /25년산 햅쌀/오늘출발</t>
  </si>
  <si>
    <t>김포금쌀 하이아미 5kg 특등급 키 크는 기능성 쌀 /25년산 햅쌀/오늘출발</t>
  </si>
  <si>
    <t>김포금쌀 하이아미 10kg 특등급 키 크는 기능성 쌀 /25년산 햅쌀/오늘출발</t>
  </si>
  <si>
    <t>김포금쌀 하이아미 20kg 특등급 키 크는 기능성 쌀 /25년산 햅쌀/오늘출발</t>
  </si>
  <si>
    <t>고시히카리 쌀 4kg /25년 햅쌀/오늘출발</t>
  </si>
  <si>
    <t>고시히카리 쌀 10kg /25년 햅쌀/오늘출발</t>
  </si>
  <si>
    <t>고시히카리 쌀 20kg /25년 햅쌀/오늘출발</t>
  </si>
  <si>
    <t>팔공산 명품김치 10kg</t>
  </si>
  <si>
    <t>팔공산 명품김치 5kg</t>
  </si>
  <si>
    <t>팔공산 명품김치 3kg</t>
  </si>
  <si>
    <t>팔공 명품맛김치 10kg (한입김치)</t>
  </si>
  <si>
    <t>팔공 명품맛김치 5kg (한입김치)</t>
  </si>
  <si>
    <t>명품 맛김치 3kg</t>
  </si>
  <si>
    <t>팔공산 명품 불김치 10kg</t>
  </si>
  <si>
    <t>팔공산 명품 불김치 5kg</t>
  </si>
  <si>
    <t>팔공산 명품 불김치 3kg</t>
  </si>
  <si>
    <t>출고당일도정 || 당진로얄삼광 특등급 쌀20kg 1개 2025년산 햅쌀 (서해대통 당진해나루)</t>
  </si>
  <si>
    <t>출고당일도정 || 당진로얄삼광쌀 특등급 쌀20kg (10kg 2개) 2025년산 햅쌀 (서해대통 당진해나루)</t>
  </si>
  <si>
    <t>출고당일도정 해풍맞고자란 당진해나루쌀 삼광미특등급 쌀20kg 2025년산 햅쌀 (당진시농협쌀조합)</t>
  </si>
  <si>
    <t>출고당일도정 해풍맞고자란 당진해나루쌀 삼광미특등급 쌀10kg 2025년산 햅쌀 (당진시농협쌀조합)</t>
  </si>
  <si>
    <t>출고당일도정 당진해나루 당찬진미 특등급 쌀10kg 2025년산 햅쌀 (당진시농협쌀조합)</t>
  </si>
  <si>
    <t>출고당일도정 당진해나루 당찬진미 특등급 쌀10kg 2개 2025년산 햅쌀 (당진시농협쌀조합)</t>
  </si>
  <si>
    <t>당진해나루쌀 10kg x 2개 출고당일도정 삼광미특등급 2025년산 해풍맞고자란 햅쌀</t>
  </si>
  <si>
    <t>출고당일도정 || 청풍명월 당진쌀 상등급 20kg 1개 ( 2025년산 햅쌀 서해대통 당진해나루)</t>
  </si>
  <si>
    <t>출고당일도정 || 청풍명월 당진쌀 상등급 20kg (10kg 2개) (2025년산 햅쌀 서해대통 당진해나루)</t>
  </si>
  <si>
    <t>출고당일도정 || 청풍명월 당진쌀 상등급 10kg 1개 ( 2025년산 햅쌀 서해대통 당진해나루)</t>
  </si>
  <si>
    <t>(서해대통) 당진해나루 현미 10kg (5kg 2개) 2025년 햅쌀 / 출고당일도정</t>
  </si>
  <si>
    <t>서해대통 당진쌀 당진 친들미 20kg 25년산 (출고당일도정)</t>
  </si>
  <si>
    <t>맛이슈 당진쌀 20kg 2025년 햅쌀 (당진해나루 / 출고당일도정)</t>
  </si>
  <si>
    <t>(산지직송) 철원오대쌀 20kg (100% 오대미 상등급) (10kg 2개) 출고당일도정 2025년산 햅쌀</t>
  </si>
  <si>
    <t>(산지직송) 철원오대쌀 4kg (100% 오대미 상등급) 출고당일도정 2025년산 햅쌀</t>
  </si>
  <si>
    <t>( 출고당일도정 ) 철원오대쌀 10kg 1개 골드 2025년산 햅쌀</t>
  </si>
  <si>
    <t>( 출고당일도정 ) 철원오대쌀 10kg 2개 골드 2025년산 햅쌀</t>
  </si>
  <si>
    <t>철원향미 찹쌀 4kg (철원오대쌀이 자라는 철원평야) 출고당일도정 2025년산 햅쌀</t>
  </si>
  <si>
    <t>찹쌀 철원향미 10kg (철원오대쌀이 자라는 철원평야) 출고당일도정 2025년산 햅쌀</t>
  </si>
  <si>
    <t>( 출고당일도정 ) 철원오대쌀골드 10kg 2개 상등급 2025년산 햅쌀</t>
  </si>
  <si>
    <t>두루미쌀 10kg 상등급 2025년산 (출고당일도정)</t>
  </si>
  <si>
    <t>두루미쌀 20kg(10kg 2개) 상등급 2025년산 (출고당일도정)</t>
  </si>
  <si>
    <t>곡성 친환경 참송이버섯 500g (농장직송)</t>
  </si>
  <si>
    <t>곡성 친환경 참송이버섯 선물용 / 선물세트 (고급이끼포장)</t>
  </si>
  <si>
    <t>(20%+7%) 국산 참나무 표고버섯 원목 표고 슬라이스 200g</t>
  </si>
  <si>
    <t>참나무 원목 표고버섯 가루 300g 천연조미료</t>
  </si>
  <si>
    <t>국산 참나무 천연조미료 표고버섯가루 140g</t>
  </si>
  <si>
    <t>참나무 건표고버섯 다용도 국물육수용 요리용 500g</t>
  </si>
  <si>
    <t>국산 참나무 건표고버섯 표고사각(칩) 150g</t>
  </si>
  <si>
    <t>국내산 상황버섯 150g</t>
  </si>
  <si>
    <t>국산 장수 상황버섯 슬라이스 100g</t>
  </si>
  <si>
    <t>국산 장수 상황버섯 칩 50g</t>
  </si>
  <si>
    <t>국내산 영지버섯 절편 슬라이스 500g</t>
  </si>
  <si>
    <t>국산 영지버섯 절편 슬라이스 200g</t>
  </si>
  <si>
    <t>국내산 간편한 영지버섯 사각 조각(칩) 100g</t>
  </si>
  <si>
    <t>형지표고버섯 백화고 명품 1호 표고버섯 선물세트</t>
  </si>
  <si>
    <t>형지표고버섯 표고 영지버섯 간편 표고버섯 선물세트</t>
  </si>
  <si>
    <t>형지표고버섯 동고 혼합 2호 표고버섯 선물세트</t>
  </si>
  <si>
    <t>형지표고버섯 상황버섯 백화고 명품5호 버섯 선물세트</t>
  </si>
  <si>
    <t>국산 참나무 동고 영지버섯 혼합1호 버섯 선물세트</t>
  </si>
  <si>
    <t>형지표고버섯 표고 영지 상황버섯 4종1호 버섯 선물세트</t>
  </si>
  <si>
    <t>형지표고버섯 영지버섯 상황버섯 명품3호 버섯 선물세트</t>
  </si>
  <si>
    <t>형지표고버섯 흑화고 상황버섯 혼합2호 표고 버섯 선물세트</t>
  </si>
  <si>
    <t>국산 참나무 흑화고 상황버섯 혼합 버섯 선물세트</t>
  </si>
  <si>
    <t>국산 참나무 백화고 상황버섯 혼합 버섯 선물세트</t>
  </si>
  <si>
    <t>국산 참나무 백화고 영지버섯 혼합 선물세트</t>
  </si>
  <si>
    <t>국산 참나무 흑화고 표고 영지버섯 혼합 선물세트</t>
  </si>
  <si>
    <t>형지표고버섯 백화고 특 1호 표고버섯 선물세트</t>
  </si>
  <si>
    <t>형지표고버섯 흑화고 특 2호 표고버섯 선물세트</t>
  </si>
  <si>
    <t>형지표고버섯 종합 4종 4호 표고버섯 선물세트</t>
  </si>
  <si>
    <t>형지표고버섯 동고 특 2호 표고버섯 선물세트</t>
  </si>
  <si>
    <t>형지표고버섯 흑화고 혼합3호 표고버섯 선물세트</t>
  </si>
  <si>
    <t>형지표고버섯 백화고 특 3호 표고버섯 선물세트</t>
  </si>
  <si>
    <t>형지표고버섯 백화고 혼합2호 표고버섯 선물세트</t>
  </si>
  <si>
    <t>농부플러스</t>
  </si>
  <si>
    <t>국산 냉압착 생들기름 300ml</t>
  </si>
  <si>
    <t>농부플러스 국산 토종꿀 아카시아꿀 숙성꿀 1kg</t>
  </si>
  <si>
    <t>농부플러스 국산 냉압착 생들기름 200ml</t>
  </si>
  <si>
    <t>국산 저온착유 참기름 300ml</t>
  </si>
  <si>
    <t>농부플러스 국산 냉압착 생들기름 식물성 오메가3 스틱 5g 30개입</t>
  </si>
  <si>
    <t>농부플러스 국산 토종꿀 아카시아꿀 스틱형 허니스틱 (10g 30개입)</t>
  </si>
  <si>
    <t>농부플러스 국산 저온압착 참기름 200ml</t>
  </si>
  <si>
    <t>농부플러스 국산 토종꿀 잡화꿀 야생화꿀 숙성꿀 1kg</t>
  </si>
  <si>
    <t>농부플러스 국산 토종꿀 잡화꿀 스틱형 허니스틱 (10g 30개입)</t>
  </si>
  <si>
    <t>농부플러스 국산 저온압착 들기름 200ml</t>
  </si>
  <si>
    <t>국산 볶음참깨 햇 참깨 볶은참깨 토종 통깨 200g</t>
  </si>
  <si>
    <t>국산 냉압착 생들기름 300ml x3병</t>
  </si>
  <si>
    <t>냉압착 생들기름 180ml/햇들깨/국내산 100%/ 농부드림</t>
  </si>
  <si>
    <t>국산 저온착유 들기름 300ml</t>
  </si>
  <si>
    <t>농부플러스 국산 냉압착 생들기름+참기름 200m 2병 선물세트</t>
  </si>
  <si>
    <t>농부플러스 국산 토종꿀 잡화꿀 야생화꿀 숙성꿀 500g</t>
  </si>
  <si>
    <t>저온압착 참기름 180ml/햇참깨/국내산 100%/ 농부드림</t>
  </si>
  <si>
    <t>농부플러스 국산 토종꿀 아카시아꿀 숙성꿀 300g</t>
  </si>
  <si>
    <t>농부플러스 국산 토종꿀 아카시아꿀 숙성 꿀 500g</t>
  </si>
  <si>
    <t>국산 볶음참깨 햇 참깨 볶은참깨 토종 통깨 150g</t>
  </si>
  <si>
    <t>저온압착 들기름 참기름 180ml 2병 선물 세트</t>
  </si>
  <si>
    <t>농부플러스 아카시아꿀 300g 2구 선물세트</t>
  </si>
  <si>
    <t>농부플러스 국산 냉압착 생들기름 식물성 오메가3 스틱 선물세트 (5g 30개입)</t>
  </si>
  <si>
    <t>농부플러스 국산 토종꿀 아카시아꿀 1kg 1병 선물세트</t>
  </si>
  <si>
    <t>(20%) 찐한 겉잎까지 달인 양배추즙 100포 100ml 무안 (산지 직송) 듬뿍농원</t>
  </si>
  <si>
    <t>붉은맛이 살아있는 무안 황토 비트즙 100포 100ml 무안 (산지직송)</t>
  </si>
  <si>
    <t>듬뿍농원 겉껍질까지 달인 무안 양배추즙 100포 무안(산지직송) 진액</t>
  </si>
  <si>
    <t>듬뿍농원 겉껍질까지 달인 무안 참솔잎 양파즙 100포</t>
  </si>
  <si>
    <t>듬뿍농원 겉껍질까지 달인 무안 빨간 양파즙 100포 무안 (산지직송)</t>
  </si>
  <si>
    <t>듬뿍농원 겉껍질까지 달인 무안 빨간 양파즙 50포 무안 (산지직송)</t>
  </si>
  <si>
    <t>듬뿍농원 겉껍질까지 달인 무안 순수 양파즙 50포 무안 (산지직송)</t>
  </si>
  <si>
    <t>듬뿍농원 겉껍질까지 달인 무안 참솔잎 양파즙 50포</t>
  </si>
  <si>
    <t>듬뿍농원 겉껍질까지 달인 무안 순수 양파즙 100포 무안 (산지직송) 110ml 대용량</t>
  </si>
  <si>
    <t>붉은맛이 살아있는무안황토 비트즙 50포 100ml 무안(산지직송)</t>
  </si>
  <si>
    <t>듬뿍곡간 수제 쑥 떡 인절미/ 선물세트 간식 식사대용 1kg +콩고물 해썹인증시설</t>
  </si>
  <si>
    <t>듬뿍곡간 수제 백미찹쌀누룽지/ 식사대용 간식 누릉지</t>
  </si>
  <si>
    <t>듬뿍곡간 수제누룽지 9개입 / 명절선물세트 누릉지</t>
  </si>
  <si>
    <t>듬뿍곡간 수제누룽지 6개입 / 명절선물세트 누릉지</t>
  </si>
  <si>
    <t>듬뿍곡간 수제 귀리누룽지 / 식사대용 간식 누릉지</t>
  </si>
  <si>
    <t>듬뿍곡간 수제 보리누룽지 / 식사대용 간식 누릉지</t>
  </si>
  <si>
    <t>듬뿍곡간 수제 현미누룽지 / 식사대용 간식 누릉지</t>
  </si>
  <si>
    <t>듬뿍곡간 국내산 볶은 귀리 / 아침식사대용 간식</t>
  </si>
  <si>
    <t>듬뿍곡간 국내산 쑥미숫가루 / 선식 식사대용 간식 500g</t>
  </si>
  <si>
    <t>듬뿍곡간 국내산 귀리가루 / 식사대용 선식 미숫가루 500g</t>
  </si>
  <si>
    <t>(20%) 광양매화마을 매실장인이 만든 매실원액 1000ml x 3</t>
  </si>
  <si>
    <t>광양매화마을 매실장인이 만든 매실원액 1000ml x 5</t>
  </si>
  <si>
    <t>김승희매실가 신지식 농업인이 만든 매실절임 1kg</t>
  </si>
  <si>
    <t>천기누설 매실 장인이만든 매실고 (농축액) 150g</t>
  </si>
  <si>
    <t>천기누설 매실 장인이만든 매실고150g (농축액) 2병</t>
  </si>
  <si>
    <t>100% 씨를 제거한 매실원액 프리미엄 청매원 900ml x3</t>
  </si>
  <si>
    <t>100% 씨를 제거한 매실원액 프리미엄 청매원 900mlx3</t>
  </si>
  <si>
    <t>스테비아 국산 토마토 주스 설탕 무첨가 30포 1박스 110ml 30개 논산 직영산지 직접 재배 토마토로 만든</t>
  </si>
  <si>
    <t>(품질보증) 산지직송 정품과 완숙토마토 5KG 당일수확 유럽종</t>
  </si>
  <si>
    <t>(신선집중) 참외 산지직송 고당도 저탄소 꿀 참외 4.5kg(혼합과)</t>
  </si>
  <si>
    <t>농업회사법인주식회사착한푸드</t>
  </si>
  <si>
    <t>복숭아 대극천복숭아 2kg(21-24과내외)</t>
  </si>
  <si>
    <t>복숭아 대극천복숭아 2kg(17-20과내외)</t>
  </si>
  <si>
    <t>복숭아 대극천복숭아 2kg(13-16과내외)</t>
  </si>
  <si>
    <t>복숭아 경북 아삭이 복숭아 4kg(20과내외)/중과</t>
  </si>
  <si>
    <t>복숭아 경북 아삭이 복숭아 4kg(18과내외)/중대과</t>
  </si>
  <si>
    <t>복숭아 경북 아삭이 복숭아 4kg(16과내외)/대과</t>
  </si>
  <si>
    <t>복숭아 아삭이복숭아 2kg(11-15과내외)</t>
  </si>
  <si>
    <t>복숭아 아삭이복숭아 2kg(9-10과내외)</t>
  </si>
  <si>
    <t>복숭아 아삭이복숭아 2kg(5-8과내외)</t>
  </si>
  <si>
    <t>유럽상추 GAP인증샐러드상추 산지직송 당일수확 루꼴라</t>
  </si>
  <si>
    <t>제주 유기농감귤착즙주스 100% 150ml 10개</t>
  </si>
  <si>
    <t>조은해남 고구마 못난이 10kg (꿀호박 랜덤발송)</t>
  </si>
  <si>
    <t>조은해남 달콤한 세척 꿀고구마 특상5kg</t>
  </si>
  <si>
    <t>조은해남 달콤한 세척 꿀고구마 특상10kg</t>
  </si>
  <si>
    <t>조은해남 달콤한 꿀밤고구마 특상 5kg</t>
  </si>
  <si>
    <t>조은해남 달콤한 꿀고구마 특상 5kg</t>
  </si>
  <si>
    <t>(신선집중) 조은해남 달콤한 꿀고구마 중 5kg</t>
  </si>
  <si>
    <t>달콤한 꿀고구마 특상 5kg</t>
  </si>
  <si>
    <t>조은해남 달콤한 꿀고구마 중 3kg</t>
  </si>
  <si>
    <t>조은해남 달콤한 꿀고구마 특상 3kg</t>
  </si>
  <si>
    <t>(신선집중) 조은해남 고구마 못난이 10kg (꿀호박 랜덤발송)</t>
  </si>
  <si>
    <t>조은해남 달콤한 호박고구마 특상10kg</t>
  </si>
  <si>
    <t>조은해남 달콤한 호박고구마 특상 5kg</t>
  </si>
  <si>
    <t>조은해남 달콤한 꿀고구마 특상3kg</t>
  </si>
  <si>
    <t>(신선집중) 조은해남 달콤한 호박고구마 특상5kg</t>
  </si>
  <si>
    <t>(신선집중) 조은해남 못난이 고구마10kg</t>
  </si>
  <si>
    <t>(신선집중) 조은해남 달콤한꿀고구마 특상3kg</t>
  </si>
  <si>
    <t>조은해남 달콤한 꿀고구마 특상 10kg</t>
  </si>
  <si>
    <t>조은해남 달콤한 꿀고구마 중 10kg</t>
  </si>
  <si>
    <t>(신선집중) 조은해남 달콤한 꿀고구마 한입 10kg</t>
  </si>
  <si>
    <t>(신선집중) 조은해남 달콤한 꿀고구마 특상 5kg</t>
  </si>
  <si>
    <t>난각번호1번 프리미엄 유정란 꾸지뽕 먹고 자란 자유 방사 유정란 자연방목 계란 대란 20구</t>
  </si>
  <si>
    <t>초림단지묵 국산 100% 도토리묵 400g 2인분 x 1팩</t>
  </si>
  <si>
    <t>초림단지묵 국산100% 도토리묵 묵사발 세트</t>
  </si>
  <si>
    <t>초림단지묵 명인 국산 콩물 우묵채 (2인분)</t>
  </si>
  <si>
    <t>초림단지묵 국산 콩물 콩가루 90g 1인분 x 5팩 물만타면 콩국수</t>
  </si>
  <si>
    <t>초림단지묵 국산 콩물 콩가루 400g 4인분 물만타면 콩국수</t>
  </si>
  <si>
    <t>당일수확발송 그린몬스터즈 프리미엄 미니오이 1.5kg 농장직거래 여름작기 첫수확 특가할인행사</t>
  </si>
  <si>
    <t>당일수확발송 그린몬스터즈 프리미엄 미니오이 750g 농장직거래 여름작기 첫수확 특가할인행사</t>
  </si>
  <si>
    <t>국산 아카시아 꿀스틱 30포 / 100% 천연 벌꿀 아카시아꿀 허니스틱</t>
  </si>
  <si>
    <t>국산 프로폴리스 꿀스틱 15포 / 컨디션 건강 관리 에너지 스틱 꿀 2026 리뉴얼</t>
  </si>
  <si>
    <t>국산 프로폴리스 꿀스틱 30포 / 천연 벌꿀 허니스틱 꿀</t>
  </si>
  <si>
    <t>꿀프로 국내산 맛있는 프로폴리스 꿀스틱 10포 /아카시아꿀+프로폴리스</t>
  </si>
  <si>
    <t>꿀프로 국내산 맛있는 프로폴리스 꿀스틱 20포 /아카시아꿀+프로폴리스</t>
  </si>
  <si>
    <t>스위터 국내산 아카시아꿀 500g 100% 천연 벌꿀</t>
  </si>
  <si>
    <t>스위터 국산 꿀스틱 10포 벌꿀 허니스틱 답례품 선물</t>
  </si>
  <si>
    <t>스위터 국내산 아카시아 천연벌꿀 스틱 10p 꿀 아카시아꿀</t>
  </si>
  <si>
    <t>국산 아카시아꿀 꿀스틱 선물세트 60포+쇼핑백 / 100% 천연 벌꿀 허니스틱 꿀 선물</t>
  </si>
  <si>
    <t>국산 프로폴리스 꿀스틱 선물세트 60포+쇼핑백 / 건강 축하 응원 부모님 직장인 선물</t>
  </si>
  <si>
    <t>6가지맛 과일 꿀차 선물세트 허니카페 /부모님 선생님 선물 센스있는 답례품</t>
  </si>
  <si>
    <t>어이딸 순한 김부각 160g 찹쌀 수제 비건 글루텐프리 저당</t>
  </si>
  <si>
    <t>고추크런치 70g 고추부각 튀각 찹쌀 수제 비건</t>
  </si>
  <si>
    <t>어이딸 김부각 선물세트 소 5개입 찹쌀 수제 비건 글루텐프리 저당</t>
  </si>
  <si>
    <t>어이딸 김부각 선물세트 중 8개입 찹쌀 수제 비건 글루텐프리 저당</t>
  </si>
  <si>
    <t>(HACPP 인증) 자연그대로 배도라지즙 100ml x 30팩</t>
  </si>
  <si>
    <t>(HACPP 인증) 자연그대로 배도라지즙 100ml x 60팩</t>
  </si>
  <si>
    <t>(HACPP 인증) 자연그대로 배도라지즙 100ml x 90팩 / 선물용 패키지박스(30팩 x 3박스)</t>
  </si>
  <si>
    <t>(HACPP 인증) 자연그대로 배도라지즙 100ml x 100팩+10팩(총110팩)</t>
  </si>
  <si>
    <t>자연 그대로 도라지배즙 100ml 30팩</t>
  </si>
  <si>
    <t>자연 그대로 도라지배즙 100ml 60팩</t>
  </si>
  <si>
    <t>자연 그대로 도라지배즙 100ml 90팩</t>
  </si>
  <si>
    <t>자연이 만든 도라지배즙 파우치 100ml 30팩</t>
  </si>
  <si>
    <t>자연이 만든 도라지배즙 파우치 100ml 60팩</t>
  </si>
  <si>
    <t>(HACPP 인증) 자연이 만든 도라지배즙 100ml x 100팩+10팩(총110팩)</t>
  </si>
  <si>
    <t>자연이 만든 도라지배즙 스파우트 100ml 30팩</t>
  </si>
  <si>
    <t>자연이 만든 도라지배즙 스파우트 100ml 60팩</t>
  </si>
  <si>
    <t>(도라지 20%) HACCP인증 자연이 만든 더 진한 도라지배즙 스파우트 100ml x 30팩</t>
  </si>
  <si>
    <t>(도라지 20%) HACCP인증 자연이 만든 더 진한 도라지배즙 스파우트 100ml x 60팩</t>
  </si>
  <si>
    <t>(HACPP 인증) 자연그대로 무안 자색양파즙 100ml x 30팩</t>
  </si>
  <si>
    <t>(HACPP 인증) 자연그대로 무안 자색양파즙 100ml x 60팩</t>
  </si>
  <si>
    <t>(HACPP 인증) 자연그대로 무안 자색양파즙 100ml x 100팩+10팩(총110팩)</t>
  </si>
  <si>
    <t>(HACPP 인증) 자연그대로 무안 자색양파즙 100ml x 140팩 / 최대용량 기획세트(35팩 x 4박스)</t>
  </si>
  <si>
    <t>(100포) 자연식품 무안 양파즙 100ml x 100팩(실속구성 HACCP)</t>
  </si>
  <si>
    <t>농업회사법인제프런주식회사</t>
  </si>
  <si>
    <t>(신선집중) 밤호박 제주직송 밤단호박 보우짱 5kg실중량(9~25과내외)</t>
  </si>
  <si>
    <t>농업회사법인 (주)생생초</t>
  </si>
  <si>
    <t>생생초 애사비 애플사이다비니거 생초 사과식초 1000ml 생사과만 발효시켜 초모가 살아있는 자연발효식초</t>
  </si>
  <si>
    <t>(주)노스팜</t>
  </si>
  <si>
    <t>전라도할매 국내산 원재료로 만든 얼갈이김치 2.5kg+열무김치2.5kg / 총 5kg / 국산 100% 재료 및 제조</t>
  </si>
  <si>
    <t>창녕 양파 햇양파 3kg (4번 5.9cm이하)</t>
  </si>
  <si>
    <t>창녕 양파 햇양파 3kg (3번 6-6.9cm)</t>
  </si>
  <si>
    <t>창녕 양파 햇양파 3kg (2번 7-7.9cm)</t>
  </si>
  <si>
    <t>(신선집중) 사대부 포기김치 10kg (국내산 100% 농산물 한국소비자만족브랜드 대상)</t>
  </si>
  <si>
    <t>제주 유기농감귤착즙주스 100% 150ml 30개</t>
  </si>
  <si>
    <t>제주 유기농감귤착즙주스 100% 150ml 20개</t>
  </si>
  <si>
    <t>(갈비맛집1995 런칭특가) 제육갈비 1+ 한돈 간장볶음 양념 돼지고기 불고기주물럭 두루치기 350g 4팩 1.4kg</t>
  </si>
  <si>
    <t>(신선집중) 사과 초록사과 4kg(26-30과내외)/꼬마소과</t>
  </si>
  <si>
    <t>사과 초록사과 2kg(13-15과내외)/꼬마소과</t>
  </si>
  <si>
    <t>사과 초록사과 2kg(10-12과내외)/소과</t>
  </si>
  <si>
    <t>사과 초록사과 2kg(8-9과내외)/중과</t>
  </si>
  <si>
    <t>사과 초록사과 4kg(21-25과내외)/소과</t>
  </si>
  <si>
    <t>사과 초록사과 4kg(16-20과내외)/중과</t>
  </si>
  <si>
    <t>전라도 전통방식!! 국내산 알배기 포기김치&amp;겉절이 1kg</t>
  </si>
  <si>
    <t>[타임특가](무료배송) 900개 한정!! 전라도 수제 총각김치 2kg</t>
  </si>
  <si>
    <t>[무료배송] 30년 손맛!! 전라도 얼갈이김치 (국내산 얼갈이)</t>
  </si>
  <si>
    <t>[타임특가][무료배송+1kg증정] 프리미엄 여린 열무김치 총 3kg</t>
  </si>
  <si>
    <t>[저온숙성] 30년 전통 전라도 묵은지 2kg (무료배송)</t>
  </si>
  <si>
    <t>[비법양념사용!] 국내산 전라도 석박지 2kg</t>
  </si>
  <si>
    <t>썰어 담은 전라도 맛있는 맛김치 1kg/2kg</t>
  </si>
  <si>
    <t>전라도 쪽파!! 수제 파김치 2kg (국내산 쪽파 100%)</t>
  </si>
  <si>
    <t>[몽땅 무료배송+덤증정!!] 전라도 수제 총각김치</t>
  </si>
  <si>
    <t>(무료배송) 여수 정품 돌산 갓김치 2kg</t>
  </si>
  <si>
    <t>양념에 버무린 전라도식 배추김치</t>
  </si>
  <si>
    <t>[여수돌산갓100%] 보리쌀 동동!! 시원한 갓물김치 &amp; 갓김치</t>
  </si>
  <si>
    <t>창란젓+고랭지무=나박고랭지무김치!! 자박자박 나박김치(국내산)</t>
  </si>
  <si>
    <t>[김치맛집] 감천골!! 서리맞은 단호박 백김치 (한정 판매)</t>
  </si>
  <si>
    <t>[100% 국내산] 특제양념! 수제 쪽파말랭이무침 400g</t>
  </si>
  <si>
    <t>지금 제철! 아삭아삭 싱싱한 고구마줄기김치</t>
  </si>
  <si>
    <t>[최대+1kg 증정] 감천골!! 가야 햇 초롱무김치</t>
  </si>
  <si>
    <t>물도 맛있는 감천골!! 찰보리열무물김치</t>
  </si>
  <si>
    <t>건강한 맛 밥도둑 양념 콩잎김치 400g</t>
  </si>
  <si>
    <t>[경상전통식] 거창 고랭지 머위!! 햇 수제 머위김치 2종 (국산 고춧가루&amp;된장)</t>
  </si>
  <si>
    <t>밥도둑 반찬(콩잎김치/깻잎김치/고추김치/무말랭이)</t>
  </si>
  <si>
    <t xml:space="preserve"> 더자인</t>
  </si>
  <si>
    <t>(무료배송) 우리 농가에서 자란 달콤함의 끝판왕! 대극천 반납작이 복숭아</t>
  </si>
  <si>
    <t>[무료배송+500g증정!!] 경북직송!! 과즙가득 햇 천도복숭아 총 3kg</t>
  </si>
  <si>
    <t>[타임특가][무료배송+1kg증정!!] 경북 햇 딱복이 총 3kg (딱딱이백도복숭아)</t>
  </si>
  <si>
    <t>[제철특가] 농부직송!! 새콤달콤 햇 자두 1kg/3kg</t>
  </si>
  <si>
    <t>[농가 무료배송!!] 말랭이복숭아 2kg!! 황도파 VS 백도파 (골라담기)</t>
  </si>
  <si>
    <t>[무료배송] 농부가 바로!! 상추쌈 600g 9,900원!! (유럽상추)</t>
  </si>
  <si>
    <t>[밀양본초] 48시간 발효숙성! 2대비법 덖음 야생 산초차</t>
  </si>
  <si>
    <t>[무료배송] 농부가 바로!! 경북 영천 단복이!! 2kg (딱딱이복숭아)</t>
  </si>
  <si>
    <t xml:space="preserve"> [소백산희여골] GAP *희여골못난이사과(부사) (1.5kg * 1개)</t>
  </si>
  <si>
    <t>[소백산희여골]GAP 사과(부사) 1.5Kg (1.5kg내외/5-7입 * 1개)</t>
  </si>
  <si>
    <t>[선별사과]GAP소백산 희여골 저탄소 부사사과 1.4kg (6입/팩 * 1개)</t>
  </si>
  <si>
    <t>보리굴림만두 (410g)</t>
  </si>
  <si>
    <t>보리떡갈비 500g (8장)</t>
  </si>
  <si>
    <t>순수 서리태콩물(1L)</t>
  </si>
  <si>
    <t>고소한 흑임자 콩국물(1L) (2개)</t>
  </si>
  <si>
    <t>고소한 순수콩물(1L)</t>
  </si>
  <si>
    <t>우무묵(340g)</t>
  </si>
  <si>
    <t>비트청포묵(300g)</t>
  </si>
  <si>
    <t>치자청포묵(300g)</t>
  </si>
  <si>
    <t>케이에프지</t>
  </si>
  <si>
    <t>한돈 제육볶음 (650g X 1개)</t>
  </si>
  <si>
    <t xml:space="preserve">한돈 칼집 양념구이 (650g X 1개)
</t>
  </si>
  <si>
    <t>한돈 성북동식 돼지불백 (650g X 1개)</t>
  </si>
  <si>
    <t>서울식 한우 불고기 밀키트 (800g X 1개)</t>
  </si>
  <si>
    <t>GAP 아이스홍시(6입/총 420g이상)</t>
  </si>
  <si>
    <t>[토종마을]국산 진도 구기자 300g</t>
  </si>
  <si>
    <t>[토종마을]국산 오미자 300g</t>
  </si>
  <si>
    <t>[토종마을]국산 고운쑥분말 250g</t>
  </si>
  <si>
    <t>[요리앤가루]HACCP인증 국산 마늘분말 100g(국산 천연조미료)</t>
  </si>
  <si>
    <t>[토종마을]HACCP인증 국산 유기농 양배추환 200g</t>
  </si>
  <si>
    <t>토종마을 HACCP인증 국산 유기농 양배추분말 100g</t>
  </si>
  <si>
    <t>[요리앤가루]HACCP인증 국산 표고버섯분말 70g(국산 천연조미료)</t>
  </si>
  <si>
    <t>[요리앤가루]국산 청국장가루 600g (냄새적은 청국장가루)</t>
  </si>
  <si>
    <t>[요리앤가루]도토리묵만들기 500g (국산 도토리가루)</t>
  </si>
  <si>
    <t>[토종마을]HACCP인증 국산 유기농 강황가루 120g_진도산 유기농 강황_진도강황</t>
  </si>
  <si>
    <t>애플랩 경북 세척사과 소과 2kg</t>
  </si>
  <si>
    <t>애플랩 경북 세척사과 중소과 2kg 10과내외</t>
  </si>
  <si>
    <t>안동한우양반곱창 한우곱창 200gX2팩 (400g)</t>
  </si>
  <si>
    <t>안동한우양반곱창 한우곱창200g+한우대창200g 2종세트</t>
  </si>
  <si>
    <t>안동한우양반곱창 한우곱창200g+한우막창200g 2종세트</t>
  </si>
  <si>
    <t>안동한우양반곱창 한우곱창200g+한우염통200g 2종세트</t>
  </si>
  <si>
    <t>국내산 청경채 (200g)</t>
  </si>
  <si>
    <t>국내산 깐쪽파 (150g)</t>
  </si>
  <si>
    <t>국내산 스틱샐러리 (150g)</t>
  </si>
  <si>
    <t>전골용 채소와 버섯 (470g내외/팩)</t>
  </si>
  <si>
    <t>국내산 샐러리 (600g)</t>
  </si>
  <si>
    <t>GAP 상추와 깻잎(130g/봉)</t>
  </si>
  <si>
    <t>국산 미나리 (200g)</t>
  </si>
  <si>
    <t>GAP 모둠쌈 (350g/팩)</t>
  </si>
  <si>
    <t>무농약 혼합 목이버섯 (200g)</t>
  </si>
  <si>
    <t>국내산 적겨자(80g)</t>
  </si>
  <si>
    <t>GAP 국내산 깻잎 (30g)</t>
  </si>
  <si>
    <t>GAP 아삭이 상추 (150g/봉)</t>
  </si>
  <si>
    <t>[농할 20%쿠폰] 국산 적양배추 (1/2통, 400g내외)</t>
  </si>
  <si>
    <t>국내산 절단 대파 (500g)</t>
  </si>
  <si>
    <t>국내산 흙대파 (500g)</t>
  </si>
  <si>
    <t>국내산 1/2 양배추 (500g 내외)</t>
  </si>
  <si>
    <t>국내산 양배추 (1통, 1kg 이상)</t>
  </si>
  <si>
    <t>맑은샘농업회사법인(주)</t>
  </si>
  <si>
    <t>국내산 깐마늘 (100g)</t>
  </si>
  <si>
    <t>국내산 당근 (1kg, 상~특)</t>
  </si>
  <si>
    <t>빨강 파프리카 (1개, 150g 내외)</t>
  </si>
  <si>
    <t>노랑 파프리카 (1개, 150g 내외)</t>
  </si>
  <si>
    <t>국내산 와일드 루꼴라 50g</t>
  </si>
  <si>
    <t>국내산 시금치 (200g)</t>
  </si>
  <si>
    <t>국내산 빨강+노랑 파프리카 (300g 내외)</t>
  </si>
  <si>
    <t>국내산 아삭 샐러드 (100g)</t>
  </si>
  <si>
    <t>국내산 어린잎 샐러드 (100g)</t>
  </si>
  <si>
    <t>국내산 파프리카 샐러드 (100g)</t>
  </si>
  <si>
    <t>국내산 비타민 샐러드 (100g)</t>
  </si>
  <si>
    <t>국내산 루꼴라 샐러드 (100g)</t>
  </si>
  <si>
    <t>국내산 브로콜리(1입)</t>
  </si>
  <si>
    <t>국내산 깻잎 (40g 또는 30장 내외)</t>
  </si>
  <si>
    <t>열두달</t>
  </si>
  <si>
    <t>착즙 생강청(300g)</t>
  </si>
  <si>
    <t>[열두달] 제주 유기농 청귤청</t>
  </si>
  <si>
    <t>[열두달] 제로 생강청</t>
  </si>
  <si>
    <t>[열두달]1초 레몬수</t>
  </si>
  <si>
    <t>[열두달] 제주 무농약 레몬으로 만든 레몬청</t>
  </si>
  <si>
    <t>행복우리식품영농조합법인</t>
  </si>
  <si>
    <t>농부의 딸 현미 누룽지</t>
  </si>
  <si>
    <t>유기농 쌀누룽지 250g*2</t>
  </si>
  <si>
    <t>프리미엄 현미마죽(30gx20스틱)</t>
  </si>
  <si>
    <t>조청 쌀강정 150g</t>
  </si>
  <si>
    <t>조청 현미강정 150g</t>
  </si>
  <si>
    <t>조청 쌀보리강정 150g</t>
  </si>
  <si>
    <t>발아현미 미숫가루</t>
  </si>
  <si>
    <t>현미 양배추죽(30gx20스틱)</t>
  </si>
  <si>
    <t>볶은 보리</t>
  </si>
  <si>
    <t>볶은 옥수수</t>
  </si>
  <si>
    <t>씨튼장애인직업재활센터(씨튼베이커리)</t>
  </si>
  <si>
    <t>[2봉묶음] 유기농 현미스낵 5종</t>
  </si>
  <si>
    <t>유기농 현미시리얼 3종 240G [초코/해달별/채소]</t>
  </si>
  <si>
    <t xml:space="preserve">[개당 2,900]우리밀로 만든 마늘빵 과자 (70g x 3개)
</t>
  </si>
  <si>
    <t>명품남매농장 GAP 샤인머스켓 150g 1차농산물 세척 후 드세요</t>
  </si>
  <si>
    <t>명품남매농장 GAP 건샤인머스켓 300g 1차농산물 세척 후 드세요</t>
  </si>
  <si>
    <t>명품남매농장 GAP 건샤인머스켓 450g 1차농산물 세척 후 드세요</t>
  </si>
  <si>
    <t>명품남매농장 GAP 건샤인머스켓 600g 1차농산물 세척 후 드세요</t>
  </si>
  <si>
    <t>명품남매농장 GAP 건샤인머스켓 750g 1차농산물 세척 후 드세요</t>
  </si>
  <si>
    <t>명품남매농장 GAP 건샤인머스캣 900g 1차농산물 세척 후 드세요</t>
  </si>
  <si>
    <t>218-86-00721</t>
  </si>
  <si>
    <t>주식회사 아인스</t>
  </si>
  <si>
    <t>225-90-26954</t>
  </si>
  <si>
    <t>풀무리농장</t>
  </si>
  <si>
    <t>326-37-00548</t>
  </si>
  <si>
    <t>파미농원</t>
  </si>
  <si>
    <t>497-41-01341</t>
  </si>
  <si>
    <t>국가대표상황버섯</t>
  </si>
  <si>
    <t>312-27-45552</t>
  </si>
  <si>
    <t>바우뜨락</t>
  </si>
  <si>
    <t>201-86-47960</t>
  </si>
  <si>
    <t>다온365농업회사법인(주)</t>
  </si>
  <si>
    <t>410-86-90042</t>
  </si>
  <si>
    <t>아름답게그린배영농조합법인</t>
  </si>
  <si>
    <t>512-13-21395</t>
  </si>
  <si>
    <t>현재농원</t>
  </si>
  <si>
    <t>745-96-00315</t>
  </si>
  <si>
    <t>해담는집</t>
  </si>
  <si>
    <t>386-96-00703</t>
  </si>
  <si>
    <t>여화원</t>
  </si>
  <si>
    <t>409-86-48791</t>
  </si>
  <si>
    <t>주식회사 유기농샵에프앤비</t>
  </si>
  <si>
    <t>556-72-00266</t>
  </si>
  <si>
    <t>제주오가닉스</t>
  </si>
  <si>
    <t>592-08-01799</t>
  </si>
  <si>
    <t>삼둥이농장</t>
  </si>
  <si>
    <t>680-87-00224</t>
  </si>
  <si>
    <t>다원팜농업회사법인유한회사</t>
  </si>
  <si>
    <t>402-81-54069</t>
  </si>
  <si>
    <t>참식품주식회사</t>
  </si>
  <si>
    <t>252-86-02831</t>
  </si>
  <si>
    <t>농업회사법인주식회사한내담</t>
  </si>
  <si>
    <t>566-81-02884</t>
  </si>
  <si>
    <t>농업회사법인 주식회사 여주능서농원</t>
  </si>
  <si>
    <t>580-88-02822</t>
  </si>
  <si>
    <t>농업회사법인 나무컴퍼니 주식회사</t>
  </si>
  <si>
    <t>815-15-01628</t>
  </si>
  <si>
    <t>뭇별농장</t>
  </si>
  <si>
    <t>502-81-55602</t>
  </si>
  <si>
    <t>농업법인회사 (주)초록원</t>
  </si>
  <si>
    <t>654-88-01503</t>
  </si>
  <si>
    <t>(주)밀알케이</t>
  </si>
  <si>
    <t>774-11-01498</t>
  </si>
  <si>
    <t>경성표고버섯농장</t>
  </si>
  <si>
    <t>416-81-44143</t>
  </si>
  <si>
    <t>도울 F&amp;B</t>
  </si>
  <si>
    <t>754-88-00876</t>
  </si>
  <si>
    <t>베리네이처</t>
  </si>
  <si>
    <t>507-81-09103</t>
  </si>
  <si>
    <t>나래친환경영농조합법인</t>
  </si>
  <si>
    <t>190-97-01151</t>
  </si>
  <si>
    <t>지구별농장</t>
  </si>
  <si>
    <t>706-01-03422</t>
  </si>
  <si>
    <t>아침농부</t>
  </si>
  <si>
    <t>761-46-00855</t>
  </si>
  <si>
    <t>코스모스길 옆 상황버</t>
  </si>
  <si>
    <t>522-17-00696</t>
  </si>
  <si>
    <t>엿공장</t>
  </si>
  <si>
    <t>685-88-00527</t>
  </si>
  <si>
    <t>농업회사법인주식회사다고</t>
  </si>
  <si>
    <t>132-81-55005</t>
  </si>
  <si>
    <t>농업회사법인 하늘농가(주)</t>
  </si>
  <si>
    <t>515-81-53707</t>
  </si>
  <si>
    <t>농업회사법인 닥터애그 주식회사</t>
  </si>
  <si>
    <t>220-88-07925</t>
  </si>
  <si>
    <t>농업회사법인 주식회사 떡찌니</t>
  </si>
  <si>
    <t>311-81-44794</t>
  </si>
  <si>
    <t>농업회사법인내포(주)</t>
  </si>
  <si>
    <t>848-99-01346</t>
  </si>
  <si>
    <t>옥수농원</t>
  </si>
  <si>
    <t>829-88-01091</t>
  </si>
  <si>
    <t>스퀘어팜 농업회사법인주식회사</t>
  </si>
  <si>
    <t>126-18-96934</t>
  </si>
  <si>
    <t>굿그레인즈</t>
  </si>
  <si>
    <t>109-36-80203</t>
  </si>
  <si>
    <t>내추럴참푸드</t>
  </si>
  <si>
    <t>348-87-01289</t>
  </si>
  <si>
    <t>농업회사법인하누리영이(주)</t>
  </si>
  <si>
    <t>393-86-02715</t>
  </si>
  <si>
    <t>봉이땅엔농업회사법인주식회사</t>
  </si>
  <si>
    <t>106-93-03082</t>
  </si>
  <si>
    <t>땅끝사랑농원</t>
  </si>
  <si>
    <t>550-88-01948</t>
  </si>
  <si>
    <t>농업회사법인 올담농원(주)</t>
  </si>
  <si>
    <t>610-95-45023</t>
  </si>
  <si>
    <t>볕든날</t>
  </si>
  <si>
    <t>790-86-01687</t>
  </si>
  <si>
    <t>농업회사법인불원주식회사</t>
  </si>
  <si>
    <t>142-08-14196</t>
  </si>
  <si>
    <t>푸르메다</t>
  </si>
  <si>
    <t>847-88-01726</t>
  </si>
  <si>
    <t>농업회사법인주식회사구룡농원</t>
  </si>
  <si>
    <t>216-04-19795</t>
  </si>
  <si>
    <t>아그데뜰</t>
  </si>
  <si>
    <t>646-85-00365</t>
  </si>
  <si>
    <t>농업회사법인(주) 강화드림푸드</t>
  </si>
  <si>
    <t>231-97-01414</t>
  </si>
  <si>
    <t>따순농장</t>
  </si>
  <si>
    <t>221-81-21222</t>
  </si>
  <si>
    <t>영농조합법인강원유기농</t>
  </si>
  <si>
    <t>301-81-78225</t>
  </si>
  <si>
    <t>농업회사법인 팜에이트 주식회사</t>
  </si>
  <si>
    <t>402-47-64035</t>
  </si>
  <si>
    <t>땅끝민지맘</t>
  </si>
  <si>
    <t>122-93-29177</t>
  </si>
  <si>
    <t>버섯놀이터사천숲속표고</t>
  </si>
  <si>
    <t>616-81-93905</t>
  </si>
  <si>
    <t>안덕친환경영농조합법인</t>
  </si>
  <si>
    <t>778-81-03657</t>
  </si>
  <si>
    <t>이강바이오컴퍼니 주식회사</t>
  </si>
  <si>
    <t>유기농 햇 찰옥수수 흑찰옥수수 미백옥수수 / 구룡농원 냉동 삶은 찐옥수수 강원도품종 [원산지:국산]</t>
  </si>
  <si>
    <t>[100% 국산 유기농] 25년산 호라산밀 카무트 카무트쌀 파로 곡물 1kg 택일 [원산지:상세설명에 표시]</t>
  </si>
  <si>
    <t>25년산 귀리 국산 유기농 귀리쌀 1kg [원산지:국산(전라남도 진도군)]</t>
  </si>
  <si>
    <t>풀무리농장 당일수확 친환경 유기농토마토2.5kg5kg [원산지:국산(강원도 영월군)]</t>
  </si>
  <si>
    <t>유기농 미니파프리카1.5kg (토양재배) [원산지:국산(충청남도 홍성군)]</t>
  </si>
  <si>
    <t>25년 햇곡 국산 유기농 현미 쌀 2kg [원산지:국산(전라남도 진도군)]</t>
  </si>
  <si>
    <t>유기농 잡곡 2kg(1kg x 2팩) 혼합곡 [원산지:국산(전라남도 해남군)]</t>
  </si>
  <si>
    <t>25년도 햇곡 기장쌀 국산 유기농 찰기장 좁쌀 1kg [원산지:국산(전라남도 진도군)]</t>
  </si>
  <si>
    <t>유기농복숭아/백도/4.0kg/무료배송 [원산지:국산(경상북도 영덕군)]</t>
  </si>
  <si>
    <t>유기농 반건조 청무화과 말랭이 100g /국산 유기농 명인 건무화과 건과일 말린 건조과일 [원산지:국산(전라남도 고흥군)]</t>
  </si>
  <si>
    <t>참나무 표고버섯 유기농 슬라이스 건표고버섯 통 건표고버섯(200g) [원산지:국산(경상북도 성주군)]</t>
  </si>
  <si>
    <t>26년산 국산 유기농 보리 흑보리 찰보리 쌀 1kg [원산지:국산(전라남도 진도군)]</t>
  </si>
  <si>
    <t>해남 민지맘 유기농 잡곡 5kg 혼합곡(8곡) [원산지:국산(전라남도 해남군)]</t>
  </si>
  <si>
    <t>25년산 서리태 국산 유기농 검정 검은 콩 1kg [원산지:국산(전라남도 영광군)]</t>
  </si>
  <si>
    <t>하누리영이천 국내산 직접재배 유기농 아로니아 분말 가루 파우더 200g [원산지:국산(충청남도 홍성군)]</t>
  </si>
  <si>
    <t>25년산 유기농 바나듐 쌀 햇곡 백미 2kg [원산지:국산]</t>
  </si>
  <si>
    <t>1kg무화과 33년째 해남땅끝 무농약 고당도 하우스 무화과 1kg, 12개 [원산지:국산(전라남도 해남군)]</t>
  </si>
  <si>
    <t>히카마 올담농원 거제산 히카마 뿌리차 고소하고 부드러운 국산 티백차 60티백, 40티백, 20티백  [원산지:국산(경상남도 거제시)]</t>
  </si>
  <si>
    <t>전주찬방 유기농 포기김치 5kg, 1개 [원산지:국산(전라북도 진안군)]</t>
  </si>
  <si>
    <t>25년 유기농 햇곡 햅 쌀 백미 2kg [원산지:국산(전라남도 진도군)]</t>
  </si>
  <si>
    <t>전주찬방 유기농 포기김치 3kg, 1개 [원산지:국산(전라북도 진안군)]</t>
  </si>
  <si>
    <t>국산 햇 귀리 쌀 (850g x 3팩) [원산지:국산(전라남도 해남군)]</t>
  </si>
  <si>
    <t>껍질이 보약 26년 햇 통채루 고구마줄기 껍질째 통째로 먹는 고구마순 1kg 2kg [원산지:국산(경기도 여주시)]</t>
  </si>
  <si>
    <t>전주찬방 유기농 백김치 3kg, 1개 [원산지:국산(전라북도 진안군)]</t>
  </si>
  <si>
    <t>햇곡 국산 유기농 귀리 혼합 10곡 잡곡 쌀 800g [원산지:국산(전라남도 진도군)]</t>
  </si>
  <si>
    <t>25년산 국산 유기농 찰 흑미 검정쌀 1kg [원산지:국산(전라남도 진도군)]</t>
  </si>
  <si>
    <t>25년산 국산 유기농 찹쌀 1kg [원산지:국산(전라남도 진도군)]</t>
  </si>
  <si>
    <t>유기농 명인 청무화과 말랭이 200g 낱개포장 /건무화과 말린 반건조 말린 건과과일 [원산지:국산(전라남도 고흥군)]</t>
  </si>
  <si>
    <t>유기농 국산 100% 밥에 뿌려먹는 강황 가루 분말 100g [원산지:국산(전라남도 진도군)]</t>
  </si>
  <si>
    <t>25년산 국산 유기농 찰 수수 1kg [원산지:국산(전라남도 진도군)]</t>
  </si>
  <si>
    <t>전주찬방 유기농 포기김치 10kg, 1개 [원산지:국산(전라북도 진안군)]</t>
  </si>
  <si>
    <t>전주찬방 유기농 백김치 1kg, 1개 [원산지:국산(전라북도 진안군)]</t>
  </si>
  <si>
    <t>25년산 국산 유기농 찰 보리 쌀 1kg [원산지:국산(전라남도 진도군)]</t>
  </si>
  <si>
    <t>2kg무화과 33년째 해남땅끝 무농약 고당도 하우스 무화과 2kg, 24개 [원산지:국산(전라남도 해남군)]</t>
  </si>
  <si>
    <t>전주찬방 유기농 깍두기 1kg, 1개 [원산지:국산(전라북도 진안군)]</t>
  </si>
  <si>
    <t>25년산 햇곡 차조 국산 유기농 500g [원산지:국산(전라남도 진도군)]</t>
  </si>
  <si>
    <t>3kg무화과 33년째 해남땅끝 무농약 고당도 하우스 무화과 3kg, 36개 [원산지:국산(전라남도 해남군)]</t>
  </si>
  <si>
    <t>[여주능서농원] 고구마 5KG 꿀고구마 소담미 산지직송 호박 밤 [원산지:국산(경기도 여주시)]</t>
  </si>
  <si>
    <t>해남 유기농 혼합곡 잡곡쌀 3kg(8곡) [원산지:국산(전라남도 해남군)]</t>
  </si>
  <si>
    <t>유기농 국산 오트밀 압착 귀리 350g [원산지:국산(전라남도 진도군)]</t>
  </si>
  <si>
    <t>[100% 국산 유기농] 현미 귀리 잡곡 즉석 밥 180g, 24개 [원산지:국산(전라남도 진도군)]</t>
  </si>
  <si>
    <t>[100% 국산 유기농] 현미 귀리 잡곡 즉석 밥 180g, 6개 [원산지:국산(전라남도 진도군)]</t>
  </si>
  <si>
    <t>전주찬방 유기농 백김치 5kg, 1개 [원산지:국산(전라북도 진안군)]</t>
  </si>
  <si>
    <t>25년산 유기농 바나듐 쌀 찰흑진주 흑미 2kg [원산지:국산(전라남도 진도군)]</t>
  </si>
  <si>
    <t>전주찬방 유기농 깍두기 3kg, 1개 [원산지:국산(전라북도 진안군)]</t>
  </si>
  <si>
    <t>유기농 수제 청무화과말랭이 300g / 반건조 건조무화과 건과일 건무화과 말린과일 건조과일 [원산지:국산(전라남도 고흥군)]</t>
  </si>
  <si>
    <t>25년산 국산 유기농 녹미 쌀 1kg [원산지:국산(전라남도 진도군)]</t>
  </si>
  <si>
    <t>4kg무화과 33년째 해남땅끝 무농약 고당도 하우스 무화과 4kg, 48개 [원산지:국산(전라남도 해남군)]</t>
  </si>
  <si>
    <t>25년산 국산 유기농 오색 현미 쌀 1kg [원산지:국산(전라남도 진도군)]</t>
  </si>
  <si>
    <t>여주 햇고구마 2kg 국산 꿀고구마 호박고구마 밤고구마 [원산지:국산(경기도 여주시)]</t>
  </si>
  <si>
    <t>전주찬방 유기농 백김치 10kg, 1개 [원산지:국산(전라북도 진안군)]</t>
  </si>
  <si>
    <t>행복한농부민지맘의 햇 무농약 작두콩차 90g [원산지:국산(전라남도 해남군)]</t>
  </si>
  <si>
    <t>농촌융복합 최우수상 [꼬샤꼬샤] 유기농 보리차 100ml 스파우트형 30개입, 3개 [원산지:국산(전라남도 영광군)]</t>
  </si>
  <si>
    <t>전주찬방 유기농 포기김치 1kg, 1개 [원산지:국산(전라북도 진안군)]</t>
  </si>
  <si>
    <t>25년산 국산 유기농 찰 현미 찹쌀 2kg [원산지:국산(전라남도 진도군)]</t>
  </si>
  <si>
    <t>25년산 깬 서리태 국산 유기농 검정 검은 콩 500g [원산지:국산(전라남도 영광군)]</t>
  </si>
  <si>
    <t>해남 민지맘 유기농 잡곡 쌀 10kg(1kg 10팩) 혼합곡 [원산지:국산(전라남도 해남군)]</t>
  </si>
  <si>
    <t>[여주능서농원] 국산 고구마말랭이 무첨가 영양간식 꿀고구마 소담미, 60g, 20개 [원산지:국산(경기도 여주시)]</t>
  </si>
  <si>
    <t>25년산 국산 유기농 홍미 쌀 1kg [원산지:국산(전라남도 진도군)]</t>
  </si>
  <si>
    <t>농촌융복합 최우수상 [꼬샤꼬샤] 유기농 보리차 100ml 스파우트형 30개입, 1개 [원산지:국산(전라남도 영광군)]</t>
  </si>
  <si>
    <t>유기농 건표고버섯 슬라이스, 통버섯 100g [원산지:국산(경상북도 성주군)]</t>
  </si>
  <si>
    <t>[여주능서농원] 국산 고구마말랭이 무첨가 영양간식 꿀고구마 소담미, 60g, 10개 [원산지:국산(경기도 여주시)]</t>
  </si>
  <si>
    <t>참나무 표고버섯으로 만든 표고버섯 분말 80g [원산지:국산(경상북도 성주군)]</t>
  </si>
  <si>
    <t>유기농 표고칩 건표고버섯(80g) 참나무 표고버섯 [원산지:국산(경상북도 성주군)]</t>
  </si>
  <si>
    <t>방목 유기농 계란 10구 난각번호1번 무항생제 유정란 난각1번 달걀 [원산지:국산(충청남도 부여군)]</t>
  </si>
  <si>
    <t>농촌융복합 최우수상 [꼬샤꼬샤] 유기농 보리차 100ml 스파우트형 30개입, 2개 [원산지:국산]</t>
  </si>
  <si>
    <t>햇곡 국산 친환경 어린이 혼합곡 잡곡 쌀 800g [원산지:국산(전라남도 진도군)]</t>
  </si>
  <si>
    <t>아그데뜰 전통발효 보리수 열매 발효차 / 보리수효소 [원산지:상세설명에 표시]</t>
  </si>
  <si>
    <t>전주찬방 유기농 깍두기 5kg, 1개 [원산지:국산(전라북도 진안군)]</t>
  </si>
  <si>
    <t>25년산 저속노화 잡곡 밥 국산 유기농 혼합 쌀 1kg [원산지:국산(전라남도 진도군)]</t>
  </si>
  <si>
    <t>25년산 저속노화 잡곡 밥 국산 유기농 혼합 쌀 1kg + 1kg [원산지:국산(전라남도 진도군)]</t>
  </si>
  <si>
    <t>26년 국내산 해남 민지맘 무농약 작두콩차 270g(90g x 3팩) 선물용 [원산지:국산(전라남도 해남군)]</t>
  </si>
  <si>
    <t>참나무 표고버섯 유기농 통 건표고버섯(200g) [원산지:국산(경상북도 성주군)]</t>
  </si>
  <si>
    <t>100% 국산 경기 여주산 햇고춧가루 500g [원산지:국산(경기도 여주시)]</t>
  </si>
  <si>
    <t>[현재농원] 국산 100% 유기농 표고버섯 백화고 50g, 100g [원산지:국산(경상북도 영주시)]</t>
  </si>
  <si>
    <t>하누리영이 직접 재배 영이천 유비아 스틱 (유기농 스테비아&amp; 아로니아) 3g, 10개 [원산지:국산(충청남도 홍성군)]</t>
  </si>
  <si>
    <t>[여주능서농원] 소담미스틱 국산꿀고구마 다이어트 간식 영양 식사대용 20g [원산지:국산(경기도 여주시)]</t>
  </si>
  <si>
    <t>더 편리한 표고버섯 3종 세트(통버섯 슬라이스 표고칩) [원산지:국산(경상북도 성주군)]</t>
  </si>
  <si>
    <t>카페인없는차 흑하랑 유기농 상추 차 국산 숙면 잠오는 꿀잠 음료 티백 [원산지:국산(전라남도 화순군)]</t>
  </si>
  <si>
    <t>[여화원]유기농명인이 직접 키우는 유기농 로즈마리 생잎 50g [원산지:국산(전라남도 고흥군)]</t>
  </si>
  <si>
    <t>25년산 국산 유기농 찹쌀 가루 쌀 건식 이유식 500g [원산지:국산(전라남도 진도군)]</t>
  </si>
  <si>
    <t>참나무 표고버섯 유기농 슬라이스 건표고버섯(200g) [원산지:국산(경상북도 성주군)]</t>
  </si>
  <si>
    <t>[현재농원] 경북 영주 유기농 고춧가루 90g (국산 100%) [원산지:국산(경상북도 영주시)]</t>
  </si>
  <si>
    <t>[여화원]국산 유기농 로즈마리홀 허브 말린 건잎 40g /허브잎 향신료 허브차 허브티 [원산지:국산(전라남도 고흥군)]</t>
  </si>
  <si>
    <t>[현재농원] 국산 유기농 통들깨 100g / 국산 유기농 볶음 통들깨 80g (간식 추천) [원산지:국산]</t>
  </si>
  <si>
    <t>우유와함께 제주녹차라떼</t>
  </si>
  <si>
    <t>3초 보리 순아이티 (15입)</t>
  </si>
  <si>
    <t>유기농 제주 말차 ((20g×2입)×1개)</t>
  </si>
  <si>
    <t>해담는집 유기농 고춧가루 500g/200g(순한맛/보통맛/매운맛)</t>
  </si>
  <si>
    <t>[해담는집] 유기농 고추씨 500g</t>
  </si>
  <si>
    <t>[해담는집] 유기농 들깨 500g</t>
  </si>
  <si>
    <t>[해담는집]유기농 크러쉬드 레드페퍼</t>
  </si>
  <si>
    <t>유기농 메리골드 건조차 50g/꽃차/생화/식용꽃</t>
  </si>
  <si>
    <t>주식회사 베리네이처</t>
  </si>
  <si>
    <t>유기농 토핑 야채큐브 다진 비트 45g</t>
  </si>
  <si>
    <t>유기농 토핑 야채큐브 다진 양배추 45g</t>
  </si>
  <si>
    <t>유기농 토핑 야채큐브 다진 무 45g</t>
  </si>
  <si>
    <t>무농약 토핑 야채큐브 다진 근대 45g</t>
  </si>
  <si>
    <t>무농약 토핑 야채큐브 다진 청경채 45g</t>
  </si>
  <si>
    <t>유기농 토핑 야채큐브 다진 시금치 45g</t>
  </si>
  <si>
    <t>무농약 토핑 야채큐브 다진 새송이버섯 45g</t>
  </si>
  <si>
    <t>유기농 토핑 야채큐브 다진 당근 45g</t>
  </si>
  <si>
    <t>무농약 토핑 야채큐브 다진 애호박 45g</t>
  </si>
  <si>
    <t>유기농 토핑 야채큐브 다진 단호박 45g</t>
  </si>
  <si>
    <t>무항생제 닭 안심 다짐육 30g x 3구</t>
  </si>
  <si>
    <t>무항생제 한우 설도 다짐육 30g x 3구</t>
  </si>
  <si>
    <t>농업회사법인(주)다고</t>
  </si>
  <si>
    <t>유기농 순돼지감자차 1박스 2g X 20포</t>
  </si>
  <si>
    <t>유기농 순수블랙보리차 1박스 2g X 20포</t>
  </si>
  <si>
    <t>유기농 도라지 농축액(160g)</t>
  </si>
  <si>
    <t>유기농 도라지배 농축액(220g)</t>
  </si>
  <si>
    <t>[MD추천]유기농 도라지 홍삼청(10gx15)</t>
  </si>
  <si>
    <t>더조은 유기농 생강청 (160g)</t>
  </si>
  <si>
    <t>유기농 양배추청(10gx30)</t>
  </si>
  <si>
    <t>유기농 양배추환 (170g)</t>
  </si>
  <si>
    <t>유기농 백미(10kg/단일품종)</t>
  </si>
  <si>
    <t>유기농 백미(4kg/단일품종)</t>
  </si>
  <si>
    <t>유기농 백미(2kg/단일품종)</t>
  </si>
  <si>
    <t>유기농 현미(4kg/단일품종)</t>
  </si>
  <si>
    <t>유기농 현미 (2kg/단일품종)</t>
  </si>
  <si>
    <t>유기농 현미찹쌀(4kg)</t>
  </si>
  <si>
    <t>유기농 현미찹쌀(2kg)</t>
  </si>
  <si>
    <t>유기농 찹쌀(4kg)</t>
  </si>
  <si>
    <t>유기농 찹쌀(2kg)</t>
  </si>
  <si>
    <t>유기농 혼합9곡(4kg)</t>
  </si>
  <si>
    <t>유기농 혼합9곡(2kg)</t>
  </si>
  <si>
    <t>다원팜</t>
  </si>
  <si>
    <t>GAP 무농약 고기느타리(300g)</t>
  </si>
  <si>
    <t>GAP 무농약 삼색느타리(400g)</t>
  </si>
  <si>
    <t>GAP 무농약 참타리버섯(350g내외)</t>
  </si>
  <si>
    <t>GAP 무농약 참타리버섯(150g)</t>
  </si>
  <si>
    <t>농업회사법인내포(주) / 매헌생명창고</t>
  </si>
  <si>
    <t>매헌 생들기름</t>
  </si>
  <si>
    <t>[달콤한인생] 유기농 수수조청 280g</t>
  </si>
  <si>
    <t>[달콤한인생] 유기농 대추청 280g</t>
  </si>
  <si>
    <t>[달콤한인생] 유기농 생강청 280g</t>
  </si>
  <si>
    <t>[달콤한인생] 유기농 홍도라지청 280g</t>
  </si>
  <si>
    <t>[달콤한인생] 유기농 생강청+대추청 선물세트</t>
  </si>
  <si>
    <t>[달콤한인생] 유기농 홍도라지청+생강청+대추청 선물세트</t>
  </si>
  <si>
    <t>도울에프앤비</t>
  </si>
  <si>
    <t>[아기과자1단계] 유기농 단호박 롱스틱 (25g)</t>
  </si>
  <si>
    <t>[아기과자3단계] 지구대장 유기농 옐로우 스틱 (45g)</t>
  </si>
  <si>
    <t>[아기과자2단계] 지구대장 유기농 베리 롱스틱 (28g)</t>
  </si>
  <si>
    <t>유기농 핑크나나 뻥튀기 (25g/5입)</t>
  </si>
  <si>
    <t>농업회사법인 (주) 초록원</t>
  </si>
  <si>
    <t>유기농 매실엑기스 (660g)</t>
  </si>
  <si>
    <t>초록원 유기농 딸기잼(580g)</t>
  </si>
  <si>
    <t>초록원 무농약 딸기로 만든 딸기잼(580g)</t>
  </si>
  <si>
    <t>유기농 쌀 떡국떡 (500g X 3개)</t>
  </si>
  <si>
    <t>유기농 쌀 떡볶이떡 (500g X 1개)</t>
  </si>
  <si>
    <t>유기농 현미로 만든 떡국떡 (500g X 3개)</t>
  </si>
  <si>
    <t>유기농 현미로 만든 떡볶이떡 (500g X 1개)</t>
  </si>
  <si>
    <t>유기농 영양12곡 미숫가루 (400g X 1개)</t>
  </si>
  <si>
    <t>유기농 세척 영양 12곡 (2kg X 1개)</t>
  </si>
  <si>
    <t>가뿐한 무농약 로메인 샐러드믹스 210g(70g x 3입)</t>
  </si>
  <si>
    <t>가뿐한 무농약 루꼴라 샐러드믹스 210g(70g x 3입)</t>
  </si>
  <si>
    <t>무농약 스마트팜 소프트믹스 샐러드</t>
  </si>
  <si>
    <t>무농약 스마트팜 트리플믹스 샐러드</t>
  </si>
  <si>
    <t>[소용량] 무농약 손질 양상추 샐러드 (60g)</t>
  </si>
  <si>
    <t>무농약 스마트팜 손질 양상추</t>
  </si>
  <si>
    <t>친환경 스마트팜 양상추 (1통, 150g)</t>
  </si>
  <si>
    <t>무농약 베이비 채소 샐러드 (100g)</t>
  </si>
  <si>
    <t>국내산 무농약 후레쉬가든 샐러드 (250g X 1개)</t>
  </si>
  <si>
    <t>닥터애그</t>
  </si>
  <si>
    <t>GAP 무농약 느타리버섯 (200g x 1개)</t>
  </si>
  <si>
    <t>GAP 무농약 팽이버섯 (360g)</t>
  </si>
  <si>
    <t>GAP 무농약 팽이버섯 (150g x 1개)</t>
  </si>
  <si>
    <t>[밀리브] 유기농현미 1kg</t>
  </si>
  <si>
    <t>[밀리브] 유기농현미 3kg</t>
  </si>
  <si>
    <t>[밀리브] 유기농 찰현미 1kg</t>
  </si>
  <si>
    <t>[밀리브] 유기농 찰흑미 1kg</t>
  </si>
  <si>
    <t>[밀리브] 유기농 찰흑미 3kg</t>
  </si>
  <si>
    <t>[밀리브] 유기농 새싹발아 현미 1kg</t>
  </si>
  <si>
    <t>[밀리브] 유기농 새싹발아 찰현미 1kg</t>
  </si>
  <si>
    <t>[밀리브] 유기농 새싹발아 찰흑미 1kg</t>
  </si>
  <si>
    <t>[바우뜨락] 유기농 흰민들레즙 (100ml*20팩)</t>
  </si>
  <si>
    <t>[바우뜨락] 유기농 모과포도즙 (100ml*20봉)</t>
  </si>
  <si>
    <t>[바우뜨락] 유기농 와인초 오디차 (100ml*30팩)</t>
  </si>
  <si>
    <t>바우뜨락 유기농 오디</t>
  </si>
  <si>
    <t>[바우뜨락] 무알콜와인 뜨락에 꿈(프리미엄포도주스) 750ml</t>
  </si>
  <si>
    <t>[바우뜨락] 유기농 청포도</t>
  </si>
  <si>
    <t>유기농 파머스 팝콘 (70g x 1개)</t>
  </si>
  <si>
    <t>7월</t>
    <phoneticPr fontId="4" type="noConversion"/>
  </si>
  <si>
    <t>구분</t>
    <phoneticPr fontId="4" type="noConversion"/>
  </si>
  <si>
    <t>7월</t>
    <phoneticPr fontId="4" type="noConversion"/>
  </si>
  <si>
    <t>7월 실제 인입</t>
    <phoneticPr fontId="4" type="noConversion"/>
  </si>
  <si>
    <t>O</t>
    <phoneticPr fontId="4" type="noConversion"/>
  </si>
  <si>
    <t>o</t>
    <phoneticPr fontId="4" type="noConversion"/>
  </si>
  <si>
    <t>O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</si>
</sst>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#,##0_ "/>
    <numFmt numFmtId="177" formatCode="###\-##\-#####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1"/>
      <name val="나눔고딕"/>
      <family val="2"/>
      <charset val="129"/>
    </font>
    <font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rgb="FF000000"/>
      <name val="맑은 고딕"/>
      <family val="2"/>
      <scheme val="minor"/>
    </font>
    <font>
      <b/>
      <sz val="11"/>
      <color rgb="FFFF0000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41" fontId="1" fillId="0" borderId="0">
      <alignment vertical="center"/>
    </xf>
    <xf numFmtId="0" fontId="2" fillId="2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1" fontId="1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0" fontId="2" fillId="2" borderId="0">
      <alignment vertical="center"/>
    </xf>
    <xf numFmtId="0" fontId="19" fillId="0" borderId="0"/>
    <xf numFmtId="0" fontId="19" fillId="0" borderId="0"/>
  </cellStyleXfs>
  <cellXfs count="88">
    <xf numFmtId="0" fontId="0" fillId="0" borderId="0" xfId="0">
      <alignment vertical="center"/>
    </xf>
    <xf numFmtId="0" fontId="3" fillId="3" borderId="0" xfId="3" applyFont="1" applyFill="1">
      <alignment vertical="center"/>
    </xf>
    <xf numFmtId="0" fontId="5" fillId="3" borderId="0" xfId="0" applyFont="1" applyFill="1">
      <alignment vertical="center"/>
    </xf>
    <xf numFmtId="0" fontId="0" fillId="3" borderId="0" xfId="0" applyFill="1">
      <alignment vertical="center"/>
    </xf>
    <xf numFmtId="0" fontId="6" fillId="3" borderId="0" xfId="0" applyFont="1" applyFill="1">
      <alignment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0" fontId="12" fillId="3" borderId="0" xfId="3" applyFont="1" applyFill="1">
      <alignment vertical="center"/>
    </xf>
    <xf numFmtId="0" fontId="11" fillId="3" borderId="0" xfId="0" applyFont="1" applyFill="1">
      <alignment vertical="center"/>
    </xf>
    <xf numFmtId="0" fontId="9" fillId="5" borderId="1" xfId="2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8" fillId="3" borderId="1" xfId="1" applyNumberFormat="1" applyFont="1" applyFill="1" applyBorder="1" applyAlignment="1">
      <alignment horizontal="center" vertical="center"/>
    </xf>
    <xf numFmtId="3" fontId="0" fillId="3" borderId="1" xfId="1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center" vertical="center"/>
    </xf>
    <xf numFmtId="0" fontId="13" fillId="7" borderId="1" xfId="4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7" borderId="1" xfId="4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/>
    <xf numFmtId="3" fontId="0" fillId="0" borderId="0" xfId="0" applyNumberFormat="1">
      <alignment vertical="center"/>
    </xf>
    <xf numFmtId="3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76" fontId="15" fillId="9" borderId="1" xfId="0" applyNumberFormat="1" applyFont="1" applyFill="1" applyBorder="1" applyAlignment="1">
      <alignment horizontal="center" vertical="center"/>
    </xf>
    <xf numFmtId="41" fontId="0" fillId="3" borderId="0" xfId="1" applyFont="1" applyFill="1" applyAlignment="1">
      <alignment horizontal="center" vertical="center"/>
    </xf>
    <xf numFmtId="41" fontId="5" fillId="3" borderId="0" xfId="1" applyFont="1" applyFill="1">
      <alignment vertical="center"/>
    </xf>
    <xf numFmtId="41" fontId="0" fillId="3" borderId="0" xfId="1" applyFont="1" applyFill="1">
      <alignment vertical="center"/>
    </xf>
    <xf numFmtId="41" fontId="7" fillId="4" borderId="0" xfId="1" applyFont="1" applyFill="1" applyAlignment="1">
      <alignment horizontal="center" vertical="center"/>
    </xf>
    <xf numFmtId="41" fontId="9" fillId="5" borderId="1" xfId="1" applyFont="1" applyFill="1" applyBorder="1" applyAlignment="1">
      <alignment horizontal="center" vertical="center"/>
    </xf>
    <xf numFmtId="177" fontId="8" fillId="3" borderId="1" xfId="0" applyNumberFormat="1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41" fontId="8" fillId="0" borderId="1" xfId="1" applyFont="1" applyBorder="1" applyAlignment="1">
      <alignment horizontal="center" vertical="center"/>
    </xf>
    <xf numFmtId="41" fontId="8" fillId="3" borderId="1" xfId="1" applyFont="1" applyFill="1" applyBorder="1" applyAlignment="1">
      <alignment horizontal="center" vertical="center"/>
    </xf>
    <xf numFmtId="41" fontId="14" fillId="0" borderId="1" xfId="1" applyFont="1" applyBorder="1" applyAlignment="1">
      <alignment horizontal="center" vertical="center"/>
    </xf>
    <xf numFmtId="41" fontId="8" fillId="3" borderId="1" xfId="8" applyFont="1" applyFill="1" applyBorder="1" applyAlignment="1">
      <alignment horizontal="right" vertical="center"/>
    </xf>
    <xf numFmtId="41" fontId="0" fillId="3" borderId="1" xfId="8" applyFont="1" applyFill="1" applyBorder="1" applyAlignment="1">
      <alignment horizontal="right" vertical="center"/>
    </xf>
    <xf numFmtId="41" fontId="1" fillId="3" borderId="1" xfId="8" applyFill="1" applyBorder="1" applyAlignment="1">
      <alignment horizontal="center" vertical="center"/>
    </xf>
    <xf numFmtId="41" fontId="1" fillId="6" borderId="1" xfId="8" applyFill="1" applyBorder="1" applyAlignment="1">
      <alignment horizontal="center" vertical="center"/>
    </xf>
    <xf numFmtId="41" fontId="5" fillId="3" borderId="0" xfId="1" applyFont="1" applyFill="1" applyAlignment="1">
      <alignment horizontal="center" vertical="center"/>
    </xf>
    <xf numFmtId="41" fontId="1" fillId="0" borderId="1" xfId="8" applyBorder="1" applyAlignment="1">
      <alignment horizontal="center" vertical="center"/>
    </xf>
    <xf numFmtId="41" fontId="1" fillId="8" borderId="1" xfId="8" applyFill="1" applyBorder="1" applyAlignment="1">
      <alignment horizontal="center" vertical="center"/>
    </xf>
    <xf numFmtId="0" fontId="17" fillId="0" borderId="3" xfId="0" applyFont="1" applyBorder="1" applyAlignment="1"/>
    <xf numFmtId="0" fontId="17" fillId="10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3" fontId="17" fillId="10" borderId="1" xfId="0" applyNumberFormat="1" applyFont="1" applyFill="1" applyBorder="1" applyAlignment="1"/>
    <xf numFmtId="3" fontId="17" fillId="11" borderId="1" xfId="0" applyNumberFormat="1" applyFont="1" applyFill="1" applyBorder="1" applyAlignment="1"/>
    <xf numFmtId="3" fontId="0" fillId="0" borderId="1" xfId="0" applyNumberFormat="1" applyBorder="1" applyAlignment="1"/>
    <xf numFmtId="3" fontId="17" fillId="12" borderId="1" xfId="0" applyNumberFormat="1" applyFont="1" applyFill="1" applyBorder="1" applyAlignment="1"/>
    <xf numFmtId="0" fontId="17" fillId="0" borderId="1" xfId="0" applyFont="1" applyBorder="1" applyAlignment="1">
      <alignment horizontal="center" vertical="center" wrapText="1"/>
    </xf>
    <xf numFmtId="0" fontId="16" fillId="6" borderId="2" xfId="0" applyFont="1" applyFill="1" applyBorder="1" applyAlignment="1"/>
    <xf numFmtId="0" fontId="16" fillId="13" borderId="2" xfId="0" applyFont="1" applyFill="1" applyBorder="1" applyAlignment="1"/>
    <xf numFmtId="0" fontId="0" fillId="6" borderId="0" xfId="0" applyFill="1" applyAlignment="1"/>
    <xf numFmtId="0" fontId="0" fillId="13" borderId="0" xfId="0" applyFill="1" applyAlignment="1"/>
    <xf numFmtId="49" fontId="18" fillId="0" borderId="1" xfId="0" applyNumberFormat="1" applyFont="1" applyBorder="1" applyAlignment="1">
      <alignment horizontal="center" vertical="center"/>
    </xf>
    <xf numFmtId="0" fontId="0" fillId="0" borderId="1" xfId="4" applyFont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176" fontId="15" fillId="14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0" fillId="10" borderId="1" xfId="0" applyFont="1" applyFill="1" applyBorder="1" applyAlignment="1">
      <alignment horizontal="center" vertical="center" wrapText="1"/>
    </xf>
    <xf numFmtId="3" fontId="20" fillId="10" borderId="1" xfId="0" applyNumberFormat="1" applyFont="1" applyFill="1" applyBorder="1" applyAlignment="1"/>
    <xf numFmtId="176" fontId="15" fillId="15" borderId="1" xfId="0" applyNumberFormat="1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 wrapText="1"/>
    </xf>
    <xf numFmtId="0" fontId="0" fillId="0" borderId="1" xfId="0" applyBorder="1" applyAlignment="1"/>
    <xf numFmtId="0" fontId="17" fillId="11" borderId="1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7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</cellXfs>
  <cellStyles count="12">
    <cellStyle name="백분율 2" xfId="7"/>
    <cellStyle name="쉼표 [0]" xfId="1" builtinId="6"/>
    <cellStyle name="쉼표 [0] 2" xfId="5"/>
    <cellStyle name="쉼표 [0] 3" xfId="6"/>
    <cellStyle name="쉼표 [0] 4" xfId="8"/>
    <cellStyle name="좋음" xfId="2" builtinId="26"/>
    <cellStyle name="좋음 2" xfId="9"/>
    <cellStyle name="표준" xfId="0" builtinId="0"/>
    <cellStyle name="표준 2" xfId="3"/>
    <cellStyle name="표준 3" xfId="4"/>
    <cellStyle name="표준 4" xfId="10"/>
    <cellStyle name="표준 5" xfId="1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7"/>
  <sheetViews>
    <sheetView showGridLines="0" zoomScale="115" zoomScaleNormal="115" workbookViewId="0">
      <selection activeCell="K7" sqref="K7"/>
    </sheetView>
  </sheetViews>
  <sheetFormatPr defaultRowHeight="17.399999999999999"/>
  <cols>
    <col min="1" max="1" width="2" style="27" customWidth="1"/>
    <col min="2" max="2" width="16" style="27" customWidth="1"/>
    <col min="3" max="3" width="15" style="27" bestFit="1" customWidth="1"/>
    <col min="4" max="13" width="15" style="27" customWidth="1"/>
  </cols>
  <sheetData>
    <row r="1" spans="2:13" ht="19.2">
      <c r="B1" s="65" t="s">
        <v>0</v>
      </c>
      <c r="C1" s="67"/>
    </row>
    <row r="3" spans="2:13">
      <c r="B3" s="56" t="s">
        <v>1</v>
      </c>
    </row>
    <row r="4" spans="2:13">
      <c r="B4" s="80" t="s">
        <v>2</v>
      </c>
      <c r="C4" s="80" t="s">
        <v>3</v>
      </c>
      <c r="D4" s="79" t="s">
        <v>4</v>
      </c>
      <c r="E4" s="78"/>
      <c r="F4" s="78"/>
      <c r="G4" s="78"/>
      <c r="H4" s="78"/>
      <c r="I4" s="78"/>
      <c r="J4" s="78"/>
      <c r="K4" s="77" t="s">
        <v>5</v>
      </c>
      <c r="L4" s="78"/>
      <c r="M4" s="78"/>
    </row>
    <row r="5" spans="2:13">
      <c r="B5" s="81"/>
      <c r="C5" s="81"/>
      <c r="D5" s="58" t="s">
        <v>6</v>
      </c>
      <c r="E5" s="58" t="s">
        <v>7</v>
      </c>
      <c r="F5" s="58" t="s">
        <v>8</v>
      </c>
      <c r="G5" s="58" t="s">
        <v>9</v>
      </c>
      <c r="H5" s="58" t="s">
        <v>10</v>
      </c>
      <c r="I5" s="58" t="s">
        <v>11</v>
      </c>
      <c r="J5" s="58" t="s">
        <v>12</v>
      </c>
      <c r="K5" s="59" t="s">
        <v>6</v>
      </c>
      <c r="L5" s="59" t="s">
        <v>7</v>
      </c>
      <c r="M5" s="59" t="s">
        <v>12</v>
      </c>
    </row>
    <row r="6" spans="2:13">
      <c r="B6" s="57" t="s">
        <v>13</v>
      </c>
      <c r="C6" s="60">
        <f>D6+K6</f>
        <v>340</v>
      </c>
      <c r="D6" s="61">
        <f>SUM(E6:J6)</f>
        <v>285</v>
      </c>
      <c r="E6" s="62">
        <v>136</v>
      </c>
      <c r="F6" s="62">
        <v>53</v>
      </c>
      <c r="G6" s="62">
        <v>47</v>
      </c>
      <c r="H6" s="62">
        <v>24</v>
      </c>
      <c r="I6" s="62">
        <v>9</v>
      </c>
      <c r="J6" s="62">
        <v>16</v>
      </c>
      <c r="K6" s="63">
        <f>SUM(L6:M6)</f>
        <v>55</v>
      </c>
      <c r="L6" s="62">
        <v>26</v>
      </c>
      <c r="M6" s="62">
        <v>29</v>
      </c>
    </row>
    <row r="7" spans="2:13">
      <c r="B7" s="74" t="s">
        <v>2055</v>
      </c>
      <c r="C7" s="75">
        <f>SUM(D7,K7)</f>
        <v>218</v>
      </c>
      <c r="D7" s="61">
        <f>SUM(E7:J7)</f>
        <v>186</v>
      </c>
      <c r="E7" s="62">
        <v>82</v>
      </c>
      <c r="F7" s="62">
        <v>36</v>
      </c>
      <c r="G7" s="62">
        <v>32</v>
      </c>
      <c r="H7" s="62">
        <v>17</v>
      </c>
      <c r="I7" s="62">
        <v>6</v>
      </c>
      <c r="J7" s="62">
        <v>13</v>
      </c>
      <c r="K7" s="63">
        <f>SUM(L7:M7)</f>
        <v>32</v>
      </c>
      <c r="L7" s="62">
        <v>16</v>
      </c>
      <c r="M7" s="62">
        <v>16</v>
      </c>
    </row>
    <row r="8" spans="2:13">
      <c r="B8" s="57" t="s">
        <v>14</v>
      </c>
      <c r="C8" s="60">
        <f>D8+K8</f>
        <v>1305</v>
      </c>
      <c r="D8" s="61">
        <f>SUM(E8:J8)</f>
        <v>1130</v>
      </c>
      <c r="E8" s="62">
        <v>388</v>
      </c>
      <c r="F8" s="62">
        <v>258</v>
      </c>
      <c r="G8" s="62">
        <v>313</v>
      </c>
      <c r="H8" s="62">
        <v>55</v>
      </c>
      <c r="I8" s="62">
        <v>29</v>
      </c>
      <c r="J8" s="62">
        <v>87</v>
      </c>
      <c r="K8" s="63">
        <f>SUM(L8:M8)</f>
        <v>175</v>
      </c>
      <c r="L8" s="62">
        <v>85</v>
      </c>
      <c r="M8" s="62">
        <v>90</v>
      </c>
    </row>
    <row r="10" spans="2:13">
      <c r="B10" s="56" t="s">
        <v>15</v>
      </c>
    </row>
    <row r="11" spans="2:13">
      <c r="B11" s="80" t="s">
        <v>2</v>
      </c>
      <c r="C11" s="80" t="s">
        <v>3</v>
      </c>
      <c r="D11" s="79" t="s">
        <v>4</v>
      </c>
      <c r="E11" s="78"/>
      <c r="F11" s="78"/>
      <c r="G11" s="78"/>
      <c r="H11" s="78"/>
      <c r="I11" s="78"/>
      <c r="J11" s="78"/>
      <c r="K11" s="77" t="s">
        <v>5</v>
      </c>
      <c r="L11" s="78"/>
      <c r="M11" s="78"/>
    </row>
    <row r="12" spans="2:13">
      <c r="B12" s="81"/>
      <c r="C12" s="81"/>
      <c r="D12" s="58" t="s">
        <v>6</v>
      </c>
      <c r="E12" s="58" t="s">
        <v>7</v>
      </c>
      <c r="F12" s="58" t="s">
        <v>8</v>
      </c>
      <c r="G12" s="58" t="s">
        <v>9</v>
      </c>
      <c r="H12" s="58" t="s">
        <v>10</v>
      </c>
      <c r="I12" s="58" t="s">
        <v>11</v>
      </c>
      <c r="J12" s="58" t="s">
        <v>12</v>
      </c>
      <c r="K12" s="59" t="s">
        <v>6</v>
      </c>
      <c r="L12" s="59" t="s">
        <v>7</v>
      </c>
      <c r="M12" s="59" t="s">
        <v>12</v>
      </c>
    </row>
    <row r="13" spans="2:13">
      <c r="B13" s="57" t="s">
        <v>16</v>
      </c>
      <c r="C13" s="60">
        <f>D13+K13</f>
        <v>183612586</v>
      </c>
      <c r="D13" s="61">
        <f>SUM(E13:J13)</f>
        <v>163578655</v>
      </c>
      <c r="E13" s="62">
        <f>SUMIF(①농산물raw!$A$6:$A$1135,E$12,①농산물raw!$H$6:$H$1135)</f>
        <v>50215680</v>
      </c>
      <c r="F13" s="62">
        <f>SUMIF(①농산물raw!$A$6:$A$1135,F$12,①농산물raw!$H$6:$H$1135)</f>
        <v>46392390</v>
      </c>
      <c r="G13" s="62">
        <f>SUMIF(①농산물raw!$A$6:$A$1135,G$12,①농산물raw!$H$6:$H$1135)</f>
        <v>40018660</v>
      </c>
      <c r="H13" s="62">
        <f>SUMIF(①농산물raw!$A$6:$A$1135,H$12,①농산물raw!$H$6:$H$1135)</f>
        <v>7101680</v>
      </c>
      <c r="I13" s="62">
        <f>SUMIF(①농산물raw!$A$6:$A$1135,I$12,①농산물raw!$H$6:$H$1135)</f>
        <v>11487420</v>
      </c>
      <c r="J13" s="62">
        <f>SUMIF(①농산물raw!$A$6:$A$1135,J$12,①농산물raw!$H$6:$H$1135)</f>
        <v>8362825</v>
      </c>
      <c r="K13" s="63">
        <f>SUM(L13:M13)</f>
        <v>20033931</v>
      </c>
      <c r="L13" s="62">
        <f>SUMIF(②유기농raw!$A$6:$A$180,L$12,②유기농raw!$H$6:$H$180)</f>
        <v>10413500</v>
      </c>
      <c r="M13" s="62">
        <f>SUMIF(②유기농raw!$A$6:$A$180,M$12,②유기농raw!$H$6:$H$180)</f>
        <v>9620431</v>
      </c>
    </row>
    <row r="15" spans="2:13">
      <c r="B15" s="56" t="s">
        <v>17</v>
      </c>
    </row>
    <row r="16" spans="2:13">
      <c r="B16" s="80" t="s">
        <v>2</v>
      </c>
      <c r="C16" s="80" t="s">
        <v>3</v>
      </c>
      <c r="D16" s="79" t="s">
        <v>4</v>
      </c>
      <c r="E16" s="78"/>
      <c r="F16" s="78"/>
      <c r="G16" s="78"/>
      <c r="H16" s="78"/>
      <c r="I16" s="78"/>
      <c r="J16" s="78"/>
      <c r="K16" s="77" t="s">
        <v>5</v>
      </c>
      <c r="L16" s="78"/>
      <c r="M16" s="78"/>
    </row>
    <row r="17" spans="2:13">
      <c r="B17" s="81"/>
      <c r="C17" s="81"/>
      <c r="D17" s="58" t="s">
        <v>6</v>
      </c>
      <c r="E17" s="58" t="s">
        <v>7</v>
      </c>
      <c r="F17" s="58" t="s">
        <v>8</v>
      </c>
      <c r="G17" s="58" t="s">
        <v>9</v>
      </c>
      <c r="H17" s="58" t="s">
        <v>10</v>
      </c>
      <c r="I17" s="58" t="s">
        <v>11</v>
      </c>
      <c r="J17" s="58" t="s">
        <v>12</v>
      </c>
      <c r="K17" s="59" t="s">
        <v>6</v>
      </c>
      <c r="L17" s="59" t="s">
        <v>7</v>
      </c>
      <c r="M17" s="59" t="s">
        <v>12</v>
      </c>
    </row>
    <row r="18" spans="2:13">
      <c r="B18" s="57" t="s">
        <v>18</v>
      </c>
      <c r="C18" s="60">
        <f>D18+K18</f>
        <v>3582789323</v>
      </c>
      <c r="D18" s="61">
        <f>SUM(E18:J18)</f>
        <v>2936214433</v>
      </c>
      <c r="E18" s="62">
        <f>SUMIF(①농산물raw!$A$6:$A$1135,E$17,①농산물raw!$G$6:$G$1135)</f>
        <v>1148483700</v>
      </c>
      <c r="F18" s="62">
        <f>SUMIF(①농산물raw!$A$6:$A$1135,F$17,①농산물raw!$G$6:$G$1135)</f>
        <v>770420430</v>
      </c>
      <c r="G18" s="62">
        <f>SUMIF(①농산물raw!$A$6:$A$1135,G$17,①농산물raw!$G$6:$G$1135)</f>
        <v>261077210</v>
      </c>
      <c r="H18" s="62">
        <f>SUMIF(①농산물raw!$A$6:$A$1135,H$17,①농산물raw!$G$6:$G$1135)</f>
        <v>46371200</v>
      </c>
      <c r="I18" s="62">
        <f>SUMIF(①농산물raw!$A$6:$A$1135,I$17,①농산물raw!$G$6:$G$1135)</f>
        <v>223305203</v>
      </c>
      <c r="J18" s="62">
        <f>SUMIF(①농산물raw!$A$6:$A$1135,J$17,①농산물raw!$G$6:$G$1135)</f>
        <v>486556690</v>
      </c>
      <c r="K18" s="63">
        <f>SUM(L18:M18)</f>
        <v>646574890</v>
      </c>
      <c r="L18" s="62">
        <f>SUMIF(②유기농raw!$A$6:$A$180,L$17,②유기농raw!$G$6:$G$180)</f>
        <v>108372830</v>
      </c>
      <c r="M18" s="62">
        <f>SUMIF(②유기농raw!$A$6:$A$180,M$17,②유기농raw!$G$6:$G$180)</f>
        <v>538202060</v>
      </c>
    </row>
    <row r="20" spans="2:13">
      <c r="B20" s="56" t="s">
        <v>19</v>
      </c>
    </row>
    <row r="21" spans="2:13">
      <c r="B21" s="80" t="s">
        <v>2</v>
      </c>
      <c r="C21" s="80" t="s">
        <v>3</v>
      </c>
      <c r="D21" s="79" t="s">
        <v>4</v>
      </c>
      <c r="E21" s="78"/>
      <c r="F21" s="78"/>
      <c r="G21" s="78"/>
      <c r="H21" s="78"/>
      <c r="I21" s="78"/>
      <c r="J21" s="78"/>
      <c r="K21" s="77" t="s">
        <v>5</v>
      </c>
      <c r="L21" s="78"/>
      <c r="M21" s="78"/>
    </row>
    <row r="22" spans="2:13">
      <c r="B22" s="81"/>
      <c r="C22" s="81"/>
      <c r="D22" s="58" t="s">
        <v>6</v>
      </c>
      <c r="E22" s="58" t="s">
        <v>7</v>
      </c>
      <c r="F22" s="58" t="s">
        <v>8</v>
      </c>
      <c r="G22" s="58" t="s">
        <v>9</v>
      </c>
      <c r="H22" s="58" t="s">
        <v>10</v>
      </c>
      <c r="I22" s="58" t="s">
        <v>11</v>
      </c>
      <c r="J22" s="58" t="s">
        <v>12</v>
      </c>
      <c r="K22" s="59" t="s">
        <v>6</v>
      </c>
      <c r="L22" s="59" t="s">
        <v>7</v>
      </c>
      <c r="M22" s="59" t="s">
        <v>12</v>
      </c>
    </row>
    <row r="23" spans="2:13">
      <c r="B23" s="57" t="s">
        <v>20</v>
      </c>
      <c r="C23" s="60">
        <f>D23+K23</f>
        <v>354210</v>
      </c>
      <c r="D23" s="61">
        <f>SUM(E23:J23)</f>
        <v>226559</v>
      </c>
      <c r="E23" s="62">
        <f>SUMIF(①농산물raw!$A$6:$A$1135,E$22,①농산물raw!$F$6:$F$1135)</f>
        <v>39593</v>
      </c>
      <c r="F23" s="62">
        <f>SUMIF(①농산물raw!$A$6:$A$1135,F$22,①농산물raw!$F$6:$F$1135)</f>
        <v>38640</v>
      </c>
      <c r="G23" s="62">
        <f>SUMIF(①농산물raw!$A$6:$A$1135,G$22,①농산물raw!$F$6:$F$1135)</f>
        <v>11018</v>
      </c>
      <c r="H23" s="62">
        <f>SUMIF(①농산물raw!$A$6:$A$1135,H$22,①농산물raw!$F$6:$F$1135)</f>
        <v>1296</v>
      </c>
      <c r="I23" s="62">
        <f>SUMIF(①농산물raw!$A$6:$A$1135,I$22,①농산물raw!$F$6:$F$1135)</f>
        <v>14679</v>
      </c>
      <c r="J23" s="62">
        <f>SUMIF(①농산물raw!$A$6:$A$1135,J$22,①농산물raw!$F$6:$F$1135)</f>
        <v>121333</v>
      </c>
      <c r="K23" s="63">
        <f>SUM(L23:M23)</f>
        <v>127651</v>
      </c>
      <c r="L23" s="62">
        <f>SUMIF(②유기농raw!$A$6:$A$180,L$22,②유기농raw!$F$6:$F$180)</f>
        <v>4478</v>
      </c>
      <c r="M23" s="62">
        <f>SUMIF(②유기농raw!$A$6:$A$180,M$22,②유기농raw!$F$6:$F$180)</f>
        <v>123173</v>
      </c>
    </row>
    <row r="25" spans="2:13">
      <c r="B25" s="56" t="s">
        <v>21</v>
      </c>
    </row>
    <row r="26" spans="2:13">
      <c r="B26" s="80" t="s">
        <v>2</v>
      </c>
      <c r="C26" s="80" t="s">
        <v>3</v>
      </c>
      <c r="D26" s="79" t="s">
        <v>4</v>
      </c>
      <c r="E26" s="78"/>
      <c r="F26" s="78"/>
      <c r="G26" s="78"/>
      <c r="H26" s="78"/>
      <c r="I26" s="78"/>
      <c r="J26" s="78"/>
      <c r="K26" s="77" t="s">
        <v>5</v>
      </c>
      <c r="L26" s="78"/>
      <c r="M26" s="78"/>
    </row>
    <row r="27" spans="2:13">
      <c r="B27" s="81"/>
      <c r="C27" s="81"/>
      <c r="D27" s="58" t="s">
        <v>6</v>
      </c>
      <c r="E27" s="58" t="s">
        <v>7</v>
      </c>
      <c r="F27" s="58" t="s">
        <v>8</v>
      </c>
      <c r="G27" s="58" t="s">
        <v>9</v>
      </c>
      <c r="H27" s="58" t="s">
        <v>10</v>
      </c>
      <c r="I27" s="58" t="s">
        <v>11</v>
      </c>
      <c r="J27" s="58" t="s">
        <v>12</v>
      </c>
      <c r="K27" s="59" t="s">
        <v>6</v>
      </c>
      <c r="L27" s="59" t="s">
        <v>7</v>
      </c>
      <c r="M27" s="59" t="s">
        <v>12</v>
      </c>
    </row>
    <row r="28" spans="2:13">
      <c r="B28" s="57" t="s">
        <v>3</v>
      </c>
      <c r="C28" s="60">
        <f>D28+K28</f>
        <v>183612586</v>
      </c>
      <c r="D28" s="61">
        <f>SUM(E28:J28)</f>
        <v>163578655</v>
      </c>
      <c r="E28" s="62">
        <f t="shared" ref="E28:J28" si="0">SUM(E29:E31)</f>
        <v>50215680</v>
      </c>
      <c r="F28" s="62">
        <f t="shared" si="0"/>
        <v>46392390</v>
      </c>
      <c r="G28" s="62">
        <f t="shared" si="0"/>
        <v>40018660</v>
      </c>
      <c r="H28" s="62">
        <f t="shared" si="0"/>
        <v>7101680</v>
      </c>
      <c r="I28" s="62">
        <f t="shared" si="0"/>
        <v>11487420</v>
      </c>
      <c r="J28" s="62">
        <f t="shared" si="0"/>
        <v>8362825</v>
      </c>
      <c r="K28" s="63">
        <f>SUM(L28:M28)</f>
        <v>20033931</v>
      </c>
      <c r="L28" s="62">
        <f>SUM(L29:L31)</f>
        <v>10413500</v>
      </c>
      <c r="M28" s="62">
        <f>SUM(M29:M31)</f>
        <v>9620431</v>
      </c>
    </row>
    <row r="29" spans="2:13">
      <c r="B29" s="64" t="s">
        <v>22</v>
      </c>
      <c r="C29" s="60">
        <f>D29+K29</f>
        <v>101664919</v>
      </c>
      <c r="D29" s="61">
        <f>SUM(E29:J29)</f>
        <v>88236310</v>
      </c>
      <c r="E29" s="62">
        <f>SUMIFS(①농산물raw!$H$6:$H$1135,①농산물raw!$A$6:$A$1135,E$27,①농산물raw!$B$6:$B$1135,$B29)</f>
        <v>27521390</v>
      </c>
      <c r="F29" s="62">
        <f>SUMIFS(①농산물raw!$H$6:$H$1135,①농산물raw!$A$6:$A$1135,F$27,①농산물raw!$B$6:$B$1135,$B29)</f>
        <v>29495180</v>
      </c>
      <c r="G29" s="62">
        <f>SUMIFS(①농산물raw!$H$6:$H$1135,①농산물raw!$A$6:$A$1135,G$27,①농산물raw!$B$6:$B$1135,$B29)</f>
        <v>16472440</v>
      </c>
      <c r="H29" s="62">
        <f>SUMIFS(①농산물raw!$H$6:$H$1135,①농산물raw!$A$6:$A$1135,H$27,①농산물raw!$B$6:$B$1135,$B29)</f>
        <v>6561353</v>
      </c>
      <c r="I29" s="62">
        <f>SUMIFS(①농산물raw!$H$6:$H$1135,①농산물raw!$A$6:$A$1135,I$27,①농산물raw!$B$6:$B$1135,$B29)</f>
        <v>3731960</v>
      </c>
      <c r="J29" s="62">
        <f>SUMIFS(①농산물raw!$H$6:$H$1135,①농산물raw!$A$6:$A$1135,J$27,①농산물raw!$B$6:$B$1135,$B29)</f>
        <v>4453987</v>
      </c>
      <c r="K29" s="63">
        <f>SUM(L29:M29)</f>
        <v>13428609</v>
      </c>
      <c r="L29" s="62">
        <f>SUMIFS(②유기농raw!$H$6:$H$180,②유기농raw!$A$6:$A$180,L$27,②유기농raw!$B$6:$B$180,$B29)</f>
        <v>8603490</v>
      </c>
      <c r="M29" s="62">
        <f>SUMIFS(②유기농raw!$H$6:$H$180,②유기농raw!$A$6:$A$180,M$27,②유기농raw!$B$6:$B$180,$B29)</f>
        <v>4825119</v>
      </c>
    </row>
    <row r="30" spans="2:13">
      <c r="B30" s="64" t="s">
        <v>23</v>
      </c>
      <c r="C30" s="60">
        <f>D30+K30</f>
        <v>27107280</v>
      </c>
      <c r="D30" s="61">
        <f>SUM(E30:J30)</f>
        <v>26830360</v>
      </c>
      <c r="E30" s="62">
        <f>SUMIFS(①농산물raw!$H$6:$H$1135,①농산물raw!$A$6:$A$1135,E$27,①농산물raw!$B$6:$B$1135,$B30)</f>
        <v>11806670</v>
      </c>
      <c r="F30" s="62">
        <f>SUMIFS(①농산물raw!$H$6:$H$1135,①농산물raw!$A$6:$A$1135,F$27,①농산물raw!$B$6:$B$1135,$B30)</f>
        <v>2182750</v>
      </c>
      <c r="G30" s="62">
        <f>SUMIFS(①농산물raw!$H$6:$H$1135,①농산물raw!$A$6:$A$1135,G$27,①농산물raw!$B$6:$B$1135,$B30)</f>
        <v>12810140</v>
      </c>
      <c r="H30" s="62">
        <f>SUMIFS(①농산물raw!$H$6:$H$1135,①농산물raw!$A$6:$A$1135,H$27,①농산물raw!$B$6:$B$1135,$B30)</f>
        <v>0</v>
      </c>
      <c r="I30" s="62">
        <f>SUMIFS(①농산물raw!$H$6:$H$1135,①농산물raw!$A$6:$A$1135,I$27,①농산물raw!$B$6:$B$1135,$B30)</f>
        <v>0</v>
      </c>
      <c r="J30" s="62">
        <f>SUMIFS(①농산물raw!$H$6:$H$1135,①농산물raw!$A$6:$A$1135,J$27,①농산물raw!$B$6:$B$1135,$B30)</f>
        <v>30800</v>
      </c>
      <c r="K30" s="63">
        <f>SUM(L30:M30)</f>
        <v>276920</v>
      </c>
      <c r="L30" s="62">
        <f>SUMIFS(②유기농raw!$H$6:$H$180,②유기농raw!$A$6:$A$180,L$27,②유기농raw!$B$6:$B$180,$B30)</f>
        <v>25800</v>
      </c>
      <c r="M30" s="62">
        <f>SUMIFS(②유기농raw!$H$6:$H$180,②유기농raw!$A$6:$A$180,M$27,②유기농raw!$B$6:$B$180,$B30)</f>
        <v>251120</v>
      </c>
    </row>
    <row r="31" spans="2:13">
      <c r="B31" s="64" t="s">
        <v>24</v>
      </c>
      <c r="C31" s="60">
        <f>D31+K31</f>
        <v>54840387</v>
      </c>
      <c r="D31" s="61">
        <f>SUM(E31:J31)</f>
        <v>48511985</v>
      </c>
      <c r="E31" s="62">
        <f>SUMIFS(①농산물raw!$H$6:$H$1135,①농산물raw!$A$6:$A$1135,E$27,①농산물raw!$B$6:$B$1135,$B31)</f>
        <v>10887620</v>
      </c>
      <c r="F31" s="62">
        <f>SUMIFS(①농산물raw!$H$6:$H$1135,①농산물raw!$A$6:$A$1135,F$27,①농산물raw!$B$6:$B$1135,$B31)</f>
        <v>14714460</v>
      </c>
      <c r="G31" s="62">
        <f>SUMIFS(①농산물raw!$H$6:$H$1135,①농산물raw!$A$6:$A$1135,G$27,①농산물raw!$B$6:$B$1135,$B31)</f>
        <v>10736080</v>
      </c>
      <c r="H31" s="62">
        <f>SUMIFS(①농산물raw!$H$6:$H$1135,①농산물raw!$A$6:$A$1135,H$27,①농산물raw!$B$6:$B$1135,$B31)</f>
        <v>540327</v>
      </c>
      <c r="I31" s="62">
        <f>SUMIFS(①농산물raw!$H$6:$H$1135,①농산물raw!$A$6:$A$1135,I$27,①농산물raw!$B$6:$B$1135,$B31)</f>
        <v>7755460</v>
      </c>
      <c r="J31" s="62">
        <f>SUMIFS(①농산물raw!$H$6:$H$1135,①농산물raw!$A$6:$A$1135,J$27,①농산물raw!$B$6:$B$1135,$B31)</f>
        <v>3878038</v>
      </c>
      <c r="K31" s="63">
        <f>SUM(L31:M31)</f>
        <v>6328402</v>
      </c>
      <c r="L31" s="62">
        <f>SUMIFS(②유기농raw!$H$6:$H$180,②유기농raw!$A$6:$A$180,L$27,②유기농raw!$B$6:$B$180,$B31)</f>
        <v>1784210</v>
      </c>
      <c r="M31" s="62">
        <f>SUMIFS(②유기농raw!$H$6:$H$180,②유기농raw!$A$6:$A$180,M$27,②유기농raw!$B$6:$B$180,$B31)</f>
        <v>4544192</v>
      </c>
    </row>
    <row r="33" spans="2:13">
      <c r="B33" s="56" t="s">
        <v>25</v>
      </c>
    </row>
    <row r="34" spans="2:13">
      <c r="B34" s="80" t="s">
        <v>2</v>
      </c>
      <c r="C34" s="80" t="s">
        <v>3</v>
      </c>
      <c r="D34" s="79" t="s">
        <v>4</v>
      </c>
      <c r="E34" s="78"/>
      <c r="F34" s="78"/>
      <c r="G34" s="78"/>
      <c r="H34" s="78"/>
      <c r="I34" s="78"/>
      <c r="J34" s="78"/>
      <c r="K34" s="77" t="s">
        <v>5</v>
      </c>
      <c r="L34" s="78"/>
      <c r="M34" s="78"/>
    </row>
    <row r="35" spans="2:13">
      <c r="B35" s="81"/>
      <c r="C35" s="81"/>
      <c r="D35" s="58" t="s">
        <v>6</v>
      </c>
      <c r="E35" s="58" t="s">
        <v>7</v>
      </c>
      <c r="F35" s="58" t="s">
        <v>8</v>
      </c>
      <c r="G35" s="58" t="s">
        <v>9</v>
      </c>
      <c r="H35" s="58" t="s">
        <v>10</v>
      </c>
      <c r="I35" s="58" t="s">
        <v>11</v>
      </c>
      <c r="J35" s="58" t="s">
        <v>12</v>
      </c>
      <c r="K35" s="59" t="s">
        <v>6</v>
      </c>
      <c r="L35" s="59" t="s">
        <v>7</v>
      </c>
      <c r="M35" s="59" t="s">
        <v>12</v>
      </c>
    </row>
    <row r="36" spans="2:13">
      <c r="B36" s="57" t="s">
        <v>3</v>
      </c>
      <c r="C36" s="60">
        <f>D36+K36</f>
        <v>3582789323</v>
      </c>
      <c r="D36" s="61">
        <f>SUM(E36:J36)</f>
        <v>2936214433</v>
      </c>
      <c r="E36" s="62">
        <f t="shared" ref="E36:J36" si="1">SUM(E37:E39)</f>
        <v>1148483700</v>
      </c>
      <c r="F36" s="62">
        <f t="shared" si="1"/>
        <v>770420430</v>
      </c>
      <c r="G36" s="62">
        <f t="shared" si="1"/>
        <v>261077210</v>
      </c>
      <c r="H36" s="62">
        <f t="shared" si="1"/>
        <v>46371200</v>
      </c>
      <c r="I36" s="62">
        <f t="shared" si="1"/>
        <v>223305203</v>
      </c>
      <c r="J36" s="62">
        <f t="shared" si="1"/>
        <v>486556690</v>
      </c>
      <c r="K36" s="63">
        <f>SUM(L36:M36)</f>
        <v>646574890</v>
      </c>
      <c r="L36" s="62">
        <f>SUM(L37:L39)</f>
        <v>108372830</v>
      </c>
      <c r="M36" s="62">
        <f>SUM(M37:M39)</f>
        <v>538202060</v>
      </c>
    </row>
    <row r="37" spans="2:13">
      <c r="B37" s="64" t="s">
        <v>22</v>
      </c>
      <c r="C37" s="60">
        <f>D37+K37</f>
        <v>1978414600</v>
      </c>
      <c r="D37" s="61">
        <f>SUM(E37:J37)</f>
        <v>1450442240</v>
      </c>
      <c r="E37" s="62">
        <f>SUMIFS(①농산물raw!$G$6:$G$1135,①농산물raw!$A$6:$A$1135,E$35,①농산물raw!$B$6:$B$1135,$B37)</f>
        <v>563900600</v>
      </c>
      <c r="F37" s="62">
        <f>SUMIFS(①농산물raw!$G$6:$G$1135,①농산물raw!$A$6:$A$1135,F$35,①농산물raw!$B$6:$B$1135,$B37)</f>
        <v>401364480</v>
      </c>
      <c r="G37" s="62">
        <f>SUMIFS(①농산물raw!$G$6:$G$1135,①농산물raw!$A$6:$A$1135,G$35,①농산물raw!$B$6:$B$1135,$B37)</f>
        <v>86153550</v>
      </c>
      <c r="H37" s="62">
        <f>SUMIFS(①농산물raw!$G$6:$G$1135,①농산물raw!$A$6:$A$1135,H$35,①농산물raw!$B$6:$B$1135,$B37)</f>
        <v>42349200</v>
      </c>
      <c r="I37" s="62">
        <f>SUMIFS(①농산물raw!$G$6:$G$1135,①농산물raw!$A$6:$A$1135,I$35,①농산물raw!$B$6:$B$1135,$B37)</f>
        <v>41187820</v>
      </c>
      <c r="J37" s="62">
        <f>SUMIFS(①농산물raw!$G$6:$G$1135,①농산물raw!$A$6:$A$1135,J$35,①농산물raw!$B$6:$B$1135,$B37)</f>
        <v>315486590</v>
      </c>
      <c r="K37" s="63">
        <f>SUM(L37:M37)</f>
        <v>527972360</v>
      </c>
      <c r="L37" s="62">
        <f>SUMIFS(②유기농raw!$G$6:$G$180,②유기농raw!$A$6:$A$180,L$35,②유기농raw!$B$6:$B$180,$B37)</f>
        <v>92842530</v>
      </c>
      <c r="M37" s="62">
        <f>SUMIFS(②유기농raw!$G$6:$G$180,②유기농raw!$A$6:$A$180,M$35,②유기농raw!$B$6:$B$180,$B37)</f>
        <v>435129830</v>
      </c>
    </row>
    <row r="38" spans="2:13">
      <c r="B38" s="64" t="s">
        <v>23</v>
      </c>
      <c r="C38" s="60">
        <f>D38+K38</f>
        <v>301846920</v>
      </c>
      <c r="D38" s="61">
        <f>SUM(E38:J38)</f>
        <v>298266220</v>
      </c>
      <c r="E38" s="62">
        <f>SUMIFS(①농산물raw!$G$6:$G$1135,①농산물raw!$A$6:$A$1135,E$35,①농산물raw!$B$6:$B$1135,$B38)</f>
        <v>174615900</v>
      </c>
      <c r="F38" s="62">
        <f>SUMIFS(①농산물raw!$G$6:$G$1135,①농산물raw!$A$6:$A$1135,F$35,①농산물raw!$B$6:$B$1135,$B38)</f>
        <v>28591600</v>
      </c>
      <c r="G38" s="62">
        <f>SUMIFS(①농산물raw!$G$6:$G$1135,①농산물raw!$A$6:$A$1135,G$35,①농산물raw!$B$6:$B$1135,$B38)</f>
        <v>94872920</v>
      </c>
      <c r="H38" s="62">
        <f>SUMIFS(①농산물raw!$G$6:$G$1135,①농산물raw!$A$6:$A$1135,H$35,①농산물raw!$B$6:$B$1135,$B38)</f>
        <v>0</v>
      </c>
      <c r="I38" s="62">
        <f>SUMIFS(①농산물raw!$G$6:$G$1135,①농산물raw!$A$6:$A$1135,I$35,①농산물raw!$B$6:$B$1135,$B38)</f>
        <v>0</v>
      </c>
      <c r="J38" s="62">
        <f>SUMIFS(①농산물raw!$G$6:$G$1135,①농산물raw!$A$6:$A$1135,J$35,①농산물raw!$B$6:$B$1135,$B38)</f>
        <v>185800</v>
      </c>
      <c r="K38" s="63">
        <f>SUM(L38:M38)</f>
        <v>3580700</v>
      </c>
      <c r="L38" s="62">
        <f>SUMIFS(②유기농raw!$G$6:$G$180,②유기농raw!$A$6:$A$180,L$35,②유기농raw!$B$6:$B$180,$B38)</f>
        <v>132000</v>
      </c>
      <c r="M38" s="62">
        <f>SUMIFS(②유기농raw!$G$6:$G$180,②유기농raw!$A$6:$A$180,M$35,②유기농raw!$B$6:$B$180,$B38)</f>
        <v>3448700</v>
      </c>
    </row>
    <row r="39" spans="2:13">
      <c r="B39" s="64" t="s">
        <v>24</v>
      </c>
      <c r="C39" s="60">
        <f>D39+K39</f>
        <v>1302527803</v>
      </c>
      <c r="D39" s="61">
        <f>SUM(E39:J39)</f>
        <v>1187505973</v>
      </c>
      <c r="E39" s="62">
        <f>SUMIFS(①농산물raw!$G$6:$G$1135,①농산물raw!$A$6:$A$1135,E$35,①농산물raw!$B$6:$B$1135,$B39)</f>
        <v>409967200</v>
      </c>
      <c r="F39" s="62">
        <f>SUMIFS(①농산물raw!$G$6:$G$1135,①농산물raw!$A$6:$A$1135,F$35,①농산물raw!$B$6:$B$1135,$B39)</f>
        <v>340464350</v>
      </c>
      <c r="G39" s="62">
        <f>SUMIFS(①농산물raw!$G$6:$G$1135,①농산물raw!$A$6:$A$1135,G$35,①농산물raw!$B$6:$B$1135,$B39)</f>
        <v>80050740</v>
      </c>
      <c r="H39" s="62">
        <f>SUMIFS(①농산물raw!$G$6:$G$1135,①농산물raw!$A$6:$A$1135,H$35,①농산물raw!$B$6:$B$1135,$B39)</f>
        <v>4022000</v>
      </c>
      <c r="I39" s="62">
        <f>SUMIFS(①농산물raw!$G$6:$G$1135,①농산물raw!$A$6:$A$1135,I$35,①농산물raw!$B$6:$B$1135,$B39)</f>
        <v>182117383</v>
      </c>
      <c r="J39" s="62">
        <f>SUMIFS(①농산물raw!$G$6:$G$1135,①농산물raw!$A$6:$A$1135,J$35,①농산물raw!$B$6:$B$1135,$B39)</f>
        <v>170884300</v>
      </c>
      <c r="K39" s="63">
        <f>SUM(L39:M39)</f>
        <v>115021830</v>
      </c>
      <c r="L39" s="62">
        <f>SUMIFS(②유기농raw!$G$6:$G$180,②유기농raw!$A$6:$A$180,L$35,②유기농raw!$B$6:$B$180,$B39)</f>
        <v>15398300</v>
      </c>
      <c r="M39" s="62">
        <f>SUMIFS(②유기농raw!$G$6:$G$180,②유기농raw!$A$6:$A$180,M$35,②유기농raw!$B$6:$B$180,$B39)</f>
        <v>99623530</v>
      </c>
    </row>
    <row r="41" spans="2:13">
      <c r="B41" s="56" t="s">
        <v>26</v>
      </c>
    </row>
    <row r="42" spans="2:13">
      <c r="B42" s="80" t="s">
        <v>2</v>
      </c>
      <c r="C42" s="80" t="s">
        <v>3</v>
      </c>
      <c r="D42" s="79" t="s">
        <v>4</v>
      </c>
      <c r="E42" s="78"/>
      <c r="F42" s="78"/>
      <c r="G42" s="78"/>
      <c r="H42" s="78"/>
      <c r="I42" s="78"/>
      <c r="J42" s="78"/>
      <c r="K42" s="77" t="s">
        <v>5</v>
      </c>
      <c r="L42" s="78"/>
      <c r="M42" s="78"/>
    </row>
    <row r="43" spans="2:13">
      <c r="B43" s="81"/>
      <c r="C43" s="81"/>
      <c r="D43" s="58" t="s">
        <v>6</v>
      </c>
      <c r="E43" s="58" t="s">
        <v>7</v>
      </c>
      <c r="F43" s="58" t="s">
        <v>8</v>
      </c>
      <c r="G43" s="58" t="s">
        <v>9</v>
      </c>
      <c r="H43" s="58" t="s">
        <v>10</v>
      </c>
      <c r="I43" s="58" t="s">
        <v>11</v>
      </c>
      <c r="J43" s="58" t="s">
        <v>12</v>
      </c>
      <c r="K43" s="59" t="s">
        <v>6</v>
      </c>
      <c r="L43" s="59" t="s">
        <v>7</v>
      </c>
      <c r="M43" s="59" t="s">
        <v>12</v>
      </c>
    </row>
    <row r="44" spans="2:13">
      <c r="B44" s="57" t="s">
        <v>3</v>
      </c>
      <c r="C44" s="60">
        <f>D44+K44</f>
        <v>354210</v>
      </c>
      <c r="D44" s="61">
        <f>SUM(E44:J44)</f>
        <v>226559</v>
      </c>
      <c r="E44" s="62">
        <f t="shared" ref="E44:J44" si="2">SUM(E45:E47)</f>
        <v>39593</v>
      </c>
      <c r="F44" s="62">
        <f t="shared" si="2"/>
        <v>38640</v>
      </c>
      <c r="G44" s="62">
        <f t="shared" si="2"/>
        <v>11018</v>
      </c>
      <c r="H44" s="62">
        <f t="shared" si="2"/>
        <v>1296</v>
      </c>
      <c r="I44" s="62">
        <f t="shared" si="2"/>
        <v>14679</v>
      </c>
      <c r="J44" s="62">
        <f t="shared" si="2"/>
        <v>121333</v>
      </c>
      <c r="K44" s="63">
        <f>SUM(L44:M44)</f>
        <v>127651</v>
      </c>
      <c r="L44" s="62">
        <f>SUM(L45:L47)</f>
        <v>4478</v>
      </c>
      <c r="M44" s="62">
        <f>SUM(M45:M47)</f>
        <v>123173</v>
      </c>
    </row>
    <row r="45" spans="2:13">
      <c r="B45" s="64" t="s">
        <v>22</v>
      </c>
      <c r="C45" s="60">
        <f>D45+K45</f>
        <v>241523</v>
      </c>
      <c r="D45" s="61">
        <f>SUM(E45:J45)</f>
        <v>136969</v>
      </c>
      <c r="E45" s="62">
        <f>SUMIFS(①농산물raw!$F$6:$F$1135,①농산물raw!$A$6:$A$1135,E$43,①농산물raw!$B$6:$B$1135,$B45)</f>
        <v>18947</v>
      </c>
      <c r="F45" s="62">
        <f>SUMIFS(①농산물raw!$F$6:$F$1135,①농산물raw!$A$6:$A$1135,F$43,①농산물raw!$B$6:$B$1135,$B45)</f>
        <v>16003</v>
      </c>
      <c r="G45" s="62">
        <f>SUMIFS(①농산물raw!$F$6:$F$1135,①농산물raw!$A$6:$A$1135,G$43,①농산물raw!$B$6:$B$1135,$B45)</f>
        <v>5393</v>
      </c>
      <c r="H45" s="62">
        <f>SUMIFS(①농산물raw!$F$6:$F$1135,①농산물raw!$A$6:$A$1135,H$43,①농산물raw!$B$6:$B$1135,$B45)</f>
        <v>1136</v>
      </c>
      <c r="I45" s="62">
        <f>SUMIFS(①농산물raw!$F$6:$F$1135,①농산물raw!$A$6:$A$1135,I$43,①농산물raw!$B$6:$B$1135,$B45)</f>
        <v>2619</v>
      </c>
      <c r="J45" s="62">
        <f>SUMIFS(①농산물raw!$F$6:$F$1135,①농산물raw!$A$6:$A$1135,J$43,①농산물raw!$B$6:$B$1135,$B45)</f>
        <v>92871</v>
      </c>
      <c r="K45" s="63">
        <f>SUM(L45:M45)</f>
        <v>104554</v>
      </c>
      <c r="L45" s="62">
        <f>SUMIFS(②유기농raw!$F$6:$F$180,②유기농raw!$A$6:$A$180,L$43,②유기농raw!$B$6:$B$180,$B45)</f>
        <v>3893</v>
      </c>
      <c r="M45" s="62">
        <f>SUMIFS(②유기농raw!$F$6:$F$180,②유기농raw!$A$6:$A$180,M$43,②유기농raw!$B$6:$B$180,$B45)</f>
        <v>100661</v>
      </c>
    </row>
    <row r="46" spans="2:13">
      <c r="B46" s="64" t="s">
        <v>23</v>
      </c>
      <c r="C46" s="60">
        <f>D46+K46</f>
        <v>10687</v>
      </c>
      <c r="D46" s="61">
        <f>SUM(E46:J46)</f>
        <v>10084</v>
      </c>
      <c r="E46" s="62">
        <f>SUMIFS(①농산물raw!$F$6:$F$1135,①농산물raw!$A$6:$A$1135,E$43,①농산물raw!$B$6:$B$1135,$B46)</f>
        <v>5918</v>
      </c>
      <c r="F46" s="62">
        <f>SUMIFS(①농산물raw!$F$6:$F$1135,①농산물raw!$A$6:$A$1135,F$43,①농산물raw!$B$6:$B$1135,$B46)</f>
        <v>1102</v>
      </c>
      <c r="G46" s="62">
        <f>SUMIFS(①농산물raw!$F$6:$F$1135,①농산물raw!$A$6:$A$1135,G$43,①농산물raw!$B$6:$B$1135,$B46)</f>
        <v>3058</v>
      </c>
      <c r="H46" s="62">
        <f>SUMIFS(①농산물raw!$F$6:$F$1135,①농산물raw!$A$6:$A$1135,H$43,①농산물raw!$B$6:$B$1135,$B46)</f>
        <v>0</v>
      </c>
      <c r="I46" s="62">
        <f>SUMIFS(①농산물raw!$F$6:$F$1135,①농산물raw!$A$6:$A$1135,I$43,①농산물raw!$B$6:$B$1135,$B46)</f>
        <v>0</v>
      </c>
      <c r="J46" s="62">
        <f>SUMIFS(①농산물raw!$F$6:$F$1135,①농산물raw!$A$6:$A$1135,J$43,①농산물raw!$B$6:$B$1135,$B46)</f>
        <v>6</v>
      </c>
      <c r="K46" s="63">
        <f>SUM(L46:M46)</f>
        <v>603</v>
      </c>
      <c r="L46" s="62">
        <f>SUMIFS(②유기농raw!$F$6:$F$180,②유기농raw!$A$6:$A$180,L$43,②유기농raw!$B$6:$B$180,$B46)</f>
        <v>5</v>
      </c>
      <c r="M46" s="62">
        <f>SUMIFS(②유기농raw!$F$6:$F$180,②유기농raw!$A$6:$A$180,M$43,②유기농raw!$B$6:$B$180,$B46)</f>
        <v>598</v>
      </c>
    </row>
    <row r="47" spans="2:13">
      <c r="B47" s="64" t="s">
        <v>24</v>
      </c>
      <c r="C47" s="60">
        <f>D47+K47</f>
        <v>102000</v>
      </c>
      <c r="D47" s="61">
        <f>SUM(E47:J47)</f>
        <v>79506</v>
      </c>
      <c r="E47" s="62">
        <f>SUMIFS(①농산물raw!$F$6:$F$1135,①농산물raw!$A$6:$A$1135,E$43,①농산물raw!$B$6:$B$1135,$B47)</f>
        <v>14728</v>
      </c>
      <c r="F47" s="62">
        <f>SUMIFS(①농산물raw!$F$6:$F$1135,①농산물raw!$A$6:$A$1135,F$43,①농산물raw!$B$6:$B$1135,$B47)</f>
        <v>21535</v>
      </c>
      <c r="G47" s="62">
        <f>SUMIFS(①농산물raw!$F$6:$F$1135,①농산물raw!$A$6:$A$1135,G$43,①농산물raw!$B$6:$B$1135,$B47)</f>
        <v>2567</v>
      </c>
      <c r="H47" s="62">
        <f>SUMIFS(①농산물raw!$F$6:$F$1135,①농산물raw!$A$6:$A$1135,H$43,①농산물raw!$B$6:$B$1135,$B47)</f>
        <v>160</v>
      </c>
      <c r="I47" s="62">
        <f>SUMIFS(①농산물raw!$F$6:$F$1135,①농산물raw!$A$6:$A$1135,I$43,①농산물raw!$B$6:$B$1135,$B47)</f>
        <v>12060</v>
      </c>
      <c r="J47" s="62">
        <f>SUMIFS(①농산물raw!$F$6:$F$1135,①농산물raw!$A$6:$A$1135,J$43,①농산물raw!$B$6:$B$1135,$B47)</f>
        <v>28456</v>
      </c>
      <c r="K47" s="63">
        <f>SUM(L47:M47)</f>
        <v>22494</v>
      </c>
      <c r="L47" s="62">
        <f>SUMIFS(②유기농raw!$F$6:$F$180,②유기농raw!$A$6:$A$180,L$43,②유기농raw!$B$6:$B$180,$B47)</f>
        <v>580</v>
      </c>
      <c r="M47" s="62">
        <f>SUMIFS(②유기농raw!$F$6:$F$180,②유기농raw!$A$6:$A$180,M$43,②유기농raw!$B$6:$B$180,$B47)</f>
        <v>21914</v>
      </c>
    </row>
    <row r="50" spans="2:10" ht="19.2">
      <c r="B50" s="65" t="s">
        <v>27</v>
      </c>
      <c r="C50" s="67"/>
    </row>
    <row r="52" spans="2:10">
      <c r="B52" s="56" t="s">
        <v>28</v>
      </c>
    </row>
    <row r="53" spans="2:10">
      <c r="B53" s="82" t="s">
        <v>2</v>
      </c>
      <c r="C53" s="83"/>
      <c r="D53" s="57" t="s">
        <v>3</v>
      </c>
      <c r="E53" s="58" t="s">
        <v>7</v>
      </c>
      <c r="F53" s="58" t="s">
        <v>8</v>
      </c>
      <c r="G53" s="58" t="s">
        <v>9</v>
      </c>
      <c r="H53" s="58" t="s">
        <v>10</v>
      </c>
      <c r="I53" s="58" t="s">
        <v>11</v>
      </c>
      <c r="J53" s="58" t="s">
        <v>12</v>
      </c>
    </row>
    <row r="54" spans="2:10">
      <c r="B54" s="84" t="s">
        <v>2053</v>
      </c>
      <c r="C54" s="64" t="s">
        <v>13</v>
      </c>
      <c r="D54" s="60">
        <f>SUMPRODUCT(--(농산물업체!$C$3:$C$287&lt;&gt;""))</f>
        <v>285</v>
      </c>
      <c r="E54" s="62">
        <f>SUMPRODUCT(--(SUBSTITUTE(농산물업체!$E$3:$E$287,"롯데온","롯데ON")=E$53))</f>
        <v>136</v>
      </c>
      <c r="F54" s="62">
        <f>SUMPRODUCT(--(SUBSTITUTE(농산물업체!$E$3:$E$287,"롯데온","롯데ON")=F$53))</f>
        <v>53</v>
      </c>
      <c r="G54" s="62">
        <f>SUMPRODUCT(--(SUBSTITUTE(농산물업체!$E$3:$E$287,"롯데온","롯데ON")=G$53))</f>
        <v>47</v>
      </c>
      <c r="H54" s="62">
        <f>SUMPRODUCT(--(SUBSTITUTE(농산물업체!$E$3:$E$287,"롯데온","롯데ON")=H$53))</f>
        <v>24</v>
      </c>
      <c r="I54" s="62">
        <f>SUMPRODUCT(--(SUBSTITUTE(농산물업체!$E$3:$E$287,"롯데온","롯데ON")=I$53))</f>
        <v>9</v>
      </c>
      <c r="J54" s="62">
        <f>SUMPRODUCT(--(SUBSTITUTE(농산물업체!$E$3:$E$287,"롯데온","롯데ON")=J$53))</f>
        <v>16</v>
      </c>
    </row>
    <row r="55" spans="2:10">
      <c r="B55" s="85"/>
      <c r="C55" s="64" t="s">
        <v>14</v>
      </c>
      <c r="D55" s="60">
        <f>SUM(E55:J55)</f>
        <v>1130</v>
      </c>
      <c r="E55" s="62">
        <f>COUNTIF(①농산물raw!$A$6:$A$1135,E$53)</f>
        <v>388</v>
      </c>
      <c r="F55" s="62">
        <f>COUNTIF(①농산물raw!$A$6:$A$1135,F$53)</f>
        <v>258</v>
      </c>
      <c r="G55" s="62">
        <f>COUNTIF(①농산물raw!$A$6:$A$1135,G$53)</f>
        <v>313</v>
      </c>
      <c r="H55" s="62">
        <f>COUNTIF(①농산물raw!$A$6:$A$1135,H$53)</f>
        <v>55</v>
      </c>
      <c r="I55" s="62">
        <f>COUNTIF(①농산물raw!$A$6:$A$1135,I$53)</f>
        <v>29</v>
      </c>
      <c r="J55" s="62">
        <f>COUNTIF(①농산물raw!$A$6:$A$1135,J$53)</f>
        <v>87</v>
      </c>
    </row>
    <row r="57" spans="2:10">
      <c r="B57" s="56" t="s">
        <v>15</v>
      </c>
    </row>
    <row r="58" spans="2:10">
      <c r="B58" s="82" t="s">
        <v>2054</v>
      </c>
      <c r="C58" s="83"/>
      <c r="D58" s="57" t="s">
        <v>3</v>
      </c>
      <c r="E58" s="58" t="s">
        <v>7</v>
      </c>
      <c r="F58" s="58" t="s">
        <v>8</v>
      </c>
      <c r="G58" s="58" t="s">
        <v>9</v>
      </c>
      <c r="H58" s="58" t="s">
        <v>10</v>
      </c>
      <c r="I58" s="58" t="s">
        <v>11</v>
      </c>
      <c r="J58" s="58" t="s">
        <v>12</v>
      </c>
    </row>
    <row r="59" spans="2:10">
      <c r="B59" s="82" t="s">
        <v>3</v>
      </c>
      <c r="C59" s="83"/>
      <c r="D59" s="60">
        <f>SUM(E59:J59)</f>
        <v>163578655</v>
      </c>
      <c r="E59" s="62">
        <f t="shared" ref="E59:J59" si="3">E60</f>
        <v>50215680</v>
      </c>
      <c r="F59" s="62">
        <f t="shared" si="3"/>
        <v>46392390</v>
      </c>
      <c r="G59" s="62">
        <f t="shared" si="3"/>
        <v>40018660</v>
      </c>
      <c r="H59" s="62">
        <f t="shared" si="3"/>
        <v>7101680</v>
      </c>
      <c r="I59" s="62">
        <f t="shared" si="3"/>
        <v>11487420</v>
      </c>
      <c r="J59" s="62">
        <f t="shared" si="3"/>
        <v>8362825</v>
      </c>
    </row>
    <row r="60" spans="2:10">
      <c r="B60" s="86" t="s">
        <v>29</v>
      </c>
      <c r="C60" s="87"/>
      <c r="D60" s="60">
        <f>SUM(E60:J60)</f>
        <v>163578655</v>
      </c>
      <c r="E60" s="62">
        <f>SUMIF(①농산물raw!$A$6:$A$1135,E$58,①농산물raw!$H$6:$H$1135)</f>
        <v>50215680</v>
      </c>
      <c r="F60" s="62">
        <f>SUMIF(①농산물raw!$A$6:$A$1135,F$58,①농산물raw!$H$6:$H$1135)</f>
        <v>46392390</v>
      </c>
      <c r="G60" s="62">
        <f>SUMIF(①농산물raw!$A$6:$A$1135,G$58,①농산물raw!$H$6:$H$1135)</f>
        <v>40018660</v>
      </c>
      <c r="H60" s="62">
        <f>SUMIF(①농산물raw!$A$6:$A$1135,H$58,①농산물raw!$H$6:$H$1135)</f>
        <v>7101680</v>
      </c>
      <c r="I60" s="62">
        <f>SUMIF(①농산물raw!$A$6:$A$1135,I$58,①농산물raw!$H$6:$H$1135)</f>
        <v>11487420</v>
      </c>
      <c r="J60" s="62">
        <f>SUMIF(①농산물raw!$A$6:$A$1135,J$58,①농산물raw!$H$6:$H$1135)</f>
        <v>8362825</v>
      </c>
    </row>
    <row r="61" spans="2:10">
      <c r="B61" s="86" t="s">
        <v>30</v>
      </c>
      <c r="C61" s="87"/>
      <c r="D61" s="60">
        <f>SUM(E61:J61)</f>
        <v>640000000</v>
      </c>
      <c r="E61" s="62">
        <v>240000000</v>
      </c>
      <c r="F61" s="62">
        <v>160000000</v>
      </c>
      <c r="G61" s="62">
        <v>110000000</v>
      </c>
      <c r="H61" s="62">
        <v>60000000</v>
      </c>
      <c r="I61" s="62">
        <v>30000000</v>
      </c>
      <c r="J61" s="62">
        <v>40000000</v>
      </c>
    </row>
    <row r="62" spans="2:10">
      <c r="B62" s="86" t="s">
        <v>31</v>
      </c>
      <c r="C62" s="87"/>
      <c r="D62" s="60">
        <f>SUM(E62:J62)</f>
        <v>476421345</v>
      </c>
      <c r="E62" s="62">
        <f t="shared" ref="E62:J62" si="4">E61-E59</f>
        <v>189784320</v>
      </c>
      <c r="F62" s="62">
        <f t="shared" si="4"/>
        <v>113607610</v>
      </c>
      <c r="G62" s="62">
        <f t="shared" si="4"/>
        <v>69981340</v>
      </c>
      <c r="H62" s="62">
        <f t="shared" si="4"/>
        <v>52898320</v>
      </c>
      <c r="I62" s="62">
        <f t="shared" si="4"/>
        <v>18512580</v>
      </c>
      <c r="J62" s="62">
        <f t="shared" si="4"/>
        <v>31637175</v>
      </c>
    </row>
    <row r="64" spans="2:10">
      <c r="B64" s="56" t="s">
        <v>17</v>
      </c>
    </row>
    <row r="65" spans="2:10">
      <c r="B65" s="82" t="s">
        <v>2</v>
      </c>
      <c r="C65" s="83"/>
      <c r="D65" s="57" t="s">
        <v>3</v>
      </c>
      <c r="E65" s="58" t="s">
        <v>7</v>
      </c>
      <c r="F65" s="58" t="s">
        <v>8</v>
      </c>
      <c r="G65" s="58" t="s">
        <v>9</v>
      </c>
      <c r="H65" s="58" t="s">
        <v>10</v>
      </c>
      <c r="I65" s="58" t="s">
        <v>11</v>
      </c>
      <c r="J65" s="58" t="s">
        <v>12</v>
      </c>
    </row>
    <row r="66" spans="2:10">
      <c r="B66" s="82" t="s">
        <v>3</v>
      </c>
      <c r="C66" s="83"/>
      <c r="D66" s="60">
        <f>SUM(E66:J66)</f>
        <v>2936214433</v>
      </c>
      <c r="E66" s="62">
        <f t="shared" ref="E66:J66" si="5">E67</f>
        <v>1148483700</v>
      </c>
      <c r="F66" s="62">
        <f t="shared" si="5"/>
        <v>770420430</v>
      </c>
      <c r="G66" s="62">
        <f t="shared" si="5"/>
        <v>261077210</v>
      </c>
      <c r="H66" s="62">
        <f t="shared" si="5"/>
        <v>46371200</v>
      </c>
      <c r="I66" s="62">
        <f t="shared" si="5"/>
        <v>223305203</v>
      </c>
      <c r="J66" s="62">
        <f t="shared" si="5"/>
        <v>486556690</v>
      </c>
    </row>
    <row r="67" spans="2:10">
      <c r="B67" s="86" t="s">
        <v>29</v>
      </c>
      <c r="C67" s="87"/>
      <c r="D67" s="60">
        <f>SUM(E67:J67)</f>
        <v>2936214433</v>
      </c>
      <c r="E67" s="62">
        <f>SUMIF(①농산물raw!$A$6:$A$1135,E$65,①농산물raw!$G$6:$G$1135)</f>
        <v>1148483700</v>
      </c>
      <c r="F67" s="62">
        <f>SUMIF(①농산물raw!$A$6:$A$1135,F$65,①농산물raw!$G$6:$G$1135)</f>
        <v>770420430</v>
      </c>
      <c r="G67" s="62">
        <f>SUMIF(①농산물raw!$A$6:$A$1135,G$65,①농산물raw!$G$6:$G$1135)</f>
        <v>261077210</v>
      </c>
      <c r="H67" s="62">
        <f>SUMIF(①농산물raw!$A$6:$A$1135,H$65,①농산물raw!$G$6:$G$1135)</f>
        <v>46371200</v>
      </c>
      <c r="I67" s="62">
        <f>SUMIF(①농산물raw!$A$6:$A$1135,I$65,①농산물raw!$G$6:$G$1135)</f>
        <v>223305203</v>
      </c>
      <c r="J67" s="62">
        <f>SUMIF(①농산물raw!$A$6:$A$1135,J$65,①농산물raw!$G$6:$G$1135)</f>
        <v>486556690</v>
      </c>
    </row>
    <row r="69" spans="2:10">
      <c r="B69" s="56" t="s">
        <v>19</v>
      </c>
    </row>
    <row r="70" spans="2:10">
      <c r="B70" s="82" t="s">
        <v>2</v>
      </c>
      <c r="C70" s="83"/>
      <c r="D70" s="57" t="s">
        <v>3</v>
      </c>
      <c r="E70" s="58" t="s">
        <v>7</v>
      </c>
      <c r="F70" s="58" t="s">
        <v>8</v>
      </c>
      <c r="G70" s="58" t="s">
        <v>9</v>
      </c>
      <c r="H70" s="58" t="s">
        <v>10</v>
      </c>
      <c r="I70" s="58" t="s">
        <v>11</v>
      </c>
      <c r="J70" s="58" t="s">
        <v>12</v>
      </c>
    </row>
    <row r="71" spans="2:10">
      <c r="B71" s="82" t="s">
        <v>3</v>
      </c>
      <c r="C71" s="83"/>
      <c r="D71" s="60">
        <f>SUM(E71:J71)</f>
        <v>226559</v>
      </c>
      <c r="E71" s="62">
        <f t="shared" ref="E71:J71" si="6">E72</f>
        <v>39593</v>
      </c>
      <c r="F71" s="62">
        <f t="shared" si="6"/>
        <v>38640</v>
      </c>
      <c r="G71" s="62">
        <f t="shared" si="6"/>
        <v>11018</v>
      </c>
      <c r="H71" s="62">
        <f t="shared" si="6"/>
        <v>1296</v>
      </c>
      <c r="I71" s="62">
        <f t="shared" si="6"/>
        <v>14679</v>
      </c>
      <c r="J71" s="62">
        <f t="shared" si="6"/>
        <v>121333</v>
      </c>
    </row>
    <row r="72" spans="2:10">
      <c r="B72" s="86" t="s">
        <v>29</v>
      </c>
      <c r="C72" s="87"/>
      <c r="D72" s="60">
        <f>SUM(E72:J72)</f>
        <v>226559</v>
      </c>
      <c r="E72" s="62">
        <f>SUMIF(①농산물raw!$A$6:$A$1135,E$70,①농산물raw!$F$6:$F$1135)</f>
        <v>39593</v>
      </c>
      <c r="F72" s="62">
        <f>SUMIF(①농산물raw!$A$6:$A$1135,F$70,①농산물raw!$F$6:$F$1135)</f>
        <v>38640</v>
      </c>
      <c r="G72" s="62">
        <f>SUMIF(①농산물raw!$A$6:$A$1135,G$70,①농산물raw!$F$6:$F$1135)</f>
        <v>11018</v>
      </c>
      <c r="H72" s="62">
        <f>SUMIF(①농산물raw!$A$6:$A$1135,H$70,①농산물raw!$F$6:$F$1135)</f>
        <v>1296</v>
      </c>
      <c r="I72" s="62">
        <f>SUMIF(①농산물raw!$A$6:$A$1135,I$70,①농산물raw!$F$6:$F$1135)</f>
        <v>14679</v>
      </c>
      <c r="J72" s="62">
        <f>SUMIF(①농산물raw!$A$6:$A$1135,J$70,①농산물raw!$F$6:$F$1135)</f>
        <v>121333</v>
      </c>
    </row>
    <row r="74" spans="2:10">
      <c r="B74" s="56" t="s">
        <v>21</v>
      </c>
    </row>
    <row r="75" spans="2:10">
      <c r="B75" s="57" t="s">
        <v>32</v>
      </c>
      <c r="C75" s="57" t="s">
        <v>2</v>
      </c>
      <c r="D75" s="57" t="s">
        <v>3</v>
      </c>
      <c r="E75" s="58" t="s">
        <v>7</v>
      </c>
      <c r="F75" s="58" t="s">
        <v>8</v>
      </c>
      <c r="G75" s="58" t="s">
        <v>9</v>
      </c>
      <c r="H75" s="58" t="s">
        <v>10</v>
      </c>
      <c r="I75" s="58" t="s">
        <v>11</v>
      </c>
      <c r="J75" s="58" t="s">
        <v>12</v>
      </c>
    </row>
    <row r="76" spans="2:10">
      <c r="B76" s="82" t="s">
        <v>3</v>
      </c>
      <c r="C76" s="83"/>
      <c r="D76" s="60">
        <f t="shared" ref="D76:D82" si="7">SUM(E76:J76)</f>
        <v>163578655</v>
      </c>
      <c r="E76" s="62">
        <f t="shared" ref="E76:J76" si="8">E77+E79+E81</f>
        <v>50215680</v>
      </c>
      <c r="F76" s="62">
        <f t="shared" si="8"/>
        <v>46392390</v>
      </c>
      <c r="G76" s="62">
        <f t="shared" si="8"/>
        <v>40018660</v>
      </c>
      <c r="H76" s="62">
        <f t="shared" si="8"/>
        <v>7101680</v>
      </c>
      <c r="I76" s="62">
        <f t="shared" si="8"/>
        <v>11487420</v>
      </c>
      <c r="J76" s="62">
        <f t="shared" si="8"/>
        <v>8362825</v>
      </c>
    </row>
    <row r="77" spans="2:10">
      <c r="B77" s="84" t="s">
        <v>22</v>
      </c>
      <c r="C77" s="64" t="s">
        <v>6</v>
      </c>
      <c r="D77" s="60">
        <f t="shared" si="7"/>
        <v>88236310</v>
      </c>
      <c r="E77" s="62">
        <f t="shared" ref="E77:J77" si="9">E78</f>
        <v>27521390</v>
      </c>
      <c r="F77" s="62">
        <f t="shared" si="9"/>
        <v>29495180</v>
      </c>
      <c r="G77" s="62">
        <f t="shared" si="9"/>
        <v>16472440</v>
      </c>
      <c r="H77" s="62">
        <f t="shared" si="9"/>
        <v>6561353</v>
      </c>
      <c r="I77" s="62">
        <f t="shared" si="9"/>
        <v>3731960</v>
      </c>
      <c r="J77" s="62">
        <f t="shared" si="9"/>
        <v>4453987</v>
      </c>
    </row>
    <row r="78" spans="2:10">
      <c r="B78" s="85"/>
      <c r="C78" s="64" t="s">
        <v>29</v>
      </c>
      <c r="D78" s="60">
        <f t="shared" si="7"/>
        <v>88236310</v>
      </c>
      <c r="E78" s="62">
        <f>SUMIFS(①농산물raw!$H$6:$H$1135,①농산물raw!$A$6:$A$1135,E$75,①농산물raw!$B$6:$B$1135,$B77)</f>
        <v>27521390</v>
      </c>
      <c r="F78" s="62">
        <f>SUMIFS(①농산물raw!$H$6:$H$1135,①농산물raw!$A$6:$A$1135,F$75,①농산물raw!$B$6:$B$1135,$B77)</f>
        <v>29495180</v>
      </c>
      <c r="G78" s="62">
        <f>SUMIFS(①농산물raw!$H$6:$H$1135,①농산물raw!$A$6:$A$1135,G$75,①농산물raw!$B$6:$B$1135,$B77)</f>
        <v>16472440</v>
      </c>
      <c r="H78" s="62">
        <f>SUMIFS(①농산물raw!$H$6:$H$1135,①농산물raw!$A$6:$A$1135,H$75,①농산물raw!$B$6:$B$1135,$B77)</f>
        <v>6561353</v>
      </c>
      <c r="I78" s="62">
        <f>SUMIFS(①농산물raw!$H$6:$H$1135,①농산물raw!$A$6:$A$1135,I$75,①농산물raw!$B$6:$B$1135,$B77)</f>
        <v>3731960</v>
      </c>
      <c r="J78" s="62">
        <f>SUMIFS(①농산물raw!$H$6:$H$1135,①농산물raw!$A$6:$A$1135,J$75,①농산물raw!$B$6:$B$1135,$B77)</f>
        <v>4453987</v>
      </c>
    </row>
    <row r="79" spans="2:10">
      <c r="B79" s="84" t="s">
        <v>23</v>
      </c>
      <c r="C79" s="64" t="s">
        <v>6</v>
      </c>
      <c r="D79" s="60">
        <f t="shared" si="7"/>
        <v>26830360</v>
      </c>
      <c r="E79" s="62">
        <f t="shared" ref="E79:J79" si="10">E80</f>
        <v>11806670</v>
      </c>
      <c r="F79" s="62">
        <f t="shared" si="10"/>
        <v>2182750</v>
      </c>
      <c r="G79" s="62">
        <f t="shared" si="10"/>
        <v>12810140</v>
      </c>
      <c r="H79" s="62">
        <f t="shared" si="10"/>
        <v>0</v>
      </c>
      <c r="I79" s="62">
        <f t="shared" si="10"/>
        <v>0</v>
      </c>
      <c r="J79" s="62">
        <f t="shared" si="10"/>
        <v>30800</v>
      </c>
    </row>
    <row r="80" spans="2:10">
      <c r="B80" s="85"/>
      <c r="C80" s="64" t="s">
        <v>29</v>
      </c>
      <c r="D80" s="60">
        <f t="shared" si="7"/>
        <v>26830360</v>
      </c>
      <c r="E80" s="62">
        <f>SUMIFS(①농산물raw!$H$6:$H$1135,①농산물raw!$A$6:$A$1135,E$75,①농산물raw!$B$6:$B$1135,$B79)</f>
        <v>11806670</v>
      </c>
      <c r="F80" s="62">
        <f>SUMIFS(①농산물raw!$H$6:$H$1135,①농산물raw!$A$6:$A$1135,F$75,①농산물raw!$B$6:$B$1135,$B79)</f>
        <v>2182750</v>
      </c>
      <c r="G80" s="62">
        <f>SUMIFS(①농산물raw!$H$6:$H$1135,①농산물raw!$A$6:$A$1135,G$75,①농산물raw!$B$6:$B$1135,$B79)</f>
        <v>12810140</v>
      </c>
      <c r="H80" s="62">
        <f>SUMIFS(①농산물raw!$H$6:$H$1135,①농산물raw!$A$6:$A$1135,H$75,①농산물raw!$B$6:$B$1135,$B79)</f>
        <v>0</v>
      </c>
      <c r="I80" s="62">
        <f>SUMIFS(①농산물raw!$H$6:$H$1135,①농산물raw!$A$6:$A$1135,I$75,①농산물raw!$B$6:$B$1135,$B79)</f>
        <v>0</v>
      </c>
      <c r="J80" s="62">
        <f>SUMIFS(①농산물raw!$H$6:$H$1135,①농산물raw!$A$6:$A$1135,J$75,①농산물raw!$B$6:$B$1135,$B79)</f>
        <v>30800</v>
      </c>
    </row>
    <row r="81" spans="2:10">
      <c r="B81" s="84" t="s">
        <v>24</v>
      </c>
      <c r="C81" s="64" t="s">
        <v>6</v>
      </c>
      <c r="D81" s="60">
        <f t="shared" si="7"/>
        <v>48511985</v>
      </c>
      <c r="E81" s="62">
        <f t="shared" ref="E81:J81" si="11">E82</f>
        <v>10887620</v>
      </c>
      <c r="F81" s="62">
        <f t="shared" si="11"/>
        <v>14714460</v>
      </c>
      <c r="G81" s="62">
        <f t="shared" si="11"/>
        <v>10736080</v>
      </c>
      <c r="H81" s="62">
        <f t="shared" si="11"/>
        <v>540327</v>
      </c>
      <c r="I81" s="62">
        <f t="shared" si="11"/>
        <v>7755460</v>
      </c>
      <c r="J81" s="62">
        <f t="shared" si="11"/>
        <v>3878038</v>
      </c>
    </row>
    <row r="82" spans="2:10">
      <c r="B82" s="85"/>
      <c r="C82" s="64" t="s">
        <v>29</v>
      </c>
      <c r="D82" s="60">
        <f t="shared" si="7"/>
        <v>48511985</v>
      </c>
      <c r="E82" s="62">
        <f>SUMIFS(①농산물raw!$H$6:$H$1135,①농산물raw!$A$6:$A$1135,E$75,①농산물raw!$B$6:$B$1135,$B81)</f>
        <v>10887620</v>
      </c>
      <c r="F82" s="62">
        <f>SUMIFS(①농산물raw!$H$6:$H$1135,①농산물raw!$A$6:$A$1135,F$75,①농산물raw!$B$6:$B$1135,$B81)</f>
        <v>14714460</v>
      </c>
      <c r="G82" s="62">
        <f>SUMIFS(①농산물raw!$H$6:$H$1135,①농산물raw!$A$6:$A$1135,G$75,①농산물raw!$B$6:$B$1135,$B81)</f>
        <v>10736080</v>
      </c>
      <c r="H82" s="62">
        <f>SUMIFS(①농산물raw!$H$6:$H$1135,①농산물raw!$A$6:$A$1135,H$75,①농산물raw!$B$6:$B$1135,$B81)</f>
        <v>540327</v>
      </c>
      <c r="I82" s="62">
        <f>SUMIFS(①농산물raw!$H$6:$H$1135,①농산물raw!$A$6:$A$1135,I$75,①농산물raw!$B$6:$B$1135,$B81)</f>
        <v>7755460</v>
      </c>
      <c r="J82" s="62">
        <f>SUMIFS(①농산물raw!$H$6:$H$1135,①농산물raw!$A$6:$A$1135,J$75,①농산물raw!$B$6:$B$1135,$B81)</f>
        <v>3878038</v>
      </c>
    </row>
    <row r="84" spans="2:10">
      <c r="B84" s="56" t="s">
        <v>25</v>
      </c>
    </row>
    <row r="85" spans="2:10">
      <c r="B85" s="57" t="s">
        <v>32</v>
      </c>
      <c r="C85" s="80" t="s">
        <v>2</v>
      </c>
      <c r="D85" s="57" t="s">
        <v>3</v>
      </c>
      <c r="E85" s="58" t="s">
        <v>7</v>
      </c>
      <c r="F85" s="58" t="s">
        <v>8</v>
      </c>
      <c r="G85" s="58" t="s">
        <v>9</v>
      </c>
      <c r="H85" s="58" t="s">
        <v>10</v>
      </c>
      <c r="I85" s="58" t="s">
        <v>11</v>
      </c>
      <c r="J85" s="58" t="s">
        <v>12</v>
      </c>
    </row>
    <row r="86" spans="2:10">
      <c r="B86" s="57" t="s">
        <v>3</v>
      </c>
      <c r="C86" s="81"/>
      <c r="D86" s="60">
        <f t="shared" ref="D86:D92" si="12">SUM(E86:J86)</f>
        <v>2936214433</v>
      </c>
      <c r="E86" s="62">
        <f t="shared" ref="E86:J86" si="13">E87+E89+E91</f>
        <v>1148483700</v>
      </c>
      <c r="F86" s="62">
        <f t="shared" si="13"/>
        <v>770420430</v>
      </c>
      <c r="G86" s="62">
        <f t="shared" si="13"/>
        <v>261077210</v>
      </c>
      <c r="H86" s="62">
        <f t="shared" si="13"/>
        <v>46371200</v>
      </c>
      <c r="I86" s="62">
        <f t="shared" si="13"/>
        <v>223305203</v>
      </c>
      <c r="J86" s="62">
        <f t="shared" si="13"/>
        <v>486556690</v>
      </c>
    </row>
    <row r="87" spans="2:10">
      <c r="B87" s="84" t="s">
        <v>22</v>
      </c>
      <c r="C87" s="64" t="s">
        <v>6</v>
      </c>
      <c r="D87" s="60">
        <f t="shared" si="12"/>
        <v>1450442240</v>
      </c>
      <c r="E87" s="62">
        <f t="shared" ref="E87:J87" si="14">E88</f>
        <v>563900600</v>
      </c>
      <c r="F87" s="62">
        <f t="shared" si="14"/>
        <v>401364480</v>
      </c>
      <c r="G87" s="62">
        <f t="shared" si="14"/>
        <v>86153550</v>
      </c>
      <c r="H87" s="62">
        <f t="shared" si="14"/>
        <v>42349200</v>
      </c>
      <c r="I87" s="62">
        <f t="shared" si="14"/>
        <v>41187820</v>
      </c>
      <c r="J87" s="62">
        <f t="shared" si="14"/>
        <v>315486590</v>
      </c>
    </row>
    <row r="88" spans="2:10">
      <c r="B88" s="85"/>
      <c r="C88" s="64" t="s">
        <v>29</v>
      </c>
      <c r="D88" s="60">
        <f t="shared" si="12"/>
        <v>1450442240</v>
      </c>
      <c r="E88" s="62">
        <f>SUMIFS(①농산물raw!$G$6:$G$1135,①농산물raw!$A$6:$A$1135,E$85,①농산물raw!$B$6:$B$1135,$B87)</f>
        <v>563900600</v>
      </c>
      <c r="F88" s="62">
        <f>SUMIFS(①농산물raw!$G$6:$G$1135,①농산물raw!$A$6:$A$1135,F$85,①농산물raw!$B$6:$B$1135,$B87)</f>
        <v>401364480</v>
      </c>
      <c r="G88" s="62">
        <f>SUMIFS(①농산물raw!$G$6:$G$1135,①농산물raw!$A$6:$A$1135,G$85,①농산물raw!$B$6:$B$1135,$B87)</f>
        <v>86153550</v>
      </c>
      <c r="H88" s="62">
        <f>SUMIFS(①농산물raw!$G$6:$G$1135,①농산물raw!$A$6:$A$1135,H$85,①농산물raw!$B$6:$B$1135,$B87)</f>
        <v>42349200</v>
      </c>
      <c r="I88" s="62">
        <f>SUMIFS(①농산물raw!$G$6:$G$1135,①농산물raw!$A$6:$A$1135,I$85,①농산물raw!$B$6:$B$1135,$B87)</f>
        <v>41187820</v>
      </c>
      <c r="J88" s="62">
        <f>SUMIFS(①농산물raw!$G$6:$G$1135,①농산물raw!$A$6:$A$1135,J$85,①농산물raw!$B$6:$B$1135,$B87)</f>
        <v>315486590</v>
      </c>
    </row>
    <row r="89" spans="2:10">
      <c r="B89" s="84" t="s">
        <v>23</v>
      </c>
      <c r="C89" s="64" t="s">
        <v>6</v>
      </c>
      <c r="D89" s="60">
        <f t="shared" si="12"/>
        <v>298266220</v>
      </c>
      <c r="E89" s="62">
        <f t="shared" ref="E89:J89" si="15">E90</f>
        <v>174615900</v>
      </c>
      <c r="F89" s="62">
        <f t="shared" si="15"/>
        <v>28591600</v>
      </c>
      <c r="G89" s="62">
        <f t="shared" si="15"/>
        <v>94872920</v>
      </c>
      <c r="H89" s="62">
        <f t="shared" si="15"/>
        <v>0</v>
      </c>
      <c r="I89" s="62">
        <f t="shared" si="15"/>
        <v>0</v>
      </c>
      <c r="J89" s="62">
        <f t="shared" si="15"/>
        <v>185800</v>
      </c>
    </row>
    <row r="90" spans="2:10">
      <c r="B90" s="85"/>
      <c r="C90" s="64" t="s">
        <v>29</v>
      </c>
      <c r="D90" s="60">
        <f t="shared" si="12"/>
        <v>298266220</v>
      </c>
      <c r="E90" s="62">
        <f>SUMIFS(①농산물raw!$G$6:$G$1135,①농산물raw!$A$6:$A$1135,E$85,①농산물raw!$B$6:$B$1135,$B89)</f>
        <v>174615900</v>
      </c>
      <c r="F90" s="62">
        <f>SUMIFS(①농산물raw!$G$6:$G$1135,①농산물raw!$A$6:$A$1135,F$85,①농산물raw!$B$6:$B$1135,$B89)</f>
        <v>28591600</v>
      </c>
      <c r="G90" s="62">
        <f>SUMIFS(①농산물raw!$G$6:$G$1135,①농산물raw!$A$6:$A$1135,G$85,①농산물raw!$B$6:$B$1135,$B89)</f>
        <v>94872920</v>
      </c>
      <c r="H90" s="62">
        <f>SUMIFS(①농산물raw!$G$6:$G$1135,①농산물raw!$A$6:$A$1135,H$85,①농산물raw!$B$6:$B$1135,$B89)</f>
        <v>0</v>
      </c>
      <c r="I90" s="62">
        <f>SUMIFS(①농산물raw!$G$6:$G$1135,①농산물raw!$A$6:$A$1135,I$85,①농산물raw!$B$6:$B$1135,$B89)</f>
        <v>0</v>
      </c>
      <c r="J90" s="62">
        <f>SUMIFS(①농산물raw!$G$6:$G$1135,①농산물raw!$A$6:$A$1135,J$85,①농산물raw!$B$6:$B$1135,$B89)</f>
        <v>185800</v>
      </c>
    </row>
    <row r="91" spans="2:10">
      <c r="B91" s="84" t="s">
        <v>24</v>
      </c>
      <c r="C91" s="64" t="s">
        <v>6</v>
      </c>
      <c r="D91" s="60">
        <f t="shared" si="12"/>
        <v>1187505973</v>
      </c>
      <c r="E91" s="62">
        <f t="shared" ref="E91:J91" si="16">E92</f>
        <v>409967200</v>
      </c>
      <c r="F91" s="62">
        <f t="shared" si="16"/>
        <v>340464350</v>
      </c>
      <c r="G91" s="62">
        <f t="shared" si="16"/>
        <v>80050740</v>
      </c>
      <c r="H91" s="62">
        <f t="shared" si="16"/>
        <v>4022000</v>
      </c>
      <c r="I91" s="62">
        <f t="shared" si="16"/>
        <v>182117383</v>
      </c>
      <c r="J91" s="62">
        <f t="shared" si="16"/>
        <v>170884300</v>
      </c>
    </row>
    <row r="92" spans="2:10">
      <c r="B92" s="85"/>
      <c r="C92" s="64" t="s">
        <v>29</v>
      </c>
      <c r="D92" s="60">
        <f t="shared" si="12"/>
        <v>1187505973</v>
      </c>
      <c r="E92" s="62">
        <f>SUMIFS(①농산물raw!$G$6:$G$1135,①농산물raw!$A$6:$A$1135,E$85,①농산물raw!$B$6:$B$1135,$B91)</f>
        <v>409967200</v>
      </c>
      <c r="F92" s="62">
        <f>SUMIFS(①농산물raw!$G$6:$G$1135,①농산물raw!$A$6:$A$1135,F$85,①농산물raw!$B$6:$B$1135,$B91)</f>
        <v>340464350</v>
      </c>
      <c r="G92" s="62">
        <f>SUMIFS(①농산물raw!$G$6:$G$1135,①농산물raw!$A$6:$A$1135,G$85,①농산물raw!$B$6:$B$1135,$B91)</f>
        <v>80050740</v>
      </c>
      <c r="H92" s="62">
        <f>SUMIFS(①농산물raw!$G$6:$G$1135,①농산물raw!$A$6:$A$1135,H$85,①농산물raw!$B$6:$B$1135,$B91)</f>
        <v>4022000</v>
      </c>
      <c r="I92" s="62">
        <f>SUMIFS(①농산물raw!$G$6:$G$1135,①농산물raw!$A$6:$A$1135,I$85,①농산물raw!$B$6:$B$1135,$B91)</f>
        <v>182117383</v>
      </c>
      <c r="J92" s="62">
        <f>SUMIFS(①농산물raw!$G$6:$G$1135,①농산물raw!$A$6:$A$1135,J$85,①농산물raw!$B$6:$B$1135,$B91)</f>
        <v>170884300</v>
      </c>
    </row>
    <row r="94" spans="2:10">
      <c r="B94" s="56" t="s">
        <v>26</v>
      </c>
    </row>
    <row r="95" spans="2:10">
      <c r="B95" s="57" t="s">
        <v>32</v>
      </c>
      <c r="C95" s="80" t="s">
        <v>2</v>
      </c>
      <c r="D95" s="57" t="s">
        <v>3</v>
      </c>
      <c r="E95" s="58" t="s">
        <v>7</v>
      </c>
      <c r="F95" s="58" t="s">
        <v>8</v>
      </c>
      <c r="G95" s="58" t="s">
        <v>9</v>
      </c>
      <c r="H95" s="58" t="s">
        <v>10</v>
      </c>
      <c r="I95" s="58" t="s">
        <v>11</v>
      </c>
      <c r="J95" s="58" t="s">
        <v>12</v>
      </c>
    </row>
    <row r="96" spans="2:10">
      <c r="B96" s="57" t="s">
        <v>3</v>
      </c>
      <c r="C96" s="81"/>
      <c r="D96" s="60">
        <f t="shared" ref="D96:D102" si="17">SUM(E96:J96)</f>
        <v>226559</v>
      </c>
      <c r="E96" s="62">
        <f t="shared" ref="E96:J96" si="18">E97+E99+E101</f>
        <v>39593</v>
      </c>
      <c r="F96" s="62">
        <f t="shared" si="18"/>
        <v>38640</v>
      </c>
      <c r="G96" s="62">
        <f t="shared" si="18"/>
        <v>11018</v>
      </c>
      <c r="H96" s="62">
        <f t="shared" si="18"/>
        <v>1296</v>
      </c>
      <c r="I96" s="62">
        <f t="shared" si="18"/>
        <v>14679</v>
      </c>
      <c r="J96" s="62">
        <f t="shared" si="18"/>
        <v>121333</v>
      </c>
    </row>
    <row r="97" spans="2:10">
      <c r="B97" s="84" t="s">
        <v>22</v>
      </c>
      <c r="C97" s="64" t="s">
        <v>6</v>
      </c>
      <c r="D97" s="60">
        <f t="shared" si="17"/>
        <v>136969</v>
      </c>
      <c r="E97" s="62">
        <f t="shared" ref="E97:J97" si="19">E98</f>
        <v>18947</v>
      </c>
      <c r="F97" s="62">
        <f t="shared" si="19"/>
        <v>16003</v>
      </c>
      <c r="G97" s="62">
        <f t="shared" si="19"/>
        <v>5393</v>
      </c>
      <c r="H97" s="62">
        <f t="shared" si="19"/>
        <v>1136</v>
      </c>
      <c r="I97" s="62">
        <f t="shared" si="19"/>
        <v>2619</v>
      </c>
      <c r="J97" s="62">
        <f t="shared" si="19"/>
        <v>92871</v>
      </c>
    </row>
    <row r="98" spans="2:10">
      <c r="B98" s="85"/>
      <c r="C98" s="64" t="s">
        <v>29</v>
      </c>
      <c r="D98" s="60">
        <f t="shared" si="17"/>
        <v>136969</v>
      </c>
      <c r="E98" s="62">
        <f>SUMIFS(①농산물raw!$F$6:$F$1135,①농산물raw!$A$6:$A$1135,E$95,①농산물raw!$B$6:$B$1135,$B97)</f>
        <v>18947</v>
      </c>
      <c r="F98" s="62">
        <f>SUMIFS(①농산물raw!$F$6:$F$1135,①농산물raw!$A$6:$A$1135,F$95,①농산물raw!$B$6:$B$1135,$B97)</f>
        <v>16003</v>
      </c>
      <c r="G98" s="62">
        <f>SUMIFS(①농산물raw!$F$6:$F$1135,①농산물raw!$A$6:$A$1135,G$95,①농산물raw!$B$6:$B$1135,$B97)</f>
        <v>5393</v>
      </c>
      <c r="H98" s="62">
        <f>SUMIFS(①농산물raw!$F$6:$F$1135,①농산물raw!$A$6:$A$1135,H$95,①농산물raw!$B$6:$B$1135,$B97)</f>
        <v>1136</v>
      </c>
      <c r="I98" s="62">
        <f>SUMIFS(①농산물raw!$F$6:$F$1135,①농산물raw!$A$6:$A$1135,I$95,①농산물raw!$B$6:$B$1135,$B97)</f>
        <v>2619</v>
      </c>
      <c r="J98" s="62">
        <f>SUMIFS(①농산물raw!$F$6:$F$1135,①농산물raw!$A$6:$A$1135,J$95,①농산물raw!$B$6:$B$1135,$B97)</f>
        <v>92871</v>
      </c>
    </row>
    <row r="99" spans="2:10">
      <c r="B99" s="84" t="s">
        <v>23</v>
      </c>
      <c r="C99" s="64" t="s">
        <v>6</v>
      </c>
      <c r="D99" s="60">
        <f t="shared" si="17"/>
        <v>10084</v>
      </c>
      <c r="E99" s="62">
        <f t="shared" ref="E99:J99" si="20">E100</f>
        <v>5918</v>
      </c>
      <c r="F99" s="62">
        <f t="shared" si="20"/>
        <v>1102</v>
      </c>
      <c r="G99" s="62">
        <f t="shared" si="20"/>
        <v>3058</v>
      </c>
      <c r="H99" s="62">
        <f t="shared" si="20"/>
        <v>0</v>
      </c>
      <c r="I99" s="62">
        <f t="shared" si="20"/>
        <v>0</v>
      </c>
      <c r="J99" s="62">
        <f t="shared" si="20"/>
        <v>6</v>
      </c>
    </row>
    <row r="100" spans="2:10">
      <c r="B100" s="85"/>
      <c r="C100" s="64" t="s">
        <v>29</v>
      </c>
      <c r="D100" s="60">
        <f t="shared" si="17"/>
        <v>10084</v>
      </c>
      <c r="E100" s="62">
        <f>SUMIFS(①농산물raw!$F$6:$F$1135,①농산물raw!$A$6:$A$1135,E$95,①농산물raw!$B$6:$B$1135,$B99)</f>
        <v>5918</v>
      </c>
      <c r="F100" s="62">
        <f>SUMIFS(①농산물raw!$F$6:$F$1135,①농산물raw!$A$6:$A$1135,F$95,①농산물raw!$B$6:$B$1135,$B99)</f>
        <v>1102</v>
      </c>
      <c r="G100" s="62">
        <f>SUMIFS(①농산물raw!$F$6:$F$1135,①농산물raw!$A$6:$A$1135,G$95,①농산물raw!$B$6:$B$1135,$B99)</f>
        <v>3058</v>
      </c>
      <c r="H100" s="62">
        <f>SUMIFS(①농산물raw!$F$6:$F$1135,①농산물raw!$A$6:$A$1135,H$95,①농산물raw!$B$6:$B$1135,$B99)</f>
        <v>0</v>
      </c>
      <c r="I100" s="62">
        <f>SUMIFS(①농산물raw!$F$6:$F$1135,①농산물raw!$A$6:$A$1135,I$95,①농산물raw!$B$6:$B$1135,$B99)</f>
        <v>0</v>
      </c>
      <c r="J100" s="62">
        <f>SUMIFS(①농산물raw!$F$6:$F$1135,①농산물raw!$A$6:$A$1135,J$95,①농산물raw!$B$6:$B$1135,$B99)</f>
        <v>6</v>
      </c>
    </row>
    <row r="101" spans="2:10">
      <c r="B101" s="84" t="s">
        <v>24</v>
      </c>
      <c r="C101" s="64" t="s">
        <v>6</v>
      </c>
      <c r="D101" s="60">
        <f t="shared" si="17"/>
        <v>79506</v>
      </c>
      <c r="E101" s="62">
        <f t="shared" ref="E101:J101" si="21">E102</f>
        <v>14728</v>
      </c>
      <c r="F101" s="62">
        <f t="shared" si="21"/>
        <v>21535</v>
      </c>
      <c r="G101" s="62">
        <f t="shared" si="21"/>
        <v>2567</v>
      </c>
      <c r="H101" s="62">
        <f t="shared" si="21"/>
        <v>160</v>
      </c>
      <c r="I101" s="62">
        <f t="shared" si="21"/>
        <v>12060</v>
      </c>
      <c r="J101" s="62">
        <f t="shared" si="21"/>
        <v>28456</v>
      </c>
    </row>
    <row r="102" spans="2:10">
      <c r="B102" s="85"/>
      <c r="C102" s="64" t="s">
        <v>29</v>
      </c>
      <c r="D102" s="60">
        <f t="shared" si="17"/>
        <v>79506</v>
      </c>
      <c r="E102" s="62">
        <f>SUMIFS(①농산물raw!$F$6:$F$1135,①농산물raw!$A$6:$A$1135,E$95,①농산물raw!$B$6:$B$1135,$B101)</f>
        <v>14728</v>
      </c>
      <c r="F102" s="62">
        <f>SUMIFS(①농산물raw!$F$6:$F$1135,①농산물raw!$A$6:$A$1135,F$95,①농산물raw!$B$6:$B$1135,$B101)</f>
        <v>21535</v>
      </c>
      <c r="G102" s="62">
        <f>SUMIFS(①농산물raw!$F$6:$F$1135,①농산물raw!$A$6:$A$1135,G$95,①농산물raw!$B$6:$B$1135,$B101)</f>
        <v>2567</v>
      </c>
      <c r="H102" s="62">
        <f>SUMIFS(①농산물raw!$F$6:$F$1135,①농산물raw!$A$6:$A$1135,H$95,①농산물raw!$B$6:$B$1135,$B101)</f>
        <v>160</v>
      </c>
      <c r="I102" s="62">
        <f>SUMIFS(①농산물raw!$F$6:$F$1135,①농산물raw!$A$6:$A$1135,I$95,①농산물raw!$B$6:$B$1135,$B101)</f>
        <v>12060</v>
      </c>
      <c r="J102" s="62">
        <f>SUMIFS(①농산물raw!$F$6:$F$1135,①농산물raw!$A$6:$A$1135,J$95,①농산물raw!$B$6:$B$1135,$B101)</f>
        <v>28456</v>
      </c>
    </row>
    <row r="105" spans="2:10" ht="19.2">
      <c r="B105" s="66" t="s">
        <v>33</v>
      </c>
      <c r="C105" s="68"/>
    </row>
    <row r="107" spans="2:10">
      <c r="B107" s="56" t="s">
        <v>28</v>
      </c>
    </row>
    <row r="108" spans="2:10">
      <c r="B108" s="82" t="s">
        <v>2</v>
      </c>
      <c r="C108" s="83"/>
      <c r="D108" s="57" t="s">
        <v>3</v>
      </c>
      <c r="E108" s="58" t="s">
        <v>7</v>
      </c>
      <c r="F108" s="58" t="s">
        <v>12</v>
      </c>
    </row>
    <row r="109" spans="2:10">
      <c r="B109" s="84" t="s">
        <v>29</v>
      </c>
      <c r="C109" s="64" t="s">
        <v>13</v>
      </c>
      <c r="D109" s="60">
        <f>SUMPRODUCT(--(유기농업체!$C$3:$C$57&lt;&gt;""))</f>
        <v>55</v>
      </c>
      <c r="E109" s="62">
        <f>SUMPRODUCT(--(SUBSTITUTE(유기농업체!$E$3:$E$57,"롯데온","롯데ON")=E$108))</f>
        <v>26</v>
      </c>
      <c r="F109" s="62">
        <f>SUMPRODUCT(--(SUBSTITUTE(유기농업체!$E$3:$E$57,"롯데온","롯데ON")=F$108))</f>
        <v>29</v>
      </c>
    </row>
    <row r="110" spans="2:10">
      <c r="B110" s="85"/>
      <c r="C110" s="64" t="s">
        <v>14</v>
      </c>
      <c r="D110" s="60">
        <f>SUM(E110:F110)</f>
        <v>175</v>
      </c>
      <c r="E110" s="62">
        <f>COUNTIF(②유기농raw!$A$6:$A$180,E$108)</f>
        <v>85</v>
      </c>
      <c r="F110" s="62">
        <f>COUNTIF(②유기농raw!$A$6:$A$180,F$108)</f>
        <v>90</v>
      </c>
    </row>
    <row r="112" spans="2:10">
      <c r="B112" s="56" t="s">
        <v>15</v>
      </c>
    </row>
    <row r="113" spans="2:6">
      <c r="B113" s="82" t="s">
        <v>2</v>
      </c>
      <c r="C113" s="83"/>
      <c r="D113" s="57" t="s">
        <v>3</v>
      </c>
      <c r="E113" s="58" t="s">
        <v>7</v>
      </c>
      <c r="F113" s="58" t="s">
        <v>12</v>
      </c>
    </row>
    <row r="114" spans="2:6">
      <c r="B114" s="82" t="s">
        <v>3</v>
      </c>
      <c r="C114" s="83"/>
      <c r="D114" s="60">
        <f>SUM(E114:F114)</f>
        <v>20033931</v>
      </c>
      <c r="E114" s="62">
        <f>E115</f>
        <v>10413500</v>
      </c>
      <c r="F114" s="62">
        <f>F115</f>
        <v>9620431</v>
      </c>
    </row>
    <row r="115" spans="2:6">
      <c r="B115" s="86" t="s">
        <v>29</v>
      </c>
      <c r="C115" s="87"/>
      <c r="D115" s="60">
        <f>SUM(E115:F115)</f>
        <v>20033931</v>
      </c>
      <c r="E115" s="62">
        <f>SUMIF(②유기농raw!$A$6:$A$180,E$113,②유기농raw!$H$6:$H$180)</f>
        <v>10413500</v>
      </c>
      <c r="F115" s="62">
        <f>SUMIF(②유기농raw!$A$6:$A$180,F$113,②유기농raw!$H$6:$H$180)</f>
        <v>9620431</v>
      </c>
    </row>
    <row r="116" spans="2:6">
      <c r="B116" s="86" t="s">
        <v>30</v>
      </c>
      <c r="C116" s="87"/>
      <c r="D116" s="60">
        <f>SUM(E116:F116)</f>
        <v>100000000</v>
      </c>
      <c r="E116" s="62">
        <v>50000000</v>
      </c>
      <c r="F116" s="62">
        <v>50000000</v>
      </c>
    </row>
    <row r="117" spans="2:6">
      <c r="B117" s="86" t="s">
        <v>31</v>
      </c>
      <c r="C117" s="87"/>
      <c r="D117" s="60">
        <f>SUM(E117:F117)</f>
        <v>79966069</v>
      </c>
      <c r="E117" s="62">
        <f>E116-E114</f>
        <v>39586500</v>
      </c>
      <c r="F117" s="62">
        <f>F116-F114</f>
        <v>40379569</v>
      </c>
    </row>
    <row r="119" spans="2:6">
      <c r="B119" s="56" t="s">
        <v>17</v>
      </c>
    </row>
    <row r="120" spans="2:6">
      <c r="B120" s="82" t="s">
        <v>2</v>
      </c>
      <c r="C120" s="83"/>
      <c r="D120" s="57" t="s">
        <v>3</v>
      </c>
      <c r="E120" s="58" t="s">
        <v>7</v>
      </c>
      <c r="F120" s="58" t="s">
        <v>12</v>
      </c>
    </row>
    <row r="121" spans="2:6">
      <c r="B121" s="82" t="s">
        <v>3</v>
      </c>
      <c r="C121" s="83"/>
      <c r="D121" s="60">
        <f>SUM(E121:F121)</f>
        <v>646574890</v>
      </c>
      <c r="E121" s="62">
        <f>E122</f>
        <v>108372830</v>
      </c>
      <c r="F121" s="62">
        <f>F122</f>
        <v>538202060</v>
      </c>
    </row>
    <row r="122" spans="2:6">
      <c r="B122" s="86" t="s">
        <v>29</v>
      </c>
      <c r="C122" s="87"/>
      <c r="D122" s="60">
        <f>SUM(E122:F122)</f>
        <v>646574890</v>
      </c>
      <c r="E122" s="62">
        <f>SUMIF(②유기농raw!$A$6:$A$180,E$120,②유기농raw!$G$6:$G$180)</f>
        <v>108372830</v>
      </c>
      <c r="F122" s="62">
        <f>SUMIF(②유기농raw!$A$6:$A$180,F$120,②유기농raw!$G$6:$G$180)</f>
        <v>538202060</v>
      </c>
    </row>
    <row r="124" spans="2:6">
      <c r="B124" s="56" t="s">
        <v>19</v>
      </c>
    </row>
    <row r="125" spans="2:6">
      <c r="B125" s="82" t="s">
        <v>2</v>
      </c>
      <c r="C125" s="83"/>
      <c r="D125" s="57" t="s">
        <v>3</v>
      </c>
      <c r="E125" s="58" t="s">
        <v>7</v>
      </c>
      <c r="F125" s="58" t="s">
        <v>12</v>
      </c>
    </row>
    <row r="126" spans="2:6">
      <c r="B126" s="82" t="s">
        <v>3</v>
      </c>
      <c r="C126" s="83"/>
      <c r="D126" s="60">
        <f>SUM(E126:F126)</f>
        <v>127651</v>
      </c>
      <c r="E126" s="62">
        <f>E127</f>
        <v>4478</v>
      </c>
      <c r="F126" s="62">
        <f>F127</f>
        <v>123173</v>
      </c>
    </row>
    <row r="127" spans="2:6">
      <c r="B127" s="86" t="s">
        <v>29</v>
      </c>
      <c r="C127" s="87"/>
      <c r="D127" s="60">
        <f>SUM(E127:F127)</f>
        <v>127651</v>
      </c>
      <c r="E127" s="62">
        <f>SUMIF(②유기농raw!$A$6:$A$180,E$125,②유기농raw!$F$6:$F$180)</f>
        <v>4478</v>
      </c>
      <c r="F127" s="62">
        <f>SUMIF(②유기농raw!$A$6:$A$180,F$125,②유기농raw!$F$6:$F$180)</f>
        <v>123173</v>
      </c>
    </row>
    <row r="129" spans="2:6">
      <c r="B129" s="56" t="s">
        <v>21</v>
      </c>
    </row>
    <row r="130" spans="2:6">
      <c r="B130" s="57" t="s">
        <v>32</v>
      </c>
      <c r="C130" s="80" t="s">
        <v>2</v>
      </c>
      <c r="D130" s="57" t="s">
        <v>3</v>
      </c>
      <c r="E130" s="58" t="s">
        <v>7</v>
      </c>
      <c r="F130" s="58" t="s">
        <v>12</v>
      </c>
    </row>
    <row r="131" spans="2:6">
      <c r="B131" s="57" t="s">
        <v>3</v>
      </c>
      <c r="C131" s="81"/>
      <c r="D131" s="60">
        <f t="shared" ref="D131:D137" si="22">SUM(E131:F131)</f>
        <v>20033931</v>
      </c>
      <c r="E131" s="62">
        <f>E132+E134+E136</f>
        <v>10413500</v>
      </c>
      <c r="F131" s="62">
        <f>F132+F134+F136</f>
        <v>9620431</v>
      </c>
    </row>
    <row r="132" spans="2:6">
      <c r="B132" s="84" t="s">
        <v>22</v>
      </c>
      <c r="C132" s="64" t="s">
        <v>6</v>
      </c>
      <c r="D132" s="60">
        <f t="shared" si="22"/>
        <v>13428609</v>
      </c>
      <c r="E132" s="62">
        <f>E133</f>
        <v>8603490</v>
      </c>
      <c r="F132" s="62">
        <f>F133</f>
        <v>4825119</v>
      </c>
    </row>
    <row r="133" spans="2:6">
      <c r="B133" s="85"/>
      <c r="C133" s="64" t="s">
        <v>29</v>
      </c>
      <c r="D133" s="60">
        <f t="shared" si="22"/>
        <v>13428609</v>
      </c>
      <c r="E133" s="62">
        <f>SUMIFS(②유기농raw!$H$6:$H$180,②유기농raw!$A$6:$A$180,E$130,②유기농raw!$B$6:$B$180,$B132)</f>
        <v>8603490</v>
      </c>
      <c r="F133" s="62">
        <f>SUMIFS(②유기농raw!$H$6:$H$180,②유기농raw!$A$6:$A$180,F$130,②유기농raw!$B$6:$B$180,$B132)</f>
        <v>4825119</v>
      </c>
    </row>
    <row r="134" spans="2:6">
      <c r="B134" s="84" t="s">
        <v>23</v>
      </c>
      <c r="C134" s="64" t="s">
        <v>6</v>
      </c>
      <c r="D134" s="60">
        <f t="shared" si="22"/>
        <v>276920</v>
      </c>
      <c r="E134" s="62">
        <f>E135</f>
        <v>25800</v>
      </c>
      <c r="F134" s="62">
        <f>F135</f>
        <v>251120</v>
      </c>
    </row>
    <row r="135" spans="2:6">
      <c r="B135" s="85"/>
      <c r="C135" s="64" t="s">
        <v>29</v>
      </c>
      <c r="D135" s="60">
        <f t="shared" si="22"/>
        <v>276920</v>
      </c>
      <c r="E135" s="62">
        <f>SUMIFS(②유기농raw!$H$6:$H$180,②유기농raw!$A$6:$A$180,E$130,②유기농raw!$B$6:$B$180,$B134)</f>
        <v>25800</v>
      </c>
      <c r="F135" s="62">
        <f>SUMIFS(②유기농raw!$H$6:$H$180,②유기농raw!$A$6:$A$180,F$130,②유기농raw!$B$6:$B$180,$B134)</f>
        <v>251120</v>
      </c>
    </row>
    <row r="136" spans="2:6">
      <c r="B136" s="84" t="s">
        <v>24</v>
      </c>
      <c r="C136" s="64" t="s">
        <v>6</v>
      </c>
      <c r="D136" s="60">
        <f t="shared" si="22"/>
        <v>6328402</v>
      </c>
      <c r="E136" s="62">
        <f>E137</f>
        <v>1784210</v>
      </c>
      <c r="F136" s="62">
        <f>F137</f>
        <v>4544192</v>
      </c>
    </row>
    <row r="137" spans="2:6">
      <c r="B137" s="85"/>
      <c r="C137" s="64" t="s">
        <v>29</v>
      </c>
      <c r="D137" s="60">
        <f t="shared" si="22"/>
        <v>6328402</v>
      </c>
      <c r="E137" s="62">
        <f>SUMIFS(②유기농raw!$H$6:$H$180,②유기농raw!$A$6:$A$180,E$130,②유기농raw!$B$6:$B$180,$B136)</f>
        <v>1784210</v>
      </c>
      <c r="F137" s="62">
        <f>SUMIFS(②유기농raw!$H$6:$H$180,②유기농raw!$A$6:$A$180,F$130,②유기농raw!$B$6:$B$180,$B136)</f>
        <v>4544192</v>
      </c>
    </row>
    <row r="139" spans="2:6">
      <c r="B139" s="56" t="s">
        <v>25</v>
      </c>
    </row>
    <row r="140" spans="2:6">
      <c r="B140" s="57" t="s">
        <v>32</v>
      </c>
      <c r="C140" s="80" t="s">
        <v>2</v>
      </c>
      <c r="D140" s="57" t="s">
        <v>3</v>
      </c>
      <c r="E140" s="58" t="s">
        <v>7</v>
      </c>
      <c r="F140" s="58" t="s">
        <v>12</v>
      </c>
    </row>
    <row r="141" spans="2:6">
      <c r="B141" s="57" t="s">
        <v>3</v>
      </c>
      <c r="C141" s="81"/>
      <c r="D141" s="60">
        <f t="shared" ref="D141:D147" si="23">SUM(E141:F141)</f>
        <v>646574890</v>
      </c>
      <c r="E141" s="62">
        <f>E142+E144+E146</f>
        <v>108372830</v>
      </c>
      <c r="F141" s="62">
        <f>F142+F144+F146</f>
        <v>538202060</v>
      </c>
    </row>
    <row r="142" spans="2:6">
      <c r="B142" s="84" t="s">
        <v>22</v>
      </c>
      <c r="C142" s="64" t="s">
        <v>6</v>
      </c>
      <c r="D142" s="60">
        <f t="shared" si="23"/>
        <v>527972360</v>
      </c>
      <c r="E142" s="62">
        <f>E143</f>
        <v>92842530</v>
      </c>
      <c r="F142" s="62">
        <f>F143</f>
        <v>435129830</v>
      </c>
    </row>
    <row r="143" spans="2:6">
      <c r="B143" s="85"/>
      <c r="C143" s="64" t="s">
        <v>29</v>
      </c>
      <c r="D143" s="60">
        <f t="shared" si="23"/>
        <v>527972360</v>
      </c>
      <c r="E143" s="62">
        <f>SUMIFS(②유기농raw!$G$6:$G$180,②유기농raw!$A$6:$A$180,E$140,②유기농raw!$B$6:$B$180,$B142)</f>
        <v>92842530</v>
      </c>
      <c r="F143" s="62">
        <f>SUMIFS(②유기농raw!$G$6:$G$180,②유기농raw!$A$6:$A$180,F$140,②유기농raw!$B$6:$B$180,$B142)</f>
        <v>435129830</v>
      </c>
    </row>
    <row r="144" spans="2:6">
      <c r="B144" s="84" t="s">
        <v>23</v>
      </c>
      <c r="C144" s="64" t="s">
        <v>6</v>
      </c>
      <c r="D144" s="60">
        <f t="shared" si="23"/>
        <v>3580700</v>
      </c>
      <c r="E144" s="62">
        <f>E145</f>
        <v>132000</v>
      </c>
      <c r="F144" s="62">
        <f>F145</f>
        <v>3448700</v>
      </c>
    </row>
    <row r="145" spans="2:6">
      <c r="B145" s="85"/>
      <c r="C145" s="64" t="s">
        <v>29</v>
      </c>
      <c r="D145" s="60">
        <f t="shared" si="23"/>
        <v>3580700</v>
      </c>
      <c r="E145" s="62">
        <f>SUMIFS(②유기농raw!$G$6:$G$180,②유기농raw!$A$6:$A$180,E$140,②유기농raw!$B$6:$B$180,$B144)</f>
        <v>132000</v>
      </c>
      <c r="F145" s="62">
        <f>SUMIFS(②유기농raw!$G$6:$G$180,②유기농raw!$A$6:$A$180,F$140,②유기농raw!$B$6:$B$180,$B144)</f>
        <v>3448700</v>
      </c>
    </row>
    <row r="146" spans="2:6">
      <c r="B146" s="84" t="s">
        <v>24</v>
      </c>
      <c r="C146" s="64" t="s">
        <v>6</v>
      </c>
      <c r="D146" s="60">
        <f t="shared" si="23"/>
        <v>115021830</v>
      </c>
      <c r="E146" s="62">
        <f>E147</f>
        <v>15398300</v>
      </c>
      <c r="F146" s="62">
        <f>F147</f>
        <v>99623530</v>
      </c>
    </row>
    <row r="147" spans="2:6">
      <c r="B147" s="85"/>
      <c r="C147" s="64" t="s">
        <v>29</v>
      </c>
      <c r="D147" s="60">
        <f t="shared" si="23"/>
        <v>115021830</v>
      </c>
      <c r="E147" s="62">
        <f>SUMIFS(②유기농raw!$G$6:$G$180,②유기농raw!$A$6:$A$180,E$140,②유기농raw!$B$6:$B$180,$B146)</f>
        <v>15398300</v>
      </c>
      <c r="F147" s="62">
        <f>SUMIFS(②유기농raw!$G$6:$G$180,②유기농raw!$A$6:$A$180,F$140,②유기농raw!$B$6:$B$180,$B146)</f>
        <v>99623530</v>
      </c>
    </row>
    <row r="149" spans="2:6">
      <c r="B149" s="56" t="s">
        <v>26</v>
      </c>
    </row>
    <row r="150" spans="2:6">
      <c r="B150" s="57" t="s">
        <v>32</v>
      </c>
      <c r="C150" s="80" t="s">
        <v>2</v>
      </c>
      <c r="D150" s="57" t="s">
        <v>3</v>
      </c>
      <c r="E150" s="58" t="s">
        <v>7</v>
      </c>
      <c r="F150" s="58" t="s">
        <v>12</v>
      </c>
    </row>
    <row r="151" spans="2:6">
      <c r="B151" s="57" t="s">
        <v>3</v>
      </c>
      <c r="C151" s="81"/>
      <c r="D151" s="60">
        <f t="shared" ref="D151:D157" si="24">SUM(E151:F151)</f>
        <v>127651</v>
      </c>
      <c r="E151" s="62">
        <f>E152+E154+E156</f>
        <v>4478</v>
      </c>
      <c r="F151" s="62">
        <f>F152+F154+F156</f>
        <v>123173</v>
      </c>
    </row>
    <row r="152" spans="2:6">
      <c r="B152" s="84" t="s">
        <v>22</v>
      </c>
      <c r="C152" s="64" t="s">
        <v>6</v>
      </c>
      <c r="D152" s="60">
        <f t="shared" si="24"/>
        <v>104554</v>
      </c>
      <c r="E152" s="62">
        <f>E153</f>
        <v>3893</v>
      </c>
      <c r="F152" s="62">
        <f>F153</f>
        <v>100661</v>
      </c>
    </row>
    <row r="153" spans="2:6">
      <c r="B153" s="85"/>
      <c r="C153" s="64" t="s">
        <v>29</v>
      </c>
      <c r="D153" s="60">
        <f t="shared" si="24"/>
        <v>104554</v>
      </c>
      <c r="E153" s="62">
        <f>SUMIFS(②유기농raw!$F$6:$F$180,②유기농raw!$A$6:$A$180,E$150,②유기농raw!$B$6:$B$180,$B152)</f>
        <v>3893</v>
      </c>
      <c r="F153" s="62">
        <f>SUMIFS(②유기농raw!$F$6:$F$180,②유기농raw!$A$6:$A$180,F$150,②유기농raw!$B$6:$B$180,$B152)</f>
        <v>100661</v>
      </c>
    </row>
    <row r="154" spans="2:6">
      <c r="B154" s="84" t="s">
        <v>23</v>
      </c>
      <c r="C154" s="64" t="s">
        <v>6</v>
      </c>
      <c r="D154" s="60">
        <f t="shared" si="24"/>
        <v>603</v>
      </c>
      <c r="E154" s="62">
        <f>E155</f>
        <v>5</v>
      </c>
      <c r="F154" s="62">
        <f>F155</f>
        <v>598</v>
      </c>
    </row>
    <row r="155" spans="2:6">
      <c r="B155" s="85"/>
      <c r="C155" s="64" t="s">
        <v>29</v>
      </c>
      <c r="D155" s="60">
        <f t="shared" si="24"/>
        <v>603</v>
      </c>
      <c r="E155" s="62">
        <f>SUMIFS(②유기농raw!$F$6:$F$180,②유기농raw!$A$6:$A$180,E$150,②유기농raw!$B$6:$B$180,$B154)</f>
        <v>5</v>
      </c>
      <c r="F155" s="62">
        <f>SUMIFS(②유기농raw!$F$6:$F$180,②유기농raw!$A$6:$A$180,F$150,②유기농raw!$B$6:$B$180,$B154)</f>
        <v>598</v>
      </c>
    </row>
    <row r="156" spans="2:6">
      <c r="B156" s="84" t="s">
        <v>24</v>
      </c>
      <c r="C156" s="64" t="s">
        <v>6</v>
      </c>
      <c r="D156" s="60">
        <f t="shared" si="24"/>
        <v>22494</v>
      </c>
      <c r="E156" s="62">
        <f>E157</f>
        <v>580</v>
      </c>
      <c r="F156" s="62">
        <f>F157</f>
        <v>21914</v>
      </c>
    </row>
    <row r="157" spans="2:6">
      <c r="B157" s="85"/>
      <c r="C157" s="64" t="s">
        <v>29</v>
      </c>
      <c r="D157" s="60">
        <f t="shared" si="24"/>
        <v>22494</v>
      </c>
      <c r="E157" s="62">
        <f>SUMIFS(②유기농raw!$F$6:$F$180,②유기농raw!$A$6:$A$180,E$150,②유기농raw!$B$6:$B$180,$B156)</f>
        <v>580</v>
      </c>
      <c r="F157" s="62">
        <f>SUMIFS(②유기농raw!$F$6:$F$180,②유기농raw!$A$6:$A$180,F$150,②유기농raw!$B$6:$B$180,$B156)</f>
        <v>21914</v>
      </c>
    </row>
  </sheetData>
  <mergeCells count="78">
    <mergeCell ref="B154:B155"/>
    <mergeCell ref="B156:B157"/>
    <mergeCell ref="B142:B143"/>
    <mergeCell ref="B144:B145"/>
    <mergeCell ref="B146:B147"/>
    <mergeCell ref="C150:C151"/>
    <mergeCell ref="B152:B153"/>
    <mergeCell ref="C130:C131"/>
    <mergeCell ref="B132:B133"/>
    <mergeCell ref="B134:B135"/>
    <mergeCell ref="B136:B137"/>
    <mergeCell ref="C140:C141"/>
    <mergeCell ref="B121:C121"/>
    <mergeCell ref="B122:C122"/>
    <mergeCell ref="B125:C125"/>
    <mergeCell ref="B126:C126"/>
    <mergeCell ref="B127:C127"/>
    <mergeCell ref="B114:C114"/>
    <mergeCell ref="B115:C115"/>
    <mergeCell ref="B116:C116"/>
    <mergeCell ref="B117:C117"/>
    <mergeCell ref="B120:C120"/>
    <mergeCell ref="B99:B100"/>
    <mergeCell ref="B101:B102"/>
    <mergeCell ref="B108:C108"/>
    <mergeCell ref="B109:B110"/>
    <mergeCell ref="B113:C113"/>
    <mergeCell ref="B87:B88"/>
    <mergeCell ref="B89:B90"/>
    <mergeCell ref="B91:B92"/>
    <mergeCell ref="C95:C96"/>
    <mergeCell ref="B97:B98"/>
    <mergeCell ref="B76:C76"/>
    <mergeCell ref="B77:B78"/>
    <mergeCell ref="B79:B80"/>
    <mergeCell ref="B81:B82"/>
    <mergeCell ref="C85:C86"/>
    <mergeCell ref="B66:C66"/>
    <mergeCell ref="B67:C67"/>
    <mergeCell ref="B70:C70"/>
    <mergeCell ref="B71:C71"/>
    <mergeCell ref="B72:C72"/>
    <mergeCell ref="B59:C59"/>
    <mergeCell ref="B60:C60"/>
    <mergeCell ref="B61:C61"/>
    <mergeCell ref="B62:C62"/>
    <mergeCell ref="B65:C65"/>
    <mergeCell ref="B42:B43"/>
    <mergeCell ref="C42:C43"/>
    <mergeCell ref="B53:C53"/>
    <mergeCell ref="B54:B55"/>
    <mergeCell ref="B58:C58"/>
    <mergeCell ref="B21:B22"/>
    <mergeCell ref="C21:C22"/>
    <mergeCell ref="B26:B27"/>
    <mergeCell ref="C26:C27"/>
    <mergeCell ref="B34:B35"/>
    <mergeCell ref="C34:C35"/>
    <mergeCell ref="B4:B5"/>
    <mergeCell ref="C4:C5"/>
    <mergeCell ref="B11:B12"/>
    <mergeCell ref="C11:C12"/>
    <mergeCell ref="B16:B17"/>
    <mergeCell ref="C16:C17"/>
    <mergeCell ref="K34:M34"/>
    <mergeCell ref="D4:J4"/>
    <mergeCell ref="K42:M42"/>
    <mergeCell ref="D42:J42"/>
    <mergeCell ref="K11:M11"/>
    <mergeCell ref="K4:M4"/>
    <mergeCell ref="D26:J26"/>
    <mergeCell ref="D21:J21"/>
    <mergeCell ref="D11:J11"/>
    <mergeCell ref="K21:M21"/>
    <mergeCell ref="D16:J16"/>
    <mergeCell ref="D34:J34"/>
    <mergeCell ref="K26:M26"/>
    <mergeCell ref="K16:M16"/>
  </mergeCells>
  <phoneticPr fontId="4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7"/>
  <sheetViews>
    <sheetView workbookViewId="0">
      <selection activeCell="A2" sqref="A2:XFD2"/>
    </sheetView>
  </sheetViews>
  <sheetFormatPr defaultRowHeight="17.399999999999999"/>
  <cols>
    <col min="1" max="1" width="10.3984375" style="27" customWidth="1"/>
    <col min="2" max="2" width="8.19921875" style="36" customWidth="1"/>
    <col min="3" max="3" width="16" style="36" customWidth="1"/>
    <col min="4" max="4" width="34" style="27" bestFit="1" customWidth="1"/>
    <col min="5" max="5" width="13.09765625" style="36" customWidth="1"/>
    <col min="6" max="6" width="12.69921875" style="27" bestFit="1" customWidth="1"/>
    <col min="7" max="7" width="17.19921875" style="27" customWidth="1"/>
    <col min="8" max="8" width="12.69921875" style="27" customWidth="1"/>
    <col min="9" max="9" width="17.8984375" style="36" bestFit="1" customWidth="1"/>
  </cols>
  <sheetData>
    <row r="1" spans="1:9">
      <c r="A1"/>
      <c r="D1"/>
      <c r="F1" s="28">
        <f>SUM(F3:F287)</f>
        <v>226559</v>
      </c>
      <c r="G1" s="28">
        <f>SUM(G3:G287)</f>
        <v>2936214433</v>
      </c>
      <c r="H1" s="28">
        <f>SUM(H3:H287)</f>
        <v>163578655</v>
      </c>
      <c r="I1" s="36">
        <f>COUNTIF(I3:I500,"O")</f>
        <v>186</v>
      </c>
    </row>
    <row r="2" spans="1:9">
      <c r="A2" s="24" t="s">
        <v>34</v>
      </c>
      <c r="B2" s="24" t="s">
        <v>2</v>
      </c>
      <c r="C2" s="24" t="s">
        <v>35</v>
      </c>
      <c r="D2" s="24" t="s">
        <v>36</v>
      </c>
      <c r="E2" s="24" t="s">
        <v>37</v>
      </c>
      <c r="F2" s="37" t="s">
        <v>20</v>
      </c>
      <c r="G2" s="37" t="s">
        <v>18</v>
      </c>
      <c r="H2" s="37" t="s">
        <v>38</v>
      </c>
      <c r="I2" s="76" t="s">
        <v>2056</v>
      </c>
    </row>
    <row r="3" spans="1:9">
      <c r="A3" s="30">
        <v>1</v>
      </c>
      <c r="B3" s="30" t="s">
        <v>39</v>
      </c>
      <c r="C3" s="30" t="s">
        <v>40</v>
      </c>
      <c r="D3" s="25" t="s">
        <v>41</v>
      </c>
      <c r="E3" s="30" t="s">
        <v>42</v>
      </c>
      <c r="F3" s="29">
        <f>SUMIF(①농산물raw!$D$6:$D$1135,$C3,①농산물raw!$F$6:$F$1135)</f>
        <v>0</v>
      </c>
      <c r="G3" s="29">
        <f>SUMIF(①농산물raw!$D$6:$D$1135,$C3,①농산물raw!$G$6:$G$1135)</f>
        <v>0</v>
      </c>
      <c r="H3" s="29">
        <f>SUMIF(①농산물raw!$D$6:$D$1135,$C3,①농산물raw!$H$6:$H$1135)</f>
        <v>0</v>
      </c>
      <c r="I3" s="25"/>
    </row>
    <row r="4" spans="1:9">
      <c r="A4" s="30">
        <v>2</v>
      </c>
      <c r="B4" s="30" t="s">
        <v>39</v>
      </c>
      <c r="C4" s="30" t="s">
        <v>43</v>
      </c>
      <c r="D4" s="25" t="s">
        <v>44</v>
      </c>
      <c r="E4" s="30" t="s">
        <v>42</v>
      </c>
      <c r="F4" s="29">
        <f>SUMIF(①농산물raw!$D$6:$D$1135,$C4,①농산물raw!$F$6:$F$1135)</f>
        <v>0</v>
      </c>
      <c r="G4" s="29">
        <f>SUMIF(①농산물raw!$D$6:$D$1135,$C4,①농산물raw!$G$6:$G$1135)</f>
        <v>0</v>
      </c>
      <c r="H4" s="29">
        <f>SUMIF(①농산물raw!$D$6:$D$1135,$C4,①농산물raw!$H$6:$H$1135)</f>
        <v>0</v>
      </c>
      <c r="I4" s="30" t="s">
        <v>2057</v>
      </c>
    </row>
    <row r="5" spans="1:9">
      <c r="A5" s="30">
        <v>3</v>
      </c>
      <c r="B5" s="30" t="s">
        <v>39</v>
      </c>
      <c r="C5" s="30" t="s">
        <v>45</v>
      </c>
      <c r="D5" s="25" t="s">
        <v>46</v>
      </c>
      <c r="E5" s="30" t="s">
        <v>7</v>
      </c>
      <c r="F5" s="29">
        <f>SUMIF(①농산물raw!$D$6:$D$1135,$C5,①농산물raw!$F$6:$F$1135)</f>
        <v>40</v>
      </c>
      <c r="G5" s="29">
        <f>SUMIF(①농산물raw!$D$6:$D$1135,$C5,①농산물raw!$G$6:$G$1135)</f>
        <v>1031000</v>
      </c>
      <c r="H5" s="29">
        <f>SUMIF(①농산물raw!$D$6:$D$1135,$C5,①농산물raw!$H$6:$H$1135)</f>
        <v>43900</v>
      </c>
      <c r="I5" s="30" t="s">
        <v>2057</v>
      </c>
    </row>
    <row r="6" spans="1:9">
      <c r="A6" s="30">
        <v>4</v>
      </c>
      <c r="B6" s="30" t="s">
        <v>47</v>
      </c>
      <c r="C6" s="30" t="s">
        <v>48</v>
      </c>
      <c r="D6" s="25" t="s">
        <v>49</v>
      </c>
      <c r="E6" s="30" t="s">
        <v>7</v>
      </c>
      <c r="F6" s="29">
        <f>SUMIF(①농산물raw!$D$6:$D$1135,$C6,①농산물raw!$F$6:$F$1135)</f>
        <v>0</v>
      </c>
      <c r="G6" s="29">
        <f>SUMIF(①농산물raw!$D$6:$D$1135,$C6,①농산물raw!$G$6:$G$1135)</f>
        <v>0</v>
      </c>
      <c r="H6" s="29">
        <f>SUMIF(①농산물raw!$D$6:$D$1135,$C6,①농산물raw!$H$6:$H$1135)</f>
        <v>0</v>
      </c>
      <c r="I6" s="25"/>
    </row>
    <row r="7" spans="1:9">
      <c r="A7" s="30">
        <v>5</v>
      </c>
      <c r="B7" s="30" t="s">
        <v>50</v>
      </c>
      <c r="C7" s="30" t="s">
        <v>51</v>
      </c>
      <c r="D7" s="25" t="s">
        <v>52</v>
      </c>
      <c r="E7" s="30" t="s">
        <v>7</v>
      </c>
      <c r="F7" s="29">
        <f>SUMIF(①농산물raw!$D$6:$D$1135,$C7,①농산물raw!$F$6:$F$1135)</f>
        <v>68</v>
      </c>
      <c r="G7" s="29">
        <f>SUMIF(①농산물raw!$D$6:$D$1135,$C7,①농산물raw!$G$6:$G$1135)</f>
        <v>2967200</v>
      </c>
      <c r="H7" s="29">
        <f>SUMIF(①농산물raw!$D$6:$D$1135,$C7,①농산물raw!$H$6:$H$1135)</f>
        <v>206920</v>
      </c>
      <c r="I7" s="30" t="s">
        <v>2057</v>
      </c>
    </row>
    <row r="8" spans="1:9">
      <c r="A8" s="30">
        <v>6</v>
      </c>
      <c r="B8" s="30" t="s">
        <v>39</v>
      </c>
      <c r="C8" s="30" t="s">
        <v>53</v>
      </c>
      <c r="D8" s="25" t="s">
        <v>54</v>
      </c>
      <c r="E8" s="30" t="s">
        <v>42</v>
      </c>
      <c r="F8" s="29">
        <f>SUMIF(①농산물raw!$D$6:$D$1135,$C8,①농산물raw!$F$6:$F$1135)</f>
        <v>0</v>
      </c>
      <c r="G8" s="29">
        <f>SUMIF(①농산물raw!$D$6:$D$1135,$C8,①농산물raw!$G$6:$G$1135)</f>
        <v>0</v>
      </c>
      <c r="H8" s="29">
        <f>SUMIF(①농산물raw!$D$6:$D$1135,$C8,①농산물raw!$H$6:$H$1135)</f>
        <v>0</v>
      </c>
      <c r="I8" s="25"/>
    </row>
    <row r="9" spans="1:9">
      <c r="A9" s="30">
        <v>7</v>
      </c>
      <c r="B9" s="30" t="s">
        <v>39</v>
      </c>
      <c r="C9" s="30" t="s">
        <v>55</v>
      </c>
      <c r="D9" s="25" t="s">
        <v>56</v>
      </c>
      <c r="E9" s="30" t="s">
        <v>42</v>
      </c>
      <c r="F9" s="29">
        <f>SUMIF(①농산물raw!$D$6:$D$1135,$C9,①농산물raw!$F$6:$F$1135)</f>
        <v>1662</v>
      </c>
      <c r="G9" s="29">
        <f>SUMIF(①농산물raw!$D$6:$D$1135,$C9,①농산물raw!$G$6:$G$1135)</f>
        <v>18805800</v>
      </c>
      <c r="H9" s="29">
        <f>SUMIF(①농산물raw!$D$6:$D$1135,$C9,①농산물raw!$H$6:$H$1135)</f>
        <v>3349800</v>
      </c>
      <c r="I9" s="30" t="s">
        <v>2057</v>
      </c>
    </row>
    <row r="10" spans="1:9">
      <c r="A10" s="30">
        <v>8</v>
      </c>
      <c r="B10" s="30" t="s">
        <v>47</v>
      </c>
      <c r="C10" s="30" t="s">
        <v>57</v>
      </c>
      <c r="D10" s="25" t="s">
        <v>58</v>
      </c>
      <c r="E10" s="30" t="s">
        <v>42</v>
      </c>
      <c r="F10" s="29">
        <f>SUMIF(①농산물raw!$D$6:$D$1135,$C10,①농산물raw!$F$6:$F$1135)</f>
        <v>0</v>
      </c>
      <c r="G10" s="29">
        <f>SUMIF(①농산물raw!$D$6:$D$1135,$C10,①농산물raw!$G$6:$G$1135)</f>
        <v>0</v>
      </c>
      <c r="H10" s="29">
        <f>SUMIF(①농산물raw!$D$6:$D$1135,$C10,①농산물raw!$H$6:$H$1135)</f>
        <v>0</v>
      </c>
      <c r="I10" s="25"/>
    </row>
    <row r="11" spans="1:9">
      <c r="A11" s="30">
        <v>9</v>
      </c>
      <c r="B11" s="30" t="s">
        <v>47</v>
      </c>
      <c r="C11" s="30" t="s">
        <v>59</v>
      </c>
      <c r="D11" s="25" t="s">
        <v>60</v>
      </c>
      <c r="E11" s="30" t="s">
        <v>7</v>
      </c>
      <c r="F11" s="29">
        <f>SUMIF(①농산물raw!$D$6:$D$1135,$C11,①농산물raw!$F$6:$F$1135)</f>
        <v>0</v>
      </c>
      <c r="G11" s="29">
        <f>SUMIF(①농산물raw!$D$6:$D$1135,$C11,①농산물raw!$G$6:$G$1135)</f>
        <v>0</v>
      </c>
      <c r="H11" s="29">
        <f>SUMIF(①농산물raw!$D$6:$D$1135,$C11,①농산물raw!$H$6:$H$1135)</f>
        <v>0</v>
      </c>
      <c r="I11" s="25"/>
    </row>
    <row r="12" spans="1:9">
      <c r="A12" s="30">
        <v>10</v>
      </c>
      <c r="B12" s="30" t="s">
        <v>39</v>
      </c>
      <c r="C12" s="30" t="s">
        <v>61</v>
      </c>
      <c r="D12" s="25" t="s">
        <v>62</v>
      </c>
      <c r="E12" s="30" t="s">
        <v>42</v>
      </c>
      <c r="F12" s="29">
        <f>SUMIF(①농산물raw!$D$6:$D$1135,$C12,①농산물raw!$F$6:$F$1135)</f>
        <v>0</v>
      </c>
      <c r="G12" s="29">
        <f>SUMIF(①농산물raw!$D$6:$D$1135,$C12,①농산물raw!$G$6:$G$1135)</f>
        <v>0</v>
      </c>
      <c r="H12" s="29">
        <f>SUMIF(①농산물raw!$D$6:$D$1135,$C12,①농산물raw!$H$6:$H$1135)</f>
        <v>0</v>
      </c>
      <c r="I12" s="25"/>
    </row>
    <row r="13" spans="1:9">
      <c r="A13" s="30">
        <v>11</v>
      </c>
      <c r="B13" s="30" t="s">
        <v>39</v>
      </c>
      <c r="C13" s="30" t="s">
        <v>63</v>
      </c>
      <c r="D13" s="25" t="s">
        <v>64</v>
      </c>
      <c r="E13" s="30" t="s">
        <v>8</v>
      </c>
      <c r="F13" s="29">
        <f>SUMIF(①농산물raw!$D$6:$D$1135,$C13,①농산물raw!$F$6:$F$1135)</f>
        <v>92</v>
      </c>
      <c r="G13" s="29">
        <f>SUMIF(①농산물raw!$D$6:$D$1135,$C13,①농산물raw!$G$6:$G$1135)</f>
        <v>1980500</v>
      </c>
      <c r="H13" s="29">
        <f>SUMIF(①농산물raw!$D$6:$D$1135,$C13,①농산물raw!$H$6:$H$1135)</f>
        <v>58200</v>
      </c>
      <c r="I13" s="30" t="s">
        <v>2057</v>
      </c>
    </row>
    <row r="14" spans="1:9">
      <c r="A14" s="30">
        <v>12</v>
      </c>
      <c r="B14" s="30" t="s">
        <v>39</v>
      </c>
      <c r="C14" s="30" t="s">
        <v>65</v>
      </c>
      <c r="D14" s="25" t="s">
        <v>66</v>
      </c>
      <c r="E14" s="30" t="s">
        <v>7</v>
      </c>
      <c r="F14" s="29">
        <f>SUMIF(①농산물raw!$D$6:$D$1135,$C14,①농산물raw!$F$6:$F$1135)</f>
        <v>355</v>
      </c>
      <c r="G14" s="29">
        <f>SUMIF(①농산물raw!$D$6:$D$1135,$C14,①농산물raw!$G$6:$G$1135)</f>
        <v>16347500</v>
      </c>
      <c r="H14" s="29">
        <f>SUMIF(①농산물raw!$D$6:$D$1135,$C14,①농산물raw!$H$6:$H$1135)</f>
        <v>1074020</v>
      </c>
      <c r="I14" s="30" t="s">
        <v>2057</v>
      </c>
    </row>
    <row r="15" spans="1:9">
      <c r="A15" s="30">
        <v>13</v>
      </c>
      <c r="B15" s="30" t="s">
        <v>39</v>
      </c>
      <c r="C15" s="30" t="s">
        <v>67</v>
      </c>
      <c r="D15" s="25" t="s">
        <v>68</v>
      </c>
      <c r="E15" s="30" t="s">
        <v>7</v>
      </c>
      <c r="F15" s="29">
        <f>SUMIF(①농산물raw!$D$6:$D$1135,$C15,①농산물raw!$F$6:$F$1135)</f>
        <v>1492</v>
      </c>
      <c r="G15" s="29">
        <f>SUMIF(①농산물raw!$D$6:$D$1135,$C15,①농산물raw!$G$6:$G$1135)</f>
        <v>56675800</v>
      </c>
      <c r="H15" s="29">
        <f>SUMIF(①농산물raw!$D$6:$D$1135,$C15,①농산물raw!$H$6:$H$1135)</f>
        <v>4955760</v>
      </c>
      <c r="I15" s="30" t="s">
        <v>2057</v>
      </c>
    </row>
    <row r="16" spans="1:9">
      <c r="A16" s="30">
        <v>14</v>
      </c>
      <c r="B16" s="30" t="s">
        <v>50</v>
      </c>
      <c r="C16" s="30" t="s">
        <v>69</v>
      </c>
      <c r="D16" s="25" t="s">
        <v>70</v>
      </c>
      <c r="E16" s="30" t="s">
        <v>7</v>
      </c>
      <c r="F16" s="29">
        <f>SUMIF(①농산물raw!$D$6:$D$1135,$C16,①농산물raw!$F$6:$F$1135)</f>
        <v>309</v>
      </c>
      <c r="G16" s="29">
        <f>SUMIF(①농산물raw!$D$6:$D$1135,$C16,①농산물raw!$G$6:$G$1135)</f>
        <v>11911000</v>
      </c>
      <c r="H16" s="29">
        <f>SUMIF(①농산물raw!$D$6:$D$1135,$C16,①농산물raw!$H$6:$H$1135)</f>
        <v>427800</v>
      </c>
      <c r="I16" s="30" t="s">
        <v>2057</v>
      </c>
    </row>
    <row r="17" spans="1:9">
      <c r="A17" s="30">
        <v>15</v>
      </c>
      <c r="B17" s="30" t="s">
        <v>47</v>
      </c>
      <c r="C17" s="30" t="s">
        <v>71</v>
      </c>
      <c r="D17" s="25" t="s">
        <v>72</v>
      </c>
      <c r="E17" s="30" t="s">
        <v>7</v>
      </c>
      <c r="F17" s="29">
        <f>SUMIF(①농산물raw!$D$6:$D$1135,$C17,①농산물raw!$F$6:$F$1135)</f>
        <v>30</v>
      </c>
      <c r="G17" s="29">
        <f>SUMIF(①농산물raw!$D$6:$D$1135,$C17,①농산물raw!$G$6:$G$1135)</f>
        <v>599700</v>
      </c>
      <c r="H17" s="29">
        <f>SUMIF(①농산물raw!$D$6:$D$1135,$C17,①농산물raw!$H$6:$H$1135)</f>
        <v>33980</v>
      </c>
      <c r="I17" s="30" t="s">
        <v>2057</v>
      </c>
    </row>
    <row r="18" spans="1:9">
      <c r="A18" s="30">
        <v>16</v>
      </c>
      <c r="B18" s="30" t="s">
        <v>39</v>
      </c>
      <c r="C18" s="30" t="s">
        <v>73</v>
      </c>
      <c r="D18" s="25" t="s">
        <v>74</v>
      </c>
      <c r="E18" s="30" t="s">
        <v>42</v>
      </c>
      <c r="F18" s="29">
        <f>SUMIF(①농산물raw!$D$6:$D$1135,$C18,①농산물raw!$F$6:$F$1135)</f>
        <v>0</v>
      </c>
      <c r="G18" s="29">
        <f>SUMIF(①농산물raw!$D$6:$D$1135,$C18,①농산물raw!$G$6:$G$1135)</f>
        <v>0</v>
      </c>
      <c r="H18" s="29">
        <f>SUMIF(①농산물raw!$D$6:$D$1135,$C18,①농산물raw!$H$6:$H$1135)</f>
        <v>0</v>
      </c>
      <c r="I18" s="25"/>
    </row>
    <row r="19" spans="1:9">
      <c r="A19" s="30">
        <v>17</v>
      </c>
      <c r="B19" s="30" t="s">
        <v>39</v>
      </c>
      <c r="C19" s="30" t="s">
        <v>75</v>
      </c>
      <c r="D19" s="25" t="s">
        <v>76</v>
      </c>
      <c r="E19" s="30" t="s">
        <v>11</v>
      </c>
      <c r="F19" s="29">
        <f>SUMIF(①농산물raw!$D$6:$D$1135,$C19,①농산물raw!$F$6:$F$1135)</f>
        <v>122</v>
      </c>
      <c r="G19" s="29">
        <f>SUMIF(①농산물raw!$D$6:$D$1135,$C19,①농산물raw!$G$6:$G$1135)</f>
        <v>1749656</v>
      </c>
      <c r="H19" s="29">
        <f>SUMIF(①농산물raw!$D$6:$D$1135,$C19,①농산물raw!$H$6:$H$1135)</f>
        <v>113680</v>
      </c>
      <c r="I19" s="30" t="s">
        <v>2057</v>
      </c>
    </row>
    <row r="20" spans="1:9">
      <c r="A20" s="30">
        <v>18</v>
      </c>
      <c r="B20" s="30" t="s">
        <v>50</v>
      </c>
      <c r="C20" s="30" t="s">
        <v>77</v>
      </c>
      <c r="D20" s="25" t="s">
        <v>78</v>
      </c>
      <c r="E20" s="30" t="s">
        <v>7</v>
      </c>
      <c r="F20" s="29">
        <f>SUMIF(①농산물raw!$D$6:$D$1135,$C20,①농산물raw!$F$6:$F$1135)</f>
        <v>0</v>
      </c>
      <c r="G20" s="29">
        <f>SUMIF(①농산물raw!$D$6:$D$1135,$C20,①농산물raw!$G$6:$G$1135)</f>
        <v>0</v>
      </c>
      <c r="H20" s="29">
        <f>SUMIF(①농산물raw!$D$6:$D$1135,$C20,①농산물raw!$H$6:$H$1135)</f>
        <v>0</v>
      </c>
      <c r="I20" s="25"/>
    </row>
    <row r="21" spans="1:9">
      <c r="A21" s="30">
        <v>19</v>
      </c>
      <c r="B21" s="30" t="s">
        <v>39</v>
      </c>
      <c r="C21" s="30" t="s">
        <v>79</v>
      </c>
      <c r="D21" s="25" t="s">
        <v>80</v>
      </c>
      <c r="E21" s="30" t="s">
        <v>8</v>
      </c>
      <c r="F21" s="29">
        <f>SUMIF(①농산물raw!$D$6:$D$1135,$C21,①농산물raw!$F$6:$F$1135)</f>
        <v>4</v>
      </c>
      <c r="G21" s="29">
        <f>SUMIF(①농산물raw!$D$6:$D$1135,$C21,①농산물raw!$G$6:$G$1135)</f>
        <v>187600</v>
      </c>
      <c r="H21" s="29">
        <f>SUMIF(①농산물raw!$D$6:$D$1135,$C21,①농산물raw!$H$6:$H$1135)</f>
        <v>0</v>
      </c>
      <c r="I21" s="30" t="s">
        <v>2057</v>
      </c>
    </row>
    <row r="22" spans="1:9">
      <c r="A22" s="30">
        <v>20</v>
      </c>
      <c r="B22" s="30" t="s">
        <v>50</v>
      </c>
      <c r="C22" s="30" t="s">
        <v>81</v>
      </c>
      <c r="D22" s="25" t="s">
        <v>82</v>
      </c>
      <c r="E22" s="30" t="s">
        <v>7</v>
      </c>
      <c r="F22" s="29">
        <f>SUMIF(①농산물raw!$D$6:$D$1135,$C22,①농산물raw!$F$6:$F$1135)</f>
        <v>3</v>
      </c>
      <c r="G22" s="29">
        <f>SUMIF(①농산물raw!$D$6:$D$1135,$C22,①농산물raw!$G$6:$G$1135)</f>
        <v>175000</v>
      </c>
      <c r="H22" s="29">
        <f>SUMIF(①농산물raw!$D$6:$D$1135,$C22,①농산물raw!$H$6:$H$1135)</f>
        <v>0</v>
      </c>
      <c r="I22" s="30" t="s">
        <v>2057</v>
      </c>
    </row>
    <row r="23" spans="1:9">
      <c r="A23" s="30">
        <v>21</v>
      </c>
      <c r="B23" s="30" t="s">
        <v>47</v>
      </c>
      <c r="C23" s="30" t="s">
        <v>83</v>
      </c>
      <c r="D23" s="25" t="s">
        <v>84</v>
      </c>
      <c r="E23" s="30" t="s">
        <v>7</v>
      </c>
      <c r="F23" s="29">
        <f>SUMIF(①농산물raw!$D$6:$D$1135,$C23,①농산물raw!$F$6:$F$1135)</f>
        <v>0</v>
      </c>
      <c r="G23" s="29">
        <f>SUMIF(①농산물raw!$D$6:$D$1135,$C23,①농산물raw!$G$6:$G$1135)</f>
        <v>0</v>
      </c>
      <c r="H23" s="29">
        <f>SUMIF(①농산물raw!$D$6:$D$1135,$C23,①농산물raw!$H$6:$H$1135)</f>
        <v>0</v>
      </c>
      <c r="I23" s="25"/>
    </row>
    <row r="24" spans="1:9">
      <c r="A24" s="30">
        <v>22</v>
      </c>
      <c r="B24" s="30" t="s">
        <v>39</v>
      </c>
      <c r="C24" s="30" t="s">
        <v>85</v>
      </c>
      <c r="D24" s="25" t="s">
        <v>86</v>
      </c>
      <c r="E24" s="30" t="s">
        <v>7</v>
      </c>
      <c r="F24" s="29">
        <f>SUMIF(①농산물raw!$D$6:$D$1135,$C24,①농산물raw!$F$6:$F$1135)</f>
        <v>7267</v>
      </c>
      <c r="G24" s="29">
        <f>SUMIF(①농산물raw!$D$6:$D$1135,$C24,①농산물raw!$G$6:$G$1135)</f>
        <v>112403300</v>
      </c>
      <c r="H24" s="29">
        <f>SUMIF(①농산물raw!$D$6:$D$1135,$C24,①농산물raw!$H$6:$H$1135)</f>
        <v>3842570</v>
      </c>
      <c r="I24" s="30" t="s">
        <v>2057</v>
      </c>
    </row>
    <row r="25" spans="1:9">
      <c r="A25" s="30">
        <v>23</v>
      </c>
      <c r="B25" s="30" t="s">
        <v>50</v>
      </c>
      <c r="C25" s="30" t="s">
        <v>87</v>
      </c>
      <c r="D25" s="25" t="s">
        <v>88</v>
      </c>
      <c r="E25" s="30" t="s">
        <v>7</v>
      </c>
      <c r="F25" s="29">
        <f>SUMIF(①농산물raw!$D$6:$D$1135,$C25,①농산물raw!$F$6:$F$1135)</f>
        <v>5</v>
      </c>
      <c r="G25" s="29">
        <f>SUMIF(①농산물raw!$D$6:$D$1135,$C25,①농산물raw!$G$6:$G$1135)</f>
        <v>191000</v>
      </c>
      <c r="H25" s="29">
        <f>SUMIF(①농산물raw!$D$6:$D$1135,$C25,①농산물raw!$H$6:$H$1135)</f>
        <v>13860</v>
      </c>
      <c r="I25" s="30" t="s">
        <v>2057</v>
      </c>
    </row>
    <row r="26" spans="1:9">
      <c r="A26" s="30">
        <v>24</v>
      </c>
      <c r="B26" s="30" t="s">
        <v>39</v>
      </c>
      <c r="C26" s="30" t="s">
        <v>89</v>
      </c>
      <c r="D26" s="25" t="s">
        <v>90</v>
      </c>
      <c r="E26" s="30" t="s">
        <v>42</v>
      </c>
      <c r="F26" s="29">
        <f>SUMIF(①농산물raw!$D$6:$D$1135,$C26,①농산물raw!$F$6:$F$1135)</f>
        <v>5</v>
      </c>
      <c r="G26" s="29">
        <f>SUMIF(①농산물raw!$D$6:$D$1135,$C26,①농산물raw!$G$6:$G$1135)</f>
        <v>121200</v>
      </c>
      <c r="H26" s="29">
        <f>SUMIF(①농산물raw!$D$6:$D$1135,$C26,①농산물raw!$H$6:$H$1135)</f>
        <v>22970</v>
      </c>
      <c r="I26" s="30" t="s">
        <v>2057</v>
      </c>
    </row>
    <row r="27" spans="1:9">
      <c r="A27" s="30">
        <v>25</v>
      </c>
      <c r="B27" s="30" t="s">
        <v>39</v>
      </c>
      <c r="C27" s="30" t="s">
        <v>91</v>
      </c>
      <c r="D27" s="25" t="s">
        <v>92</v>
      </c>
      <c r="E27" s="30" t="s">
        <v>7</v>
      </c>
      <c r="F27" s="29">
        <f>SUMIF(①농산물raw!$D$6:$D$1135,$C27,①농산물raw!$F$6:$F$1135)</f>
        <v>0</v>
      </c>
      <c r="G27" s="29">
        <f>SUMIF(①농산물raw!$D$6:$D$1135,$C27,①농산물raw!$G$6:$G$1135)</f>
        <v>0</v>
      </c>
      <c r="H27" s="29">
        <f>SUMIF(①농산물raw!$D$6:$D$1135,$C27,①농산물raw!$H$6:$H$1135)</f>
        <v>0</v>
      </c>
      <c r="I27" s="25"/>
    </row>
    <row r="28" spans="1:9">
      <c r="A28" s="30">
        <v>26</v>
      </c>
      <c r="B28" s="30" t="s">
        <v>39</v>
      </c>
      <c r="C28" s="30" t="s">
        <v>93</v>
      </c>
      <c r="D28" s="25" t="s">
        <v>94</v>
      </c>
      <c r="E28" s="30" t="s">
        <v>8</v>
      </c>
      <c r="F28" s="29">
        <f>SUMIF(①농산물raw!$D$6:$D$1135,$C28,①농산물raw!$F$6:$F$1135)</f>
        <v>0</v>
      </c>
      <c r="G28" s="29">
        <f>SUMIF(①농산물raw!$D$6:$D$1135,$C28,①농산물raw!$G$6:$G$1135)</f>
        <v>0</v>
      </c>
      <c r="H28" s="29">
        <f>SUMIF(①농산물raw!$D$6:$D$1135,$C28,①농산물raw!$H$6:$H$1135)</f>
        <v>0</v>
      </c>
      <c r="I28" s="30" t="s">
        <v>2057</v>
      </c>
    </row>
    <row r="29" spans="1:9">
      <c r="A29" s="30">
        <v>27</v>
      </c>
      <c r="B29" s="30" t="s">
        <v>39</v>
      </c>
      <c r="C29" s="30" t="s">
        <v>95</v>
      </c>
      <c r="D29" s="25" t="s">
        <v>96</v>
      </c>
      <c r="E29" s="30" t="s">
        <v>7</v>
      </c>
      <c r="F29" s="29">
        <f>SUMIF(①농산물raw!$D$6:$D$1135,$C29,①농산물raw!$F$6:$F$1135)</f>
        <v>0</v>
      </c>
      <c r="G29" s="29">
        <f>SUMIF(①농산물raw!$D$6:$D$1135,$C29,①농산물raw!$G$6:$G$1135)</f>
        <v>0</v>
      </c>
      <c r="H29" s="29">
        <f>SUMIF(①농산물raw!$D$6:$D$1135,$C29,①농산물raw!$H$6:$H$1135)</f>
        <v>0</v>
      </c>
      <c r="I29" s="25"/>
    </row>
    <row r="30" spans="1:9">
      <c r="A30" s="30">
        <v>28</v>
      </c>
      <c r="B30" s="30" t="s">
        <v>47</v>
      </c>
      <c r="C30" s="30" t="s">
        <v>97</v>
      </c>
      <c r="D30" s="25" t="s">
        <v>98</v>
      </c>
      <c r="E30" s="30" t="s">
        <v>7</v>
      </c>
      <c r="F30" s="29">
        <f>SUMIF(①농산물raw!$D$6:$D$1135,$C30,①농산물raw!$F$6:$F$1135)</f>
        <v>8</v>
      </c>
      <c r="G30" s="29">
        <f>SUMIF(①농산물raw!$D$6:$D$1135,$C30,①농산물raw!$G$6:$G$1135)</f>
        <v>272000</v>
      </c>
      <c r="H30" s="29">
        <f>SUMIF(①농산물raw!$D$6:$D$1135,$C30,①농산물raw!$H$6:$H$1135)</f>
        <v>25000</v>
      </c>
      <c r="I30" s="30" t="s">
        <v>2057</v>
      </c>
    </row>
    <row r="31" spans="1:9">
      <c r="A31" s="30">
        <v>29</v>
      </c>
      <c r="B31" s="30" t="s">
        <v>39</v>
      </c>
      <c r="C31" s="30" t="s">
        <v>99</v>
      </c>
      <c r="D31" s="25" t="s">
        <v>100</v>
      </c>
      <c r="E31" s="30" t="s">
        <v>7</v>
      </c>
      <c r="F31" s="29">
        <f>SUMIF(①농산물raw!$D$6:$D$1135,$C31,①농산물raw!$F$6:$F$1135)</f>
        <v>5</v>
      </c>
      <c r="G31" s="29">
        <f>SUMIF(①농산물raw!$D$6:$D$1135,$C31,①농산물raw!$G$6:$G$1135)</f>
        <v>103900</v>
      </c>
      <c r="H31" s="29">
        <f>SUMIF(①농산물raw!$D$6:$D$1135,$C31,①농산물raw!$H$6:$H$1135)</f>
        <v>12280</v>
      </c>
      <c r="I31" s="30" t="s">
        <v>2057</v>
      </c>
    </row>
    <row r="32" spans="1:9">
      <c r="A32" s="30">
        <v>30</v>
      </c>
      <c r="B32" s="30" t="s">
        <v>39</v>
      </c>
      <c r="C32" s="30" t="s">
        <v>101</v>
      </c>
      <c r="D32" s="25" t="s">
        <v>102</v>
      </c>
      <c r="E32" s="30" t="s">
        <v>7</v>
      </c>
      <c r="F32" s="29">
        <f>SUMIF(①농산물raw!$D$6:$D$1135,$C32,①농산물raw!$F$6:$F$1135)</f>
        <v>761</v>
      </c>
      <c r="G32" s="29">
        <f>SUMIF(①농산물raw!$D$6:$D$1135,$C32,①농산물raw!$G$6:$G$1135)</f>
        <v>46999200</v>
      </c>
      <c r="H32" s="29">
        <f>SUMIF(①농산물raw!$D$6:$D$1135,$C32,①농산물raw!$H$6:$H$1135)</f>
        <v>3566200</v>
      </c>
      <c r="I32" s="30" t="s">
        <v>2057</v>
      </c>
    </row>
    <row r="33" spans="1:9">
      <c r="A33" s="30">
        <v>31</v>
      </c>
      <c r="B33" s="30" t="s">
        <v>39</v>
      </c>
      <c r="C33" s="30" t="s">
        <v>103</v>
      </c>
      <c r="D33" s="25" t="s">
        <v>104</v>
      </c>
      <c r="E33" s="30" t="s">
        <v>7</v>
      </c>
      <c r="F33" s="29">
        <f>SUMIF(①농산물raw!$D$6:$D$1135,$C33,①농산물raw!$F$6:$F$1135)</f>
        <v>2026</v>
      </c>
      <c r="G33" s="29">
        <f>SUMIF(①농산물raw!$D$6:$D$1135,$C33,①농산물raw!$G$6:$G$1135)</f>
        <v>53444700</v>
      </c>
      <c r="H33" s="29">
        <f>SUMIF(①농산물raw!$D$6:$D$1135,$C33,①농산물raw!$H$6:$H$1135)</f>
        <v>3066340</v>
      </c>
      <c r="I33" s="30" t="s">
        <v>2057</v>
      </c>
    </row>
    <row r="34" spans="1:9">
      <c r="A34" s="30">
        <v>32</v>
      </c>
      <c r="B34" s="30" t="s">
        <v>50</v>
      </c>
      <c r="C34" s="30" t="s">
        <v>105</v>
      </c>
      <c r="D34" s="25" t="s">
        <v>106</v>
      </c>
      <c r="E34" s="30" t="s">
        <v>7</v>
      </c>
      <c r="F34" s="29">
        <f>SUMIF(①농산물raw!$D$6:$D$1135,$C34,①농산물raw!$F$6:$F$1135)</f>
        <v>78</v>
      </c>
      <c r="G34" s="29">
        <f>SUMIF(①농산물raw!$D$6:$D$1135,$C34,①농산물raw!$G$6:$G$1135)</f>
        <v>2510500</v>
      </c>
      <c r="H34" s="29">
        <f>SUMIF(①농산물raw!$D$6:$D$1135,$C34,①농산물raw!$H$6:$H$1135)</f>
        <v>119380</v>
      </c>
      <c r="I34" s="30" t="s">
        <v>2057</v>
      </c>
    </row>
    <row r="35" spans="1:9">
      <c r="A35" s="30">
        <v>33</v>
      </c>
      <c r="B35" s="30" t="s">
        <v>47</v>
      </c>
      <c r="C35" s="30" t="s">
        <v>107</v>
      </c>
      <c r="D35" s="25" t="s">
        <v>108</v>
      </c>
      <c r="E35" s="30" t="s">
        <v>7</v>
      </c>
      <c r="F35" s="29">
        <f>SUMIF(①농산물raw!$D$6:$D$1135,$C35,①농산물raw!$F$6:$F$1135)</f>
        <v>10</v>
      </c>
      <c r="G35" s="29">
        <f>SUMIF(①농산물raw!$D$6:$D$1135,$C35,①농산물raw!$G$6:$G$1135)</f>
        <v>538000</v>
      </c>
      <c r="H35" s="29">
        <f>SUMIF(①농산물raw!$D$6:$D$1135,$C35,①농산물raw!$H$6:$H$1135)</f>
        <v>0</v>
      </c>
      <c r="I35" s="30" t="s">
        <v>2057</v>
      </c>
    </row>
    <row r="36" spans="1:9">
      <c r="A36" s="30">
        <v>34</v>
      </c>
      <c r="B36" s="30" t="s">
        <v>39</v>
      </c>
      <c r="C36" s="30" t="s">
        <v>109</v>
      </c>
      <c r="D36" s="25" t="s">
        <v>110</v>
      </c>
      <c r="E36" s="30" t="s">
        <v>7</v>
      </c>
      <c r="F36" s="29">
        <f>SUMIF(①농산물raw!$D$6:$D$1135,$C36,①농산물raw!$F$6:$F$1135)</f>
        <v>0</v>
      </c>
      <c r="G36" s="29">
        <f>SUMIF(①농산물raw!$D$6:$D$1135,$C36,①농산물raw!$G$6:$G$1135)</f>
        <v>0</v>
      </c>
      <c r="H36" s="29">
        <f>SUMIF(①농산물raw!$D$6:$D$1135,$C36,①농산물raw!$H$6:$H$1135)</f>
        <v>0</v>
      </c>
      <c r="I36" s="25"/>
    </row>
    <row r="37" spans="1:9">
      <c r="A37" s="30">
        <v>35</v>
      </c>
      <c r="B37" s="30" t="s">
        <v>39</v>
      </c>
      <c r="C37" s="30" t="s">
        <v>111</v>
      </c>
      <c r="D37" s="25" t="s">
        <v>112</v>
      </c>
      <c r="E37" s="30" t="s">
        <v>8</v>
      </c>
      <c r="F37" s="29">
        <f>SUMIF(①농산물raw!$D$6:$D$1135,$C37,①농산물raw!$F$6:$F$1135)</f>
        <v>538</v>
      </c>
      <c r="G37" s="29">
        <f>SUMIF(①농산물raw!$D$6:$D$1135,$C37,①농산물raw!$G$6:$G$1135)</f>
        <v>15772000</v>
      </c>
      <c r="H37" s="29">
        <f>SUMIF(①농산물raw!$D$6:$D$1135,$C37,①농산물raw!$H$6:$H$1135)</f>
        <v>591780</v>
      </c>
      <c r="I37" s="30" t="s">
        <v>2057</v>
      </c>
    </row>
    <row r="38" spans="1:9">
      <c r="A38" s="30">
        <v>36</v>
      </c>
      <c r="B38" s="30" t="s">
        <v>39</v>
      </c>
      <c r="C38" s="30" t="s">
        <v>113</v>
      </c>
      <c r="D38" s="25" t="s">
        <v>114</v>
      </c>
      <c r="E38" s="30" t="s">
        <v>42</v>
      </c>
      <c r="F38" s="29">
        <f>SUMIF(①농산물raw!$D$6:$D$1135,$C38,①농산물raw!$F$6:$F$1135)</f>
        <v>33</v>
      </c>
      <c r="G38" s="29">
        <f>SUMIF(①농산물raw!$D$6:$D$1135,$C38,①농산물raw!$G$6:$G$1135)</f>
        <v>1039600</v>
      </c>
      <c r="H38" s="29">
        <f>SUMIF(①농산물raw!$D$6:$D$1135,$C38,①농산물raw!$H$6:$H$1135)</f>
        <v>199830</v>
      </c>
      <c r="I38" s="30" t="s">
        <v>2057</v>
      </c>
    </row>
    <row r="39" spans="1:9">
      <c r="A39" s="30">
        <v>37</v>
      </c>
      <c r="B39" s="30" t="s">
        <v>39</v>
      </c>
      <c r="C39" s="30" t="s">
        <v>115</v>
      </c>
      <c r="D39" s="25" t="s">
        <v>116</v>
      </c>
      <c r="E39" s="30" t="s">
        <v>42</v>
      </c>
      <c r="F39" s="29">
        <f>SUMIF(①농산물raw!$D$6:$D$1135,$C39,①농산물raw!$F$6:$F$1135)</f>
        <v>1</v>
      </c>
      <c r="G39" s="29">
        <f>SUMIF(①농산물raw!$D$6:$D$1135,$C39,①농산물raw!$G$6:$G$1135)</f>
        <v>8300</v>
      </c>
      <c r="H39" s="29">
        <f>SUMIF(①농산물raw!$D$6:$D$1135,$C39,①농산물raw!$H$6:$H$1135)</f>
        <v>1540</v>
      </c>
      <c r="I39" s="30" t="s">
        <v>2057</v>
      </c>
    </row>
    <row r="40" spans="1:9">
      <c r="A40" s="30">
        <v>38</v>
      </c>
      <c r="B40" s="30" t="s">
        <v>50</v>
      </c>
      <c r="C40" s="30" t="s">
        <v>117</v>
      </c>
      <c r="D40" s="25" t="s">
        <v>118</v>
      </c>
      <c r="E40" s="30" t="s">
        <v>7</v>
      </c>
      <c r="F40" s="29">
        <f>SUMIF(①농산물raw!$D$6:$D$1135,$C40,①농산물raw!$F$6:$F$1135)</f>
        <v>253</v>
      </c>
      <c r="G40" s="29">
        <f>SUMIF(①농산물raw!$D$6:$D$1135,$C40,①농산물raw!$G$6:$G$1135)</f>
        <v>7943620</v>
      </c>
      <c r="H40" s="29">
        <f>SUMIF(①농산물raw!$D$6:$D$1135,$C40,①농산물raw!$H$6:$H$1135)</f>
        <v>716030</v>
      </c>
      <c r="I40" s="30" t="s">
        <v>2057</v>
      </c>
    </row>
    <row r="41" spans="1:9">
      <c r="A41" s="30">
        <v>39</v>
      </c>
      <c r="B41" s="30" t="s">
        <v>39</v>
      </c>
      <c r="C41" s="30" t="s">
        <v>119</v>
      </c>
      <c r="D41" s="25" t="s">
        <v>120</v>
      </c>
      <c r="E41" s="30" t="s">
        <v>7</v>
      </c>
      <c r="F41" s="29">
        <f>SUMIF(①농산물raw!$D$6:$D$1135,$C41,①농산물raw!$F$6:$F$1135)</f>
        <v>2650</v>
      </c>
      <c r="G41" s="29">
        <f>SUMIF(①농산물raw!$D$6:$D$1135,$C41,①농산물raw!$G$6:$G$1135)</f>
        <v>58030760</v>
      </c>
      <c r="H41" s="29">
        <f>SUMIF(①농산물raw!$D$6:$D$1135,$C41,①농산물raw!$H$6:$H$1135)</f>
        <v>3584910</v>
      </c>
      <c r="I41" s="30" t="s">
        <v>2057</v>
      </c>
    </row>
    <row r="42" spans="1:9">
      <c r="A42" s="30">
        <v>40</v>
      </c>
      <c r="B42" s="30" t="s">
        <v>47</v>
      </c>
      <c r="C42" s="30" t="s">
        <v>121</v>
      </c>
      <c r="D42" s="25" t="s">
        <v>122</v>
      </c>
      <c r="E42" s="30" t="s">
        <v>7</v>
      </c>
      <c r="F42" s="29">
        <f>SUMIF(①농산물raw!$D$6:$D$1135,$C42,①농산물raw!$F$6:$F$1135)</f>
        <v>0</v>
      </c>
      <c r="G42" s="29">
        <f>SUMIF(①농산물raw!$D$6:$D$1135,$C42,①농산물raw!$G$6:$G$1135)</f>
        <v>0</v>
      </c>
      <c r="H42" s="29">
        <f>SUMIF(①농산물raw!$D$6:$D$1135,$C42,①농산물raw!$H$6:$H$1135)</f>
        <v>0</v>
      </c>
      <c r="I42" s="25"/>
    </row>
    <row r="43" spans="1:9">
      <c r="A43" s="30">
        <v>41</v>
      </c>
      <c r="B43" s="30" t="s">
        <v>47</v>
      </c>
      <c r="C43" s="30" t="s">
        <v>123</v>
      </c>
      <c r="D43" s="25" t="s">
        <v>124</v>
      </c>
      <c r="E43" s="30" t="s">
        <v>7</v>
      </c>
      <c r="F43" s="29">
        <f>SUMIF(①농산물raw!$D$6:$D$1135,$C43,①농산물raw!$F$6:$F$1135)</f>
        <v>0</v>
      </c>
      <c r="G43" s="29">
        <f>SUMIF(①농산물raw!$D$6:$D$1135,$C43,①농산물raw!$G$6:$G$1135)</f>
        <v>0</v>
      </c>
      <c r="H43" s="29">
        <f>SUMIF(①농산물raw!$D$6:$D$1135,$C43,①농산물raw!$H$6:$H$1135)</f>
        <v>0</v>
      </c>
      <c r="I43" s="25"/>
    </row>
    <row r="44" spans="1:9">
      <c r="A44" s="30">
        <v>42</v>
      </c>
      <c r="B44" s="30" t="s">
        <v>39</v>
      </c>
      <c r="C44" s="30" t="s">
        <v>125</v>
      </c>
      <c r="D44" s="25" t="s">
        <v>126</v>
      </c>
      <c r="E44" s="30" t="s">
        <v>42</v>
      </c>
      <c r="F44" s="29">
        <f>SUMIF(①농산물raw!$D$6:$D$1135,$C44,①농산물raw!$F$6:$F$1135)</f>
        <v>0</v>
      </c>
      <c r="G44" s="29">
        <f>SUMIF(①농산물raw!$D$6:$D$1135,$C44,①농산물raw!$G$6:$G$1135)</f>
        <v>0</v>
      </c>
      <c r="H44" s="29">
        <f>SUMIF(①농산물raw!$D$6:$D$1135,$C44,①농산물raw!$H$6:$H$1135)</f>
        <v>0</v>
      </c>
      <c r="I44" s="30" t="s">
        <v>2057</v>
      </c>
    </row>
    <row r="45" spans="1:9">
      <c r="A45" s="30">
        <v>43</v>
      </c>
      <c r="B45" s="30" t="s">
        <v>39</v>
      </c>
      <c r="C45" s="30" t="s">
        <v>127</v>
      </c>
      <c r="D45" s="25" t="s">
        <v>128</v>
      </c>
      <c r="E45" s="30" t="s">
        <v>7</v>
      </c>
      <c r="F45" s="29">
        <f>SUMIF(①농산물raw!$D$6:$D$1135,$C45,①농산물raw!$F$6:$F$1135)</f>
        <v>2693</v>
      </c>
      <c r="G45" s="29">
        <f>SUMIF(①농산물raw!$D$6:$D$1135,$C45,①농산물raw!$G$6:$G$1135)</f>
        <v>58417010</v>
      </c>
      <c r="H45" s="29">
        <f>SUMIF(①농산물raw!$D$6:$D$1135,$C45,①농산물raw!$H$6:$H$1135)</f>
        <v>3563200</v>
      </c>
      <c r="I45" s="30" t="s">
        <v>2057</v>
      </c>
    </row>
    <row r="46" spans="1:9">
      <c r="A46" s="30">
        <v>44</v>
      </c>
      <c r="B46" s="30" t="s">
        <v>39</v>
      </c>
      <c r="C46" s="30" t="s">
        <v>129</v>
      </c>
      <c r="D46" s="25" t="s">
        <v>130</v>
      </c>
      <c r="E46" s="30" t="s">
        <v>42</v>
      </c>
      <c r="F46" s="29">
        <f>SUMIF(①농산물raw!$D$6:$D$1135,$C46,①농산물raw!$F$6:$F$1135)</f>
        <v>73</v>
      </c>
      <c r="G46" s="29">
        <f>SUMIF(①농산물raw!$D$6:$D$1135,$C46,①농산물raw!$G$6:$G$1135)</f>
        <v>2552440</v>
      </c>
      <c r="H46" s="29">
        <f>SUMIF(①농산물raw!$D$6:$D$1135,$C46,①농산물raw!$H$6:$H$1135)</f>
        <v>410540</v>
      </c>
      <c r="I46" s="30" t="s">
        <v>2057</v>
      </c>
    </row>
    <row r="47" spans="1:9">
      <c r="A47" s="30">
        <v>45</v>
      </c>
      <c r="B47" s="30" t="s">
        <v>39</v>
      </c>
      <c r="C47" s="30" t="s">
        <v>131</v>
      </c>
      <c r="D47" s="25" t="s">
        <v>132</v>
      </c>
      <c r="E47" s="30" t="s">
        <v>8</v>
      </c>
      <c r="F47" s="29">
        <f>SUMIF(①농산물raw!$D$6:$D$1135,$C47,①농산물raw!$F$6:$F$1135)</f>
        <v>306</v>
      </c>
      <c r="G47" s="29">
        <f>SUMIF(①농산물raw!$D$6:$D$1135,$C47,①농산물raw!$G$6:$G$1135)</f>
        <v>21613000</v>
      </c>
      <c r="H47" s="29">
        <f>SUMIF(①농산물raw!$D$6:$D$1135,$C47,①농산물raw!$H$6:$H$1135)</f>
        <v>1490640</v>
      </c>
      <c r="I47" s="30" t="s">
        <v>2057</v>
      </c>
    </row>
    <row r="48" spans="1:9">
      <c r="A48" s="30">
        <v>46</v>
      </c>
      <c r="B48" s="30" t="s">
        <v>39</v>
      </c>
      <c r="C48" s="30" t="s">
        <v>133</v>
      </c>
      <c r="D48" s="25" t="s">
        <v>134</v>
      </c>
      <c r="E48" s="30" t="s">
        <v>7</v>
      </c>
      <c r="F48" s="29">
        <f>SUMIF(①농산물raw!$D$6:$D$1135,$C48,①농산물raw!$F$6:$F$1135)</f>
        <v>0</v>
      </c>
      <c r="G48" s="29">
        <f>SUMIF(①농산물raw!$D$6:$D$1135,$C48,①농산물raw!$G$6:$G$1135)</f>
        <v>0</v>
      </c>
      <c r="H48" s="29">
        <f>SUMIF(①농산물raw!$D$6:$D$1135,$C48,①농산물raw!$H$6:$H$1135)</f>
        <v>0</v>
      </c>
      <c r="I48" s="25"/>
    </row>
    <row r="49" spans="1:9">
      <c r="A49" s="30">
        <v>47</v>
      </c>
      <c r="B49" s="30" t="s">
        <v>39</v>
      </c>
      <c r="C49" s="30" t="s">
        <v>135</v>
      </c>
      <c r="D49" s="25" t="s">
        <v>136</v>
      </c>
      <c r="E49" s="30" t="s">
        <v>8</v>
      </c>
      <c r="F49" s="29">
        <f>SUMIF(①농산물raw!$D$6:$D$1135,$C49,①농산물raw!$F$6:$F$1135)</f>
        <v>0</v>
      </c>
      <c r="G49" s="29">
        <f>SUMIF(①농산물raw!$D$6:$D$1135,$C49,①농산물raw!$G$6:$G$1135)</f>
        <v>0</v>
      </c>
      <c r="H49" s="29">
        <f>SUMIF(①농산물raw!$D$6:$D$1135,$C49,①농산물raw!$H$6:$H$1135)</f>
        <v>0</v>
      </c>
      <c r="I49" s="25"/>
    </row>
    <row r="50" spans="1:9">
      <c r="A50" s="30">
        <v>48</v>
      </c>
      <c r="B50" s="30" t="s">
        <v>39</v>
      </c>
      <c r="C50" s="30" t="s">
        <v>137</v>
      </c>
      <c r="D50" s="25" t="s">
        <v>138</v>
      </c>
      <c r="E50" s="30" t="s">
        <v>8</v>
      </c>
      <c r="F50" s="29">
        <f>SUMIF(①농산물raw!$D$6:$D$1135,$C50,①농산물raw!$F$6:$F$1135)</f>
        <v>53</v>
      </c>
      <c r="G50" s="29">
        <f>SUMIF(①농산물raw!$D$6:$D$1135,$C50,①농산물raw!$G$6:$G$1135)</f>
        <v>1606400</v>
      </c>
      <c r="H50" s="29">
        <f>SUMIF(①농산물raw!$D$6:$D$1135,$C50,①농산물raw!$H$6:$H$1135)</f>
        <v>132640</v>
      </c>
      <c r="I50" s="30" t="s">
        <v>2057</v>
      </c>
    </row>
    <row r="51" spans="1:9">
      <c r="A51" s="30">
        <v>49</v>
      </c>
      <c r="B51" s="30" t="s">
        <v>39</v>
      </c>
      <c r="C51" s="30" t="s">
        <v>139</v>
      </c>
      <c r="D51" s="25" t="s">
        <v>140</v>
      </c>
      <c r="E51" s="30" t="s">
        <v>8</v>
      </c>
      <c r="F51" s="29">
        <f>SUMIF(①농산물raw!$D$6:$D$1135,$C51,①농산물raw!$F$6:$F$1135)</f>
        <v>0</v>
      </c>
      <c r="G51" s="29">
        <f>SUMIF(①농산물raw!$D$6:$D$1135,$C51,①농산물raw!$G$6:$G$1135)</f>
        <v>0</v>
      </c>
      <c r="H51" s="29">
        <f>SUMIF(①농산물raw!$D$6:$D$1135,$C51,①농산물raw!$H$6:$H$1135)</f>
        <v>0</v>
      </c>
      <c r="I51" s="25"/>
    </row>
    <row r="52" spans="1:9">
      <c r="A52" s="30">
        <v>50</v>
      </c>
      <c r="B52" s="30" t="s">
        <v>39</v>
      </c>
      <c r="C52" s="30" t="s">
        <v>141</v>
      </c>
      <c r="D52" s="25" t="s">
        <v>142</v>
      </c>
      <c r="E52" s="30" t="s">
        <v>8</v>
      </c>
      <c r="F52" s="29">
        <f>SUMIF(①농산물raw!$D$6:$D$1135,$C52,①농산물raw!$F$6:$F$1135)</f>
        <v>0</v>
      </c>
      <c r="G52" s="29">
        <f>SUMIF(①농산물raw!$D$6:$D$1135,$C52,①농산물raw!$G$6:$G$1135)</f>
        <v>0</v>
      </c>
      <c r="H52" s="29">
        <f>SUMIF(①농산물raw!$D$6:$D$1135,$C52,①농산물raw!$H$6:$H$1135)</f>
        <v>0</v>
      </c>
      <c r="I52" s="25"/>
    </row>
    <row r="53" spans="1:9">
      <c r="A53" s="30">
        <v>51</v>
      </c>
      <c r="B53" s="30" t="s">
        <v>47</v>
      </c>
      <c r="C53" s="30" t="s">
        <v>143</v>
      </c>
      <c r="D53" s="25" t="s">
        <v>144</v>
      </c>
      <c r="E53" s="30" t="s">
        <v>10</v>
      </c>
      <c r="F53" s="29">
        <f>SUMIF(①농산물raw!$D$6:$D$1135,$C53,①농산물raw!$F$6:$F$1135)</f>
        <v>563</v>
      </c>
      <c r="G53" s="29">
        <f>SUMIF(①농산물raw!$D$6:$D$1135,$C53,①농산물raw!$G$6:$G$1135)</f>
        <v>28314500</v>
      </c>
      <c r="H53" s="29">
        <f>SUMIF(①농산물raw!$D$6:$D$1135,$C53,①농산물raw!$H$6:$H$1135)</f>
        <v>4699982</v>
      </c>
      <c r="I53" s="30" t="s">
        <v>2057</v>
      </c>
    </row>
    <row r="54" spans="1:9">
      <c r="A54" s="30">
        <v>52</v>
      </c>
      <c r="B54" s="30" t="s">
        <v>47</v>
      </c>
      <c r="C54" s="30" t="s">
        <v>145</v>
      </c>
      <c r="D54" s="25" t="s">
        <v>146</v>
      </c>
      <c r="E54" s="30" t="s">
        <v>10</v>
      </c>
      <c r="F54" s="29">
        <f>SUMIF(①농산물raw!$D$6:$D$1135,$C54,①농산물raw!$F$6:$F$1135)</f>
        <v>205</v>
      </c>
      <c r="G54" s="29">
        <f>SUMIF(①농산물raw!$D$6:$D$1135,$C54,①농산물raw!$G$6:$G$1135)</f>
        <v>4601100</v>
      </c>
      <c r="H54" s="29">
        <f>SUMIF(①농산물raw!$D$6:$D$1135,$C54,①농산물raw!$H$6:$H$1135)</f>
        <v>521871</v>
      </c>
      <c r="I54" s="30" t="s">
        <v>2057</v>
      </c>
    </row>
    <row r="55" spans="1:9">
      <c r="A55" s="30">
        <v>53</v>
      </c>
      <c r="B55" s="30" t="s">
        <v>39</v>
      </c>
      <c r="C55" s="30" t="s">
        <v>147</v>
      </c>
      <c r="D55" s="25" t="s">
        <v>148</v>
      </c>
      <c r="E55" s="30" t="s">
        <v>7</v>
      </c>
      <c r="F55" s="29">
        <f>SUMIF(①농산물raw!$D$6:$D$1135,$C55,①농산물raw!$F$6:$F$1135)</f>
        <v>0</v>
      </c>
      <c r="G55" s="29">
        <f>SUMIF(①농산물raw!$D$6:$D$1135,$C55,①농산물raw!$G$6:$G$1135)</f>
        <v>0</v>
      </c>
      <c r="H55" s="29">
        <f>SUMIF(①농산물raw!$D$6:$D$1135,$C55,①농산물raw!$H$6:$H$1135)</f>
        <v>0</v>
      </c>
      <c r="I55" s="25"/>
    </row>
    <row r="56" spans="1:9">
      <c r="A56" s="30">
        <v>54</v>
      </c>
      <c r="B56" s="30" t="s">
        <v>39</v>
      </c>
      <c r="C56" s="30" t="s">
        <v>149</v>
      </c>
      <c r="D56" s="25" t="s">
        <v>150</v>
      </c>
      <c r="E56" s="30" t="s">
        <v>8</v>
      </c>
      <c r="F56" s="29">
        <f>SUMIF(①농산물raw!$D$6:$D$1135,$C56,①농산물raw!$F$6:$F$1135)</f>
        <v>3</v>
      </c>
      <c r="G56" s="29">
        <f>SUMIF(①농산물raw!$D$6:$D$1135,$C56,①농산물raw!$G$6:$G$1135)</f>
        <v>80700</v>
      </c>
      <c r="H56" s="29">
        <f>SUMIF(①농산물raw!$D$6:$D$1135,$C56,①농산물raw!$H$6:$H$1135)</f>
        <v>4570</v>
      </c>
      <c r="I56" s="30" t="s">
        <v>2057</v>
      </c>
    </row>
    <row r="57" spans="1:9">
      <c r="A57" s="30">
        <v>55</v>
      </c>
      <c r="B57" s="30" t="s">
        <v>39</v>
      </c>
      <c r="C57" s="30" t="s">
        <v>151</v>
      </c>
      <c r="D57" s="25" t="s">
        <v>152</v>
      </c>
      <c r="E57" s="30" t="s">
        <v>42</v>
      </c>
      <c r="F57" s="29">
        <f>SUMIF(①농산물raw!$D$6:$D$1135,$C57,①농산물raw!$F$6:$F$1135)</f>
        <v>0</v>
      </c>
      <c r="G57" s="29">
        <f>SUMIF(①농산물raw!$D$6:$D$1135,$C57,①농산물raw!$G$6:$G$1135)</f>
        <v>0</v>
      </c>
      <c r="H57" s="29">
        <f>SUMIF(①농산물raw!$D$6:$D$1135,$C57,①농산물raw!$H$6:$H$1135)</f>
        <v>0</v>
      </c>
      <c r="I57" s="25"/>
    </row>
    <row r="58" spans="1:9">
      <c r="A58" s="30">
        <v>56</v>
      </c>
      <c r="B58" s="30" t="s">
        <v>39</v>
      </c>
      <c r="C58" s="30" t="s">
        <v>153</v>
      </c>
      <c r="D58" s="25" t="s">
        <v>154</v>
      </c>
      <c r="E58" s="30" t="s">
        <v>42</v>
      </c>
      <c r="F58" s="29">
        <f>SUMIF(①농산물raw!$D$6:$D$1135,$C58,①농산물raw!$F$6:$F$1135)</f>
        <v>3</v>
      </c>
      <c r="G58" s="29">
        <f>SUMIF(①농산물raw!$D$6:$D$1135,$C58,①농산물raw!$G$6:$G$1135)</f>
        <v>143700</v>
      </c>
      <c r="H58" s="29">
        <f>SUMIF(①농산물raw!$D$6:$D$1135,$C58,①농산물raw!$H$6:$H$1135)</f>
        <v>27460</v>
      </c>
      <c r="I58" s="30" t="s">
        <v>2057</v>
      </c>
    </row>
    <row r="59" spans="1:9">
      <c r="A59" s="30">
        <v>57</v>
      </c>
      <c r="B59" s="30" t="s">
        <v>47</v>
      </c>
      <c r="C59" s="30" t="s">
        <v>155</v>
      </c>
      <c r="D59" s="25" t="s">
        <v>156</v>
      </c>
      <c r="E59" s="30" t="s">
        <v>11</v>
      </c>
      <c r="F59" s="29">
        <f>SUMIF(①농산물raw!$D$6:$D$1135,$C59,①농산물raw!$F$6:$F$1135)</f>
        <v>119</v>
      </c>
      <c r="G59" s="29">
        <f>SUMIF(①농산물raw!$D$6:$D$1135,$C59,①농산물raw!$G$6:$G$1135)</f>
        <v>1134714</v>
      </c>
      <c r="H59" s="29">
        <f>SUMIF(①농산물raw!$D$6:$D$1135,$C59,①농산물raw!$H$6:$H$1135)</f>
        <v>42580</v>
      </c>
      <c r="I59" s="30" t="s">
        <v>2057</v>
      </c>
    </row>
    <row r="60" spans="1:9">
      <c r="A60" s="30">
        <v>58</v>
      </c>
      <c r="B60" s="30" t="s">
        <v>47</v>
      </c>
      <c r="C60" s="30" t="s">
        <v>157</v>
      </c>
      <c r="D60" s="25" t="s">
        <v>158</v>
      </c>
      <c r="E60" s="30" t="s">
        <v>7</v>
      </c>
      <c r="F60" s="29">
        <f>SUMIF(①농산물raw!$D$6:$D$1135,$C60,①농산물raw!$F$6:$F$1135)</f>
        <v>10</v>
      </c>
      <c r="G60" s="29">
        <f>SUMIF(①농산물raw!$D$6:$D$1135,$C60,①농산물raw!$G$6:$G$1135)</f>
        <v>201000</v>
      </c>
      <c r="H60" s="29">
        <f>SUMIF(①농산물raw!$D$6:$D$1135,$C60,①농산물raw!$H$6:$H$1135)</f>
        <v>4200</v>
      </c>
      <c r="I60" s="30" t="s">
        <v>2057</v>
      </c>
    </row>
    <row r="61" spans="1:9">
      <c r="A61" s="30">
        <v>59</v>
      </c>
      <c r="B61" s="30" t="s">
        <v>39</v>
      </c>
      <c r="C61" s="30" t="s">
        <v>159</v>
      </c>
      <c r="D61" s="25" t="s">
        <v>160</v>
      </c>
      <c r="E61" s="30" t="s">
        <v>7</v>
      </c>
      <c r="F61" s="29">
        <f>SUMIF(①농산물raw!$D$6:$D$1135,$C61,①농산물raw!$F$6:$F$1135)</f>
        <v>0</v>
      </c>
      <c r="G61" s="29">
        <f>SUMIF(①농산물raw!$D$6:$D$1135,$C61,①농산물raw!$G$6:$G$1135)</f>
        <v>0</v>
      </c>
      <c r="H61" s="29">
        <f>SUMIF(①농산물raw!$D$6:$D$1135,$C61,①농산물raw!$H$6:$H$1135)</f>
        <v>0</v>
      </c>
      <c r="I61" s="25"/>
    </row>
    <row r="62" spans="1:9">
      <c r="A62" s="30">
        <v>60</v>
      </c>
      <c r="B62" s="30" t="s">
        <v>39</v>
      </c>
      <c r="C62" s="30" t="s">
        <v>161</v>
      </c>
      <c r="D62" s="25" t="s">
        <v>162</v>
      </c>
      <c r="E62" s="30" t="s">
        <v>42</v>
      </c>
      <c r="F62" s="29">
        <f>SUMIF(①농산물raw!$D$6:$D$1135,$C62,①농산물raw!$F$6:$F$1135)</f>
        <v>936</v>
      </c>
      <c r="G62" s="29">
        <f>SUMIF(①농산물raw!$D$6:$D$1135,$C62,①농산물raw!$G$6:$G$1135)</f>
        <v>47358000</v>
      </c>
      <c r="H62" s="29">
        <f>SUMIF(①농산물raw!$D$6:$D$1135,$C62,①농산물raw!$H$6:$H$1135)</f>
        <v>5003480</v>
      </c>
      <c r="I62" s="30" t="s">
        <v>2057</v>
      </c>
    </row>
    <row r="63" spans="1:9">
      <c r="A63" s="30">
        <v>61</v>
      </c>
      <c r="B63" s="30" t="s">
        <v>39</v>
      </c>
      <c r="C63" s="30" t="s">
        <v>163</v>
      </c>
      <c r="D63" s="25" t="s">
        <v>164</v>
      </c>
      <c r="E63" s="30" t="s">
        <v>7</v>
      </c>
      <c r="F63" s="29">
        <f>SUMIF(①농산물raw!$D$6:$D$1135,$C63,①농산물raw!$F$6:$F$1135)</f>
        <v>0</v>
      </c>
      <c r="G63" s="29">
        <f>SUMIF(①농산물raw!$D$6:$D$1135,$C63,①농산물raw!$G$6:$G$1135)</f>
        <v>0</v>
      </c>
      <c r="H63" s="29">
        <f>SUMIF(①농산물raw!$D$6:$D$1135,$C63,①농산물raw!$H$6:$H$1135)</f>
        <v>0</v>
      </c>
      <c r="I63" s="25"/>
    </row>
    <row r="64" spans="1:9">
      <c r="A64" s="30">
        <v>62</v>
      </c>
      <c r="B64" s="30" t="s">
        <v>47</v>
      </c>
      <c r="C64" s="30" t="s">
        <v>165</v>
      </c>
      <c r="D64" s="25" t="s">
        <v>166</v>
      </c>
      <c r="E64" s="30" t="s">
        <v>8</v>
      </c>
      <c r="F64" s="29">
        <f>SUMIF(①농산물raw!$D$6:$D$1135,$C64,①농산물raw!$F$6:$F$1135)</f>
        <v>0</v>
      </c>
      <c r="G64" s="29">
        <f>SUMIF(①농산물raw!$D$6:$D$1135,$C64,①농산물raw!$G$6:$G$1135)</f>
        <v>0</v>
      </c>
      <c r="H64" s="29">
        <f>SUMIF(①농산물raw!$D$6:$D$1135,$C64,①농산물raw!$H$6:$H$1135)</f>
        <v>0</v>
      </c>
      <c r="I64" s="25"/>
    </row>
    <row r="65" spans="1:9">
      <c r="A65" s="30">
        <v>63</v>
      </c>
      <c r="B65" s="30" t="s">
        <v>39</v>
      </c>
      <c r="C65" s="30" t="s">
        <v>167</v>
      </c>
      <c r="D65" s="25" t="s">
        <v>168</v>
      </c>
      <c r="E65" s="30" t="s">
        <v>7</v>
      </c>
      <c r="F65" s="29">
        <f>SUMIF(①농산물raw!$D$6:$D$1135,$C65,①농산물raw!$F$6:$F$1135)</f>
        <v>402</v>
      </c>
      <c r="G65" s="29">
        <f>SUMIF(①농산물raw!$D$6:$D$1135,$C65,①농산물raw!$G$6:$G$1135)</f>
        <v>9408500</v>
      </c>
      <c r="H65" s="29">
        <f>SUMIF(①농산물raw!$D$6:$D$1135,$C65,①농산물raw!$H$6:$H$1135)</f>
        <v>765990</v>
      </c>
      <c r="I65" s="30" t="s">
        <v>2057</v>
      </c>
    </row>
    <row r="66" spans="1:9">
      <c r="A66" s="30">
        <v>64</v>
      </c>
      <c r="B66" s="30" t="s">
        <v>39</v>
      </c>
      <c r="C66" s="30" t="s">
        <v>169</v>
      </c>
      <c r="D66" s="25" t="s">
        <v>170</v>
      </c>
      <c r="E66" s="30" t="s">
        <v>8</v>
      </c>
      <c r="F66" s="29">
        <f>SUMIF(①농산물raw!$D$6:$D$1135,$C66,①농산물raw!$F$6:$F$1135)</f>
        <v>14</v>
      </c>
      <c r="G66" s="29">
        <f>SUMIF(①농산물raw!$D$6:$D$1135,$C66,①농산물raw!$G$6:$G$1135)</f>
        <v>197000</v>
      </c>
      <c r="H66" s="29">
        <f>SUMIF(①농산물raw!$D$6:$D$1135,$C66,①농산물raw!$H$6:$H$1135)</f>
        <v>0</v>
      </c>
      <c r="I66" s="30" t="s">
        <v>2057</v>
      </c>
    </row>
    <row r="67" spans="1:9">
      <c r="A67" s="30">
        <v>65</v>
      </c>
      <c r="B67" s="30" t="s">
        <v>39</v>
      </c>
      <c r="C67" s="30" t="s">
        <v>171</v>
      </c>
      <c r="D67" s="25" t="s">
        <v>172</v>
      </c>
      <c r="E67" s="30" t="s">
        <v>42</v>
      </c>
      <c r="F67" s="29">
        <f>SUMIF(①농산물raw!$D$6:$D$1135,$C67,①농산물raw!$F$6:$F$1135)</f>
        <v>8</v>
      </c>
      <c r="G67" s="29">
        <f>SUMIF(①농산물raw!$D$6:$D$1135,$C67,①농산물raw!$G$6:$G$1135)</f>
        <v>107200</v>
      </c>
      <c r="H67" s="29">
        <f>SUMIF(①농산물raw!$D$6:$D$1135,$C67,①농산물raw!$H$6:$H$1135)</f>
        <v>20150</v>
      </c>
      <c r="I67" s="30" t="s">
        <v>2057</v>
      </c>
    </row>
    <row r="68" spans="1:9">
      <c r="A68" s="30">
        <v>66</v>
      </c>
      <c r="B68" s="30" t="s">
        <v>50</v>
      </c>
      <c r="C68" s="30" t="s">
        <v>173</v>
      </c>
      <c r="D68" s="25" t="s">
        <v>174</v>
      </c>
      <c r="E68" s="30" t="s">
        <v>7</v>
      </c>
      <c r="F68" s="29">
        <f>SUMIF(①농산물raw!$D$6:$D$1135,$C68,①농산물raw!$F$6:$F$1135)</f>
        <v>0</v>
      </c>
      <c r="G68" s="29">
        <f>SUMIF(①농산물raw!$D$6:$D$1135,$C68,①농산물raw!$G$6:$G$1135)</f>
        <v>0</v>
      </c>
      <c r="H68" s="29">
        <f>SUMIF(①농산물raw!$D$6:$D$1135,$C68,①농산물raw!$H$6:$H$1135)</f>
        <v>0</v>
      </c>
      <c r="I68" s="25"/>
    </row>
    <row r="69" spans="1:9">
      <c r="A69" s="30">
        <v>67</v>
      </c>
      <c r="B69" s="30" t="s">
        <v>39</v>
      </c>
      <c r="C69" s="30" t="s">
        <v>175</v>
      </c>
      <c r="D69" s="25" t="s">
        <v>176</v>
      </c>
      <c r="E69" s="30" t="s">
        <v>8</v>
      </c>
      <c r="F69" s="29">
        <f>SUMIF(①농산물raw!$D$6:$D$1135,$C69,①농산물raw!$F$6:$F$1135)</f>
        <v>3</v>
      </c>
      <c r="G69" s="29">
        <f>SUMIF(①농산물raw!$D$6:$D$1135,$C69,①농산물raw!$G$6:$G$1135)</f>
        <v>50400</v>
      </c>
      <c r="H69" s="29">
        <f>SUMIF(①농산물raw!$D$6:$D$1135,$C69,①농산물raw!$H$6:$H$1135)</f>
        <v>0</v>
      </c>
      <c r="I69" s="30" t="s">
        <v>2057</v>
      </c>
    </row>
    <row r="70" spans="1:9">
      <c r="A70" s="30">
        <v>68</v>
      </c>
      <c r="B70" s="30" t="s">
        <v>50</v>
      </c>
      <c r="C70" s="30" t="s">
        <v>177</v>
      </c>
      <c r="D70" s="25" t="s">
        <v>178</v>
      </c>
      <c r="E70" s="30" t="s">
        <v>7</v>
      </c>
      <c r="F70" s="29">
        <f>SUMIF(①농산물raw!$D$6:$D$1135,$C70,①농산물raw!$F$6:$F$1135)</f>
        <v>46</v>
      </c>
      <c r="G70" s="29">
        <f>SUMIF(①농산물raw!$D$6:$D$1135,$C70,①농산물raw!$G$6:$G$1135)</f>
        <v>1556900</v>
      </c>
      <c r="H70" s="29">
        <f>SUMIF(①농산물raw!$D$6:$D$1135,$C70,①농산물raw!$H$6:$H$1135)</f>
        <v>81520</v>
      </c>
      <c r="I70" s="30" t="s">
        <v>2057</v>
      </c>
    </row>
    <row r="71" spans="1:9">
      <c r="A71" s="30">
        <v>69</v>
      </c>
      <c r="B71" s="30" t="s">
        <v>39</v>
      </c>
      <c r="C71" s="30" t="s">
        <v>179</v>
      </c>
      <c r="D71" s="25" t="s">
        <v>180</v>
      </c>
      <c r="E71" s="30" t="s">
        <v>42</v>
      </c>
      <c r="F71" s="29">
        <f>SUMIF(①농산물raw!$D$6:$D$1135,$C71,①농산물raw!$F$6:$F$1135)</f>
        <v>0</v>
      </c>
      <c r="G71" s="29">
        <f>SUMIF(①농산물raw!$D$6:$D$1135,$C71,①농산물raw!$G$6:$G$1135)</f>
        <v>0</v>
      </c>
      <c r="H71" s="29">
        <f>SUMIF(①농산물raw!$D$6:$D$1135,$C71,①농산물raw!$H$6:$H$1135)</f>
        <v>0</v>
      </c>
      <c r="I71" s="25"/>
    </row>
    <row r="72" spans="1:9">
      <c r="A72" s="30">
        <v>70</v>
      </c>
      <c r="B72" s="30" t="s">
        <v>39</v>
      </c>
      <c r="C72" s="30" t="s">
        <v>181</v>
      </c>
      <c r="D72" s="25" t="s">
        <v>182</v>
      </c>
      <c r="E72" s="30" t="s">
        <v>7</v>
      </c>
      <c r="F72" s="29">
        <f>SUMIF(①농산물raw!$D$6:$D$1135,$C72,①농산물raw!$F$6:$F$1135)</f>
        <v>881</v>
      </c>
      <c r="G72" s="29">
        <f>SUMIF(①농산물raw!$D$6:$D$1135,$C72,①농산물raw!$G$6:$G$1135)</f>
        <v>24877810</v>
      </c>
      <c r="H72" s="29">
        <f>SUMIF(①농산물raw!$D$6:$D$1135,$C72,①농산물raw!$H$6:$H$1135)</f>
        <v>716960</v>
      </c>
      <c r="I72" s="30" t="s">
        <v>2057</v>
      </c>
    </row>
    <row r="73" spans="1:9">
      <c r="A73" s="30">
        <v>71</v>
      </c>
      <c r="B73" s="30" t="s">
        <v>50</v>
      </c>
      <c r="C73" s="30" t="s">
        <v>183</v>
      </c>
      <c r="D73" s="25" t="s">
        <v>184</v>
      </c>
      <c r="E73" s="30" t="s">
        <v>10</v>
      </c>
      <c r="F73" s="29">
        <f>SUMIF(①농산물raw!$D$6:$D$1135,$C73,①농산물raw!$F$6:$F$1135)</f>
        <v>15</v>
      </c>
      <c r="G73" s="29">
        <f>SUMIF(①농산물raw!$D$6:$D$1135,$C73,①농산물raw!$G$6:$G$1135)</f>
        <v>264000</v>
      </c>
      <c r="H73" s="29">
        <f>SUMIF(①농산물raw!$D$6:$D$1135,$C73,①농산물raw!$H$6:$H$1135)</f>
        <v>27600</v>
      </c>
      <c r="I73" s="30" t="s">
        <v>2057</v>
      </c>
    </row>
    <row r="74" spans="1:9">
      <c r="A74" s="30">
        <v>72</v>
      </c>
      <c r="B74" s="30" t="s">
        <v>39</v>
      </c>
      <c r="C74" s="30" t="s">
        <v>185</v>
      </c>
      <c r="D74" s="25" t="s">
        <v>186</v>
      </c>
      <c r="E74" s="30" t="s">
        <v>42</v>
      </c>
      <c r="F74" s="29">
        <f>SUMIF(①농산물raw!$D$6:$D$1135,$C74,①농산물raw!$F$6:$F$1135)</f>
        <v>729</v>
      </c>
      <c r="G74" s="29">
        <f>SUMIF(①농산물raw!$D$6:$D$1135,$C74,①농산물raw!$G$6:$G$1135)</f>
        <v>37312000</v>
      </c>
      <c r="H74" s="29">
        <f>SUMIF(①농산물raw!$D$6:$D$1135,$C74,①농산물raw!$H$6:$H$1135)</f>
        <v>4967600</v>
      </c>
      <c r="I74" s="30" t="s">
        <v>2057</v>
      </c>
    </row>
    <row r="75" spans="1:9">
      <c r="A75" s="30">
        <v>73</v>
      </c>
      <c r="B75" s="30" t="s">
        <v>39</v>
      </c>
      <c r="C75" s="30" t="s">
        <v>187</v>
      </c>
      <c r="D75" s="25" t="s">
        <v>188</v>
      </c>
      <c r="E75" s="30" t="s">
        <v>42</v>
      </c>
      <c r="F75" s="29">
        <f>SUMIF(①농산물raw!$D$6:$D$1135,$C75,①농산물raw!$F$6:$F$1135)</f>
        <v>18</v>
      </c>
      <c r="G75" s="29">
        <f>SUMIF(①농산물raw!$D$6:$D$1135,$C75,①농산물raw!$G$6:$G$1135)</f>
        <v>590400</v>
      </c>
      <c r="H75" s="29">
        <f>SUMIF(①농산물raw!$D$6:$D$1135,$C75,①농산물raw!$H$6:$H$1135)</f>
        <v>100020</v>
      </c>
      <c r="I75" s="30" t="s">
        <v>2057</v>
      </c>
    </row>
    <row r="76" spans="1:9">
      <c r="A76" s="30">
        <v>74</v>
      </c>
      <c r="B76" s="30" t="s">
        <v>39</v>
      </c>
      <c r="C76" s="30" t="s">
        <v>189</v>
      </c>
      <c r="D76" s="25" t="s">
        <v>190</v>
      </c>
      <c r="E76" s="30" t="s">
        <v>7</v>
      </c>
      <c r="F76" s="29">
        <f>SUMIF(①농산물raw!$D$6:$D$1135,$C76,①농산물raw!$F$6:$F$1135)</f>
        <v>58</v>
      </c>
      <c r="G76" s="29">
        <f>SUMIF(①농산물raw!$D$6:$D$1135,$C76,①농산물raw!$G$6:$G$1135)</f>
        <v>2187000</v>
      </c>
      <c r="H76" s="29">
        <f>SUMIF(①농산물raw!$D$6:$D$1135,$C76,①농산물raw!$H$6:$H$1135)</f>
        <v>99600</v>
      </c>
      <c r="I76" s="30" t="s">
        <v>2057</v>
      </c>
    </row>
    <row r="77" spans="1:9">
      <c r="A77" s="30">
        <v>75</v>
      </c>
      <c r="B77" s="30" t="s">
        <v>39</v>
      </c>
      <c r="C77" s="30" t="s">
        <v>191</v>
      </c>
      <c r="D77" s="25" t="s">
        <v>192</v>
      </c>
      <c r="E77" s="30" t="s">
        <v>8</v>
      </c>
      <c r="F77" s="29">
        <f>SUMIF(①농산물raw!$D$6:$D$1135,$C77,①농산물raw!$F$6:$F$1135)</f>
        <v>108</v>
      </c>
      <c r="G77" s="29">
        <f>SUMIF(①농산물raw!$D$6:$D$1135,$C77,①농산물raw!$G$6:$G$1135)</f>
        <v>1677200</v>
      </c>
      <c r="H77" s="29">
        <f>SUMIF(①농산물raw!$D$6:$D$1135,$C77,①농산물raw!$H$6:$H$1135)</f>
        <v>57260</v>
      </c>
      <c r="I77" s="30" t="s">
        <v>2057</v>
      </c>
    </row>
    <row r="78" spans="1:9">
      <c r="A78" s="30">
        <v>76</v>
      </c>
      <c r="B78" s="30" t="s">
        <v>39</v>
      </c>
      <c r="C78" s="30" t="s">
        <v>193</v>
      </c>
      <c r="D78" s="25" t="s">
        <v>194</v>
      </c>
      <c r="E78" s="30" t="s">
        <v>7</v>
      </c>
      <c r="F78" s="29">
        <f>SUMIF(①농산물raw!$D$6:$D$1135,$C78,①농산물raw!$F$6:$F$1135)</f>
        <v>2814</v>
      </c>
      <c r="G78" s="29">
        <f>SUMIF(①농산물raw!$D$6:$D$1135,$C78,①농산물raw!$G$6:$G$1135)</f>
        <v>152877000</v>
      </c>
      <c r="H78" s="29">
        <f>SUMIF(①농산물raw!$D$6:$D$1135,$C78,①농산물raw!$H$6:$H$1135)</f>
        <v>5085890</v>
      </c>
      <c r="I78" s="30" t="s">
        <v>2057</v>
      </c>
    </row>
    <row r="79" spans="1:9">
      <c r="A79" s="30">
        <v>77</v>
      </c>
      <c r="B79" s="30" t="s">
        <v>39</v>
      </c>
      <c r="C79" s="30" t="s">
        <v>195</v>
      </c>
      <c r="D79" s="25" t="s">
        <v>196</v>
      </c>
      <c r="E79" s="30" t="s">
        <v>7</v>
      </c>
      <c r="F79" s="29">
        <f>SUMIF(①농산물raw!$D$6:$D$1135,$C79,①농산물raw!$F$6:$F$1135)</f>
        <v>9456</v>
      </c>
      <c r="G79" s="29">
        <f>SUMIF(①농산물raw!$D$6:$D$1135,$C79,①농산물raw!$G$6:$G$1135)</f>
        <v>256374600</v>
      </c>
      <c r="H79" s="29">
        <f>SUMIF(①농산물raw!$D$6:$D$1135,$C79,①농산물raw!$H$6:$H$1135)</f>
        <v>2698820</v>
      </c>
      <c r="I79" s="30" t="s">
        <v>2057</v>
      </c>
    </row>
    <row r="80" spans="1:9">
      <c r="A80" s="30">
        <v>78</v>
      </c>
      <c r="B80" s="30" t="s">
        <v>39</v>
      </c>
      <c r="C80" s="30" t="s">
        <v>197</v>
      </c>
      <c r="D80" s="25" t="s">
        <v>198</v>
      </c>
      <c r="E80" s="30" t="s">
        <v>42</v>
      </c>
      <c r="F80" s="29">
        <f>SUMIF(①농산물raw!$D$6:$D$1135,$C80,①농산물raw!$F$6:$F$1135)</f>
        <v>723</v>
      </c>
      <c r="G80" s="29">
        <f>SUMIF(①농산물raw!$D$6:$D$1135,$C80,①농산물raw!$G$6:$G$1135)</f>
        <v>26083350</v>
      </c>
      <c r="H80" s="29">
        <f>SUMIF(①농산물raw!$D$6:$D$1135,$C80,①농산물raw!$H$6:$H$1135)</f>
        <v>5105280</v>
      </c>
      <c r="I80" s="30" t="s">
        <v>2057</v>
      </c>
    </row>
    <row r="81" spans="1:9">
      <c r="A81" s="30">
        <v>79</v>
      </c>
      <c r="B81" s="30" t="s">
        <v>39</v>
      </c>
      <c r="C81" s="30" t="s">
        <v>199</v>
      </c>
      <c r="D81" s="25" t="s">
        <v>200</v>
      </c>
      <c r="E81" s="30" t="s">
        <v>8</v>
      </c>
      <c r="F81" s="29">
        <f>SUMIF(①농산물raw!$D$6:$D$1135,$C81,①농산물raw!$F$6:$F$1135)</f>
        <v>633</v>
      </c>
      <c r="G81" s="29">
        <f>SUMIF(①농산물raw!$D$6:$D$1135,$C81,①농산물raw!$G$6:$G$1135)</f>
        <v>27924400</v>
      </c>
      <c r="H81" s="29">
        <f>SUMIF(①농산물raw!$D$6:$D$1135,$C81,①농산물raw!$H$6:$H$1135)</f>
        <v>1667520</v>
      </c>
      <c r="I81" s="30" t="s">
        <v>2057</v>
      </c>
    </row>
    <row r="82" spans="1:9">
      <c r="A82" s="30">
        <v>80</v>
      </c>
      <c r="B82" s="30" t="s">
        <v>39</v>
      </c>
      <c r="C82" s="30" t="s">
        <v>201</v>
      </c>
      <c r="D82" s="25" t="s">
        <v>202</v>
      </c>
      <c r="E82" s="30" t="s">
        <v>7</v>
      </c>
      <c r="F82" s="29">
        <f>SUMIF(①농산물raw!$D$6:$D$1135,$C82,①농산물raw!$F$6:$F$1135)</f>
        <v>209</v>
      </c>
      <c r="G82" s="29">
        <f>SUMIF(①농산물raw!$D$6:$D$1135,$C82,①농산물raw!$G$6:$G$1135)</f>
        <v>7412120</v>
      </c>
      <c r="H82" s="29">
        <f>SUMIF(①농산물raw!$D$6:$D$1135,$C82,①농산물raw!$H$6:$H$1135)</f>
        <v>878100</v>
      </c>
      <c r="I82" s="30" t="s">
        <v>2057</v>
      </c>
    </row>
    <row r="83" spans="1:9">
      <c r="A83" s="30">
        <v>81</v>
      </c>
      <c r="B83" s="30" t="s">
        <v>39</v>
      </c>
      <c r="C83" s="30" t="s">
        <v>203</v>
      </c>
      <c r="D83" s="25" t="s">
        <v>204</v>
      </c>
      <c r="E83" s="30" t="s">
        <v>12</v>
      </c>
      <c r="F83" s="29">
        <f>SUMIF(①농산물raw!$D$6:$D$1135,$C83,①농산물raw!$F$6:$F$1135)</f>
        <v>50575</v>
      </c>
      <c r="G83" s="29">
        <f>SUMIF(①농산물raw!$D$6:$D$1135,$C83,①농산물raw!$G$6:$G$1135)</f>
        <v>103668070</v>
      </c>
      <c r="H83" s="29">
        <f>SUMIF(①농산물raw!$D$6:$D$1135,$C83,①농산물raw!$H$6:$H$1135)</f>
        <v>861555</v>
      </c>
      <c r="I83" s="30" t="s">
        <v>2057</v>
      </c>
    </row>
    <row r="84" spans="1:9">
      <c r="A84" s="30">
        <v>82</v>
      </c>
      <c r="B84" s="30" t="s">
        <v>47</v>
      </c>
      <c r="C84" s="30" t="s">
        <v>205</v>
      </c>
      <c r="D84" s="25" t="s">
        <v>206</v>
      </c>
      <c r="E84" s="30" t="s">
        <v>7</v>
      </c>
      <c r="F84" s="29">
        <f>SUMIF(①농산물raw!$D$6:$D$1135,$C84,①농산물raw!$F$6:$F$1135)</f>
        <v>0</v>
      </c>
      <c r="G84" s="29">
        <f>SUMIF(①농산물raw!$D$6:$D$1135,$C84,①농산물raw!$G$6:$G$1135)</f>
        <v>0</v>
      </c>
      <c r="H84" s="29">
        <f>SUMIF(①농산물raw!$D$6:$D$1135,$C84,①농산물raw!$H$6:$H$1135)</f>
        <v>0</v>
      </c>
      <c r="I84" s="25"/>
    </row>
    <row r="85" spans="1:9">
      <c r="A85" s="30">
        <v>83</v>
      </c>
      <c r="B85" s="30" t="s">
        <v>50</v>
      </c>
      <c r="C85" s="30" t="s">
        <v>207</v>
      </c>
      <c r="D85" s="25" t="s">
        <v>208</v>
      </c>
      <c r="E85" s="30" t="s">
        <v>7</v>
      </c>
      <c r="F85" s="29">
        <f>SUMIF(①농산물raw!$D$6:$D$1135,$C85,①농산물raw!$F$6:$F$1135)</f>
        <v>66</v>
      </c>
      <c r="G85" s="29">
        <f>SUMIF(①농산물raw!$D$6:$D$1135,$C85,①농산물raw!$G$6:$G$1135)</f>
        <v>2028200</v>
      </c>
      <c r="H85" s="29">
        <f>SUMIF(①농산물raw!$D$6:$D$1135,$C85,①농산물raw!$H$6:$H$1135)</f>
        <v>16940</v>
      </c>
      <c r="I85" s="30" t="s">
        <v>2057</v>
      </c>
    </row>
    <row r="86" spans="1:9">
      <c r="A86" s="30">
        <v>84</v>
      </c>
      <c r="B86" s="30" t="s">
        <v>47</v>
      </c>
      <c r="C86" s="30" t="s">
        <v>209</v>
      </c>
      <c r="D86" s="25" t="s">
        <v>210</v>
      </c>
      <c r="E86" s="30" t="s">
        <v>7</v>
      </c>
      <c r="F86" s="29">
        <f>SUMIF(①농산물raw!$D$6:$D$1135,$C86,①농산물raw!$F$6:$F$1135)</f>
        <v>0</v>
      </c>
      <c r="G86" s="29">
        <f>SUMIF(①농산물raw!$D$6:$D$1135,$C86,①농산물raw!$G$6:$G$1135)</f>
        <v>0</v>
      </c>
      <c r="H86" s="29">
        <f>SUMIF(①농산물raw!$D$6:$D$1135,$C86,①농산물raw!$H$6:$H$1135)</f>
        <v>0</v>
      </c>
      <c r="I86" s="25"/>
    </row>
    <row r="87" spans="1:9">
      <c r="A87" s="30">
        <v>85</v>
      </c>
      <c r="B87" s="30" t="s">
        <v>39</v>
      </c>
      <c r="C87" s="30" t="s">
        <v>211</v>
      </c>
      <c r="D87" s="25" t="s">
        <v>212</v>
      </c>
      <c r="E87" s="30" t="s">
        <v>7</v>
      </c>
      <c r="F87" s="29">
        <f>SUMIF(①농산물raw!$D$6:$D$1135,$C87,①농산물raw!$F$6:$F$1135)</f>
        <v>244</v>
      </c>
      <c r="G87" s="29">
        <f>SUMIF(①농산물raw!$D$6:$D$1135,$C87,①농산물raw!$G$6:$G$1135)</f>
        <v>5643000</v>
      </c>
      <c r="H87" s="29">
        <f>SUMIF(①농산물raw!$D$6:$D$1135,$C87,①농산물raw!$H$6:$H$1135)</f>
        <v>591900</v>
      </c>
      <c r="I87" s="30" t="s">
        <v>2057</v>
      </c>
    </row>
    <row r="88" spans="1:9">
      <c r="A88" s="30">
        <v>86</v>
      </c>
      <c r="B88" s="30" t="s">
        <v>47</v>
      </c>
      <c r="C88" s="30" t="s">
        <v>213</v>
      </c>
      <c r="D88" s="25" t="s">
        <v>214</v>
      </c>
      <c r="E88" s="30" t="s">
        <v>7</v>
      </c>
      <c r="F88" s="29">
        <f>SUMIF(①농산물raw!$D$6:$D$1135,$C88,①농산물raw!$F$6:$F$1135)</f>
        <v>3</v>
      </c>
      <c r="G88" s="29">
        <f>SUMIF(①농산물raw!$D$6:$D$1135,$C88,①농산물raw!$G$6:$G$1135)</f>
        <v>240000</v>
      </c>
      <c r="H88" s="29">
        <f>SUMIF(①농산물raw!$D$6:$D$1135,$C88,①농산물raw!$H$6:$H$1135)</f>
        <v>18000</v>
      </c>
      <c r="I88" s="30" t="s">
        <v>2057</v>
      </c>
    </row>
    <row r="89" spans="1:9">
      <c r="A89" s="30">
        <v>87</v>
      </c>
      <c r="B89" s="30" t="s">
        <v>47</v>
      </c>
      <c r="C89" s="30" t="s">
        <v>215</v>
      </c>
      <c r="D89" s="25" t="s">
        <v>216</v>
      </c>
      <c r="E89" s="30" t="s">
        <v>42</v>
      </c>
      <c r="F89" s="29">
        <f>SUMIF(①농산물raw!$D$6:$D$1135,$C89,①농산물raw!$F$6:$F$1135)</f>
        <v>0</v>
      </c>
      <c r="G89" s="29">
        <f>SUMIF(①농산물raw!$D$6:$D$1135,$C89,①농산물raw!$G$6:$G$1135)</f>
        <v>0</v>
      </c>
      <c r="H89" s="29">
        <f>SUMIF(①농산물raw!$D$6:$D$1135,$C89,①농산물raw!$H$6:$H$1135)</f>
        <v>0</v>
      </c>
      <c r="I89" s="25"/>
    </row>
    <row r="90" spans="1:9">
      <c r="A90" s="30">
        <v>88</v>
      </c>
      <c r="B90" s="30" t="s">
        <v>50</v>
      </c>
      <c r="C90" s="30" t="s">
        <v>217</v>
      </c>
      <c r="D90" s="25" t="s">
        <v>218</v>
      </c>
      <c r="E90" s="30" t="s">
        <v>7</v>
      </c>
      <c r="F90" s="29">
        <f>SUMIF(①농산물raw!$D$6:$D$1135,$C90,①농산물raw!$F$6:$F$1135)</f>
        <v>221</v>
      </c>
      <c r="G90" s="29">
        <f>SUMIF(①농산물raw!$D$6:$D$1135,$C90,①농산물raw!$G$6:$G$1135)</f>
        <v>4033710</v>
      </c>
      <c r="H90" s="29">
        <f>SUMIF(①농산물raw!$D$6:$D$1135,$C90,①농산물raw!$H$6:$H$1135)</f>
        <v>411260</v>
      </c>
      <c r="I90" s="30" t="s">
        <v>2057</v>
      </c>
    </row>
    <row r="91" spans="1:9">
      <c r="A91" s="30">
        <v>89</v>
      </c>
      <c r="B91" s="30" t="s">
        <v>39</v>
      </c>
      <c r="C91" s="30" t="s">
        <v>219</v>
      </c>
      <c r="D91" s="25" t="s">
        <v>220</v>
      </c>
      <c r="E91" s="30" t="s">
        <v>8</v>
      </c>
      <c r="F91" s="29">
        <f>SUMIF(①농산물raw!$D$6:$D$1135,$C91,①농산물raw!$F$6:$F$1135)</f>
        <v>0</v>
      </c>
      <c r="G91" s="29">
        <f>SUMIF(①농산물raw!$D$6:$D$1135,$C91,①농산물raw!$G$6:$G$1135)</f>
        <v>0</v>
      </c>
      <c r="H91" s="29">
        <f>SUMIF(①농산물raw!$D$6:$D$1135,$C91,①농산물raw!$H$6:$H$1135)</f>
        <v>0</v>
      </c>
      <c r="I91" s="25"/>
    </row>
    <row r="92" spans="1:9">
      <c r="A92" s="30">
        <v>90</v>
      </c>
      <c r="B92" s="30" t="s">
        <v>39</v>
      </c>
      <c r="C92" s="30" t="s">
        <v>221</v>
      </c>
      <c r="D92" s="25" t="s">
        <v>222</v>
      </c>
      <c r="E92" s="30" t="s">
        <v>8</v>
      </c>
      <c r="F92" s="29">
        <f>SUMIF(①농산물raw!$D$6:$D$1135,$C92,①농산물raw!$F$6:$F$1135)</f>
        <v>989</v>
      </c>
      <c r="G92" s="29">
        <f>SUMIF(①농산물raw!$D$6:$D$1135,$C92,①농산물raw!$G$6:$G$1135)</f>
        <v>26616100</v>
      </c>
      <c r="H92" s="29">
        <f>SUMIF(①농산물raw!$D$6:$D$1135,$C92,①농산물raw!$H$6:$H$1135)</f>
        <v>2009080</v>
      </c>
      <c r="I92" s="30" t="s">
        <v>2057</v>
      </c>
    </row>
    <row r="93" spans="1:9">
      <c r="A93" s="30">
        <v>91</v>
      </c>
      <c r="B93" s="30" t="s">
        <v>39</v>
      </c>
      <c r="C93" s="30" t="s">
        <v>223</v>
      </c>
      <c r="D93" s="25" t="s">
        <v>224</v>
      </c>
      <c r="E93" s="30" t="s">
        <v>7</v>
      </c>
      <c r="F93" s="29">
        <f>SUMIF(①농산물raw!$D$6:$D$1135,$C93,①농산물raw!$F$6:$F$1135)</f>
        <v>161</v>
      </c>
      <c r="G93" s="29">
        <f>SUMIF(①농산물raw!$D$6:$D$1135,$C93,①농산물raw!$G$6:$G$1135)</f>
        <v>16862500</v>
      </c>
      <c r="H93" s="29">
        <f>SUMIF(①농산물raw!$D$6:$D$1135,$C93,①농산물raw!$H$6:$H$1135)</f>
        <v>0</v>
      </c>
      <c r="I93" s="30" t="s">
        <v>2057</v>
      </c>
    </row>
    <row r="94" spans="1:9">
      <c r="A94" s="30">
        <v>92</v>
      </c>
      <c r="B94" s="30" t="s">
        <v>39</v>
      </c>
      <c r="C94" s="30" t="s">
        <v>225</v>
      </c>
      <c r="D94" s="25" t="s">
        <v>226</v>
      </c>
      <c r="E94" s="30" t="s">
        <v>7</v>
      </c>
      <c r="F94" s="29">
        <f>SUMIF(①농산물raw!$D$6:$D$1135,$C94,①농산물raw!$F$6:$F$1135)</f>
        <v>87</v>
      </c>
      <c r="G94" s="29">
        <f>SUMIF(①농산물raw!$D$6:$D$1135,$C94,①농산물raw!$G$6:$G$1135)</f>
        <v>2505010</v>
      </c>
      <c r="H94" s="29">
        <f>SUMIF(①농산물raw!$D$6:$D$1135,$C94,①농산물raw!$H$6:$H$1135)</f>
        <v>210620</v>
      </c>
      <c r="I94" s="30" t="s">
        <v>2057</v>
      </c>
    </row>
    <row r="95" spans="1:9">
      <c r="A95" s="30">
        <v>93</v>
      </c>
      <c r="B95" s="30" t="s">
        <v>47</v>
      </c>
      <c r="C95" s="30" t="s">
        <v>227</v>
      </c>
      <c r="D95" s="25" t="s">
        <v>228</v>
      </c>
      <c r="E95" s="30" t="s">
        <v>7</v>
      </c>
      <c r="F95" s="29">
        <f>SUMIF(①농산물raw!$D$6:$D$1135,$C95,①농산물raw!$F$6:$F$1135)</f>
        <v>570</v>
      </c>
      <c r="G95" s="29">
        <f>SUMIF(①농산물raw!$D$6:$D$1135,$C95,①농산물raw!$G$6:$G$1135)</f>
        <v>10399000</v>
      </c>
      <c r="H95" s="29">
        <f>SUMIF(①농산물raw!$D$6:$D$1135,$C95,①농산물raw!$H$6:$H$1135)</f>
        <v>131250</v>
      </c>
      <c r="I95" s="30" t="s">
        <v>2057</v>
      </c>
    </row>
    <row r="96" spans="1:9">
      <c r="A96" s="30">
        <v>94</v>
      </c>
      <c r="B96" s="30" t="s">
        <v>39</v>
      </c>
      <c r="C96" s="30" t="s">
        <v>229</v>
      </c>
      <c r="D96" s="25" t="s">
        <v>230</v>
      </c>
      <c r="E96" s="30" t="s">
        <v>8</v>
      </c>
      <c r="F96" s="29">
        <f>SUMIF(①농산물raw!$D$6:$D$1135,$C96,①농산물raw!$F$6:$F$1135)</f>
        <v>3412</v>
      </c>
      <c r="G96" s="29">
        <f>SUMIF(①농산물raw!$D$6:$D$1135,$C96,①농산물raw!$G$6:$G$1135)</f>
        <v>59703700</v>
      </c>
      <c r="H96" s="29">
        <f>SUMIF(①농산물raw!$D$6:$D$1135,$C96,①농산물raw!$H$6:$H$1135)</f>
        <v>5728100</v>
      </c>
      <c r="I96" s="30" t="s">
        <v>2057</v>
      </c>
    </row>
    <row r="97" spans="1:9">
      <c r="A97" s="30">
        <v>95</v>
      </c>
      <c r="B97" s="30" t="s">
        <v>39</v>
      </c>
      <c r="C97" s="30" t="s">
        <v>231</v>
      </c>
      <c r="D97" s="25" t="s">
        <v>232</v>
      </c>
      <c r="E97" s="30" t="s">
        <v>42</v>
      </c>
      <c r="F97" s="29">
        <f>SUMIF(①농산물raw!$D$6:$D$1135,$C97,①농산물raw!$F$6:$F$1135)</f>
        <v>48</v>
      </c>
      <c r="G97" s="29">
        <f>SUMIF(①농산물raw!$D$6:$D$1135,$C97,①농산물raw!$G$6:$G$1135)</f>
        <v>1345900</v>
      </c>
      <c r="H97" s="29">
        <f>SUMIF(①농산물raw!$D$6:$D$1135,$C97,①농산물raw!$H$6:$H$1135)</f>
        <v>186620</v>
      </c>
      <c r="I97" s="30" t="s">
        <v>2057</v>
      </c>
    </row>
    <row r="98" spans="1:9">
      <c r="A98" s="30">
        <v>96</v>
      </c>
      <c r="B98" s="30" t="s">
        <v>39</v>
      </c>
      <c r="C98" s="30" t="s">
        <v>233</v>
      </c>
      <c r="D98" s="25" t="s">
        <v>234</v>
      </c>
      <c r="E98" s="30" t="s">
        <v>7</v>
      </c>
      <c r="F98" s="29">
        <f>SUMIF(①농산물raw!$D$6:$D$1135,$C98,①농산물raw!$F$6:$F$1135)</f>
        <v>0</v>
      </c>
      <c r="G98" s="29">
        <f>SUMIF(①농산물raw!$D$6:$D$1135,$C98,①농산물raw!$G$6:$G$1135)</f>
        <v>0</v>
      </c>
      <c r="H98" s="29">
        <f>SUMIF(①농산물raw!$D$6:$D$1135,$C98,①농산물raw!$H$6:$H$1135)</f>
        <v>0</v>
      </c>
      <c r="I98" s="25"/>
    </row>
    <row r="99" spans="1:9">
      <c r="A99" s="30">
        <v>97</v>
      </c>
      <c r="B99" s="30" t="s">
        <v>39</v>
      </c>
      <c r="C99" s="30" t="s">
        <v>235</v>
      </c>
      <c r="D99" s="25" t="s">
        <v>236</v>
      </c>
      <c r="E99" s="30" t="s">
        <v>7</v>
      </c>
      <c r="F99" s="29">
        <f>SUMIF(①농산물raw!$D$6:$D$1135,$C99,①농산물raw!$F$6:$F$1135)</f>
        <v>0</v>
      </c>
      <c r="G99" s="29">
        <f>SUMIF(①농산물raw!$D$6:$D$1135,$C99,①농산물raw!$G$6:$G$1135)</f>
        <v>0</v>
      </c>
      <c r="H99" s="29">
        <f>SUMIF(①농산물raw!$D$6:$D$1135,$C99,①농산물raw!$H$6:$H$1135)</f>
        <v>0</v>
      </c>
      <c r="I99" s="25"/>
    </row>
    <row r="100" spans="1:9">
      <c r="A100" s="30">
        <v>98</v>
      </c>
      <c r="B100" s="30" t="s">
        <v>47</v>
      </c>
      <c r="C100" s="30" t="s">
        <v>237</v>
      </c>
      <c r="D100" s="25" t="s">
        <v>238</v>
      </c>
      <c r="E100" s="30" t="s">
        <v>7</v>
      </c>
      <c r="F100" s="29">
        <f>SUMIF(①농산물raw!$D$6:$D$1135,$C100,①농산물raw!$F$6:$F$1135)</f>
        <v>172</v>
      </c>
      <c r="G100" s="29">
        <f>SUMIF(①농산물raw!$D$6:$D$1135,$C100,①농산물raw!$G$6:$G$1135)</f>
        <v>3314410</v>
      </c>
      <c r="H100" s="29">
        <f>SUMIF(①농산물raw!$D$6:$D$1135,$C100,①농산물raw!$H$6:$H$1135)</f>
        <v>112680</v>
      </c>
      <c r="I100" s="30" t="s">
        <v>2057</v>
      </c>
    </row>
    <row r="101" spans="1:9">
      <c r="A101" s="30">
        <v>99</v>
      </c>
      <c r="B101" s="30" t="s">
        <v>50</v>
      </c>
      <c r="C101" s="30" t="s">
        <v>239</v>
      </c>
      <c r="D101" s="25" t="s">
        <v>240</v>
      </c>
      <c r="E101" s="30" t="s">
        <v>10</v>
      </c>
      <c r="F101" s="29">
        <f>SUMIF(①농산물raw!$D$6:$D$1135,$C101,①농산물raw!$F$6:$F$1135)</f>
        <v>4</v>
      </c>
      <c r="G101" s="29">
        <f>SUMIF(①농산물raw!$D$6:$D$1135,$C101,①농산물raw!$G$6:$G$1135)</f>
        <v>93200</v>
      </c>
      <c r="H101" s="29">
        <f>SUMIF(①농산물raw!$D$6:$D$1135,$C101,①농산물raw!$H$6:$H$1135)</f>
        <v>18640</v>
      </c>
      <c r="I101" s="30" t="s">
        <v>2057</v>
      </c>
    </row>
    <row r="102" spans="1:9">
      <c r="A102" s="30">
        <v>100</v>
      </c>
      <c r="B102" s="30" t="s">
        <v>39</v>
      </c>
      <c r="C102" s="30" t="s">
        <v>241</v>
      </c>
      <c r="D102" s="25" t="s">
        <v>242</v>
      </c>
      <c r="E102" s="30" t="s">
        <v>7</v>
      </c>
      <c r="F102" s="29">
        <f>SUMIF(①농산물raw!$D$6:$D$1135,$C102,①농산물raw!$F$6:$F$1135)</f>
        <v>269</v>
      </c>
      <c r="G102" s="29">
        <f>SUMIF(①농산물raw!$D$6:$D$1135,$C102,①농산물raw!$G$6:$G$1135)</f>
        <v>11888240</v>
      </c>
      <c r="H102" s="29">
        <f>SUMIF(①농산물raw!$D$6:$D$1135,$C102,①농산물raw!$H$6:$H$1135)</f>
        <v>631520</v>
      </c>
      <c r="I102" s="30" t="s">
        <v>2057</v>
      </c>
    </row>
    <row r="103" spans="1:9">
      <c r="A103" s="30">
        <v>101</v>
      </c>
      <c r="B103" s="30" t="s">
        <v>47</v>
      </c>
      <c r="C103" s="30" t="s">
        <v>243</v>
      </c>
      <c r="D103" s="25" t="s">
        <v>244</v>
      </c>
      <c r="E103" s="30" t="s">
        <v>7</v>
      </c>
      <c r="F103" s="29">
        <f>SUMIF(①농산물raw!$D$6:$D$1135,$C103,①농산물raw!$F$6:$F$1135)</f>
        <v>0</v>
      </c>
      <c r="G103" s="29">
        <f>SUMIF(①농산물raw!$D$6:$D$1135,$C103,①농산물raw!$G$6:$G$1135)</f>
        <v>0</v>
      </c>
      <c r="H103" s="29">
        <f>SUMIF(①농산물raw!$D$6:$D$1135,$C103,①농산물raw!$H$6:$H$1135)</f>
        <v>0</v>
      </c>
      <c r="I103" s="25"/>
    </row>
    <row r="104" spans="1:9">
      <c r="A104" s="30">
        <v>102</v>
      </c>
      <c r="B104" s="30" t="s">
        <v>39</v>
      </c>
      <c r="C104" s="30" t="s">
        <v>245</v>
      </c>
      <c r="D104" s="25" t="s">
        <v>246</v>
      </c>
      <c r="E104" s="30" t="s">
        <v>7</v>
      </c>
      <c r="F104" s="29">
        <f>SUMIF(①농산물raw!$D$6:$D$1135,$C104,①농산물raw!$F$6:$F$1135)</f>
        <v>195</v>
      </c>
      <c r="G104" s="29">
        <f>SUMIF(①농산물raw!$D$6:$D$1135,$C104,①농산물raw!$G$6:$G$1135)</f>
        <v>4917400</v>
      </c>
      <c r="H104" s="29">
        <f>SUMIF(①농산물raw!$D$6:$D$1135,$C104,①농산물raw!$H$6:$H$1135)</f>
        <v>278700</v>
      </c>
      <c r="I104" s="30" t="s">
        <v>2057</v>
      </c>
    </row>
    <row r="105" spans="1:9">
      <c r="A105" s="30">
        <v>103</v>
      </c>
      <c r="B105" s="30" t="s">
        <v>50</v>
      </c>
      <c r="C105" s="30" t="s">
        <v>247</v>
      </c>
      <c r="D105" s="25" t="s">
        <v>248</v>
      </c>
      <c r="E105" s="30" t="s">
        <v>7</v>
      </c>
      <c r="F105" s="29">
        <f>SUMIF(①농산물raw!$D$6:$D$1135,$C105,①농산물raw!$F$6:$F$1135)</f>
        <v>0</v>
      </c>
      <c r="G105" s="29">
        <f>SUMIF(①농산물raw!$D$6:$D$1135,$C105,①농산물raw!$G$6:$G$1135)</f>
        <v>0</v>
      </c>
      <c r="H105" s="29">
        <f>SUMIF(①농산물raw!$D$6:$D$1135,$C105,①농산물raw!$H$6:$H$1135)</f>
        <v>0</v>
      </c>
      <c r="I105" s="25"/>
    </row>
    <row r="106" spans="1:9">
      <c r="A106" s="30">
        <v>104</v>
      </c>
      <c r="B106" s="30" t="s">
        <v>39</v>
      </c>
      <c r="C106" s="30" t="s">
        <v>249</v>
      </c>
      <c r="D106" s="25" t="s">
        <v>250</v>
      </c>
      <c r="E106" s="30" t="s">
        <v>8</v>
      </c>
      <c r="F106" s="29">
        <f>SUMIF(①농산물raw!$D$6:$D$1135,$C106,①농산물raw!$F$6:$F$1135)</f>
        <v>35</v>
      </c>
      <c r="G106" s="29">
        <f>SUMIF(①농산물raw!$D$6:$D$1135,$C106,①농산물raw!$G$6:$G$1135)</f>
        <v>694600</v>
      </c>
      <c r="H106" s="29">
        <f>SUMIF(①농산물raw!$D$6:$D$1135,$C106,①농산물raw!$H$6:$H$1135)</f>
        <v>0</v>
      </c>
      <c r="I106" s="30" t="s">
        <v>2057</v>
      </c>
    </row>
    <row r="107" spans="1:9">
      <c r="A107" s="30">
        <v>105</v>
      </c>
      <c r="B107" s="30" t="s">
        <v>50</v>
      </c>
      <c r="C107" s="30" t="s">
        <v>251</v>
      </c>
      <c r="D107" s="25" t="s">
        <v>252</v>
      </c>
      <c r="E107" s="30" t="s">
        <v>8</v>
      </c>
      <c r="F107" s="29">
        <f>SUMIF(①농산물raw!$D$6:$D$1135,$C107,①농산물raw!$F$6:$F$1135)</f>
        <v>0</v>
      </c>
      <c r="G107" s="29">
        <f>SUMIF(①농산물raw!$D$6:$D$1135,$C107,①농산물raw!$G$6:$G$1135)</f>
        <v>0</v>
      </c>
      <c r="H107" s="29">
        <f>SUMIF(①농산물raw!$D$6:$D$1135,$C107,①농산물raw!$H$6:$H$1135)</f>
        <v>0</v>
      </c>
      <c r="I107" s="25"/>
    </row>
    <row r="108" spans="1:9">
      <c r="A108" s="30">
        <v>106</v>
      </c>
      <c r="B108" s="30" t="s">
        <v>39</v>
      </c>
      <c r="C108" s="30" t="s">
        <v>253</v>
      </c>
      <c r="D108" s="25" t="s">
        <v>254</v>
      </c>
      <c r="E108" s="30" t="s">
        <v>8</v>
      </c>
      <c r="F108" s="29">
        <f>SUMIF(①농산물raw!$D$6:$D$1135,$C108,①농산물raw!$F$6:$F$1135)</f>
        <v>0</v>
      </c>
      <c r="G108" s="29">
        <f>SUMIF(①농산물raw!$D$6:$D$1135,$C108,①농산물raw!$G$6:$G$1135)</f>
        <v>0</v>
      </c>
      <c r="H108" s="29">
        <f>SUMIF(①농산물raw!$D$6:$D$1135,$C108,①농산물raw!$H$6:$H$1135)</f>
        <v>0</v>
      </c>
      <c r="I108" s="25"/>
    </row>
    <row r="109" spans="1:9">
      <c r="A109" s="30">
        <v>107</v>
      </c>
      <c r="B109" s="30" t="s">
        <v>47</v>
      </c>
      <c r="C109" s="30" t="s">
        <v>255</v>
      </c>
      <c r="D109" s="25" t="s">
        <v>256</v>
      </c>
      <c r="E109" s="30" t="s">
        <v>7</v>
      </c>
      <c r="F109" s="29">
        <f>SUMIF(①농산물raw!$D$6:$D$1135,$C109,①농산물raw!$F$6:$F$1135)</f>
        <v>0</v>
      </c>
      <c r="G109" s="29">
        <f>SUMIF(①농산물raw!$D$6:$D$1135,$C109,①농산물raw!$G$6:$G$1135)</f>
        <v>0</v>
      </c>
      <c r="H109" s="29">
        <f>SUMIF(①농산물raw!$D$6:$D$1135,$C109,①농산물raw!$H$6:$H$1135)</f>
        <v>0</v>
      </c>
      <c r="I109" s="25"/>
    </row>
    <row r="110" spans="1:9">
      <c r="A110" s="30">
        <v>108</v>
      </c>
      <c r="B110" s="30" t="s">
        <v>39</v>
      </c>
      <c r="C110" s="30" t="s">
        <v>257</v>
      </c>
      <c r="D110" s="25" t="s">
        <v>258</v>
      </c>
      <c r="E110" s="30" t="s">
        <v>7</v>
      </c>
      <c r="F110" s="29">
        <f>SUMIF(①농산물raw!$D$6:$D$1135,$C110,①농산물raw!$F$6:$F$1135)</f>
        <v>0</v>
      </c>
      <c r="G110" s="29">
        <f>SUMIF(①농산물raw!$D$6:$D$1135,$C110,①농산물raw!$G$6:$G$1135)</f>
        <v>0</v>
      </c>
      <c r="H110" s="29">
        <f>SUMIF(①농산물raw!$D$6:$D$1135,$C110,①농산물raw!$H$6:$H$1135)</f>
        <v>0</v>
      </c>
      <c r="I110" s="25"/>
    </row>
    <row r="111" spans="1:9">
      <c r="A111" s="30">
        <v>109</v>
      </c>
      <c r="B111" s="30" t="s">
        <v>50</v>
      </c>
      <c r="C111" s="30" t="s">
        <v>259</v>
      </c>
      <c r="D111" s="25" t="s">
        <v>260</v>
      </c>
      <c r="E111" s="30" t="s">
        <v>10</v>
      </c>
      <c r="F111" s="29">
        <f>SUMIF(①농산물raw!$D$6:$D$1135,$C111,①농산물raw!$F$6:$F$1135)</f>
        <v>0</v>
      </c>
      <c r="G111" s="29">
        <f>SUMIF(①농산물raw!$D$6:$D$1135,$C111,①농산물raw!$G$6:$G$1135)</f>
        <v>0</v>
      </c>
      <c r="H111" s="29">
        <f>SUMIF(①농산물raw!$D$6:$D$1135,$C111,①농산물raw!$H$6:$H$1135)</f>
        <v>0</v>
      </c>
      <c r="I111" s="25"/>
    </row>
    <row r="112" spans="1:9">
      <c r="A112" s="30">
        <v>110</v>
      </c>
      <c r="B112" s="30" t="s">
        <v>39</v>
      </c>
      <c r="C112" s="30" t="s">
        <v>261</v>
      </c>
      <c r="D112" s="25" t="s">
        <v>262</v>
      </c>
      <c r="E112" s="30" t="s">
        <v>8</v>
      </c>
      <c r="F112" s="29">
        <f>SUMIF(①농산물raw!$D$6:$D$1135,$C112,①농산물raw!$F$6:$F$1135)</f>
        <v>1299</v>
      </c>
      <c r="G112" s="29">
        <f>SUMIF(①농산물raw!$D$6:$D$1135,$C112,①농산물raw!$G$6:$G$1135)</f>
        <v>13170260</v>
      </c>
      <c r="H112" s="29">
        <f>SUMIF(①농산물raw!$D$6:$D$1135,$C112,①농산물raw!$H$6:$H$1135)</f>
        <v>1064450</v>
      </c>
      <c r="I112" s="30" t="s">
        <v>2057</v>
      </c>
    </row>
    <row r="113" spans="1:9">
      <c r="A113" s="30">
        <v>111</v>
      </c>
      <c r="B113" s="30" t="s">
        <v>39</v>
      </c>
      <c r="C113" s="30" t="s">
        <v>263</v>
      </c>
      <c r="D113" s="25" t="s">
        <v>264</v>
      </c>
      <c r="E113" s="30" t="s">
        <v>10</v>
      </c>
      <c r="F113" s="29">
        <f>SUMIF(①농산물raw!$D$6:$D$1135,$C113,①농산물raw!$F$6:$F$1135)</f>
        <v>0</v>
      </c>
      <c r="G113" s="29">
        <f>SUMIF(①농산물raw!$D$6:$D$1135,$C113,①농산물raw!$G$6:$G$1135)</f>
        <v>0</v>
      </c>
      <c r="H113" s="29">
        <f>SUMIF(①농산물raw!$D$6:$D$1135,$C113,①농산물raw!$H$6:$H$1135)</f>
        <v>0</v>
      </c>
      <c r="I113" s="25"/>
    </row>
    <row r="114" spans="1:9">
      <c r="A114" s="30">
        <v>112</v>
      </c>
      <c r="B114" s="30" t="s">
        <v>50</v>
      </c>
      <c r="C114" s="30" t="s">
        <v>265</v>
      </c>
      <c r="D114" s="25" t="s">
        <v>266</v>
      </c>
      <c r="E114" s="30" t="s">
        <v>7</v>
      </c>
      <c r="F114" s="29">
        <f>SUMIF(①농산물raw!$D$6:$D$1135,$C114,①농산물raw!$F$6:$F$1135)</f>
        <v>38</v>
      </c>
      <c r="G114" s="29">
        <f>SUMIF(①농산물raw!$D$6:$D$1135,$C114,①농산물raw!$G$6:$G$1135)</f>
        <v>792000</v>
      </c>
      <c r="H114" s="29">
        <f>SUMIF(①농산물raw!$D$6:$D$1135,$C114,①농산물raw!$H$6:$H$1135)</f>
        <v>14600</v>
      </c>
      <c r="I114" s="30" t="s">
        <v>2057</v>
      </c>
    </row>
    <row r="115" spans="1:9">
      <c r="A115" s="30">
        <v>113</v>
      </c>
      <c r="B115" s="30" t="s">
        <v>39</v>
      </c>
      <c r="C115" s="30" t="s">
        <v>267</v>
      </c>
      <c r="D115" s="25" t="s">
        <v>268</v>
      </c>
      <c r="E115" s="30" t="s">
        <v>42</v>
      </c>
      <c r="F115" s="29">
        <f>SUMIF(①농산물raw!$D$6:$D$1135,$C115,①농산물raw!$F$6:$F$1135)</f>
        <v>1351</v>
      </c>
      <c r="G115" s="29">
        <f>SUMIF(①농산물raw!$D$6:$D$1135,$C115,①농산물raw!$G$6:$G$1135)</f>
        <v>36257920</v>
      </c>
      <c r="H115" s="29">
        <f>SUMIF(①농산물raw!$D$6:$D$1135,$C115,①농산물raw!$H$6:$H$1135)</f>
        <v>4804820</v>
      </c>
      <c r="I115" s="30" t="s">
        <v>2057</v>
      </c>
    </row>
    <row r="116" spans="1:9">
      <c r="A116" s="30">
        <v>114</v>
      </c>
      <c r="B116" s="30" t="s">
        <v>50</v>
      </c>
      <c r="C116" s="30" t="s">
        <v>269</v>
      </c>
      <c r="D116" s="25" t="s">
        <v>270</v>
      </c>
      <c r="E116" s="30" t="s">
        <v>10</v>
      </c>
      <c r="F116" s="29">
        <f>SUMIF(①농산물raw!$D$6:$D$1135,$C116,①농산물raw!$F$6:$F$1135)</f>
        <v>6</v>
      </c>
      <c r="G116" s="29">
        <f>SUMIF(①농산물raw!$D$6:$D$1135,$C116,①농산물raw!$G$6:$G$1135)</f>
        <v>133900</v>
      </c>
      <c r="H116" s="29">
        <f>SUMIF(①농산물raw!$D$6:$D$1135,$C116,①농산물raw!$H$6:$H$1135)</f>
        <v>15780</v>
      </c>
      <c r="I116" s="30" t="s">
        <v>2057</v>
      </c>
    </row>
    <row r="117" spans="1:9">
      <c r="A117" s="30">
        <v>115</v>
      </c>
      <c r="B117" s="30" t="s">
        <v>39</v>
      </c>
      <c r="C117" s="30" t="s">
        <v>271</v>
      </c>
      <c r="D117" s="25" t="s">
        <v>272</v>
      </c>
      <c r="E117" s="30" t="s">
        <v>8</v>
      </c>
      <c r="F117" s="29">
        <f>SUMIF(①농산물raw!$D$6:$D$1135,$C117,①농산물raw!$F$6:$F$1135)</f>
        <v>280</v>
      </c>
      <c r="G117" s="29">
        <f>SUMIF(①농산물raw!$D$6:$D$1135,$C117,①농산물raw!$G$6:$G$1135)</f>
        <v>8520400</v>
      </c>
      <c r="H117" s="29">
        <f>SUMIF(①농산물raw!$D$6:$D$1135,$C117,①농산물raw!$H$6:$H$1135)</f>
        <v>281240</v>
      </c>
      <c r="I117" s="30" t="s">
        <v>2057</v>
      </c>
    </row>
    <row r="118" spans="1:9">
      <c r="A118" s="30">
        <v>116</v>
      </c>
      <c r="B118" s="30" t="s">
        <v>50</v>
      </c>
      <c r="C118" s="30" t="s">
        <v>273</v>
      </c>
      <c r="D118" s="25" t="s">
        <v>274</v>
      </c>
      <c r="E118" s="30" t="s">
        <v>7</v>
      </c>
      <c r="F118" s="29">
        <f>SUMIF(①농산물raw!$D$6:$D$1135,$C118,①농산물raw!$F$6:$F$1135)</f>
        <v>0</v>
      </c>
      <c r="G118" s="29">
        <f>SUMIF(①농산물raw!$D$6:$D$1135,$C118,①농산물raw!$G$6:$G$1135)</f>
        <v>0</v>
      </c>
      <c r="H118" s="29">
        <f>SUMIF(①농산물raw!$D$6:$D$1135,$C118,①농산물raw!$H$6:$H$1135)</f>
        <v>0</v>
      </c>
      <c r="I118" s="25"/>
    </row>
    <row r="119" spans="1:9">
      <c r="A119" s="30">
        <v>117</v>
      </c>
      <c r="B119" s="30" t="s">
        <v>39</v>
      </c>
      <c r="C119" s="30" t="s">
        <v>275</v>
      </c>
      <c r="D119" s="25" t="s">
        <v>276</v>
      </c>
      <c r="E119" s="30" t="s">
        <v>42</v>
      </c>
      <c r="F119" s="29">
        <f>SUMIF(①농산물raw!$D$6:$D$1135,$C119,①농산물raw!$F$6:$F$1135)</f>
        <v>0</v>
      </c>
      <c r="G119" s="29">
        <f>SUMIF(①농산물raw!$D$6:$D$1135,$C119,①농산물raw!$G$6:$G$1135)</f>
        <v>0</v>
      </c>
      <c r="H119" s="29">
        <f>SUMIF(①농산물raw!$D$6:$D$1135,$C119,①농산물raw!$H$6:$H$1135)</f>
        <v>0</v>
      </c>
      <c r="I119" s="25"/>
    </row>
    <row r="120" spans="1:9">
      <c r="A120" s="30">
        <v>118</v>
      </c>
      <c r="B120" s="30" t="s">
        <v>47</v>
      </c>
      <c r="C120" s="30" t="s">
        <v>277</v>
      </c>
      <c r="D120" s="25" t="s">
        <v>278</v>
      </c>
      <c r="E120" s="30" t="s">
        <v>10</v>
      </c>
      <c r="F120" s="29">
        <f>SUMIF(①농산물raw!$D$6:$D$1135,$C120,①농산물raw!$F$6:$F$1135)</f>
        <v>0</v>
      </c>
      <c r="G120" s="29">
        <f>SUMIF(①농산물raw!$D$6:$D$1135,$C120,①농산물raw!$G$6:$G$1135)</f>
        <v>0</v>
      </c>
      <c r="H120" s="29">
        <f>SUMIF(①농산물raw!$D$6:$D$1135,$C120,①농산물raw!$H$6:$H$1135)</f>
        <v>0</v>
      </c>
      <c r="I120" s="25"/>
    </row>
    <row r="121" spans="1:9">
      <c r="A121" s="30">
        <v>119</v>
      </c>
      <c r="B121" s="30" t="s">
        <v>50</v>
      </c>
      <c r="C121" s="30" t="s">
        <v>279</v>
      </c>
      <c r="D121" s="25" t="s">
        <v>280</v>
      </c>
      <c r="E121" s="30" t="s">
        <v>12</v>
      </c>
      <c r="F121" s="29">
        <f>SUMIF(①농산물raw!$D$6:$D$1135,$C121,①농산물raw!$F$6:$F$1135)</f>
        <v>16</v>
      </c>
      <c r="G121" s="29">
        <f>SUMIF(①농산물raw!$D$6:$D$1135,$C121,①농산물raw!$G$6:$G$1135)</f>
        <v>350800</v>
      </c>
      <c r="H121" s="29">
        <f>SUMIF(①농산물raw!$D$6:$D$1135,$C121,①농산물raw!$H$6:$H$1135)</f>
        <v>54260</v>
      </c>
      <c r="I121" s="30" t="s">
        <v>2057</v>
      </c>
    </row>
    <row r="122" spans="1:9">
      <c r="A122" s="30">
        <v>120</v>
      </c>
      <c r="B122" s="30" t="s">
        <v>50</v>
      </c>
      <c r="C122" s="30" t="s">
        <v>281</v>
      </c>
      <c r="D122" s="25" t="s">
        <v>282</v>
      </c>
      <c r="E122" s="30" t="s">
        <v>42</v>
      </c>
      <c r="F122" s="29">
        <f>SUMIF(①농산물raw!$D$6:$D$1135,$C122,①농산물raw!$F$6:$F$1135)</f>
        <v>2244</v>
      </c>
      <c r="G122" s="29">
        <f>SUMIF(①농산물raw!$D$6:$D$1135,$C122,①농산물raw!$G$6:$G$1135)</f>
        <v>13845000</v>
      </c>
      <c r="H122" s="29">
        <f>SUMIF(①농산물raw!$D$6:$D$1135,$C122,①농산물raw!$H$6:$H$1135)</f>
        <v>2757960</v>
      </c>
      <c r="I122" s="30" t="s">
        <v>2057</v>
      </c>
    </row>
    <row r="123" spans="1:9">
      <c r="A123" s="30">
        <v>121</v>
      </c>
      <c r="B123" s="30" t="s">
        <v>39</v>
      </c>
      <c r="C123" s="30" t="s">
        <v>283</v>
      </c>
      <c r="D123" s="25" t="s">
        <v>284</v>
      </c>
      <c r="E123" s="30" t="s">
        <v>8</v>
      </c>
      <c r="F123" s="29">
        <f>SUMIF(①농산물raw!$D$6:$D$1135,$C123,①농산물raw!$F$6:$F$1135)</f>
        <v>0</v>
      </c>
      <c r="G123" s="29">
        <f>SUMIF(①농산물raw!$D$6:$D$1135,$C123,①농산물raw!$G$6:$G$1135)</f>
        <v>0</v>
      </c>
      <c r="H123" s="29">
        <f>SUMIF(①농산물raw!$D$6:$D$1135,$C123,①농산물raw!$H$6:$H$1135)</f>
        <v>0</v>
      </c>
      <c r="I123" s="25"/>
    </row>
    <row r="124" spans="1:9">
      <c r="A124" s="30">
        <v>122</v>
      </c>
      <c r="B124" s="30" t="s">
        <v>39</v>
      </c>
      <c r="C124" s="30" t="s">
        <v>285</v>
      </c>
      <c r="D124" s="25" t="s">
        <v>286</v>
      </c>
      <c r="E124" s="30" t="s">
        <v>12</v>
      </c>
      <c r="F124" s="29">
        <f>SUMIF(①농산물raw!$D$6:$D$1135,$C124,①농산물raw!$F$6:$F$1135)</f>
        <v>32840</v>
      </c>
      <c r="G124" s="29">
        <f>SUMIF(①농산물raw!$D$6:$D$1135,$C124,①농산물raw!$G$6:$G$1135)</f>
        <v>90410380</v>
      </c>
      <c r="H124" s="29">
        <f>SUMIF(①농산물raw!$D$6:$D$1135,$C124,①농산물raw!$H$6:$H$1135)</f>
        <v>1823846</v>
      </c>
      <c r="I124" s="30" t="s">
        <v>2057</v>
      </c>
    </row>
    <row r="125" spans="1:9">
      <c r="A125" s="30">
        <v>123</v>
      </c>
      <c r="B125" s="30" t="s">
        <v>47</v>
      </c>
      <c r="C125" s="30" t="s">
        <v>287</v>
      </c>
      <c r="D125" s="25" t="s">
        <v>288</v>
      </c>
      <c r="E125" s="30" t="s">
        <v>7</v>
      </c>
      <c r="F125" s="29">
        <f>SUMIF(①농산물raw!$D$6:$D$1135,$C125,①농산물raw!$F$6:$F$1135)</f>
        <v>0</v>
      </c>
      <c r="G125" s="29">
        <f>SUMIF(①농산물raw!$D$6:$D$1135,$C125,①농산물raw!$G$6:$G$1135)</f>
        <v>0</v>
      </c>
      <c r="H125" s="29">
        <f>SUMIF(①농산물raw!$D$6:$D$1135,$C125,①농산물raw!$H$6:$H$1135)</f>
        <v>0</v>
      </c>
      <c r="I125" s="25"/>
    </row>
    <row r="126" spans="1:9">
      <c r="A126" s="30">
        <v>124</v>
      </c>
      <c r="B126" s="30" t="s">
        <v>39</v>
      </c>
      <c r="C126" s="30" t="s">
        <v>289</v>
      </c>
      <c r="D126" s="25" t="s">
        <v>290</v>
      </c>
      <c r="E126" s="30" t="s">
        <v>7</v>
      </c>
      <c r="F126" s="29">
        <f>SUMIF(①농산물raw!$D$6:$D$1135,$C126,①농산물raw!$F$6:$F$1135)</f>
        <v>57</v>
      </c>
      <c r="G126" s="29">
        <f>SUMIF(①농산물raw!$D$6:$D$1135,$C126,①농산물raw!$G$6:$G$1135)</f>
        <v>1392900</v>
      </c>
      <c r="H126" s="29">
        <f>SUMIF(①농산물raw!$D$6:$D$1135,$C126,①농산물raw!$H$6:$H$1135)</f>
        <v>46770</v>
      </c>
      <c r="I126" s="30" t="s">
        <v>2057</v>
      </c>
    </row>
    <row r="127" spans="1:9">
      <c r="A127" s="30">
        <v>125</v>
      </c>
      <c r="B127" s="30" t="s">
        <v>47</v>
      </c>
      <c r="C127" s="30" t="s">
        <v>291</v>
      </c>
      <c r="D127" s="25" t="s">
        <v>292</v>
      </c>
      <c r="E127" s="30" t="s">
        <v>7</v>
      </c>
      <c r="F127" s="29">
        <f>SUMIF(①농산물raw!$D$6:$D$1135,$C127,①농산물raw!$F$6:$F$1135)</f>
        <v>74</v>
      </c>
      <c r="G127" s="29">
        <f>SUMIF(①농산물raw!$D$6:$D$1135,$C127,①농산물raw!$G$6:$G$1135)</f>
        <v>4081200</v>
      </c>
      <c r="H127" s="29">
        <f>SUMIF(①농산물raw!$D$6:$D$1135,$C127,①농산물raw!$H$6:$H$1135)</f>
        <v>254320</v>
      </c>
      <c r="I127" s="30" t="s">
        <v>2057</v>
      </c>
    </row>
    <row r="128" spans="1:9">
      <c r="A128" s="30">
        <v>126</v>
      </c>
      <c r="B128" s="30" t="s">
        <v>47</v>
      </c>
      <c r="C128" s="30" t="s">
        <v>293</v>
      </c>
      <c r="D128" s="25" t="s">
        <v>294</v>
      </c>
      <c r="E128" s="30" t="s">
        <v>10</v>
      </c>
      <c r="F128" s="29">
        <f>SUMIF(①농산물raw!$D$6:$D$1135,$C128,①농산물raw!$F$6:$F$1135)</f>
        <v>44</v>
      </c>
      <c r="G128" s="29">
        <f>SUMIF(①농산물raw!$D$6:$D$1135,$C128,①농산물raw!$G$6:$G$1135)</f>
        <v>676000</v>
      </c>
      <c r="H128" s="29">
        <f>SUMIF(①농산물raw!$D$6:$D$1135,$C128,①농산물raw!$H$6:$H$1135)</f>
        <v>82900</v>
      </c>
      <c r="I128" s="30" t="s">
        <v>2057</v>
      </c>
    </row>
    <row r="129" spans="1:9">
      <c r="A129" s="30">
        <v>127</v>
      </c>
      <c r="B129" s="30" t="s">
        <v>50</v>
      </c>
      <c r="C129" s="30" t="s">
        <v>295</v>
      </c>
      <c r="D129" s="25" t="s">
        <v>296</v>
      </c>
      <c r="E129" s="30" t="s">
        <v>11</v>
      </c>
      <c r="F129" s="29">
        <f>SUMIF(①농산물raw!$D$6:$D$1135,$C129,①농산물raw!$F$6:$F$1135)</f>
        <v>0</v>
      </c>
      <c r="G129" s="29">
        <f>SUMIF(①농산물raw!$D$6:$D$1135,$C129,①농산물raw!$G$6:$G$1135)</f>
        <v>0</v>
      </c>
      <c r="H129" s="29">
        <f>SUMIF(①농산물raw!$D$6:$D$1135,$C129,①농산물raw!$H$6:$H$1135)</f>
        <v>0</v>
      </c>
      <c r="I129" s="25"/>
    </row>
    <row r="130" spans="1:9">
      <c r="A130" s="30">
        <v>128</v>
      </c>
      <c r="B130" s="30" t="s">
        <v>39</v>
      </c>
      <c r="C130" s="30" t="s">
        <v>297</v>
      </c>
      <c r="D130" s="25" t="s">
        <v>298</v>
      </c>
      <c r="E130" s="30" t="s">
        <v>7</v>
      </c>
      <c r="F130" s="29">
        <f>SUMIF(①농산물raw!$D$6:$D$1135,$C130,①농산물raw!$F$6:$F$1135)</f>
        <v>56</v>
      </c>
      <c r="G130" s="29">
        <f>SUMIF(①농산물raw!$D$6:$D$1135,$C130,①농산물raw!$G$6:$G$1135)</f>
        <v>2702500</v>
      </c>
      <c r="H130" s="29">
        <f>SUMIF(①농산물raw!$D$6:$D$1135,$C130,①농산물raw!$H$6:$H$1135)</f>
        <v>171740</v>
      </c>
      <c r="I130" s="30" t="s">
        <v>2057</v>
      </c>
    </row>
    <row r="131" spans="1:9">
      <c r="A131" s="30">
        <v>129</v>
      </c>
      <c r="B131" s="30" t="s">
        <v>47</v>
      </c>
      <c r="C131" s="30" t="s">
        <v>299</v>
      </c>
      <c r="D131" s="25" t="s">
        <v>300</v>
      </c>
      <c r="E131" s="30" t="s">
        <v>7</v>
      </c>
      <c r="F131" s="29">
        <f>SUMIF(①농산물raw!$D$6:$D$1135,$C131,①농산물raw!$F$6:$F$1135)</f>
        <v>88</v>
      </c>
      <c r="G131" s="29">
        <f>SUMIF(①농산물raw!$D$6:$D$1135,$C131,①농산물raw!$G$6:$G$1135)</f>
        <v>3985000</v>
      </c>
      <c r="H131" s="29">
        <f>SUMIF(①농산물raw!$D$6:$D$1135,$C131,①농산물raw!$H$6:$H$1135)</f>
        <v>140000</v>
      </c>
      <c r="I131" s="30" t="s">
        <v>2057</v>
      </c>
    </row>
    <row r="132" spans="1:9">
      <c r="A132" s="30">
        <v>130</v>
      </c>
      <c r="B132" s="30" t="s">
        <v>39</v>
      </c>
      <c r="C132" s="30" t="s">
        <v>301</v>
      </c>
      <c r="D132" s="25" t="s">
        <v>302</v>
      </c>
      <c r="E132" s="30" t="s">
        <v>7</v>
      </c>
      <c r="F132" s="29">
        <f>SUMIF(①농산물raw!$D$6:$D$1135,$C132,①농산물raw!$F$6:$F$1135)</f>
        <v>62</v>
      </c>
      <c r="G132" s="29">
        <f>SUMIF(①농산물raw!$D$6:$D$1135,$C132,①농산물raw!$G$6:$G$1135)</f>
        <v>3336300</v>
      </c>
      <c r="H132" s="29">
        <f>SUMIF(①농산물raw!$D$6:$D$1135,$C132,①농산물raw!$H$6:$H$1135)</f>
        <v>224810</v>
      </c>
      <c r="I132" s="30" t="s">
        <v>2057</v>
      </c>
    </row>
    <row r="133" spans="1:9">
      <c r="A133" s="30">
        <v>131</v>
      </c>
      <c r="B133" s="30" t="s">
        <v>39</v>
      </c>
      <c r="C133" s="30" t="s">
        <v>303</v>
      </c>
      <c r="D133" s="25" t="s">
        <v>304</v>
      </c>
      <c r="E133" s="30" t="s">
        <v>7</v>
      </c>
      <c r="F133" s="29">
        <f>SUMIF(①농산물raw!$D$6:$D$1135,$C133,①농산물raw!$F$6:$F$1135)</f>
        <v>284</v>
      </c>
      <c r="G133" s="29">
        <f>SUMIF(①농산물raw!$D$6:$D$1135,$C133,①농산물raw!$G$6:$G$1135)</f>
        <v>7563700</v>
      </c>
      <c r="H133" s="29">
        <f>SUMIF(①농산물raw!$D$6:$D$1135,$C133,①농산물raw!$H$6:$H$1135)</f>
        <v>116480</v>
      </c>
      <c r="I133" s="30" t="s">
        <v>2057</v>
      </c>
    </row>
    <row r="134" spans="1:9">
      <c r="A134" s="30">
        <v>132</v>
      </c>
      <c r="B134" s="30" t="s">
        <v>39</v>
      </c>
      <c r="C134" s="30" t="s">
        <v>305</v>
      </c>
      <c r="D134" s="25" t="s">
        <v>306</v>
      </c>
      <c r="E134" s="30" t="s">
        <v>12</v>
      </c>
      <c r="F134" s="29">
        <f>SUMIF(①농산물raw!$D$6:$D$1135,$C134,①농산물raw!$F$6:$F$1135)</f>
        <v>0</v>
      </c>
      <c r="G134" s="29">
        <f>SUMIF(①농산물raw!$D$6:$D$1135,$C134,①농산물raw!$G$6:$G$1135)</f>
        <v>0</v>
      </c>
      <c r="H134" s="29">
        <f>SUMIF(①농산물raw!$D$6:$D$1135,$C134,①농산물raw!$H$6:$H$1135)</f>
        <v>0</v>
      </c>
      <c r="I134" s="25"/>
    </row>
    <row r="135" spans="1:9">
      <c r="A135" s="30">
        <v>133</v>
      </c>
      <c r="B135" s="30" t="s">
        <v>47</v>
      </c>
      <c r="C135" s="30" t="s">
        <v>307</v>
      </c>
      <c r="D135" s="25" t="s">
        <v>308</v>
      </c>
      <c r="E135" s="30" t="s">
        <v>7</v>
      </c>
      <c r="F135" s="29">
        <f>SUMIF(①농산물raw!$D$6:$D$1135,$C135,①농산물raw!$F$6:$F$1135)</f>
        <v>0</v>
      </c>
      <c r="G135" s="29">
        <f>SUMIF(①농산물raw!$D$6:$D$1135,$C135,①농산물raw!$G$6:$G$1135)</f>
        <v>0</v>
      </c>
      <c r="H135" s="29">
        <f>SUMIF(①농산물raw!$D$6:$D$1135,$C135,①농산물raw!$H$6:$H$1135)</f>
        <v>0</v>
      </c>
      <c r="I135" s="25"/>
    </row>
    <row r="136" spans="1:9">
      <c r="A136" s="30">
        <v>134</v>
      </c>
      <c r="B136" s="30" t="s">
        <v>50</v>
      </c>
      <c r="C136" s="30" t="s">
        <v>309</v>
      </c>
      <c r="D136" s="25" t="s">
        <v>310</v>
      </c>
      <c r="E136" s="30" t="s">
        <v>7</v>
      </c>
      <c r="F136" s="29">
        <f>SUMIF(①농산물raw!$D$6:$D$1135,$C136,①농산물raw!$F$6:$F$1135)</f>
        <v>614</v>
      </c>
      <c r="G136" s="29">
        <f>SUMIF(①농산물raw!$D$6:$D$1135,$C136,①농산물raw!$G$6:$G$1135)</f>
        <v>24218090</v>
      </c>
      <c r="H136" s="29">
        <f>SUMIF(①농산물raw!$D$6:$D$1135,$C136,①농산물raw!$H$6:$H$1135)</f>
        <v>1921100</v>
      </c>
      <c r="I136" s="30" t="s">
        <v>2057</v>
      </c>
    </row>
    <row r="137" spans="1:9">
      <c r="A137" s="30">
        <v>135</v>
      </c>
      <c r="B137" s="30" t="s">
        <v>47</v>
      </c>
      <c r="C137" s="30" t="s">
        <v>311</v>
      </c>
      <c r="D137" s="25" t="s">
        <v>312</v>
      </c>
      <c r="E137" s="30" t="s">
        <v>10</v>
      </c>
      <c r="F137" s="29">
        <f>SUMIF(①농산물raw!$D$6:$D$1135,$C137,①농산물raw!$F$6:$F$1135)</f>
        <v>109</v>
      </c>
      <c r="G137" s="29">
        <f>SUMIF(①농산물raw!$D$6:$D$1135,$C137,①농산물raw!$G$6:$G$1135)</f>
        <v>3073000</v>
      </c>
      <c r="H137" s="29">
        <f>SUMIF(①농산물raw!$D$6:$D$1135,$C137,①농산물raw!$H$6:$H$1135)</f>
        <v>398425</v>
      </c>
      <c r="I137" s="30" t="s">
        <v>2057</v>
      </c>
    </row>
    <row r="138" spans="1:9">
      <c r="A138" s="30">
        <v>136</v>
      </c>
      <c r="B138" s="30" t="s">
        <v>50</v>
      </c>
      <c r="C138" s="30" t="s">
        <v>313</v>
      </c>
      <c r="D138" s="25" t="s">
        <v>314</v>
      </c>
      <c r="E138" s="30" t="s">
        <v>10</v>
      </c>
      <c r="F138" s="29">
        <f>SUMIF(①농산물raw!$D$6:$D$1135,$C138,①농산물raw!$F$6:$F$1135)</f>
        <v>27</v>
      </c>
      <c r="G138" s="29">
        <f>SUMIF(①농산물raw!$D$6:$D$1135,$C138,①농산물raw!$G$6:$G$1135)</f>
        <v>408600</v>
      </c>
      <c r="H138" s="29">
        <f>SUMIF(①농산물raw!$D$6:$D$1135,$C138,①농산물raw!$H$6:$H$1135)</f>
        <v>46739</v>
      </c>
      <c r="I138" s="30" t="s">
        <v>2057</v>
      </c>
    </row>
    <row r="139" spans="1:9">
      <c r="A139" s="30">
        <v>137</v>
      </c>
      <c r="B139" s="30" t="s">
        <v>39</v>
      </c>
      <c r="C139" s="30" t="s">
        <v>315</v>
      </c>
      <c r="D139" s="25" t="s">
        <v>316</v>
      </c>
      <c r="E139" s="30" t="s">
        <v>11</v>
      </c>
      <c r="F139" s="29">
        <f>SUMIF(①농산물raw!$D$6:$D$1135,$C139,①농산물raw!$F$6:$F$1135)</f>
        <v>2375</v>
      </c>
      <c r="G139" s="29">
        <f>SUMIF(①농산물raw!$D$6:$D$1135,$C139,①농산물raw!$G$6:$G$1135)</f>
        <v>38169050</v>
      </c>
      <c r="H139" s="29">
        <f>SUMIF(①농산물raw!$D$6:$D$1135,$C139,①농산물raw!$H$6:$H$1135)</f>
        <v>3570100</v>
      </c>
      <c r="I139" s="30" t="s">
        <v>2057</v>
      </c>
    </row>
    <row r="140" spans="1:9">
      <c r="A140" s="30">
        <v>138</v>
      </c>
      <c r="B140" s="30" t="s">
        <v>39</v>
      </c>
      <c r="C140" s="30" t="s">
        <v>317</v>
      </c>
      <c r="D140" s="25" t="s">
        <v>318</v>
      </c>
      <c r="E140" s="30" t="s">
        <v>8</v>
      </c>
      <c r="F140" s="29">
        <f>SUMIF(①농산물raw!$D$6:$D$1135,$C140,①농산물raw!$F$6:$F$1135)</f>
        <v>0</v>
      </c>
      <c r="G140" s="29">
        <f>SUMIF(①농산물raw!$D$6:$D$1135,$C140,①농산물raw!$G$6:$G$1135)</f>
        <v>0</v>
      </c>
      <c r="H140" s="29">
        <f>SUMIF(①농산물raw!$D$6:$D$1135,$C140,①농산물raw!$H$6:$H$1135)</f>
        <v>0</v>
      </c>
      <c r="I140" s="25"/>
    </row>
    <row r="141" spans="1:9">
      <c r="A141" s="30">
        <v>139</v>
      </c>
      <c r="B141" s="30" t="s">
        <v>39</v>
      </c>
      <c r="C141" s="30" t="s">
        <v>319</v>
      </c>
      <c r="D141" s="25" t="s">
        <v>320</v>
      </c>
      <c r="E141" s="30" t="s">
        <v>7</v>
      </c>
      <c r="F141" s="29">
        <f>SUMIF(①농산물raw!$D$6:$D$1135,$C141,①농산물raw!$F$6:$F$1135)</f>
        <v>55</v>
      </c>
      <c r="G141" s="29">
        <f>SUMIF(①농산물raw!$D$6:$D$1135,$C141,①농산물raw!$G$6:$G$1135)</f>
        <v>1868000</v>
      </c>
      <c r="H141" s="29">
        <f>SUMIF(①농산물raw!$D$6:$D$1135,$C141,①농산물raw!$H$6:$H$1135)</f>
        <v>212800</v>
      </c>
      <c r="I141" s="30" t="s">
        <v>2057</v>
      </c>
    </row>
    <row r="142" spans="1:9">
      <c r="A142" s="30">
        <v>140</v>
      </c>
      <c r="B142" s="30" t="s">
        <v>47</v>
      </c>
      <c r="C142" s="30" t="s">
        <v>321</v>
      </c>
      <c r="D142" s="25" t="s">
        <v>322</v>
      </c>
      <c r="E142" s="30" t="s">
        <v>7</v>
      </c>
      <c r="F142" s="29">
        <f>SUMIF(①농산물raw!$D$6:$D$1135,$C142,①농산물raw!$F$6:$F$1135)</f>
        <v>65</v>
      </c>
      <c r="G142" s="29">
        <f>SUMIF(①농산물raw!$D$6:$D$1135,$C142,①농산물raw!$G$6:$G$1135)</f>
        <v>1285280</v>
      </c>
      <c r="H142" s="29">
        <f>SUMIF(①농산물raw!$D$6:$D$1135,$C142,①농산물raw!$H$6:$H$1135)</f>
        <v>88750</v>
      </c>
      <c r="I142" s="30" t="s">
        <v>2057</v>
      </c>
    </row>
    <row r="143" spans="1:9">
      <c r="A143" s="30">
        <v>141</v>
      </c>
      <c r="B143" s="30" t="s">
        <v>39</v>
      </c>
      <c r="C143" s="30" t="s">
        <v>323</v>
      </c>
      <c r="D143" s="25" t="s">
        <v>324</v>
      </c>
      <c r="E143" s="30" t="s">
        <v>8</v>
      </c>
      <c r="F143" s="29">
        <f>SUMIF(①농산물raw!$D$6:$D$1135,$C143,①농산물raw!$F$6:$F$1135)</f>
        <v>4114</v>
      </c>
      <c r="G143" s="29">
        <f>SUMIF(①농산물raw!$D$6:$D$1135,$C143,①농산물raw!$G$6:$G$1135)</f>
        <v>61928280</v>
      </c>
      <c r="H143" s="29">
        <f>SUMIF(①농산물raw!$D$6:$D$1135,$C143,①농산물raw!$H$6:$H$1135)</f>
        <v>4994140</v>
      </c>
      <c r="I143" s="30" t="s">
        <v>2057</v>
      </c>
    </row>
    <row r="144" spans="1:9">
      <c r="A144" s="30">
        <v>142</v>
      </c>
      <c r="B144" s="30" t="s">
        <v>39</v>
      </c>
      <c r="C144" s="30" t="s">
        <v>325</v>
      </c>
      <c r="D144" s="25" t="s">
        <v>326</v>
      </c>
      <c r="E144" s="30" t="s">
        <v>7</v>
      </c>
      <c r="F144" s="29">
        <f>SUMIF(①농산물raw!$D$6:$D$1135,$C144,①농산물raw!$F$6:$F$1135)</f>
        <v>89</v>
      </c>
      <c r="G144" s="29">
        <f>SUMIF(①농산물raw!$D$6:$D$1135,$C144,①농산물raw!$G$6:$G$1135)</f>
        <v>3869500</v>
      </c>
      <c r="H144" s="29">
        <f>SUMIF(①농산물raw!$D$6:$D$1135,$C144,①농산물raw!$H$6:$H$1135)</f>
        <v>126660</v>
      </c>
      <c r="I144" s="30" t="s">
        <v>2057</v>
      </c>
    </row>
    <row r="145" spans="1:9">
      <c r="A145" s="30">
        <v>143</v>
      </c>
      <c r="B145" s="30" t="s">
        <v>39</v>
      </c>
      <c r="C145" s="30" t="s">
        <v>327</v>
      </c>
      <c r="D145" s="25" t="s">
        <v>328</v>
      </c>
      <c r="E145" s="30" t="s">
        <v>10</v>
      </c>
      <c r="F145" s="29">
        <f>SUMIF(①농산물raw!$D$6:$D$1135,$C145,①농산물raw!$F$6:$F$1135)</f>
        <v>0</v>
      </c>
      <c r="G145" s="29">
        <f>SUMIF(①농산물raw!$D$6:$D$1135,$C145,①농산물raw!$G$6:$G$1135)</f>
        <v>0</v>
      </c>
      <c r="H145" s="29">
        <f>SUMIF(①농산물raw!$D$6:$D$1135,$C145,①농산물raw!$H$6:$H$1135)</f>
        <v>0</v>
      </c>
      <c r="I145" s="25"/>
    </row>
    <row r="146" spans="1:9">
      <c r="A146" s="30">
        <v>144</v>
      </c>
      <c r="B146" s="30" t="s">
        <v>47</v>
      </c>
      <c r="C146" s="30" t="s">
        <v>329</v>
      </c>
      <c r="D146" s="25" t="s">
        <v>330</v>
      </c>
      <c r="E146" s="30" t="s">
        <v>10</v>
      </c>
      <c r="F146" s="29">
        <f>SUMIF(①농산물raw!$D$6:$D$1135,$C146,①농산물raw!$F$6:$F$1135)</f>
        <v>7</v>
      </c>
      <c r="G146" s="29">
        <f>SUMIF(①농산물raw!$D$6:$D$1135,$C146,①농산물raw!$G$6:$G$1135)</f>
        <v>175000</v>
      </c>
      <c r="H146" s="29">
        <f>SUMIF(①농산물raw!$D$6:$D$1135,$C146,①농산물raw!$H$6:$H$1135)</f>
        <v>17800</v>
      </c>
      <c r="I146" s="30" t="s">
        <v>2057</v>
      </c>
    </row>
    <row r="147" spans="1:9">
      <c r="A147" s="30">
        <v>145</v>
      </c>
      <c r="B147" s="30" t="s">
        <v>39</v>
      </c>
      <c r="C147" s="30" t="s">
        <v>331</v>
      </c>
      <c r="D147" s="25" t="s">
        <v>332</v>
      </c>
      <c r="E147" s="30" t="s">
        <v>10</v>
      </c>
      <c r="F147" s="29">
        <f>SUMIF(①농산물raw!$D$6:$D$1135,$C147,①농산물raw!$F$6:$F$1135)</f>
        <v>0</v>
      </c>
      <c r="G147" s="29">
        <f>SUMIF(①농산물raw!$D$6:$D$1135,$C147,①농산물raw!$G$6:$G$1135)</f>
        <v>0</v>
      </c>
      <c r="H147" s="29">
        <f>SUMIF(①농산물raw!$D$6:$D$1135,$C147,①농산물raw!$H$6:$H$1135)</f>
        <v>0</v>
      </c>
      <c r="I147" s="25"/>
    </row>
    <row r="148" spans="1:9">
      <c r="A148" s="30">
        <v>146</v>
      </c>
      <c r="B148" s="30" t="s">
        <v>47</v>
      </c>
      <c r="C148" s="30" t="s">
        <v>333</v>
      </c>
      <c r="D148" s="25" t="s">
        <v>334</v>
      </c>
      <c r="E148" s="30" t="s">
        <v>7</v>
      </c>
      <c r="F148" s="29">
        <f>SUMIF(①농산물raw!$D$6:$D$1135,$C148,①농산물raw!$F$6:$F$1135)</f>
        <v>0</v>
      </c>
      <c r="G148" s="29">
        <f>SUMIF(①농산물raw!$D$6:$D$1135,$C148,①농산물raw!$G$6:$G$1135)</f>
        <v>0</v>
      </c>
      <c r="H148" s="29">
        <f>SUMIF(①농산물raw!$D$6:$D$1135,$C148,①농산물raw!$H$6:$H$1135)</f>
        <v>0</v>
      </c>
      <c r="I148" s="25"/>
    </row>
    <row r="149" spans="1:9">
      <c r="A149" s="30">
        <v>147</v>
      </c>
      <c r="B149" s="30" t="s">
        <v>50</v>
      </c>
      <c r="C149" s="30" t="s">
        <v>335</v>
      </c>
      <c r="D149" s="25" t="s">
        <v>336</v>
      </c>
      <c r="E149" s="30" t="s">
        <v>7</v>
      </c>
      <c r="F149" s="29">
        <f>SUMIF(①농산물raw!$D$6:$D$1135,$C149,①농산물raw!$F$6:$F$1135)</f>
        <v>0</v>
      </c>
      <c r="G149" s="29">
        <f>SUMIF(①농산물raw!$D$6:$D$1135,$C149,①농산물raw!$G$6:$G$1135)</f>
        <v>0</v>
      </c>
      <c r="H149" s="29">
        <f>SUMIF(①농산물raw!$D$6:$D$1135,$C149,①농산물raw!$H$6:$H$1135)</f>
        <v>0</v>
      </c>
      <c r="I149" s="25"/>
    </row>
    <row r="150" spans="1:9">
      <c r="A150" s="30">
        <v>148</v>
      </c>
      <c r="B150" s="30" t="s">
        <v>47</v>
      </c>
      <c r="C150" s="30" t="s">
        <v>337</v>
      </c>
      <c r="D150" s="25" t="s">
        <v>338</v>
      </c>
      <c r="E150" s="30" t="s">
        <v>12</v>
      </c>
      <c r="F150" s="29">
        <f>SUMIF(①농산물raw!$D$6:$D$1135,$C150,①농산물raw!$F$6:$F$1135)</f>
        <v>0</v>
      </c>
      <c r="G150" s="29">
        <f>SUMIF(①농산물raw!$D$6:$D$1135,$C150,①농산물raw!$G$6:$G$1135)</f>
        <v>0</v>
      </c>
      <c r="H150" s="29">
        <f>SUMIF(①농산물raw!$D$6:$D$1135,$C150,①농산물raw!$H$6:$H$1135)</f>
        <v>0</v>
      </c>
      <c r="I150" s="25"/>
    </row>
    <row r="151" spans="1:9">
      <c r="A151" s="30">
        <v>149</v>
      </c>
      <c r="B151" s="30" t="s">
        <v>39</v>
      </c>
      <c r="C151" s="30" t="s">
        <v>339</v>
      </c>
      <c r="D151" s="25" t="s">
        <v>340</v>
      </c>
      <c r="E151" s="30" t="s">
        <v>42</v>
      </c>
      <c r="F151" s="29">
        <f>SUMIF(①농산물raw!$D$6:$D$1135,$C151,①농산물raw!$F$6:$F$1135)</f>
        <v>3</v>
      </c>
      <c r="G151" s="29">
        <f>SUMIF(①농산물raw!$D$6:$D$1135,$C151,①농산물raw!$G$6:$G$1135)</f>
        <v>82000</v>
      </c>
      <c r="H151" s="29">
        <f>SUMIF(①농산물raw!$D$6:$D$1135,$C151,①농산물raw!$H$6:$H$1135)</f>
        <v>15330</v>
      </c>
      <c r="I151" s="30" t="s">
        <v>2057</v>
      </c>
    </row>
    <row r="152" spans="1:9">
      <c r="A152" s="30">
        <v>150</v>
      </c>
      <c r="B152" s="30" t="s">
        <v>47</v>
      </c>
      <c r="C152" s="30" t="s">
        <v>341</v>
      </c>
      <c r="D152" s="25" t="s">
        <v>342</v>
      </c>
      <c r="E152" s="30" t="s">
        <v>7</v>
      </c>
      <c r="F152" s="29">
        <f>SUMIF(①농산물raw!$D$6:$D$1135,$C152,①농산물raw!$F$6:$F$1135)</f>
        <v>0</v>
      </c>
      <c r="G152" s="29">
        <f>SUMIF(①농산물raw!$D$6:$D$1135,$C152,①농산물raw!$G$6:$G$1135)</f>
        <v>0</v>
      </c>
      <c r="H152" s="29">
        <f>SUMIF(①농산물raw!$D$6:$D$1135,$C152,①농산물raw!$H$6:$H$1135)</f>
        <v>0</v>
      </c>
      <c r="I152" s="25"/>
    </row>
    <row r="153" spans="1:9">
      <c r="A153" s="30">
        <v>151</v>
      </c>
      <c r="B153" s="30" t="s">
        <v>39</v>
      </c>
      <c r="C153" s="30" t="s">
        <v>343</v>
      </c>
      <c r="D153" s="25" t="s">
        <v>344</v>
      </c>
      <c r="E153" s="30" t="s">
        <v>8</v>
      </c>
      <c r="F153" s="29">
        <f>SUMIF(①농산물raw!$D$6:$D$1135,$C153,①농산물raw!$F$6:$F$1135)</f>
        <v>2334</v>
      </c>
      <c r="G153" s="29">
        <f>SUMIF(①농산물raw!$D$6:$D$1135,$C153,①농산물raw!$G$6:$G$1135)</f>
        <v>53709900</v>
      </c>
      <c r="H153" s="29">
        <f>SUMIF(①농산물raw!$D$6:$D$1135,$C153,①농산물raw!$H$6:$H$1135)</f>
        <v>5062400</v>
      </c>
      <c r="I153" s="30" t="s">
        <v>2057</v>
      </c>
    </row>
    <row r="154" spans="1:9">
      <c r="A154" s="30">
        <v>152</v>
      </c>
      <c r="B154" s="30" t="s">
        <v>39</v>
      </c>
      <c r="C154" s="30" t="s">
        <v>345</v>
      </c>
      <c r="D154" s="25" t="s">
        <v>346</v>
      </c>
      <c r="E154" s="30" t="s">
        <v>8</v>
      </c>
      <c r="F154" s="29">
        <f>SUMIF(①농산물raw!$D$6:$D$1135,$C154,①농산물raw!$F$6:$F$1135)</f>
        <v>4</v>
      </c>
      <c r="G154" s="29">
        <f>SUMIF(①농산물raw!$D$6:$D$1135,$C154,①농산물raw!$G$6:$G$1135)</f>
        <v>138000</v>
      </c>
      <c r="H154" s="29">
        <f>SUMIF(①농산물raw!$D$6:$D$1135,$C154,①농산물raw!$H$6:$H$1135)</f>
        <v>13800</v>
      </c>
      <c r="I154" s="30" t="s">
        <v>2057</v>
      </c>
    </row>
    <row r="155" spans="1:9">
      <c r="A155" s="30">
        <v>153</v>
      </c>
      <c r="B155" s="30" t="s">
        <v>39</v>
      </c>
      <c r="C155" s="30" t="s">
        <v>347</v>
      </c>
      <c r="D155" s="25" t="s">
        <v>348</v>
      </c>
      <c r="E155" s="30" t="s">
        <v>8</v>
      </c>
      <c r="F155" s="29">
        <f>SUMIF(①농산물raw!$D$6:$D$1135,$C155,①농산물raw!$F$6:$F$1135)</f>
        <v>0</v>
      </c>
      <c r="G155" s="29">
        <f>SUMIF(①농산물raw!$D$6:$D$1135,$C155,①농산물raw!$G$6:$G$1135)</f>
        <v>0</v>
      </c>
      <c r="H155" s="29">
        <f>SUMIF(①농산물raw!$D$6:$D$1135,$C155,①농산물raw!$H$6:$H$1135)</f>
        <v>0</v>
      </c>
      <c r="I155" s="30" t="s">
        <v>2057</v>
      </c>
    </row>
    <row r="156" spans="1:9">
      <c r="A156" s="30">
        <v>154</v>
      </c>
      <c r="B156" s="30" t="s">
        <v>50</v>
      </c>
      <c r="C156" s="30" t="s">
        <v>349</v>
      </c>
      <c r="D156" s="25" t="s">
        <v>350</v>
      </c>
      <c r="E156" s="30" t="s">
        <v>7</v>
      </c>
      <c r="F156" s="29">
        <f>SUMIF(①농산물raw!$D$6:$D$1135,$C156,①농산물raw!$F$6:$F$1135)</f>
        <v>11</v>
      </c>
      <c r="G156" s="29">
        <f>SUMIF(①농산물raw!$D$6:$D$1135,$C156,①농산물raw!$G$6:$G$1135)</f>
        <v>260500</v>
      </c>
      <c r="H156" s="29">
        <f>SUMIF(①농산물raw!$D$6:$D$1135,$C156,①농산물raw!$H$6:$H$1135)</f>
        <v>6600</v>
      </c>
      <c r="I156" s="30" t="s">
        <v>2057</v>
      </c>
    </row>
    <row r="157" spans="1:9">
      <c r="A157" s="30">
        <v>155</v>
      </c>
      <c r="B157" s="30" t="s">
        <v>39</v>
      </c>
      <c r="C157" s="30" t="s">
        <v>351</v>
      </c>
      <c r="D157" s="25" t="s">
        <v>352</v>
      </c>
      <c r="E157" s="30" t="s">
        <v>42</v>
      </c>
      <c r="F157" s="29">
        <f>SUMIF(①농산물raw!$D$6:$D$1135,$C157,①농산물raw!$F$6:$F$1135)</f>
        <v>737</v>
      </c>
      <c r="G157" s="29">
        <f>SUMIF(①농산물raw!$D$6:$D$1135,$C157,①농산물raw!$G$6:$G$1135)</f>
        <v>26752200</v>
      </c>
      <c r="H157" s="29">
        <f>SUMIF(①농산물raw!$D$6:$D$1135,$C157,①농산물raw!$H$6:$H$1135)</f>
        <v>5136630</v>
      </c>
      <c r="I157" s="30" t="s">
        <v>2057</v>
      </c>
    </row>
    <row r="158" spans="1:9">
      <c r="A158" s="30">
        <v>156</v>
      </c>
      <c r="B158" s="30" t="s">
        <v>47</v>
      </c>
      <c r="C158" s="30" t="s">
        <v>353</v>
      </c>
      <c r="D158" s="25" t="s">
        <v>354</v>
      </c>
      <c r="E158" s="30" t="s">
        <v>10</v>
      </c>
      <c r="F158" s="29">
        <f>SUMIF(①농산물raw!$D$6:$D$1135,$C158,①농산물raw!$F$6:$F$1135)</f>
        <v>0</v>
      </c>
      <c r="G158" s="29">
        <f>SUMIF(①농산물raw!$D$6:$D$1135,$C158,①농산물raw!$G$6:$G$1135)</f>
        <v>0</v>
      </c>
      <c r="H158" s="29">
        <f>SUMIF(①농산물raw!$D$6:$D$1135,$C158,①농산물raw!$H$6:$H$1135)</f>
        <v>0</v>
      </c>
      <c r="I158" s="25"/>
    </row>
    <row r="159" spans="1:9">
      <c r="A159" s="30">
        <v>157</v>
      </c>
      <c r="B159" s="30" t="s">
        <v>39</v>
      </c>
      <c r="C159" s="30" t="s">
        <v>355</v>
      </c>
      <c r="D159" s="25" t="s">
        <v>356</v>
      </c>
      <c r="E159" s="30" t="s">
        <v>7</v>
      </c>
      <c r="F159" s="29">
        <f>SUMIF(①농산물raw!$D$6:$D$1135,$C159,①농산물raw!$F$6:$F$1135)</f>
        <v>20</v>
      </c>
      <c r="G159" s="29">
        <f>SUMIF(①농산물raw!$D$6:$D$1135,$C159,①농산물raw!$G$6:$G$1135)</f>
        <v>223500</v>
      </c>
      <c r="H159" s="29">
        <f>SUMIF(①농산물raw!$D$6:$D$1135,$C159,①농산물raw!$H$6:$H$1135)</f>
        <v>2340</v>
      </c>
      <c r="I159" s="30" t="s">
        <v>2057</v>
      </c>
    </row>
    <row r="160" spans="1:9">
      <c r="A160" s="30">
        <v>158</v>
      </c>
      <c r="B160" s="30" t="s">
        <v>47</v>
      </c>
      <c r="C160" s="30" t="s">
        <v>357</v>
      </c>
      <c r="D160" s="25" t="s">
        <v>358</v>
      </c>
      <c r="E160" s="30" t="s">
        <v>10</v>
      </c>
      <c r="F160" s="29">
        <f>SUMIF(①농산물raw!$D$6:$D$1135,$C160,①농산물raw!$F$6:$F$1135)</f>
        <v>97</v>
      </c>
      <c r="G160" s="29">
        <f>SUMIF(①농산물raw!$D$6:$D$1135,$C160,①농산물raw!$G$6:$G$1135)</f>
        <v>1018300</v>
      </c>
      <c r="H160" s="29">
        <f>SUMIF(①농산물raw!$D$6:$D$1135,$C160,①농산물raw!$H$6:$H$1135)</f>
        <v>92982</v>
      </c>
      <c r="I160" s="30" t="s">
        <v>2057</v>
      </c>
    </row>
    <row r="161" spans="1:9">
      <c r="A161" s="30">
        <v>159</v>
      </c>
      <c r="B161" s="30" t="s">
        <v>39</v>
      </c>
      <c r="C161" s="30" t="s">
        <v>359</v>
      </c>
      <c r="D161" s="25" t="s">
        <v>360</v>
      </c>
      <c r="E161" s="30" t="s">
        <v>8</v>
      </c>
      <c r="F161" s="29">
        <f>SUMIF(①농산물raw!$D$6:$D$1135,$C161,①농산물raw!$F$6:$F$1135)</f>
        <v>0</v>
      </c>
      <c r="G161" s="29">
        <f>SUMIF(①농산물raw!$D$6:$D$1135,$C161,①농산물raw!$G$6:$G$1135)</f>
        <v>0</v>
      </c>
      <c r="H161" s="29">
        <f>SUMIF(①농산물raw!$D$6:$D$1135,$C161,①농산물raw!$H$6:$H$1135)</f>
        <v>0</v>
      </c>
      <c r="I161" s="25"/>
    </row>
    <row r="162" spans="1:9">
      <c r="A162" s="30">
        <v>160</v>
      </c>
      <c r="B162" s="30" t="s">
        <v>39</v>
      </c>
      <c r="C162" s="30" t="s">
        <v>361</v>
      </c>
      <c r="D162" s="25" t="s">
        <v>362</v>
      </c>
      <c r="E162" s="30" t="s">
        <v>8</v>
      </c>
      <c r="F162" s="29">
        <f>SUMIF(①농산물raw!$D$6:$D$1135,$C162,①농산물raw!$F$6:$F$1135)</f>
        <v>0</v>
      </c>
      <c r="G162" s="29">
        <f>SUMIF(①농산물raw!$D$6:$D$1135,$C162,①농산물raw!$G$6:$G$1135)</f>
        <v>0</v>
      </c>
      <c r="H162" s="29">
        <f>SUMIF(①농산물raw!$D$6:$D$1135,$C162,①농산물raw!$H$6:$H$1135)</f>
        <v>0</v>
      </c>
      <c r="I162" s="25"/>
    </row>
    <row r="163" spans="1:9">
      <c r="A163" s="30">
        <v>161</v>
      </c>
      <c r="B163" s="30" t="s">
        <v>47</v>
      </c>
      <c r="C163" s="30" t="s">
        <v>363</v>
      </c>
      <c r="D163" s="25" t="s">
        <v>364</v>
      </c>
      <c r="E163" s="30" t="s">
        <v>7</v>
      </c>
      <c r="F163" s="29">
        <f>SUMIF(①농산물raw!$D$6:$D$1135,$C163,①농산물raw!$F$6:$F$1135)</f>
        <v>0</v>
      </c>
      <c r="G163" s="29">
        <f>SUMIF(①농산물raw!$D$6:$D$1135,$C163,①농산물raw!$G$6:$G$1135)</f>
        <v>0</v>
      </c>
      <c r="H163" s="29">
        <f>SUMIF(①농산물raw!$D$6:$D$1135,$C163,①농산물raw!$H$6:$H$1135)</f>
        <v>0</v>
      </c>
      <c r="I163" s="25"/>
    </row>
    <row r="164" spans="1:9">
      <c r="A164" s="30">
        <v>162</v>
      </c>
      <c r="B164" s="30" t="s">
        <v>39</v>
      </c>
      <c r="C164" s="30" t="s">
        <v>365</v>
      </c>
      <c r="D164" s="25" t="s">
        <v>366</v>
      </c>
      <c r="E164" s="30" t="s">
        <v>11</v>
      </c>
      <c r="F164" s="29">
        <f>SUMIF(①농산물raw!$D$6:$D$1135,$C164,①농산물raw!$F$6:$F$1135)</f>
        <v>3</v>
      </c>
      <c r="G164" s="29">
        <f>SUMIF(①농산물raw!$D$6:$D$1135,$C164,①농산물raw!$G$6:$G$1135)</f>
        <v>134400</v>
      </c>
      <c r="H164" s="29">
        <f>SUMIF(①농산물raw!$D$6:$D$1135,$C164,①농산물raw!$H$6:$H$1135)</f>
        <v>5600</v>
      </c>
      <c r="I164" s="30" t="s">
        <v>2057</v>
      </c>
    </row>
    <row r="165" spans="1:9">
      <c r="A165" s="30">
        <v>163</v>
      </c>
      <c r="B165" s="30" t="s">
        <v>39</v>
      </c>
      <c r="C165" s="30" t="s">
        <v>367</v>
      </c>
      <c r="D165" s="25" t="s">
        <v>368</v>
      </c>
      <c r="E165" s="30" t="s">
        <v>12</v>
      </c>
      <c r="F165" s="29">
        <f>SUMIF(①농산물raw!$D$6:$D$1135,$C165,①농산물raw!$F$6:$F$1135)</f>
        <v>5009</v>
      </c>
      <c r="G165" s="29">
        <f>SUMIF(①농산물raw!$D$6:$D$1135,$C165,①농산물raw!$G$6:$G$1135)</f>
        <v>54175900</v>
      </c>
      <c r="H165" s="29">
        <f>SUMIF(①농산물raw!$D$6:$D$1135,$C165,①농산물raw!$H$6:$H$1135)</f>
        <v>1152620</v>
      </c>
      <c r="I165" s="30" t="s">
        <v>2057</v>
      </c>
    </row>
    <row r="166" spans="1:9">
      <c r="A166" s="30">
        <v>164</v>
      </c>
      <c r="B166" s="30" t="s">
        <v>39</v>
      </c>
      <c r="C166" s="30" t="s">
        <v>369</v>
      </c>
      <c r="D166" s="25" t="s">
        <v>370</v>
      </c>
      <c r="E166" s="30" t="s">
        <v>42</v>
      </c>
      <c r="F166" s="29">
        <f>SUMIF(①농산물raw!$D$6:$D$1135,$C166,①농산물raw!$F$6:$F$1135)</f>
        <v>0</v>
      </c>
      <c r="G166" s="29">
        <f>SUMIF(①농산물raw!$D$6:$D$1135,$C166,①농산물raw!$G$6:$G$1135)</f>
        <v>0</v>
      </c>
      <c r="H166" s="29">
        <f>SUMIF(①농산물raw!$D$6:$D$1135,$C166,①농산물raw!$H$6:$H$1135)</f>
        <v>0</v>
      </c>
      <c r="I166" s="30" t="s">
        <v>2057</v>
      </c>
    </row>
    <row r="167" spans="1:9">
      <c r="A167" s="30">
        <v>165</v>
      </c>
      <c r="B167" s="30" t="s">
        <v>39</v>
      </c>
      <c r="C167" s="30" t="s">
        <v>371</v>
      </c>
      <c r="D167" s="25" t="s">
        <v>372</v>
      </c>
      <c r="E167" s="30" t="s">
        <v>7</v>
      </c>
      <c r="F167" s="29">
        <f>SUMIF(①농산물raw!$D$6:$D$1135,$C167,①농산물raw!$F$6:$F$1135)</f>
        <v>163</v>
      </c>
      <c r="G167" s="29">
        <f>SUMIF(①농산물raw!$D$6:$D$1135,$C167,①농산물raw!$G$6:$G$1135)</f>
        <v>5958300</v>
      </c>
      <c r="H167" s="29">
        <f>SUMIF(①농산물raw!$D$6:$D$1135,$C167,①농산물raw!$H$6:$H$1135)</f>
        <v>434200</v>
      </c>
      <c r="I167" s="30" t="s">
        <v>2057</v>
      </c>
    </row>
    <row r="168" spans="1:9">
      <c r="A168" s="30">
        <v>166</v>
      </c>
      <c r="B168" s="30" t="s">
        <v>47</v>
      </c>
      <c r="C168" s="30" t="s">
        <v>373</v>
      </c>
      <c r="D168" s="25" t="s">
        <v>374</v>
      </c>
      <c r="E168" s="30" t="s">
        <v>7</v>
      </c>
      <c r="F168" s="29">
        <f>SUMIF(①농산물raw!$D$6:$D$1135,$C168,①농산물raw!$F$6:$F$1135)</f>
        <v>0</v>
      </c>
      <c r="G168" s="29">
        <f>SUMIF(①농산물raw!$D$6:$D$1135,$C168,①농산물raw!$G$6:$G$1135)</f>
        <v>0</v>
      </c>
      <c r="H168" s="29">
        <f>SUMIF(①농산물raw!$D$6:$D$1135,$C168,①농산물raw!$H$6:$H$1135)</f>
        <v>0</v>
      </c>
      <c r="I168" s="25"/>
    </row>
    <row r="169" spans="1:9">
      <c r="A169" s="30">
        <v>167</v>
      </c>
      <c r="B169" s="30" t="s">
        <v>47</v>
      </c>
      <c r="C169" s="30" t="s">
        <v>375</v>
      </c>
      <c r="D169" s="25" t="s">
        <v>376</v>
      </c>
      <c r="E169" s="30" t="s">
        <v>7</v>
      </c>
      <c r="F169" s="29">
        <f>SUMIF(①농산물raw!$D$6:$D$1135,$C169,①농산물raw!$F$6:$F$1135)</f>
        <v>0</v>
      </c>
      <c r="G169" s="29">
        <f>SUMIF(①농산물raw!$D$6:$D$1135,$C169,①농산물raw!$G$6:$G$1135)</f>
        <v>0</v>
      </c>
      <c r="H169" s="29">
        <f>SUMIF(①농산물raw!$D$6:$D$1135,$C169,①농산물raw!$H$6:$H$1135)</f>
        <v>0</v>
      </c>
      <c r="I169" s="25"/>
    </row>
    <row r="170" spans="1:9">
      <c r="A170" s="30">
        <v>168</v>
      </c>
      <c r="B170" s="30" t="s">
        <v>47</v>
      </c>
      <c r="C170" s="30" t="s">
        <v>377</v>
      </c>
      <c r="D170" s="25" t="s">
        <v>378</v>
      </c>
      <c r="E170" s="30" t="s">
        <v>10</v>
      </c>
      <c r="F170" s="29">
        <f>SUMIF(①농산물raw!$D$6:$D$1135,$C170,①농산물raw!$F$6:$F$1135)</f>
        <v>10</v>
      </c>
      <c r="G170" s="29">
        <f>SUMIF(①농산물raw!$D$6:$D$1135,$C170,①농산물raw!$G$6:$G$1135)</f>
        <v>150000</v>
      </c>
      <c r="H170" s="29">
        <f>SUMIF(①농산물raw!$D$6:$D$1135,$C170,①농산물raw!$H$6:$H$1135)</f>
        <v>15400</v>
      </c>
      <c r="I170" s="30" t="s">
        <v>2057</v>
      </c>
    </row>
    <row r="171" spans="1:9">
      <c r="A171" s="30">
        <v>169</v>
      </c>
      <c r="B171" s="30" t="s">
        <v>39</v>
      </c>
      <c r="C171" s="30" t="s">
        <v>379</v>
      </c>
      <c r="D171" s="25" t="s">
        <v>380</v>
      </c>
      <c r="E171" s="30" t="s">
        <v>42</v>
      </c>
      <c r="F171" s="29">
        <f>SUMIF(①농산물raw!$D$6:$D$1135,$C171,①농산물raw!$F$6:$F$1135)</f>
        <v>43</v>
      </c>
      <c r="G171" s="29">
        <f>SUMIF(①농산물raw!$D$6:$D$1135,$C171,①농산물raw!$G$6:$G$1135)</f>
        <v>1184800</v>
      </c>
      <c r="H171" s="29">
        <f>SUMIF(①농산물raw!$D$6:$D$1135,$C171,①농산물raw!$H$6:$H$1135)</f>
        <v>215830</v>
      </c>
      <c r="I171" s="30" t="s">
        <v>2057</v>
      </c>
    </row>
    <row r="172" spans="1:9">
      <c r="A172" s="30">
        <v>170</v>
      </c>
      <c r="B172" s="30" t="s">
        <v>39</v>
      </c>
      <c r="C172" s="30" t="s">
        <v>381</v>
      </c>
      <c r="D172" s="25" t="s">
        <v>382</v>
      </c>
      <c r="E172" s="30" t="s">
        <v>11</v>
      </c>
      <c r="F172" s="29">
        <f>SUMIF(①농산물raw!$D$6:$D$1135,$C172,①농산물raw!$F$6:$F$1135)</f>
        <v>10589</v>
      </c>
      <c r="G172" s="29">
        <f>SUMIF(①농산물raw!$D$6:$D$1135,$C172,①농산물raw!$G$6:$G$1135)</f>
        <v>156450570</v>
      </c>
      <c r="H172" s="29">
        <f>SUMIF(①농산물raw!$D$6:$D$1135,$C172,①농산물raw!$H$6:$H$1135)</f>
        <v>5847700</v>
      </c>
      <c r="I172" s="30" t="s">
        <v>2057</v>
      </c>
    </row>
    <row r="173" spans="1:9">
      <c r="A173" s="30">
        <v>171</v>
      </c>
      <c r="B173" s="30" t="s">
        <v>39</v>
      </c>
      <c r="C173" s="30" t="s">
        <v>383</v>
      </c>
      <c r="D173" s="25" t="s">
        <v>384</v>
      </c>
      <c r="E173" s="30" t="s">
        <v>11</v>
      </c>
      <c r="F173" s="29">
        <f>SUMIF(①농산물raw!$D$6:$D$1135,$C173,①농산물raw!$F$6:$F$1135)</f>
        <v>1471</v>
      </c>
      <c r="G173" s="29">
        <f>SUMIF(①농산물raw!$D$6:$D$1135,$C173,①농산물raw!$G$6:$G$1135)</f>
        <v>25666813</v>
      </c>
      <c r="H173" s="29">
        <f>SUMIF(①농산물raw!$D$6:$D$1135,$C173,①농산물raw!$H$6:$H$1135)</f>
        <v>1907760</v>
      </c>
      <c r="I173" s="30" t="s">
        <v>2057</v>
      </c>
    </row>
    <row r="174" spans="1:9">
      <c r="A174" s="30">
        <v>172</v>
      </c>
      <c r="B174" s="30" t="s">
        <v>47</v>
      </c>
      <c r="C174" s="30" t="s">
        <v>385</v>
      </c>
      <c r="D174" s="25" t="s">
        <v>386</v>
      </c>
      <c r="E174" s="30" t="s">
        <v>7</v>
      </c>
      <c r="F174" s="29">
        <f>SUMIF(①농산물raw!$D$6:$D$1135,$C174,①농산물raw!$F$6:$F$1135)</f>
        <v>0</v>
      </c>
      <c r="G174" s="29">
        <f>SUMIF(①농산물raw!$D$6:$D$1135,$C174,①농산물raw!$G$6:$G$1135)</f>
        <v>0</v>
      </c>
      <c r="H174" s="29">
        <f>SUMIF(①농산물raw!$D$6:$D$1135,$C174,①농산물raw!$H$6:$H$1135)</f>
        <v>0</v>
      </c>
      <c r="I174" s="25"/>
    </row>
    <row r="175" spans="1:9">
      <c r="A175" s="30">
        <v>173</v>
      </c>
      <c r="B175" s="30" t="s">
        <v>47</v>
      </c>
      <c r="C175" s="30" t="s">
        <v>387</v>
      </c>
      <c r="D175" s="25" t="s">
        <v>388</v>
      </c>
      <c r="E175" s="30" t="s">
        <v>7</v>
      </c>
      <c r="F175" s="29">
        <f>SUMIF(①농산물raw!$D$6:$D$1135,$C175,①농산물raw!$F$6:$F$1135)</f>
        <v>12</v>
      </c>
      <c r="G175" s="29">
        <f>SUMIF(①농산물raw!$D$6:$D$1135,$C175,①농산물raw!$G$6:$G$1135)</f>
        <v>284200</v>
      </c>
      <c r="H175" s="29">
        <f>SUMIF(①농산물raw!$D$6:$D$1135,$C175,①농산물raw!$H$6:$H$1135)</f>
        <v>0</v>
      </c>
      <c r="I175" s="30" t="s">
        <v>2057</v>
      </c>
    </row>
    <row r="176" spans="1:9">
      <c r="A176" s="30">
        <v>174</v>
      </c>
      <c r="B176" s="30" t="s">
        <v>50</v>
      </c>
      <c r="C176" s="30" t="s">
        <v>389</v>
      </c>
      <c r="D176" s="25" t="s">
        <v>390</v>
      </c>
      <c r="E176" s="30" t="s">
        <v>12</v>
      </c>
      <c r="F176" s="29">
        <f>SUMIF(①농산물raw!$D$6:$D$1135,$C176,①농산물raw!$F$6:$F$1135)</f>
        <v>28</v>
      </c>
      <c r="G176" s="29">
        <f>SUMIF(①농산물raw!$D$6:$D$1135,$C176,①농산물raw!$G$6:$G$1135)</f>
        <v>361900</v>
      </c>
      <c r="H176" s="29">
        <f>SUMIF(①농산물raw!$D$6:$D$1135,$C176,①농산물raw!$H$6:$H$1135)</f>
        <v>26020</v>
      </c>
      <c r="I176" s="30" t="s">
        <v>2057</v>
      </c>
    </row>
    <row r="177" spans="1:9">
      <c r="A177" s="30">
        <v>175</v>
      </c>
      <c r="B177" s="30" t="s">
        <v>50</v>
      </c>
      <c r="C177" s="30" t="s">
        <v>391</v>
      </c>
      <c r="D177" s="25" t="s">
        <v>392</v>
      </c>
      <c r="E177" s="30" t="s">
        <v>8</v>
      </c>
      <c r="F177" s="29">
        <f>SUMIF(①농산물raw!$D$6:$D$1135,$C177,①농산물raw!$F$6:$F$1135)</f>
        <v>145</v>
      </c>
      <c r="G177" s="29">
        <f>SUMIF(①농산물raw!$D$6:$D$1135,$C177,①농산물raw!$G$6:$G$1135)</f>
        <v>6293100</v>
      </c>
      <c r="H177" s="29">
        <f>SUMIF(①농산물raw!$D$6:$D$1135,$C177,①농산물raw!$H$6:$H$1135)</f>
        <v>16680</v>
      </c>
      <c r="I177" s="30" t="s">
        <v>2057</v>
      </c>
    </row>
    <row r="178" spans="1:9">
      <c r="A178" s="30">
        <v>176</v>
      </c>
      <c r="B178" s="30" t="s">
        <v>47</v>
      </c>
      <c r="C178" s="30" t="s">
        <v>393</v>
      </c>
      <c r="D178" s="25" t="s">
        <v>394</v>
      </c>
      <c r="E178" s="30" t="s">
        <v>7</v>
      </c>
      <c r="F178" s="29">
        <f>SUMIF(①농산물raw!$D$6:$D$1135,$C178,①농산물raw!$F$6:$F$1135)</f>
        <v>0</v>
      </c>
      <c r="G178" s="29">
        <f>SUMIF(①농산물raw!$D$6:$D$1135,$C178,①농산물raw!$G$6:$G$1135)</f>
        <v>0</v>
      </c>
      <c r="H178" s="29">
        <f>SUMIF(①농산물raw!$D$6:$D$1135,$C178,①농산물raw!$H$6:$H$1135)</f>
        <v>0</v>
      </c>
      <c r="I178" s="25"/>
    </row>
    <row r="179" spans="1:9">
      <c r="A179" s="30">
        <v>177</v>
      </c>
      <c r="B179" s="30" t="s">
        <v>50</v>
      </c>
      <c r="C179" s="30" t="s">
        <v>395</v>
      </c>
      <c r="D179" s="25" t="s">
        <v>396</v>
      </c>
      <c r="E179" s="30" t="s">
        <v>42</v>
      </c>
      <c r="F179" s="29">
        <f>SUMIF(①농산물raw!$D$6:$D$1135,$C179,①농산물raw!$F$6:$F$1135)</f>
        <v>0</v>
      </c>
      <c r="G179" s="29">
        <f>SUMIF(①농산물raw!$D$6:$D$1135,$C179,①농산물raw!$G$6:$G$1135)</f>
        <v>0</v>
      </c>
      <c r="H179" s="29">
        <f>SUMIF(①농산물raw!$D$6:$D$1135,$C179,①농산물raw!$H$6:$H$1135)</f>
        <v>0</v>
      </c>
      <c r="I179" s="30" t="s">
        <v>2057</v>
      </c>
    </row>
    <row r="180" spans="1:9">
      <c r="A180" s="30">
        <v>178</v>
      </c>
      <c r="B180" s="30" t="s">
        <v>50</v>
      </c>
      <c r="C180" s="30" t="s">
        <v>397</v>
      </c>
      <c r="D180" s="25" t="s">
        <v>398</v>
      </c>
      <c r="E180" s="30" t="s">
        <v>8</v>
      </c>
      <c r="F180" s="29">
        <f>SUMIF(①농산물raw!$D$6:$D$1135,$C180,①농산물raw!$F$6:$F$1135)</f>
        <v>4186</v>
      </c>
      <c r="G180" s="29">
        <f>SUMIF(①농산물raw!$D$6:$D$1135,$C180,①농산물raw!$G$6:$G$1135)</f>
        <v>91243100</v>
      </c>
      <c r="H180" s="29">
        <f>SUMIF(①농산물raw!$D$6:$D$1135,$C180,①농산물raw!$H$6:$H$1135)</f>
        <v>4866780</v>
      </c>
      <c r="I180" s="30" t="s">
        <v>2057</v>
      </c>
    </row>
    <row r="181" spans="1:9">
      <c r="A181" s="30">
        <v>179</v>
      </c>
      <c r="B181" s="30" t="s">
        <v>50</v>
      </c>
      <c r="C181" s="30" t="s">
        <v>399</v>
      </c>
      <c r="D181" s="25" t="s">
        <v>400</v>
      </c>
      <c r="E181" s="30" t="s">
        <v>7</v>
      </c>
      <c r="F181" s="29">
        <f>SUMIF(①농산물raw!$D$6:$D$1135,$C181,①농산물raw!$F$6:$F$1135)</f>
        <v>127</v>
      </c>
      <c r="G181" s="29">
        <f>SUMIF(①농산물raw!$D$6:$D$1135,$C181,①농산물raw!$G$6:$G$1135)</f>
        <v>3663010</v>
      </c>
      <c r="H181" s="29">
        <f>SUMIF(①농산물raw!$D$6:$D$1135,$C181,①농산물raw!$H$6:$H$1135)</f>
        <v>125980</v>
      </c>
      <c r="I181" s="30" t="s">
        <v>2057</v>
      </c>
    </row>
    <row r="182" spans="1:9">
      <c r="A182" s="30">
        <v>180</v>
      </c>
      <c r="B182" s="30" t="s">
        <v>39</v>
      </c>
      <c r="C182" s="30" t="s">
        <v>401</v>
      </c>
      <c r="D182" s="25" t="s">
        <v>402</v>
      </c>
      <c r="E182" s="30" t="s">
        <v>8</v>
      </c>
      <c r="F182" s="29">
        <f>SUMIF(①농산물raw!$D$6:$D$1135,$C182,①농산물raw!$F$6:$F$1135)</f>
        <v>459</v>
      </c>
      <c r="G182" s="29">
        <f>SUMIF(①농산물raw!$D$6:$D$1135,$C182,①농산물raw!$G$6:$G$1135)</f>
        <v>10648800</v>
      </c>
      <c r="H182" s="29">
        <f>SUMIF(①농산물raw!$D$6:$D$1135,$C182,①농산물raw!$H$6:$H$1135)</f>
        <v>983680</v>
      </c>
      <c r="I182" s="30" t="s">
        <v>2057</v>
      </c>
    </row>
    <row r="183" spans="1:9">
      <c r="A183" s="30">
        <v>181</v>
      </c>
      <c r="B183" s="30" t="s">
        <v>50</v>
      </c>
      <c r="C183" s="30" t="s">
        <v>403</v>
      </c>
      <c r="D183" s="25" t="s">
        <v>404</v>
      </c>
      <c r="E183" s="30" t="s">
        <v>7</v>
      </c>
      <c r="F183" s="29">
        <f>SUMIF(①농산물raw!$D$6:$D$1135,$C183,①농산물raw!$F$6:$F$1135)</f>
        <v>68</v>
      </c>
      <c r="G183" s="29">
        <f>SUMIF(①농산물raw!$D$6:$D$1135,$C183,①농산물raw!$G$6:$G$1135)</f>
        <v>1193320</v>
      </c>
      <c r="H183" s="29">
        <f>SUMIF(①농산물raw!$D$6:$D$1135,$C183,①농산물raw!$H$6:$H$1135)</f>
        <v>44330</v>
      </c>
      <c r="I183" s="30" t="s">
        <v>2057</v>
      </c>
    </row>
    <row r="184" spans="1:9">
      <c r="A184" s="30">
        <v>182</v>
      </c>
      <c r="B184" s="30" t="s">
        <v>47</v>
      </c>
      <c r="C184" s="30" t="s">
        <v>405</v>
      </c>
      <c r="D184" s="25" t="s">
        <v>406</v>
      </c>
      <c r="E184" s="30" t="s">
        <v>7</v>
      </c>
      <c r="F184" s="29">
        <f>SUMIF(①농산물raw!$D$6:$D$1135,$C184,①농산물raw!$F$6:$F$1135)</f>
        <v>0</v>
      </c>
      <c r="G184" s="29">
        <f>SUMIF(①농산물raw!$D$6:$D$1135,$C184,①농산물raw!$G$6:$G$1135)</f>
        <v>0</v>
      </c>
      <c r="H184" s="29">
        <f>SUMIF(①농산물raw!$D$6:$D$1135,$C184,①농산물raw!$H$6:$H$1135)</f>
        <v>0</v>
      </c>
      <c r="I184" s="25"/>
    </row>
    <row r="185" spans="1:9">
      <c r="A185" s="30">
        <v>183</v>
      </c>
      <c r="B185" s="30" t="s">
        <v>50</v>
      </c>
      <c r="C185" s="30" t="s">
        <v>407</v>
      </c>
      <c r="D185" s="25" t="s">
        <v>408</v>
      </c>
      <c r="E185" s="30" t="s">
        <v>8</v>
      </c>
      <c r="F185" s="29">
        <f>SUMIF(①농산물raw!$D$6:$D$1135,$C185,①농산물raw!$F$6:$F$1135)</f>
        <v>82</v>
      </c>
      <c r="G185" s="29">
        <f>SUMIF(①농산물raw!$D$6:$D$1135,$C185,①농산물raw!$G$6:$G$1135)</f>
        <v>501000</v>
      </c>
      <c r="H185" s="29">
        <f>SUMIF(①농산물raw!$D$6:$D$1135,$C185,①농산물raw!$H$6:$H$1135)</f>
        <v>20000</v>
      </c>
      <c r="I185" s="30" t="s">
        <v>2057</v>
      </c>
    </row>
    <row r="186" spans="1:9">
      <c r="A186" s="30">
        <v>184</v>
      </c>
      <c r="B186" s="30" t="s">
        <v>39</v>
      </c>
      <c r="C186" s="30" t="s">
        <v>409</v>
      </c>
      <c r="D186" s="25" t="s">
        <v>410</v>
      </c>
      <c r="E186" s="30" t="s">
        <v>42</v>
      </c>
      <c r="F186" s="29">
        <f>SUMIF(①농산물raw!$D$6:$D$1135,$C186,①농산물raw!$F$6:$F$1135)</f>
        <v>940</v>
      </c>
      <c r="G186" s="29">
        <f>SUMIF(①농산물raw!$D$6:$D$1135,$C186,①농산물raw!$G$6:$G$1135)</f>
        <v>20190600</v>
      </c>
      <c r="H186" s="29">
        <f>SUMIF(①농산물raw!$D$6:$D$1135,$C186,①농산물raw!$H$6:$H$1135)</f>
        <v>2824400</v>
      </c>
      <c r="I186" s="30" t="s">
        <v>2057</v>
      </c>
    </row>
    <row r="187" spans="1:9">
      <c r="A187" s="30">
        <v>185</v>
      </c>
      <c r="B187" s="30" t="s">
        <v>39</v>
      </c>
      <c r="C187" s="30" t="s">
        <v>411</v>
      </c>
      <c r="D187" s="25" t="s">
        <v>412</v>
      </c>
      <c r="E187" s="30" t="s">
        <v>42</v>
      </c>
      <c r="F187" s="29">
        <f>SUMIF(①농산물raw!$D$6:$D$1135,$C187,①농산물raw!$F$6:$F$1135)</f>
        <v>0</v>
      </c>
      <c r="G187" s="29">
        <f>SUMIF(①농산물raw!$D$6:$D$1135,$C187,①농산물raw!$G$6:$G$1135)</f>
        <v>0</v>
      </c>
      <c r="H187" s="29">
        <f>SUMIF(①농산물raw!$D$6:$D$1135,$C187,①농산물raw!$H$6:$H$1135)</f>
        <v>0</v>
      </c>
      <c r="I187" s="30" t="s">
        <v>2057</v>
      </c>
    </row>
    <row r="188" spans="1:9">
      <c r="A188" s="30">
        <v>186</v>
      </c>
      <c r="B188" s="30" t="s">
        <v>39</v>
      </c>
      <c r="C188" s="30" t="s">
        <v>413</v>
      </c>
      <c r="D188" s="25" t="s">
        <v>414</v>
      </c>
      <c r="E188" s="30" t="s">
        <v>8</v>
      </c>
      <c r="F188" s="29">
        <f>SUMIF(①농산물raw!$D$6:$D$1135,$C188,①농산물raw!$F$6:$F$1135)</f>
        <v>959</v>
      </c>
      <c r="G188" s="29">
        <f>SUMIF(①농산물raw!$D$6:$D$1135,$C188,①농산물raw!$G$6:$G$1135)</f>
        <v>15399380</v>
      </c>
      <c r="H188" s="29">
        <f>SUMIF(①농산물raw!$D$6:$D$1135,$C188,①농산물raw!$H$6:$H$1135)</f>
        <v>0</v>
      </c>
      <c r="I188" s="30" t="s">
        <v>2057</v>
      </c>
    </row>
    <row r="189" spans="1:9">
      <c r="A189" s="30">
        <v>187</v>
      </c>
      <c r="B189" s="30" t="s">
        <v>39</v>
      </c>
      <c r="C189" s="30" t="s">
        <v>415</v>
      </c>
      <c r="D189" s="25" t="s">
        <v>416</v>
      </c>
      <c r="E189" s="30" t="s">
        <v>42</v>
      </c>
      <c r="F189" s="29">
        <f>SUMIF(①농산물raw!$D$6:$D$1135,$C189,①농산물raw!$F$6:$F$1135)</f>
        <v>960</v>
      </c>
      <c r="G189" s="29">
        <f>SUMIF(①농산물raw!$D$6:$D$1135,$C189,①농산물raw!$G$6:$G$1135)</f>
        <v>14168000</v>
      </c>
      <c r="H189" s="29">
        <f>SUMIF(①농산물raw!$D$6:$D$1135,$C189,①농산물raw!$H$6:$H$1135)</f>
        <v>2385200</v>
      </c>
      <c r="I189" s="30" t="s">
        <v>2057</v>
      </c>
    </row>
    <row r="190" spans="1:9">
      <c r="A190" s="30">
        <v>188</v>
      </c>
      <c r="B190" s="30" t="s">
        <v>39</v>
      </c>
      <c r="C190" s="30" t="s">
        <v>417</v>
      </c>
      <c r="D190" s="25" t="s">
        <v>418</v>
      </c>
      <c r="E190" s="30" t="s">
        <v>42</v>
      </c>
      <c r="F190" s="29">
        <f>SUMIF(①농산물raw!$D$6:$D$1135,$C190,①농산물raw!$F$6:$F$1135)</f>
        <v>0</v>
      </c>
      <c r="G190" s="29">
        <f>SUMIF(①농산물raw!$D$6:$D$1135,$C190,①농산물raw!$G$6:$G$1135)</f>
        <v>0</v>
      </c>
      <c r="H190" s="29">
        <f>SUMIF(①농산물raw!$D$6:$D$1135,$C190,①농산물raw!$H$6:$H$1135)</f>
        <v>0</v>
      </c>
      <c r="I190" s="30" t="s">
        <v>2057</v>
      </c>
    </row>
    <row r="191" spans="1:9">
      <c r="A191" s="30">
        <v>189</v>
      </c>
      <c r="B191" s="30" t="s">
        <v>47</v>
      </c>
      <c r="C191" s="30" t="s">
        <v>419</v>
      </c>
      <c r="D191" s="25" t="s">
        <v>420</v>
      </c>
      <c r="E191" s="30" t="s">
        <v>7</v>
      </c>
      <c r="F191" s="29">
        <f>SUMIF(①농산물raw!$D$6:$D$1135,$C191,①농산물raw!$F$6:$F$1135)</f>
        <v>0</v>
      </c>
      <c r="G191" s="29">
        <f>SUMIF(①농산물raw!$D$6:$D$1135,$C191,①농산물raw!$G$6:$G$1135)</f>
        <v>0</v>
      </c>
      <c r="H191" s="29">
        <f>SUMIF(①농산물raw!$D$6:$D$1135,$C191,①농산물raw!$H$6:$H$1135)</f>
        <v>0</v>
      </c>
      <c r="I191" s="25"/>
    </row>
    <row r="192" spans="1:9">
      <c r="A192" s="30">
        <v>190</v>
      </c>
      <c r="B192" s="30" t="s">
        <v>39</v>
      </c>
      <c r="C192" s="30" t="s">
        <v>421</v>
      </c>
      <c r="D192" s="25" t="s">
        <v>422</v>
      </c>
      <c r="E192" s="30" t="s">
        <v>42</v>
      </c>
      <c r="F192" s="29">
        <f>SUMIF(①농산물raw!$D$6:$D$1135,$C192,①농산물raw!$F$6:$F$1135)</f>
        <v>0</v>
      </c>
      <c r="G192" s="29">
        <f>SUMIF(①농산물raw!$D$6:$D$1135,$C192,①농산물raw!$G$6:$G$1135)</f>
        <v>0</v>
      </c>
      <c r="H192" s="29">
        <f>SUMIF(①농산물raw!$D$6:$D$1135,$C192,①농산물raw!$H$6:$H$1135)</f>
        <v>0</v>
      </c>
      <c r="I192" s="25"/>
    </row>
    <row r="193" spans="1:9">
      <c r="A193" s="30">
        <v>191</v>
      </c>
      <c r="B193" s="30" t="s">
        <v>39</v>
      </c>
      <c r="C193" s="30" t="s">
        <v>423</v>
      </c>
      <c r="D193" s="25" t="s">
        <v>424</v>
      </c>
      <c r="E193" s="30" t="s">
        <v>10</v>
      </c>
      <c r="F193" s="29">
        <f>SUMIF(①농산물raw!$D$6:$D$1135,$C193,①농산물raw!$F$6:$F$1135)</f>
        <v>8</v>
      </c>
      <c r="G193" s="29">
        <f>SUMIF(①농산물raw!$D$6:$D$1135,$C193,①농산물raw!$G$6:$G$1135)</f>
        <v>321000</v>
      </c>
      <c r="H193" s="29">
        <f>SUMIF(①농산물raw!$D$6:$D$1135,$C193,①농산물raw!$H$6:$H$1135)</f>
        <v>37740</v>
      </c>
      <c r="I193" s="30" t="s">
        <v>2057</v>
      </c>
    </row>
    <row r="194" spans="1:9">
      <c r="A194" s="30">
        <v>192</v>
      </c>
      <c r="B194" s="30" t="s">
        <v>47</v>
      </c>
      <c r="C194" s="30" t="s">
        <v>425</v>
      </c>
      <c r="D194" s="25" t="s">
        <v>426</v>
      </c>
      <c r="E194" s="30" t="s">
        <v>7</v>
      </c>
      <c r="F194" s="29">
        <f>SUMIF(①농산물raw!$D$6:$D$1135,$C194,①농산물raw!$F$6:$F$1135)</f>
        <v>0</v>
      </c>
      <c r="G194" s="29">
        <f>SUMIF(①농산물raw!$D$6:$D$1135,$C194,①농산물raw!$G$6:$G$1135)</f>
        <v>0</v>
      </c>
      <c r="H194" s="29">
        <f>SUMIF(①농산물raw!$D$6:$D$1135,$C194,①농산물raw!$H$6:$H$1135)</f>
        <v>0</v>
      </c>
      <c r="I194" s="25"/>
    </row>
    <row r="195" spans="1:9">
      <c r="A195" s="30">
        <v>193</v>
      </c>
      <c r="B195" s="30" t="s">
        <v>47</v>
      </c>
      <c r="C195" s="30" t="s">
        <v>427</v>
      </c>
      <c r="D195" s="25" t="s">
        <v>428</v>
      </c>
      <c r="E195" s="30" t="s">
        <v>12</v>
      </c>
      <c r="F195" s="29">
        <f>SUMIF(①농산물raw!$D$6:$D$1135,$C195,①농산물raw!$F$6:$F$1135)</f>
        <v>0</v>
      </c>
      <c r="G195" s="29">
        <f>SUMIF(①농산물raw!$D$6:$D$1135,$C195,①농산물raw!$G$6:$G$1135)</f>
        <v>0</v>
      </c>
      <c r="H195" s="29">
        <f>SUMIF(①농산물raw!$D$6:$D$1135,$C195,①농산물raw!$H$6:$H$1135)</f>
        <v>0</v>
      </c>
      <c r="I195" s="30" t="s">
        <v>2057</v>
      </c>
    </row>
    <row r="196" spans="1:9">
      <c r="A196" s="30">
        <v>194</v>
      </c>
      <c r="B196" s="30" t="s">
        <v>39</v>
      </c>
      <c r="C196" s="30" t="s">
        <v>429</v>
      </c>
      <c r="D196" s="25" t="s">
        <v>430</v>
      </c>
      <c r="E196" s="30" t="s">
        <v>8</v>
      </c>
      <c r="F196" s="29">
        <f>SUMIF(①농산물raw!$D$6:$D$1135,$C196,①농산물raw!$F$6:$F$1135)</f>
        <v>99</v>
      </c>
      <c r="G196" s="29">
        <f>SUMIF(①농산물raw!$D$6:$D$1135,$C196,①농산물raw!$G$6:$G$1135)</f>
        <v>2446820</v>
      </c>
      <c r="H196" s="29">
        <f>SUMIF(①농산물raw!$D$6:$D$1135,$C196,①농산물raw!$H$6:$H$1135)</f>
        <v>67770</v>
      </c>
      <c r="I196" s="30" t="s">
        <v>2057</v>
      </c>
    </row>
    <row r="197" spans="1:9">
      <c r="A197" s="30">
        <v>195</v>
      </c>
      <c r="B197" s="30" t="s">
        <v>50</v>
      </c>
      <c r="C197" s="30" t="s">
        <v>431</v>
      </c>
      <c r="D197" s="25" t="s">
        <v>432</v>
      </c>
      <c r="E197" s="30" t="s">
        <v>8</v>
      </c>
      <c r="F197" s="29">
        <f>SUMIF(①농산물raw!$D$6:$D$1135,$C197,①농산물raw!$F$6:$F$1135)</f>
        <v>0</v>
      </c>
      <c r="G197" s="29">
        <f>SUMIF(①농산물raw!$D$6:$D$1135,$C197,①농산물raw!$G$6:$G$1135)</f>
        <v>0</v>
      </c>
      <c r="H197" s="29">
        <f>SUMIF(①농산물raw!$D$6:$D$1135,$C197,①농산물raw!$H$6:$H$1135)</f>
        <v>0</v>
      </c>
      <c r="I197" s="25"/>
    </row>
    <row r="198" spans="1:9">
      <c r="A198" s="30">
        <v>196</v>
      </c>
      <c r="B198" s="30" t="s">
        <v>47</v>
      </c>
      <c r="C198" s="30" t="s">
        <v>433</v>
      </c>
      <c r="D198" s="25" t="s">
        <v>434</v>
      </c>
      <c r="E198" s="30" t="s">
        <v>8</v>
      </c>
      <c r="F198" s="29">
        <f>SUMIF(①농산물raw!$D$6:$D$1135,$C198,①농산물raw!$F$6:$F$1135)</f>
        <v>0</v>
      </c>
      <c r="G198" s="29">
        <f>SUMIF(①농산물raw!$D$6:$D$1135,$C198,①농산물raw!$G$6:$G$1135)</f>
        <v>0</v>
      </c>
      <c r="H198" s="29">
        <f>SUMIF(①농산물raw!$D$6:$D$1135,$C198,①농산물raw!$H$6:$H$1135)</f>
        <v>0</v>
      </c>
      <c r="I198" s="25"/>
    </row>
    <row r="199" spans="1:9">
      <c r="A199" s="30">
        <v>197</v>
      </c>
      <c r="B199" s="30" t="s">
        <v>39</v>
      </c>
      <c r="C199" s="30" t="s">
        <v>435</v>
      </c>
      <c r="D199" s="25" t="s">
        <v>436</v>
      </c>
      <c r="E199" s="30" t="s">
        <v>12</v>
      </c>
      <c r="F199" s="29">
        <f>SUMIF(①농산물raw!$D$6:$D$1135,$C199,①농산물raw!$F$6:$F$1135)</f>
        <v>19093</v>
      </c>
      <c r="G199" s="29">
        <f>SUMIF(①농산물raw!$D$6:$D$1135,$C199,①농산물raw!$G$6:$G$1135)</f>
        <v>89253660</v>
      </c>
      <c r="H199" s="29">
        <f>SUMIF(①농산물raw!$D$6:$D$1135,$C199,①농산물raw!$H$6:$H$1135)</f>
        <v>1096780</v>
      </c>
      <c r="I199" s="30" t="s">
        <v>2057</v>
      </c>
    </row>
    <row r="200" spans="1:9">
      <c r="A200" s="30">
        <v>198</v>
      </c>
      <c r="B200" s="30" t="s">
        <v>47</v>
      </c>
      <c r="C200" s="30" t="s">
        <v>437</v>
      </c>
      <c r="D200" s="25" t="s">
        <v>438</v>
      </c>
      <c r="E200" s="30" t="s">
        <v>7</v>
      </c>
      <c r="F200" s="29">
        <f>SUMIF(①농산물raw!$D$6:$D$1135,$C200,①농산물raw!$F$6:$F$1135)</f>
        <v>7</v>
      </c>
      <c r="G200" s="29">
        <f>SUMIF(①농산물raw!$D$6:$D$1135,$C200,①농산물raw!$G$6:$G$1135)</f>
        <v>76500</v>
      </c>
      <c r="H200" s="29">
        <f>SUMIF(①농산물raw!$D$6:$D$1135,$C200,①농산물raw!$H$6:$H$1135)</f>
        <v>0</v>
      </c>
      <c r="I200" s="30" t="s">
        <v>2057</v>
      </c>
    </row>
    <row r="201" spans="1:9">
      <c r="A201" s="30">
        <v>199</v>
      </c>
      <c r="B201" s="30" t="s">
        <v>39</v>
      </c>
      <c r="C201" s="30" t="s">
        <v>439</v>
      </c>
      <c r="D201" s="25" t="s">
        <v>440</v>
      </c>
      <c r="E201" s="30" t="s">
        <v>8</v>
      </c>
      <c r="F201" s="29">
        <f>SUMIF(①농산물raw!$D$6:$D$1135,$C201,①농산물raw!$F$6:$F$1135)</f>
        <v>14133</v>
      </c>
      <c r="G201" s="29">
        <f>SUMIF(①농산물raw!$D$6:$D$1135,$C201,①농산물raw!$G$6:$G$1135)</f>
        <v>183257920</v>
      </c>
      <c r="H201" s="29">
        <f>SUMIF(①농산물raw!$D$6:$D$1135,$C201,①농산물raw!$H$6:$H$1135)</f>
        <v>6140240</v>
      </c>
      <c r="I201" s="30" t="s">
        <v>2057</v>
      </c>
    </row>
    <row r="202" spans="1:9">
      <c r="A202" s="30">
        <v>200</v>
      </c>
      <c r="B202" s="30" t="s">
        <v>39</v>
      </c>
      <c r="C202" s="30" t="s">
        <v>441</v>
      </c>
      <c r="D202" s="25" t="s">
        <v>442</v>
      </c>
      <c r="E202" s="30" t="s">
        <v>8</v>
      </c>
      <c r="F202" s="29">
        <f>SUMIF(①농산물raw!$D$6:$D$1135,$C202,①농산물raw!$F$6:$F$1135)</f>
        <v>1422</v>
      </c>
      <c r="G202" s="29">
        <f>SUMIF(①농산물raw!$D$6:$D$1135,$C202,①농산물raw!$G$6:$G$1135)</f>
        <v>72548000</v>
      </c>
      <c r="H202" s="29">
        <f>SUMIF(①농산물raw!$D$6:$D$1135,$C202,①농산물raw!$H$6:$H$1135)</f>
        <v>4965820</v>
      </c>
      <c r="I202" s="30" t="s">
        <v>2057</v>
      </c>
    </row>
    <row r="203" spans="1:9">
      <c r="A203" s="30">
        <v>201</v>
      </c>
      <c r="B203" s="30" t="s">
        <v>39</v>
      </c>
      <c r="C203" s="30" t="s">
        <v>443</v>
      </c>
      <c r="D203" s="25" t="s">
        <v>444</v>
      </c>
      <c r="E203" s="30" t="s">
        <v>42</v>
      </c>
      <c r="F203" s="29">
        <f>SUMIF(①농산물raw!$D$6:$D$1135,$C203,①농산물raw!$F$6:$F$1135)</f>
        <v>0</v>
      </c>
      <c r="G203" s="29">
        <f>SUMIF(①농산물raw!$D$6:$D$1135,$C203,①농산물raw!$G$6:$G$1135)</f>
        <v>0</v>
      </c>
      <c r="H203" s="29">
        <f>SUMIF(①농산물raw!$D$6:$D$1135,$C203,①농산물raw!$H$6:$H$1135)</f>
        <v>0</v>
      </c>
      <c r="I203" s="30" t="s">
        <v>2057</v>
      </c>
    </row>
    <row r="204" spans="1:9">
      <c r="A204" s="30">
        <v>202</v>
      </c>
      <c r="B204" s="30" t="s">
        <v>39</v>
      </c>
      <c r="C204" s="30" t="s">
        <v>445</v>
      </c>
      <c r="D204" s="25" t="s">
        <v>446</v>
      </c>
      <c r="E204" s="30" t="s">
        <v>8</v>
      </c>
      <c r="F204" s="29">
        <f>SUMIF(①농산물raw!$D$6:$D$1135,$C204,①농산물raw!$F$6:$F$1135)</f>
        <v>0</v>
      </c>
      <c r="G204" s="29">
        <f>SUMIF(①농산물raw!$D$6:$D$1135,$C204,①농산물raw!$G$6:$G$1135)</f>
        <v>0</v>
      </c>
      <c r="H204" s="29">
        <f>SUMIF(①농산물raw!$D$6:$D$1135,$C204,①농산물raw!$H$6:$H$1135)</f>
        <v>0</v>
      </c>
      <c r="I204" s="25"/>
    </row>
    <row r="205" spans="1:9">
      <c r="A205" s="30">
        <v>203</v>
      </c>
      <c r="B205" s="30" t="s">
        <v>47</v>
      </c>
      <c r="C205" s="30" t="s">
        <v>447</v>
      </c>
      <c r="D205" s="25" t="s">
        <v>448</v>
      </c>
      <c r="E205" s="30" t="s">
        <v>7</v>
      </c>
      <c r="F205" s="29">
        <f>SUMIF(①농산물raw!$D$6:$D$1135,$C205,①농산물raw!$F$6:$F$1135)</f>
        <v>1</v>
      </c>
      <c r="G205" s="29">
        <f>SUMIF(①농산물raw!$D$6:$D$1135,$C205,①농산물raw!$G$6:$G$1135)</f>
        <v>36900</v>
      </c>
      <c r="H205" s="29">
        <f>SUMIF(①농산물raw!$D$6:$D$1135,$C205,①농산물raw!$H$6:$H$1135)</f>
        <v>0</v>
      </c>
      <c r="I205" s="30" t="s">
        <v>2057</v>
      </c>
    </row>
    <row r="206" spans="1:9">
      <c r="A206" s="30">
        <v>204</v>
      </c>
      <c r="B206" s="30" t="s">
        <v>39</v>
      </c>
      <c r="C206" s="30" t="s">
        <v>449</v>
      </c>
      <c r="D206" s="25" t="s">
        <v>450</v>
      </c>
      <c r="E206" s="30" t="s">
        <v>12</v>
      </c>
      <c r="F206" s="29">
        <f>SUMIF(①농산물raw!$D$6:$D$1135,$C206,①농산물raw!$F$6:$F$1135)</f>
        <v>52</v>
      </c>
      <c r="G206" s="29">
        <f>SUMIF(①농산물raw!$D$6:$D$1135,$C206,①농산물raw!$G$6:$G$1135)</f>
        <v>863500</v>
      </c>
      <c r="H206" s="29">
        <f>SUMIF(①농산물raw!$D$6:$D$1135,$C206,①농산물raw!$H$6:$H$1135)</f>
        <v>70489</v>
      </c>
      <c r="I206" s="30" t="s">
        <v>2057</v>
      </c>
    </row>
    <row r="207" spans="1:9">
      <c r="A207" s="30">
        <v>205</v>
      </c>
      <c r="B207" s="30" t="s">
        <v>39</v>
      </c>
      <c r="C207" s="30" t="s">
        <v>451</v>
      </c>
      <c r="D207" s="25" t="s">
        <v>452</v>
      </c>
      <c r="E207" s="30" t="s">
        <v>10</v>
      </c>
      <c r="F207" s="29">
        <f>SUMIF(①농산물raw!$D$6:$D$1135,$C207,①농산물raw!$F$6:$F$1135)</f>
        <v>100</v>
      </c>
      <c r="G207" s="29">
        <f>SUMIF(①농산물raw!$D$6:$D$1135,$C207,①농산물raw!$G$6:$G$1135)</f>
        <v>4189500</v>
      </c>
      <c r="H207" s="29">
        <f>SUMIF(①농산물raw!$D$6:$D$1135,$C207,①농산물raw!$H$6:$H$1135)</f>
        <v>698614</v>
      </c>
      <c r="I207" s="30" t="s">
        <v>2057</v>
      </c>
    </row>
    <row r="208" spans="1:9">
      <c r="A208" s="30">
        <v>206</v>
      </c>
      <c r="B208" s="30" t="s">
        <v>50</v>
      </c>
      <c r="C208" s="30" t="s">
        <v>453</v>
      </c>
      <c r="D208" s="25" t="s">
        <v>454</v>
      </c>
      <c r="E208" s="30" t="s">
        <v>8</v>
      </c>
      <c r="F208" s="29">
        <f>SUMIF(①농산물raw!$D$6:$D$1135,$C208,①농산물raw!$F$6:$F$1135)</f>
        <v>2</v>
      </c>
      <c r="G208" s="29">
        <f>SUMIF(①농산물raw!$D$6:$D$1135,$C208,①농산물raw!$G$6:$G$1135)</f>
        <v>52000</v>
      </c>
      <c r="H208" s="29">
        <f>SUMIF(①농산물raw!$D$6:$D$1135,$C208,①농산물raw!$H$6:$H$1135)</f>
        <v>5200</v>
      </c>
      <c r="I208" s="30" t="s">
        <v>2057</v>
      </c>
    </row>
    <row r="209" spans="1:9">
      <c r="A209" s="30">
        <v>207</v>
      </c>
      <c r="B209" s="30" t="s">
        <v>39</v>
      </c>
      <c r="C209" s="30" t="s">
        <v>455</v>
      </c>
      <c r="D209" s="25" t="s">
        <v>456</v>
      </c>
      <c r="E209" s="30" t="s">
        <v>7</v>
      </c>
      <c r="F209" s="29">
        <f>SUMIF(①농산물raw!$D$6:$D$1135,$C209,①농산물raw!$F$6:$F$1135)</f>
        <v>156</v>
      </c>
      <c r="G209" s="29">
        <f>SUMIF(①농산물raw!$D$6:$D$1135,$C209,①농산물raw!$G$6:$G$1135)</f>
        <v>5063000</v>
      </c>
      <c r="H209" s="29">
        <f>SUMIF(①농산물raw!$D$6:$D$1135,$C209,①농산물raw!$H$6:$H$1135)</f>
        <v>94940</v>
      </c>
      <c r="I209" s="30" t="s">
        <v>2057</v>
      </c>
    </row>
    <row r="210" spans="1:9">
      <c r="A210" s="30">
        <v>208</v>
      </c>
      <c r="B210" s="30" t="s">
        <v>39</v>
      </c>
      <c r="C210" s="30" t="s">
        <v>457</v>
      </c>
      <c r="D210" s="25" t="s">
        <v>458</v>
      </c>
      <c r="E210" s="30" t="s">
        <v>8</v>
      </c>
      <c r="F210" s="29">
        <f>SUMIF(①농산물raw!$D$6:$D$1135,$C210,①농산물raw!$F$6:$F$1135)</f>
        <v>889</v>
      </c>
      <c r="G210" s="29">
        <f>SUMIF(①농산물raw!$D$6:$D$1135,$C210,①농산물raw!$G$6:$G$1135)</f>
        <v>14747600</v>
      </c>
      <c r="H210" s="29">
        <f>SUMIF(①농산물raw!$D$6:$D$1135,$C210,①농산물raw!$H$6:$H$1135)</f>
        <v>0</v>
      </c>
      <c r="I210" s="30" t="s">
        <v>2057</v>
      </c>
    </row>
    <row r="211" spans="1:9">
      <c r="A211" s="30">
        <v>209</v>
      </c>
      <c r="B211" s="30" t="s">
        <v>39</v>
      </c>
      <c r="C211" s="30" t="s">
        <v>459</v>
      </c>
      <c r="D211" s="25" t="s">
        <v>460</v>
      </c>
      <c r="E211" s="30" t="s">
        <v>10</v>
      </c>
      <c r="F211" s="29">
        <f>SUMIF(①농산물raw!$D$6:$D$1135,$C211,①농산물raw!$F$6:$F$1135)</f>
        <v>24</v>
      </c>
      <c r="G211" s="29">
        <f>SUMIF(①농산물raw!$D$6:$D$1135,$C211,①농산물raw!$G$6:$G$1135)</f>
        <v>467400</v>
      </c>
      <c r="H211" s="29">
        <f>SUMIF(①농산물raw!$D$6:$D$1135,$C211,①농산물raw!$H$6:$H$1135)</f>
        <v>66205</v>
      </c>
      <c r="I211" s="30" t="s">
        <v>2057</v>
      </c>
    </row>
    <row r="212" spans="1:9">
      <c r="A212" s="30">
        <v>210</v>
      </c>
      <c r="B212" s="30" t="s">
        <v>50</v>
      </c>
      <c r="C212" s="30" t="s">
        <v>461</v>
      </c>
      <c r="D212" s="25" t="s">
        <v>462</v>
      </c>
      <c r="E212" s="30" t="s">
        <v>42</v>
      </c>
      <c r="F212" s="29">
        <f>SUMIF(①농산물raw!$D$6:$D$1135,$C212,①농산물raw!$F$6:$F$1135)</f>
        <v>482</v>
      </c>
      <c r="G212" s="29">
        <f>SUMIF(①농산물raw!$D$6:$D$1135,$C212,①농산물raw!$G$6:$G$1135)</f>
        <v>12715000</v>
      </c>
      <c r="H212" s="29">
        <f>SUMIF(①농산물raw!$D$6:$D$1135,$C212,①농산물raw!$H$6:$H$1135)</f>
        <v>2412080</v>
      </c>
      <c r="I212" s="30" t="s">
        <v>2057</v>
      </c>
    </row>
    <row r="213" spans="1:9">
      <c r="A213" s="30">
        <v>211</v>
      </c>
      <c r="B213" s="30" t="s">
        <v>39</v>
      </c>
      <c r="C213" s="30" t="s">
        <v>463</v>
      </c>
      <c r="D213" s="25" t="s">
        <v>464</v>
      </c>
      <c r="E213" s="30" t="s">
        <v>7</v>
      </c>
      <c r="F213" s="29">
        <f>SUMIF(①농산물raw!$D$6:$D$1135,$C213,①농산물raw!$F$6:$F$1135)</f>
        <v>0</v>
      </c>
      <c r="G213" s="29">
        <f>SUMIF(①농산물raw!$D$6:$D$1135,$C213,①농산물raw!$G$6:$G$1135)</f>
        <v>0</v>
      </c>
      <c r="H213" s="29">
        <f>SUMIF(①농산물raw!$D$6:$D$1135,$C213,①농산물raw!$H$6:$H$1135)</f>
        <v>0</v>
      </c>
      <c r="I213" s="25"/>
    </row>
    <row r="214" spans="1:9">
      <c r="A214" s="30">
        <v>212</v>
      </c>
      <c r="B214" s="30" t="s">
        <v>47</v>
      </c>
      <c r="C214" s="30" t="s">
        <v>465</v>
      </c>
      <c r="D214" s="25" t="s">
        <v>466</v>
      </c>
      <c r="E214" s="30" t="s">
        <v>7</v>
      </c>
      <c r="F214" s="29">
        <f>SUMIF(①농산물raw!$D$6:$D$1135,$C214,①농산물raw!$F$6:$F$1135)</f>
        <v>0</v>
      </c>
      <c r="G214" s="29">
        <f>SUMIF(①농산물raw!$D$6:$D$1135,$C214,①농산물raw!$G$6:$G$1135)</f>
        <v>0</v>
      </c>
      <c r="H214" s="29">
        <f>SUMIF(①농산물raw!$D$6:$D$1135,$C214,①농산물raw!$H$6:$H$1135)</f>
        <v>0</v>
      </c>
      <c r="I214" s="25"/>
    </row>
    <row r="215" spans="1:9">
      <c r="A215" s="30">
        <v>213</v>
      </c>
      <c r="B215" s="30" t="s">
        <v>50</v>
      </c>
      <c r="C215" s="30" t="s">
        <v>467</v>
      </c>
      <c r="D215" s="25" t="s">
        <v>468</v>
      </c>
      <c r="E215" s="30" t="s">
        <v>7</v>
      </c>
      <c r="F215" s="29">
        <f>SUMIF(①농산물raw!$D$6:$D$1135,$C215,①농산물raw!$F$6:$F$1135)</f>
        <v>0</v>
      </c>
      <c r="G215" s="29">
        <f>SUMIF(①농산물raw!$D$6:$D$1135,$C215,①농산물raw!$G$6:$G$1135)</f>
        <v>0</v>
      </c>
      <c r="H215" s="29">
        <f>SUMIF(①농산물raw!$D$6:$D$1135,$C215,①농산물raw!$H$6:$H$1135)</f>
        <v>0</v>
      </c>
      <c r="I215" s="25"/>
    </row>
    <row r="216" spans="1:9">
      <c r="A216" s="30">
        <v>214</v>
      </c>
      <c r="B216" s="30" t="s">
        <v>50</v>
      </c>
      <c r="C216" s="30" t="s">
        <v>469</v>
      </c>
      <c r="D216" s="25" t="s">
        <v>470</v>
      </c>
      <c r="E216" s="30" t="s">
        <v>8</v>
      </c>
      <c r="F216" s="29">
        <f>SUMIF(①농산물raw!$D$6:$D$1135,$C216,①농산물raw!$F$6:$F$1135)</f>
        <v>12</v>
      </c>
      <c r="G216" s="29">
        <f>SUMIF(①농산물raw!$D$6:$D$1135,$C216,①농산물raw!$G$6:$G$1135)</f>
        <v>220000</v>
      </c>
      <c r="H216" s="29">
        <f>SUMIF(①농산물raw!$D$6:$D$1135,$C216,①농산물raw!$H$6:$H$1135)</f>
        <v>4740</v>
      </c>
      <c r="I216" s="30" t="s">
        <v>2057</v>
      </c>
    </row>
    <row r="217" spans="1:9">
      <c r="A217" s="30">
        <v>215</v>
      </c>
      <c r="B217" s="30" t="s">
        <v>39</v>
      </c>
      <c r="C217" s="30" t="s">
        <v>471</v>
      </c>
      <c r="D217" s="25" t="s">
        <v>472</v>
      </c>
      <c r="E217" s="30" t="s">
        <v>42</v>
      </c>
      <c r="F217" s="29">
        <f>SUMIF(①농산물raw!$D$6:$D$1135,$C217,①농산물raw!$F$6:$F$1135)</f>
        <v>0</v>
      </c>
      <c r="G217" s="29">
        <f>SUMIF(①농산물raw!$D$6:$D$1135,$C217,①농산물raw!$G$6:$G$1135)</f>
        <v>0</v>
      </c>
      <c r="H217" s="29">
        <f>SUMIF(①농산물raw!$D$6:$D$1135,$C217,①농산물raw!$H$6:$H$1135)</f>
        <v>0</v>
      </c>
      <c r="I217" s="25"/>
    </row>
    <row r="218" spans="1:9">
      <c r="A218" s="30">
        <v>216</v>
      </c>
      <c r="B218" s="30" t="s">
        <v>39</v>
      </c>
      <c r="C218" s="30" t="s">
        <v>473</v>
      </c>
      <c r="D218" s="25" t="s">
        <v>474</v>
      </c>
      <c r="E218" s="30" t="s">
        <v>8</v>
      </c>
      <c r="F218" s="29">
        <f>SUMIF(①농산물raw!$D$6:$D$1135,$C218,①농산물raw!$F$6:$F$1135)</f>
        <v>1334</v>
      </c>
      <c r="G218" s="29">
        <f>SUMIF(①농산물raw!$D$6:$D$1135,$C218,①농산물raw!$G$6:$G$1135)</f>
        <v>56657800</v>
      </c>
      <c r="H218" s="29">
        <f>SUMIF(①농산물raw!$D$6:$D$1135,$C218,①농산물raw!$H$6:$H$1135)</f>
        <v>4836400</v>
      </c>
      <c r="I218" s="30" t="s">
        <v>2057</v>
      </c>
    </row>
    <row r="219" spans="1:9">
      <c r="A219" s="30">
        <v>217</v>
      </c>
      <c r="B219" s="30" t="s">
        <v>39</v>
      </c>
      <c r="C219" s="30" t="s">
        <v>475</v>
      </c>
      <c r="D219" s="25" t="s">
        <v>476</v>
      </c>
      <c r="E219" s="30" t="s">
        <v>12</v>
      </c>
      <c r="F219" s="29">
        <f>SUMIF(①농산물raw!$D$6:$D$1135,$C219,①농산물raw!$F$6:$F$1135)</f>
        <v>0</v>
      </c>
      <c r="G219" s="29">
        <f>SUMIF(①농산물raw!$D$6:$D$1135,$C219,①농산물raw!$G$6:$G$1135)</f>
        <v>0</v>
      </c>
      <c r="H219" s="29">
        <f>SUMIF(①농산물raw!$D$6:$D$1135,$C219,①농산물raw!$H$6:$H$1135)</f>
        <v>0</v>
      </c>
      <c r="I219" s="25"/>
    </row>
    <row r="220" spans="1:9">
      <c r="A220" s="30">
        <v>218</v>
      </c>
      <c r="B220" s="30" t="s">
        <v>50</v>
      </c>
      <c r="C220" s="30" t="s">
        <v>477</v>
      </c>
      <c r="D220" s="25" t="s">
        <v>478</v>
      </c>
      <c r="E220" s="30" t="s">
        <v>11</v>
      </c>
      <c r="F220" s="29">
        <f>SUMIF(①농산물raw!$D$6:$D$1135,$C220,①농산물raw!$F$6:$F$1135)</f>
        <v>0</v>
      </c>
      <c r="G220" s="29">
        <f>SUMIF(①농산물raw!$D$6:$D$1135,$C220,①농산물raw!$G$6:$G$1135)</f>
        <v>0</v>
      </c>
      <c r="H220" s="29">
        <f>SUMIF(①농산물raw!$D$6:$D$1135,$C220,①농산물raw!$H$6:$H$1135)</f>
        <v>0</v>
      </c>
      <c r="I220" s="25"/>
    </row>
    <row r="221" spans="1:9">
      <c r="A221" s="30">
        <v>219</v>
      </c>
      <c r="B221" s="30" t="s">
        <v>39</v>
      </c>
      <c r="C221" s="30" t="s">
        <v>479</v>
      </c>
      <c r="D221" s="25" t="s">
        <v>480</v>
      </c>
      <c r="E221" s="30" t="s">
        <v>7</v>
      </c>
      <c r="F221" s="29">
        <f>SUMIF(①농산물raw!$D$6:$D$1135,$C221,①농산물raw!$F$6:$F$1135)</f>
        <v>2057</v>
      </c>
      <c r="G221" s="29">
        <f>SUMIF(①농산물raw!$D$6:$D$1135,$C221,①농산물raw!$G$6:$G$1135)</f>
        <v>86769670</v>
      </c>
      <c r="H221" s="29">
        <f>SUMIF(①농산물raw!$D$6:$D$1135,$C221,①농산물raw!$H$6:$H$1135)</f>
        <v>4883600</v>
      </c>
      <c r="I221" s="30" t="s">
        <v>2057</v>
      </c>
    </row>
    <row r="222" spans="1:9">
      <c r="A222" s="30">
        <v>220</v>
      </c>
      <c r="B222" s="30" t="s">
        <v>50</v>
      </c>
      <c r="C222" s="30" t="s">
        <v>481</v>
      </c>
      <c r="D222" s="25" t="s">
        <v>482</v>
      </c>
      <c r="E222" s="30" t="s">
        <v>7</v>
      </c>
      <c r="F222" s="29">
        <f>SUMIF(①농산물raw!$D$6:$D$1135,$C222,①농산물raw!$F$6:$F$1135)</f>
        <v>0</v>
      </c>
      <c r="G222" s="29">
        <f>SUMIF(①농산물raw!$D$6:$D$1135,$C222,①농산물raw!$G$6:$G$1135)</f>
        <v>0</v>
      </c>
      <c r="H222" s="29">
        <f>SUMIF(①농산물raw!$D$6:$D$1135,$C222,①농산물raw!$H$6:$H$1135)</f>
        <v>0</v>
      </c>
      <c r="I222" s="25"/>
    </row>
    <row r="223" spans="1:9">
      <c r="A223" s="30">
        <v>221</v>
      </c>
      <c r="B223" s="30" t="s">
        <v>50</v>
      </c>
      <c r="C223" s="30" t="s">
        <v>483</v>
      </c>
      <c r="D223" s="25" t="s">
        <v>484</v>
      </c>
      <c r="E223" s="30" t="s">
        <v>7</v>
      </c>
      <c r="F223" s="29">
        <f>SUMIF(①농산물raw!$D$6:$D$1135,$C223,①농산물raw!$F$6:$F$1135)</f>
        <v>47</v>
      </c>
      <c r="G223" s="29">
        <f>SUMIF(①농산물raw!$D$6:$D$1135,$C223,①농산물raw!$G$6:$G$1135)</f>
        <v>1704600</v>
      </c>
      <c r="H223" s="29">
        <f>SUMIF(①농산물raw!$D$6:$D$1135,$C223,①농산물raw!$H$6:$H$1135)</f>
        <v>80240</v>
      </c>
      <c r="I223" s="30" t="s">
        <v>2057</v>
      </c>
    </row>
    <row r="224" spans="1:9">
      <c r="A224" s="30">
        <v>222</v>
      </c>
      <c r="B224" s="30" t="s">
        <v>39</v>
      </c>
      <c r="C224" s="30" t="s">
        <v>485</v>
      </c>
      <c r="D224" s="25" t="s">
        <v>486</v>
      </c>
      <c r="E224" s="30" t="s">
        <v>8</v>
      </c>
      <c r="F224" s="29">
        <f>SUMIF(①농산물raw!$D$6:$D$1135,$C224,①농산물raw!$F$6:$F$1135)</f>
        <v>0</v>
      </c>
      <c r="G224" s="29">
        <f>SUMIF(①농산물raw!$D$6:$D$1135,$C224,①농산물raw!$G$6:$G$1135)</f>
        <v>0</v>
      </c>
      <c r="H224" s="29">
        <f>SUMIF(①농산물raw!$D$6:$D$1135,$C224,①농산물raw!$H$6:$H$1135)</f>
        <v>0</v>
      </c>
      <c r="I224" s="25"/>
    </row>
    <row r="225" spans="1:9">
      <c r="A225" s="30">
        <v>223</v>
      </c>
      <c r="B225" s="30" t="s">
        <v>39</v>
      </c>
      <c r="C225" s="30" t="s">
        <v>487</v>
      </c>
      <c r="D225" s="25" t="s">
        <v>488</v>
      </c>
      <c r="E225" s="30" t="s">
        <v>8</v>
      </c>
      <c r="F225" s="29">
        <f>SUMIF(①농산물raw!$D$6:$D$1135,$C225,①농산물raw!$F$6:$F$1135)</f>
        <v>0</v>
      </c>
      <c r="G225" s="29">
        <f>SUMIF(①농산물raw!$D$6:$D$1135,$C225,①농산물raw!$G$6:$G$1135)</f>
        <v>0</v>
      </c>
      <c r="H225" s="29">
        <f>SUMIF(①농산물raw!$D$6:$D$1135,$C225,①농산물raw!$H$6:$H$1135)</f>
        <v>0</v>
      </c>
      <c r="I225" s="25"/>
    </row>
    <row r="226" spans="1:9">
      <c r="A226" s="30">
        <v>224</v>
      </c>
      <c r="B226" s="30" t="s">
        <v>39</v>
      </c>
      <c r="C226" s="30" t="s">
        <v>489</v>
      </c>
      <c r="D226" s="25" t="s">
        <v>490</v>
      </c>
      <c r="E226" s="30" t="s">
        <v>7</v>
      </c>
      <c r="F226" s="29">
        <f>SUMIF(①농산물raw!$D$6:$D$1135,$C226,①농산물raw!$F$6:$F$1135)</f>
        <v>95</v>
      </c>
      <c r="G226" s="29">
        <f>SUMIF(①농산물raw!$D$6:$D$1135,$C226,①농산물raw!$G$6:$G$1135)</f>
        <v>2610400</v>
      </c>
      <c r="H226" s="29">
        <f>SUMIF(①농산물raw!$D$6:$D$1135,$C226,①농산물raw!$H$6:$H$1135)</f>
        <v>188800</v>
      </c>
      <c r="I226" s="30" t="s">
        <v>2057</v>
      </c>
    </row>
    <row r="227" spans="1:9">
      <c r="A227" s="30">
        <v>225</v>
      </c>
      <c r="B227" s="30" t="s">
        <v>47</v>
      </c>
      <c r="C227" s="30" t="s">
        <v>491</v>
      </c>
      <c r="D227" s="25" t="s">
        <v>492</v>
      </c>
      <c r="E227" s="30" t="s">
        <v>7</v>
      </c>
      <c r="F227" s="29">
        <f>SUMIF(①농산물raw!$D$6:$D$1135,$C227,①농산물raw!$F$6:$F$1135)</f>
        <v>0</v>
      </c>
      <c r="G227" s="29">
        <f>SUMIF(①농산물raw!$D$6:$D$1135,$C227,①농산물raw!$G$6:$G$1135)</f>
        <v>0</v>
      </c>
      <c r="H227" s="29">
        <f>SUMIF(①농산물raw!$D$6:$D$1135,$C227,①농산물raw!$H$6:$H$1135)</f>
        <v>0</v>
      </c>
      <c r="I227" s="25"/>
    </row>
    <row r="228" spans="1:9">
      <c r="A228" s="30">
        <v>226</v>
      </c>
      <c r="B228" s="30" t="s">
        <v>47</v>
      </c>
      <c r="C228" s="30" t="s">
        <v>493</v>
      </c>
      <c r="D228" s="25" t="s">
        <v>494</v>
      </c>
      <c r="E228" s="30" t="s">
        <v>7</v>
      </c>
      <c r="F228" s="29">
        <f>SUMIF(①농산물raw!$D$6:$D$1135,$C228,①농산물raw!$F$6:$F$1135)</f>
        <v>0</v>
      </c>
      <c r="G228" s="29">
        <f>SUMIF(①농산물raw!$D$6:$D$1135,$C228,①농산물raw!$G$6:$G$1135)</f>
        <v>0</v>
      </c>
      <c r="H228" s="29">
        <f>SUMIF(①농산물raw!$D$6:$D$1135,$C228,①농산물raw!$H$6:$H$1135)</f>
        <v>0</v>
      </c>
      <c r="I228" s="25"/>
    </row>
    <row r="229" spans="1:9">
      <c r="A229" s="30">
        <v>227</v>
      </c>
      <c r="B229" s="30" t="s">
        <v>50</v>
      </c>
      <c r="C229" s="30" t="s">
        <v>495</v>
      </c>
      <c r="D229" s="25" t="s">
        <v>496</v>
      </c>
      <c r="E229" s="30" t="s">
        <v>10</v>
      </c>
      <c r="F229" s="29">
        <f>SUMIF(①농산물raw!$D$6:$D$1135,$C229,①농산물raw!$F$6:$F$1135)</f>
        <v>56</v>
      </c>
      <c r="G229" s="29">
        <f>SUMIF(①농산물raw!$D$6:$D$1135,$C229,①농산물raw!$G$6:$G$1135)</f>
        <v>2105000</v>
      </c>
      <c r="H229" s="29">
        <f>SUMIF(①농산물raw!$D$6:$D$1135,$C229,①농산물raw!$H$6:$H$1135)</f>
        <v>302174</v>
      </c>
      <c r="I229" s="30" t="s">
        <v>2057</v>
      </c>
    </row>
    <row r="230" spans="1:9">
      <c r="A230" s="30">
        <v>228</v>
      </c>
      <c r="B230" s="30" t="s">
        <v>50</v>
      </c>
      <c r="C230" s="30" t="s">
        <v>497</v>
      </c>
      <c r="D230" s="25" t="s">
        <v>498</v>
      </c>
      <c r="E230" s="30" t="s">
        <v>7</v>
      </c>
      <c r="F230" s="29">
        <f>SUMIF(①농산물raw!$D$6:$D$1135,$C230,①농산물raw!$F$6:$F$1135)</f>
        <v>0</v>
      </c>
      <c r="G230" s="29">
        <f>SUMIF(①농산물raw!$D$6:$D$1135,$C230,①농산물raw!$G$6:$G$1135)</f>
        <v>0</v>
      </c>
      <c r="H230" s="29">
        <f>SUMIF(①농산물raw!$D$6:$D$1135,$C230,①농산물raw!$H$6:$H$1135)</f>
        <v>0</v>
      </c>
      <c r="I230" s="25"/>
    </row>
    <row r="231" spans="1:9">
      <c r="A231" s="30">
        <v>229</v>
      </c>
      <c r="B231" s="30" t="s">
        <v>39</v>
      </c>
      <c r="C231" s="30" t="s">
        <v>499</v>
      </c>
      <c r="D231" s="25" t="s">
        <v>500</v>
      </c>
      <c r="E231" s="30" t="s">
        <v>8</v>
      </c>
      <c r="F231" s="29">
        <f>SUMIF(①농산물raw!$D$6:$D$1135,$C231,①농산물raw!$F$6:$F$1135)</f>
        <v>0</v>
      </c>
      <c r="G231" s="29">
        <f>SUMIF(①농산물raw!$D$6:$D$1135,$C231,①농산물raw!$G$6:$G$1135)</f>
        <v>0</v>
      </c>
      <c r="H231" s="29">
        <f>SUMIF(①농산물raw!$D$6:$D$1135,$C231,①농산물raw!$H$6:$H$1135)</f>
        <v>0</v>
      </c>
      <c r="I231" s="25"/>
    </row>
    <row r="232" spans="1:9">
      <c r="A232" s="30">
        <v>230</v>
      </c>
      <c r="B232" s="30" t="s">
        <v>39</v>
      </c>
      <c r="C232" s="30" t="s">
        <v>501</v>
      </c>
      <c r="D232" s="25" t="s">
        <v>502</v>
      </c>
      <c r="E232" s="30" t="s">
        <v>7</v>
      </c>
      <c r="F232" s="29">
        <f>SUMIF(①농산물raw!$D$6:$D$1135,$C232,①농산물raw!$F$6:$F$1135)</f>
        <v>128</v>
      </c>
      <c r="G232" s="29">
        <f>SUMIF(①농산물raw!$D$6:$D$1135,$C232,①농산물raw!$G$6:$G$1135)</f>
        <v>3991300</v>
      </c>
      <c r="H232" s="29">
        <f>SUMIF(①농산물raw!$D$6:$D$1135,$C232,①농산물raw!$H$6:$H$1135)</f>
        <v>270550</v>
      </c>
      <c r="I232" s="30" t="s">
        <v>2057</v>
      </c>
    </row>
    <row r="233" spans="1:9">
      <c r="A233" s="30">
        <v>231</v>
      </c>
      <c r="B233" s="30" t="s">
        <v>50</v>
      </c>
      <c r="C233" s="30" t="s">
        <v>503</v>
      </c>
      <c r="D233" s="25" t="s">
        <v>504</v>
      </c>
      <c r="E233" s="30" t="s">
        <v>8</v>
      </c>
      <c r="F233" s="29">
        <f>SUMIF(①농산물raw!$D$6:$D$1135,$C233,①농산물raw!$F$6:$F$1135)</f>
        <v>15</v>
      </c>
      <c r="G233" s="29">
        <f>SUMIF(①농산물raw!$D$6:$D$1135,$C233,①농산물raw!$G$6:$G$1135)</f>
        <v>294000</v>
      </c>
      <c r="H233" s="29">
        <f>SUMIF(①농산물raw!$D$6:$D$1135,$C233,①농산물raw!$H$6:$H$1135)</f>
        <v>0</v>
      </c>
      <c r="I233" s="30" t="s">
        <v>2057</v>
      </c>
    </row>
    <row r="234" spans="1:9">
      <c r="A234" s="30">
        <v>232</v>
      </c>
      <c r="B234" s="30" t="s">
        <v>39</v>
      </c>
      <c r="C234" s="30" t="s">
        <v>505</v>
      </c>
      <c r="D234" s="25" t="s">
        <v>506</v>
      </c>
      <c r="E234" s="30" t="s">
        <v>42</v>
      </c>
      <c r="F234" s="29">
        <f>SUMIF(①농산물raw!$D$6:$D$1135,$C234,①농산물raw!$F$6:$F$1135)</f>
        <v>0</v>
      </c>
      <c r="G234" s="29">
        <f>SUMIF(①농산물raw!$D$6:$D$1135,$C234,①농산물raw!$G$6:$G$1135)</f>
        <v>0</v>
      </c>
      <c r="H234" s="29">
        <f>SUMIF(①농산물raw!$D$6:$D$1135,$C234,①농산물raw!$H$6:$H$1135)</f>
        <v>0</v>
      </c>
      <c r="I234" s="25"/>
    </row>
    <row r="235" spans="1:9">
      <c r="A235" s="30">
        <v>233</v>
      </c>
      <c r="B235" s="30" t="s">
        <v>39</v>
      </c>
      <c r="C235" s="30" t="s">
        <v>507</v>
      </c>
      <c r="D235" s="25" t="s">
        <v>508</v>
      </c>
      <c r="E235" s="30" t="s">
        <v>7</v>
      </c>
      <c r="F235" s="29">
        <f>SUMIF(①농산물raw!$D$6:$D$1135,$C235,①농산물raw!$F$6:$F$1135)</f>
        <v>0</v>
      </c>
      <c r="G235" s="29">
        <f>SUMIF(①농산물raw!$D$6:$D$1135,$C235,①농산물raw!$G$6:$G$1135)</f>
        <v>0</v>
      </c>
      <c r="H235" s="29">
        <f>SUMIF(①농산물raw!$D$6:$D$1135,$C235,①농산물raw!$H$6:$H$1135)</f>
        <v>0</v>
      </c>
      <c r="I235" s="25"/>
    </row>
    <row r="236" spans="1:9">
      <c r="A236" s="30">
        <v>234</v>
      </c>
      <c r="B236" s="30" t="s">
        <v>39</v>
      </c>
      <c r="C236" s="30" t="s">
        <v>509</v>
      </c>
      <c r="D236" s="25" t="s">
        <v>510</v>
      </c>
      <c r="E236" s="30" t="s">
        <v>42</v>
      </c>
      <c r="F236" s="29">
        <f>SUMIF(①농산물raw!$D$6:$D$1135,$C236,①농산물raw!$F$6:$F$1135)</f>
        <v>4</v>
      </c>
      <c r="G236" s="29">
        <f>SUMIF(①농산물raw!$D$6:$D$1135,$C236,①농산물raw!$G$6:$G$1135)</f>
        <v>64000</v>
      </c>
      <c r="H236" s="29">
        <f>SUMIF(①농산물raw!$D$6:$D$1135,$C236,①농산물raw!$H$6:$H$1135)</f>
        <v>12050</v>
      </c>
      <c r="I236" s="30" t="s">
        <v>2057</v>
      </c>
    </row>
    <row r="237" spans="1:9">
      <c r="A237" s="30">
        <v>235</v>
      </c>
      <c r="B237" s="30" t="s">
        <v>39</v>
      </c>
      <c r="C237" s="30" t="s">
        <v>511</v>
      </c>
      <c r="D237" s="25" t="s">
        <v>512</v>
      </c>
      <c r="E237" s="30" t="s">
        <v>7</v>
      </c>
      <c r="F237" s="29">
        <f>SUMIF(①농산물raw!$D$6:$D$1135,$C237,①농산물raw!$F$6:$F$1135)</f>
        <v>0</v>
      </c>
      <c r="G237" s="29">
        <f>SUMIF(①농산물raw!$D$6:$D$1135,$C237,①농산물raw!$G$6:$G$1135)</f>
        <v>0</v>
      </c>
      <c r="H237" s="29">
        <f>SUMIF(①농산물raw!$D$6:$D$1135,$C237,①농산물raw!$H$6:$H$1135)</f>
        <v>0</v>
      </c>
      <c r="I237" s="25"/>
    </row>
    <row r="238" spans="1:9">
      <c r="A238" s="30">
        <v>236</v>
      </c>
      <c r="B238" s="30" t="s">
        <v>47</v>
      </c>
      <c r="C238" s="30" t="s">
        <v>513</v>
      </c>
      <c r="D238" s="25" t="s">
        <v>514</v>
      </c>
      <c r="E238" s="30" t="s">
        <v>7</v>
      </c>
      <c r="F238" s="29">
        <f>SUMIF(①농산물raw!$D$6:$D$1135,$C238,①농산물raw!$F$6:$F$1135)</f>
        <v>9</v>
      </c>
      <c r="G238" s="29">
        <f>SUMIF(①농산물raw!$D$6:$D$1135,$C238,①농산물raw!$G$6:$G$1135)</f>
        <v>583500</v>
      </c>
      <c r="H238" s="29">
        <f>SUMIF(①농산물raw!$D$6:$D$1135,$C238,①농산물raw!$H$6:$H$1135)</f>
        <v>0</v>
      </c>
      <c r="I238" s="30" t="s">
        <v>2057</v>
      </c>
    </row>
    <row r="239" spans="1:9">
      <c r="A239" s="30">
        <v>237</v>
      </c>
      <c r="B239" s="30" t="s">
        <v>39</v>
      </c>
      <c r="C239" s="30" t="s">
        <v>515</v>
      </c>
      <c r="D239" s="25" t="s">
        <v>516</v>
      </c>
      <c r="E239" s="30" t="s">
        <v>7</v>
      </c>
      <c r="F239" s="29">
        <f>SUMIF(①농산물raw!$D$6:$D$1135,$C239,①농산물raw!$F$6:$F$1135)</f>
        <v>101</v>
      </c>
      <c r="G239" s="29">
        <f>SUMIF(①농산물raw!$D$6:$D$1135,$C239,①농산물raw!$G$6:$G$1135)</f>
        <v>2247800</v>
      </c>
      <c r="H239" s="29">
        <f>SUMIF(①농산물raw!$D$6:$D$1135,$C239,①농산물raw!$H$6:$H$1135)</f>
        <v>63400</v>
      </c>
      <c r="I239" s="30" t="s">
        <v>2057</v>
      </c>
    </row>
    <row r="240" spans="1:9">
      <c r="A240" s="30">
        <v>238</v>
      </c>
      <c r="B240" s="30" t="s">
        <v>39</v>
      </c>
      <c r="C240" s="30" t="s">
        <v>517</v>
      </c>
      <c r="D240" s="25" t="s">
        <v>518</v>
      </c>
      <c r="E240" s="30" t="s">
        <v>42</v>
      </c>
      <c r="F240" s="29">
        <f>SUMIF(①농산물raw!$D$6:$D$1135,$C240,①농산물raw!$F$6:$F$1135)</f>
        <v>5</v>
      </c>
      <c r="G240" s="29">
        <f>SUMIF(①농산물raw!$D$6:$D$1135,$C240,①농산물raw!$G$6:$G$1135)</f>
        <v>72800</v>
      </c>
      <c r="H240" s="29">
        <f>SUMIF(①농산물raw!$D$6:$D$1135,$C240,①농산물raw!$H$6:$H$1135)</f>
        <v>13490</v>
      </c>
      <c r="I240" s="30" t="s">
        <v>2057</v>
      </c>
    </row>
    <row r="241" spans="1:9">
      <c r="A241" s="30">
        <v>239</v>
      </c>
      <c r="B241" s="30" t="s">
        <v>39</v>
      </c>
      <c r="C241" s="30" t="s">
        <v>519</v>
      </c>
      <c r="D241" s="25" t="s">
        <v>520</v>
      </c>
      <c r="E241" s="30" t="s">
        <v>12</v>
      </c>
      <c r="F241" s="29">
        <f>SUMIF(①농산물raw!$D$6:$D$1135,$C241,①농산물raw!$F$6:$F$1135)</f>
        <v>1500</v>
      </c>
      <c r="G241" s="29">
        <f>SUMIF(①농산물raw!$D$6:$D$1135,$C241,①농산물raw!$G$6:$G$1135)</f>
        <v>8087000</v>
      </c>
      <c r="H241" s="29">
        <f>SUMIF(①농산물raw!$D$6:$D$1135,$C241,①농산물raw!$H$6:$H$1135)</f>
        <v>440251</v>
      </c>
      <c r="I241" s="30" t="s">
        <v>2057</v>
      </c>
    </row>
    <row r="242" spans="1:9">
      <c r="A242" s="30">
        <v>240</v>
      </c>
      <c r="B242" s="30" t="s">
        <v>39</v>
      </c>
      <c r="C242" s="30" t="s">
        <v>521</v>
      </c>
      <c r="D242" s="25" t="s">
        <v>522</v>
      </c>
      <c r="E242" s="30" t="s">
        <v>8</v>
      </c>
      <c r="F242" s="29">
        <f>SUMIF(①농산물raw!$D$6:$D$1135,$C242,①농산물raw!$F$6:$F$1135)</f>
        <v>357</v>
      </c>
      <c r="G242" s="29">
        <f>SUMIF(①농산물raw!$D$6:$D$1135,$C242,①농산물raw!$G$6:$G$1135)</f>
        <v>6501900</v>
      </c>
      <c r="H242" s="29">
        <f>SUMIF(①농산물raw!$D$6:$D$1135,$C242,①농산물raw!$H$6:$H$1135)</f>
        <v>590860</v>
      </c>
      <c r="I242" s="30" t="s">
        <v>2057</v>
      </c>
    </row>
    <row r="243" spans="1:9">
      <c r="A243" s="30">
        <v>241</v>
      </c>
      <c r="B243" s="30" t="s">
        <v>47</v>
      </c>
      <c r="C243" s="30" t="s">
        <v>523</v>
      </c>
      <c r="D243" s="25" t="s">
        <v>524</v>
      </c>
      <c r="E243" s="30" t="s">
        <v>7</v>
      </c>
      <c r="F243" s="29">
        <f>SUMIF(①농산물raw!$D$6:$D$1135,$C243,①농산물raw!$F$6:$F$1135)</f>
        <v>81</v>
      </c>
      <c r="G243" s="29">
        <f>SUMIF(①농산물raw!$D$6:$D$1135,$C243,①농산물raw!$G$6:$G$1135)</f>
        <v>2325800</v>
      </c>
      <c r="H243" s="29">
        <f>SUMIF(①농산물raw!$D$6:$D$1135,$C243,①농산물raw!$H$6:$H$1135)</f>
        <v>193800</v>
      </c>
      <c r="I243" s="30" t="s">
        <v>2057</v>
      </c>
    </row>
    <row r="244" spans="1:9">
      <c r="A244" s="30">
        <v>242</v>
      </c>
      <c r="B244" s="30" t="s">
        <v>39</v>
      </c>
      <c r="C244" s="30" t="s">
        <v>525</v>
      </c>
      <c r="D244" s="25" t="s">
        <v>526</v>
      </c>
      <c r="E244" s="30" t="s">
        <v>42</v>
      </c>
      <c r="F244" s="29">
        <f>SUMIF(①농산물raw!$D$6:$D$1135,$C244,①농산물raw!$F$6:$F$1135)</f>
        <v>5</v>
      </c>
      <c r="G244" s="29">
        <f>SUMIF(①농산물raw!$D$6:$D$1135,$C244,①농산물raw!$G$6:$G$1135)</f>
        <v>215000</v>
      </c>
      <c r="H244" s="29">
        <f>SUMIF(①농산물raw!$D$6:$D$1135,$C244,①농산물raw!$H$6:$H$1135)</f>
        <v>33800</v>
      </c>
      <c r="I244" s="30" t="s">
        <v>2057</v>
      </c>
    </row>
    <row r="245" spans="1:9">
      <c r="A245" s="30">
        <v>243</v>
      </c>
      <c r="B245" s="30" t="s">
        <v>47</v>
      </c>
      <c r="C245" s="30" t="s">
        <v>527</v>
      </c>
      <c r="D245" s="25" t="s">
        <v>528</v>
      </c>
      <c r="E245" s="30" t="s">
        <v>11</v>
      </c>
      <c r="F245" s="29">
        <f>SUMIF(①농산물raw!$D$6:$D$1135,$C245,①농산물raw!$F$6:$F$1135)</f>
        <v>0</v>
      </c>
      <c r="G245" s="29">
        <f>SUMIF(①농산물raw!$D$6:$D$1135,$C245,①농산물raw!$G$6:$G$1135)</f>
        <v>0</v>
      </c>
      <c r="H245" s="29">
        <f>SUMIF(①농산물raw!$D$6:$D$1135,$C245,①농산물raw!$H$6:$H$1135)</f>
        <v>0</v>
      </c>
      <c r="I245" s="25"/>
    </row>
    <row r="246" spans="1:9">
      <c r="A246" s="30">
        <v>244</v>
      </c>
      <c r="B246" s="30" t="s">
        <v>50</v>
      </c>
      <c r="C246" s="30" t="s">
        <v>529</v>
      </c>
      <c r="D246" s="25" t="s">
        <v>530</v>
      </c>
      <c r="E246" s="30" t="s">
        <v>7</v>
      </c>
      <c r="F246" s="29">
        <f>SUMIF(①농산물raw!$D$6:$D$1135,$C246,①농산물raw!$F$6:$F$1135)</f>
        <v>23</v>
      </c>
      <c r="G246" s="29">
        <f>SUMIF(①농산물raw!$D$6:$D$1135,$C246,①농산물raw!$G$6:$G$1135)</f>
        <v>383400</v>
      </c>
      <c r="H246" s="29">
        <f>SUMIF(①농산물raw!$D$6:$D$1135,$C246,①농산물raw!$H$6:$H$1135)</f>
        <v>26080</v>
      </c>
      <c r="I246" s="30" t="s">
        <v>2057</v>
      </c>
    </row>
    <row r="247" spans="1:9">
      <c r="A247" s="30">
        <v>245</v>
      </c>
      <c r="B247" s="30" t="s">
        <v>39</v>
      </c>
      <c r="C247" s="30" t="s">
        <v>531</v>
      </c>
      <c r="D247" s="25" t="s">
        <v>532</v>
      </c>
      <c r="E247" s="30" t="s">
        <v>42</v>
      </c>
      <c r="F247" s="29">
        <f>SUMIF(①농산물raw!$D$6:$D$1135,$C247,①농산물raw!$F$6:$F$1135)</f>
        <v>0</v>
      </c>
      <c r="G247" s="29">
        <f>SUMIF(①농산물raw!$D$6:$D$1135,$C247,①농산물raw!$G$6:$G$1135)</f>
        <v>0</v>
      </c>
      <c r="H247" s="29">
        <f>SUMIF(①농산물raw!$D$6:$D$1135,$C247,①농산물raw!$H$6:$H$1135)</f>
        <v>0</v>
      </c>
      <c r="I247" s="25"/>
    </row>
    <row r="248" spans="1:9">
      <c r="A248" s="30">
        <v>246</v>
      </c>
      <c r="B248" s="30" t="s">
        <v>50</v>
      </c>
      <c r="C248" s="30" t="s">
        <v>533</v>
      </c>
      <c r="D248" s="25" t="s">
        <v>534</v>
      </c>
      <c r="E248" s="30" t="s">
        <v>7</v>
      </c>
      <c r="F248" s="29">
        <f>SUMIF(①농산물raw!$D$6:$D$1135,$C248,①농산물raw!$F$6:$F$1135)</f>
        <v>82</v>
      </c>
      <c r="G248" s="29">
        <f>SUMIF(①농산물raw!$D$6:$D$1135,$C248,①농산물raw!$G$6:$G$1135)</f>
        <v>1754750</v>
      </c>
      <c r="H248" s="29">
        <f>SUMIF(①농산물raw!$D$6:$D$1135,$C248,①농산물raw!$H$6:$H$1135)</f>
        <v>277240</v>
      </c>
      <c r="I248" s="30" t="s">
        <v>2057</v>
      </c>
    </row>
    <row r="249" spans="1:9">
      <c r="A249" s="30">
        <v>247</v>
      </c>
      <c r="B249" s="30" t="s">
        <v>50</v>
      </c>
      <c r="C249" s="30" t="s">
        <v>535</v>
      </c>
      <c r="D249" s="25" t="s">
        <v>536</v>
      </c>
      <c r="E249" s="30" t="s">
        <v>10</v>
      </c>
      <c r="F249" s="29">
        <f>SUMIF(①농산물raw!$D$6:$D$1135,$C249,①농산물raw!$F$6:$F$1135)</f>
        <v>7</v>
      </c>
      <c r="G249" s="29">
        <f>SUMIF(①농산물raw!$D$6:$D$1135,$C249,①농산물raw!$G$6:$G$1135)</f>
        <v>54700</v>
      </c>
      <c r="H249" s="29">
        <f>SUMIF(①농산물raw!$D$6:$D$1135,$C249,①농산물raw!$H$6:$H$1135)</f>
        <v>7928</v>
      </c>
      <c r="I249" s="30" t="s">
        <v>2057</v>
      </c>
    </row>
    <row r="250" spans="1:9">
      <c r="A250" s="30">
        <v>248</v>
      </c>
      <c r="B250" s="30" t="s">
        <v>50</v>
      </c>
      <c r="C250" s="30" t="s">
        <v>537</v>
      </c>
      <c r="D250" s="25" t="s">
        <v>538</v>
      </c>
      <c r="E250" s="30" t="s">
        <v>10</v>
      </c>
      <c r="F250" s="29">
        <f>SUMIF(①농산물raw!$D$6:$D$1135,$C250,①농산물raw!$F$6:$F$1135)</f>
        <v>0</v>
      </c>
      <c r="G250" s="29">
        <f>SUMIF(①농산물raw!$D$6:$D$1135,$C250,①농산물raw!$G$6:$G$1135)</f>
        <v>0</v>
      </c>
      <c r="H250" s="29">
        <f>SUMIF(①농산물raw!$D$6:$D$1135,$C250,①농산물raw!$H$6:$H$1135)</f>
        <v>0</v>
      </c>
      <c r="I250" s="25"/>
    </row>
    <row r="251" spans="1:9">
      <c r="A251" s="30">
        <v>249</v>
      </c>
      <c r="B251" s="30" t="s">
        <v>50</v>
      </c>
      <c r="C251" s="30" t="s">
        <v>539</v>
      </c>
      <c r="D251" s="25" t="s">
        <v>540</v>
      </c>
      <c r="E251" s="30" t="s">
        <v>42</v>
      </c>
      <c r="F251" s="29">
        <f>SUMIF(①농산물raw!$D$6:$D$1135,$C251,①농산물raw!$F$6:$F$1135)</f>
        <v>4</v>
      </c>
      <c r="G251" s="29">
        <f>SUMIF(①농산물raw!$D$6:$D$1135,$C251,①농산물raw!$G$6:$G$1135)</f>
        <v>42000</v>
      </c>
      <c r="H251" s="29">
        <f>SUMIF(①농산물raw!$D$6:$D$1135,$C251,①농산물raw!$H$6:$H$1135)</f>
        <v>7980</v>
      </c>
      <c r="I251" s="30" t="s">
        <v>2057</v>
      </c>
    </row>
    <row r="252" spans="1:9">
      <c r="A252" s="30">
        <v>250</v>
      </c>
      <c r="B252" s="30" t="s">
        <v>47</v>
      </c>
      <c r="C252" s="30" t="s">
        <v>541</v>
      </c>
      <c r="D252" s="25" t="s">
        <v>542</v>
      </c>
      <c r="E252" s="30" t="s">
        <v>7</v>
      </c>
      <c r="F252" s="29">
        <f>SUMIF(①농산물raw!$D$6:$D$1135,$C252,①농산물raw!$F$6:$F$1135)</f>
        <v>0</v>
      </c>
      <c r="G252" s="29">
        <f>SUMIF(①농산물raw!$D$6:$D$1135,$C252,①농산물raw!$G$6:$G$1135)</f>
        <v>0</v>
      </c>
      <c r="H252" s="29">
        <f>SUMIF(①농산물raw!$D$6:$D$1135,$C252,①농산물raw!$H$6:$H$1135)</f>
        <v>0</v>
      </c>
      <c r="I252" s="25"/>
    </row>
    <row r="253" spans="1:9">
      <c r="A253" s="30">
        <v>251</v>
      </c>
      <c r="B253" s="30" t="s">
        <v>47</v>
      </c>
      <c r="C253" s="30" t="s">
        <v>543</v>
      </c>
      <c r="D253" s="25" t="s">
        <v>544</v>
      </c>
      <c r="E253" s="30" t="s">
        <v>7</v>
      </c>
      <c r="F253" s="29">
        <f>SUMIF(①농산물raw!$D$6:$D$1135,$C253,①농산물raw!$F$6:$F$1135)</f>
        <v>3</v>
      </c>
      <c r="G253" s="29">
        <f>SUMIF(①농산물raw!$D$6:$D$1135,$C253,①농산물raw!$G$6:$G$1135)</f>
        <v>198000</v>
      </c>
      <c r="H253" s="29">
        <f>SUMIF(①농산물raw!$D$6:$D$1135,$C253,①농산물raw!$H$6:$H$1135)</f>
        <v>30000</v>
      </c>
      <c r="I253" s="30" t="s">
        <v>2057</v>
      </c>
    </row>
    <row r="254" spans="1:9">
      <c r="A254" s="30">
        <v>252</v>
      </c>
      <c r="B254" s="30" t="s">
        <v>50</v>
      </c>
      <c r="C254" s="30" t="s">
        <v>545</v>
      </c>
      <c r="D254" s="25" t="s">
        <v>546</v>
      </c>
      <c r="E254" s="30" t="s">
        <v>7</v>
      </c>
      <c r="F254" s="29">
        <f>SUMIF(①농산물raw!$D$6:$D$1135,$C254,①농산물raw!$F$6:$F$1135)</f>
        <v>0</v>
      </c>
      <c r="G254" s="29">
        <f>SUMIF(①농산물raw!$D$6:$D$1135,$C254,①농산물raw!$G$6:$G$1135)</f>
        <v>0</v>
      </c>
      <c r="H254" s="29">
        <f>SUMIF(①농산물raw!$D$6:$D$1135,$C254,①농산물raw!$H$6:$H$1135)</f>
        <v>0</v>
      </c>
      <c r="I254" s="25"/>
    </row>
    <row r="255" spans="1:9">
      <c r="A255" s="30">
        <v>253</v>
      </c>
      <c r="B255" s="30" t="s">
        <v>50</v>
      </c>
      <c r="C255" s="30" t="s">
        <v>547</v>
      </c>
      <c r="D255" s="25" t="s">
        <v>548</v>
      </c>
      <c r="E255" s="30" t="s">
        <v>7</v>
      </c>
      <c r="F255" s="29">
        <f>SUMIF(①농산물raw!$D$6:$D$1135,$C255,①농산물raw!$F$6:$F$1135)</f>
        <v>0</v>
      </c>
      <c r="G255" s="29">
        <f>SUMIF(①농산물raw!$D$6:$D$1135,$C255,①농산물raw!$G$6:$G$1135)</f>
        <v>0</v>
      </c>
      <c r="H255" s="29">
        <f>SUMIF(①농산물raw!$D$6:$D$1135,$C255,①농산물raw!$H$6:$H$1135)</f>
        <v>0</v>
      </c>
      <c r="I255" s="25"/>
    </row>
    <row r="256" spans="1:9">
      <c r="A256" s="30">
        <v>254</v>
      </c>
      <c r="B256" s="30" t="s">
        <v>39</v>
      </c>
      <c r="C256" s="30" t="s">
        <v>549</v>
      </c>
      <c r="D256" s="25" t="s">
        <v>550</v>
      </c>
      <c r="E256" s="30" t="s">
        <v>42</v>
      </c>
      <c r="F256" s="29">
        <f>SUMIF(①농산물raw!$D$6:$D$1135,$C256,①농산물raw!$F$6:$F$1135)</f>
        <v>1</v>
      </c>
      <c r="G256" s="29">
        <f>SUMIF(①농산물raw!$D$6:$D$1135,$C256,①농산물raw!$G$6:$G$1135)</f>
        <v>20000</v>
      </c>
      <c r="H256" s="29">
        <f>SUMIF(①농산물raw!$D$6:$D$1135,$C256,①농산물raw!$H$6:$H$1135)</f>
        <v>3800</v>
      </c>
      <c r="I256" s="30" t="s">
        <v>2057</v>
      </c>
    </row>
    <row r="257" spans="1:9">
      <c r="A257" s="30">
        <v>255</v>
      </c>
      <c r="B257" s="30" t="s">
        <v>39</v>
      </c>
      <c r="C257" s="30" t="s">
        <v>551</v>
      </c>
      <c r="D257" s="25" t="s">
        <v>552</v>
      </c>
      <c r="E257" s="30" t="s">
        <v>12</v>
      </c>
      <c r="F257" s="29">
        <f>SUMIF(①농산물raw!$D$6:$D$1135,$C257,①농산물raw!$F$6:$F$1135)</f>
        <v>7946</v>
      </c>
      <c r="G257" s="29">
        <f>SUMIF(①농산물raw!$D$6:$D$1135,$C257,①농산물raw!$G$6:$G$1135)</f>
        <v>113156140</v>
      </c>
      <c r="H257" s="29">
        <f>SUMIF(①농산물raw!$D$6:$D$1135,$C257,①농산물raw!$H$6:$H$1135)</f>
        <v>1304875</v>
      </c>
      <c r="I257" s="30" t="s">
        <v>2057</v>
      </c>
    </row>
    <row r="258" spans="1:9">
      <c r="A258" s="30">
        <v>256</v>
      </c>
      <c r="B258" s="30" t="s">
        <v>50</v>
      </c>
      <c r="C258" s="30" t="s">
        <v>553</v>
      </c>
      <c r="D258" s="25" t="s">
        <v>554</v>
      </c>
      <c r="E258" s="30" t="s">
        <v>42</v>
      </c>
      <c r="F258" s="29">
        <f>SUMIF(①농산물raw!$D$6:$D$1135,$C258,①농산물raw!$F$6:$F$1135)</f>
        <v>0</v>
      </c>
      <c r="G258" s="29">
        <f>SUMIF(①농산물raw!$D$6:$D$1135,$C258,①농산물raw!$G$6:$G$1135)</f>
        <v>0</v>
      </c>
      <c r="H258" s="29">
        <f>SUMIF(①농산물raw!$D$6:$D$1135,$C258,①농산물raw!$H$6:$H$1135)</f>
        <v>0</v>
      </c>
      <c r="I258" s="25"/>
    </row>
    <row r="259" spans="1:9">
      <c r="A259" s="30">
        <v>257</v>
      </c>
      <c r="B259" s="30" t="s">
        <v>47</v>
      </c>
      <c r="C259" s="30" t="s">
        <v>555</v>
      </c>
      <c r="D259" s="25" t="s">
        <v>556</v>
      </c>
      <c r="E259" s="30" t="s">
        <v>42</v>
      </c>
      <c r="F259" s="29">
        <f>SUMIF(①농산물raw!$D$6:$D$1135,$C259,①농산물raw!$F$6:$F$1135)</f>
        <v>0</v>
      </c>
      <c r="G259" s="29">
        <f>SUMIF(①농산물raw!$D$6:$D$1135,$C259,①농산물raw!$G$6:$G$1135)</f>
        <v>0</v>
      </c>
      <c r="H259" s="29">
        <f>SUMIF(①농산물raw!$D$6:$D$1135,$C259,①농산물raw!$H$6:$H$1135)</f>
        <v>0</v>
      </c>
      <c r="I259" s="25"/>
    </row>
    <row r="260" spans="1:9">
      <c r="A260" s="30">
        <v>258</v>
      </c>
      <c r="B260" s="30" t="s">
        <v>39</v>
      </c>
      <c r="C260" s="30" t="s">
        <v>557</v>
      </c>
      <c r="D260" s="25" t="s">
        <v>558</v>
      </c>
      <c r="E260" s="30" t="s">
        <v>7</v>
      </c>
      <c r="F260" s="29">
        <f>SUMIF(①농산물raw!$D$6:$D$1135,$C260,①농산물raw!$F$6:$F$1135)</f>
        <v>107</v>
      </c>
      <c r="G260" s="29">
        <f>SUMIF(①농산물raw!$D$6:$D$1135,$C260,①농산물raw!$G$6:$G$1135)</f>
        <v>944800</v>
      </c>
      <c r="H260" s="29">
        <f>SUMIF(①농산물raw!$D$6:$D$1135,$C260,①농산물raw!$H$6:$H$1135)</f>
        <v>26000</v>
      </c>
      <c r="I260" s="30" t="s">
        <v>2057</v>
      </c>
    </row>
    <row r="261" spans="1:9">
      <c r="A261" s="30">
        <v>259</v>
      </c>
      <c r="B261" s="30" t="s">
        <v>39</v>
      </c>
      <c r="C261" s="30" t="s">
        <v>559</v>
      </c>
      <c r="D261" s="25" t="s">
        <v>560</v>
      </c>
      <c r="E261" s="30" t="s">
        <v>7</v>
      </c>
      <c r="F261" s="29">
        <f>SUMIF(①농산물raw!$D$6:$D$1135,$C261,①농산물raw!$F$6:$F$1135)</f>
        <v>11</v>
      </c>
      <c r="G261" s="29">
        <f>SUMIF(①농산물raw!$D$6:$D$1135,$C261,①농산물raw!$G$6:$G$1135)</f>
        <v>170180</v>
      </c>
      <c r="H261" s="29">
        <f>SUMIF(①농산물raw!$D$6:$D$1135,$C261,①농산물raw!$H$6:$H$1135)</f>
        <v>0</v>
      </c>
      <c r="I261" s="30" t="s">
        <v>2057</v>
      </c>
    </row>
    <row r="262" spans="1:9">
      <c r="A262" s="30">
        <v>260</v>
      </c>
      <c r="B262" s="30" t="s">
        <v>39</v>
      </c>
      <c r="C262" s="30" t="s">
        <v>561</v>
      </c>
      <c r="D262" s="25" t="s">
        <v>562</v>
      </c>
      <c r="E262" s="30" t="s">
        <v>8</v>
      </c>
      <c r="F262" s="29">
        <f>SUMIF(①농산물raw!$D$6:$D$1135,$C262,①농산물raw!$F$6:$F$1135)</f>
        <v>312</v>
      </c>
      <c r="G262" s="29">
        <f>SUMIF(①농산물raw!$D$6:$D$1135,$C262,①농산물raw!$G$6:$G$1135)</f>
        <v>13895700</v>
      </c>
      <c r="H262" s="29">
        <f>SUMIF(①농산물raw!$D$6:$D$1135,$C262,①농산물raw!$H$6:$H$1135)</f>
        <v>738400</v>
      </c>
      <c r="I262" s="30" t="s">
        <v>2057</v>
      </c>
    </row>
    <row r="263" spans="1:9">
      <c r="A263" s="30">
        <v>261</v>
      </c>
      <c r="B263" s="30" t="s">
        <v>39</v>
      </c>
      <c r="C263" s="30" t="s">
        <v>563</v>
      </c>
      <c r="D263" s="25" t="s">
        <v>564</v>
      </c>
      <c r="E263" s="30" t="s">
        <v>8</v>
      </c>
      <c r="F263" s="29">
        <f>SUMIF(①농산물raw!$D$6:$D$1135,$C263,①농산물raw!$F$6:$F$1135)</f>
        <v>13</v>
      </c>
      <c r="G263" s="29">
        <f>SUMIF(①농산물raw!$D$6:$D$1135,$C263,①농산물raw!$G$6:$G$1135)</f>
        <v>142870</v>
      </c>
      <c r="H263" s="29">
        <f>SUMIF(①농산물raw!$D$6:$D$1135,$C263,①농산물raw!$H$6:$H$1135)</f>
        <v>0</v>
      </c>
      <c r="I263" s="30" t="s">
        <v>2057</v>
      </c>
    </row>
    <row r="264" spans="1:9">
      <c r="A264" s="30">
        <v>262</v>
      </c>
      <c r="B264" s="30" t="s">
        <v>47</v>
      </c>
      <c r="C264" s="30" t="s">
        <v>565</v>
      </c>
      <c r="D264" s="25" t="s">
        <v>566</v>
      </c>
      <c r="E264" s="30" t="s">
        <v>7</v>
      </c>
      <c r="F264" s="29">
        <f>SUMIF(①농산물raw!$D$6:$D$1135,$C264,①농산물raw!$F$6:$F$1135)</f>
        <v>0</v>
      </c>
      <c r="G264" s="29">
        <f>SUMIF(①농산물raw!$D$6:$D$1135,$C264,①농산물raw!$G$6:$G$1135)</f>
        <v>0</v>
      </c>
      <c r="H264" s="29">
        <f>SUMIF(①농산물raw!$D$6:$D$1135,$C264,①농산물raw!$H$6:$H$1135)</f>
        <v>0</v>
      </c>
      <c r="I264" s="25"/>
    </row>
    <row r="265" spans="1:9">
      <c r="A265" s="30">
        <v>263</v>
      </c>
      <c r="B265" s="30" t="s">
        <v>39</v>
      </c>
      <c r="C265" s="30" t="s">
        <v>567</v>
      </c>
      <c r="D265" s="25" t="s">
        <v>568</v>
      </c>
      <c r="E265" s="30" t="s">
        <v>7</v>
      </c>
      <c r="F265" s="29">
        <f>SUMIF(①농산물raw!$D$6:$D$1135,$C265,①농산물raw!$F$6:$F$1135)</f>
        <v>0</v>
      </c>
      <c r="G265" s="29">
        <f>SUMIF(①농산물raw!$D$6:$D$1135,$C265,①농산물raw!$G$6:$G$1135)</f>
        <v>0</v>
      </c>
      <c r="H265" s="29">
        <f>SUMIF(①농산물raw!$D$6:$D$1135,$C265,①농산물raw!$H$6:$H$1135)</f>
        <v>0</v>
      </c>
      <c r="I265" s="25"/>
    </row>
    <row r="266" spans="1:9">
      <c r="A266" s="30">
        <v>264</v>
      </c>
      <c r="B266" s="30" t="s">
        <v>39</v>
      </c>
      <c r="C266" s="30" t="s">
        <v>569</v>
      </c>
      <c r="D266" s="25" t="s">
        <v>570</v>
      </c>
      <c r="E266" s="30" t="s">
        <v>7</v>
      </c>
      <c r="F266" s="29">
        <f>SUMIF(①농산물raw!$D$6:$D$1135,$C266,①농산물raw!$F$6:$F$1135)</f>
        <v>84</v>
      </c>
      <c r="G266" s="29">
        <f>SUMIF(①농산물raw!$D$6:$D$1135,$C266,①농산물raw!$G$6:$G$1135)</f>
        <v>4279600</v>
      </c>
      <c r="H266" s="29">
        <f>SUMIF(①농산물raw!$D$6:$D$1135,$C266,①농산물raw!$H$6:$H$1135)</f>
        <v>420200</v>
      </c>
      <c r="I266" s="30" t="s">
        <v>2057</v>
      </c>
    </row>
    <row r="267" spans="1:9">
      <c r="A267" s="30">
        <v>265</v>
      </c>
      <c r="B267" s="30" t="s">
        <v>39</v>
      </c>
      <c r="C267" s="30" t="s">
        <v>571</v>
      </c>
      <c r="D267" s="25" t="s">
        <v>572</v>
      </c>
      <c r="E267" s="30" t="s">
        <v>7</v>
      </c>
      <c r="F267" s="29">
        <f>SUMIF(①농산물raw!$D$6:$D$1135,$C267,①농산물raw!$F$6:$F$1135)</f>
        <v>55</v>
      </c>
      <c r="G267" s="29">
        <f>SUMIF(①농산물raw!$D$6:$D$1135,$C267,①농산물raw!$G$6:$G$1135)</f>
        <v>1662100</v>
      </c>
      <c r="H267" s="29">
        <f>SUMIF(①농산물raw!$D$6:$D$1135,$C267,①농산물raw!$H$6:$H$1135)</f>
        <v>29000</v>
      </c>
      <c r="I267" s="30" t="s">
        <v>2057</v>
      </c>
    </row>
    <row r="268" spans="1:9">
      <c r="A268" s="30">
        <v>266</v>
      </c>
      <c r="B268" s="30" t="s">
        <v>47</v>
      </c>
      <c r="C268" s="30" t="s">
        <v>573</v>
      </c>
      <c r="D268" s="25" t="s">
        <v>574</v>
      </c>
      <c r="E268" s="30" t="s">
        <v>7</v>
      </c>
      <c r="F268" s="29">
        <f>SUMIF(①농산물raw!$D$6:$D$1135,$C268,①농산물raw!$F$6:$F$1135)</f>
        <v>39</v>
      </c>
      <c r="G268" s="29">
        <f>SUMIF(①농산물raw!$D$6:$D$1135,$C268,①농산물raw!$G$6:$G$1135)</f>
        <v>2081000</v>
      </c>
      <c r="H268" s="29">
        <f>SUMIF(①농산물raw!$D$6:$D$1135,$C268,①농산물raw!$H$6:$H$1135)</f>
        <v>224400</v>
      </c>
      <c r="I268" s="30" t="s">
        <v>2057</v>
      </c>
    </row>
    <row r="269" spans="1:9">
      <c r="A269" s="30">
        <v>267</v>
      </c>
      <c r="B269" s="30" t="s">
        <v>50</v>
      </c>
      <c r="C269" s="30" t="s">
        <v>575</v>
      </c>
      <c r="D269" s="25" t="s">
        <v>576</v>
      </c>
      <c r="E269" s="30" t="s">
        <v>7</v>
      </c>
      <c r="F269" s="29">
        <f>SUMIF(①농산물raw!$D$6:$D$1135,$C269,①농산물raw!$F$6:$F$1135)</f>
        <v>26</v>
      </c>
      <c r="G269" s="29">
        <f>SUMIF(①농산물raw!$D$6:$D$1135,$C269,①농산물raw!$G$6:$G$1135)</f>
        <v>773300</v>
      </c>
      <c r="H269" s="29">
        <f>SUMIF(①농산물raw!$D$6:$D$1135,$C269,①농산물raw!$H$6:$H$1135)</f>
        <v>88180</v>
      </c>
      <c r="I269" s="30" t="s">
        <v>2057</v>
      </c>
    </row>
    <row r="270" spans="1:9">
      <c r="A270" s="30">
        <v>268</v>
      </c>
      <c r="B270" s="30" t="s">
        <v>50</v>
      </c>
      <c r="C270" s="30" t="s">
        <v>577</v>
      </c>
      <c r="D270" s="25" t="s">
        <v>578</v>
      </c>
      <c r="E270" s="30" t="s">
        <v>12</v>
      </c>
      <c r="F270" s="29">
        <f>SUMIF(①농산물raw!$D$6:$D$1135,$C270,①농산물raw!$F$6:$F$1135)</f>
        <v>76</v>
      </c>
      <c r="G270" s="29">
        <f>SUMIF(①농산물raw!$D$6:$D$1135,$C270,①농산물raw!$G$6:$G$1135)</f>
        <v>1169940</v>
      </c>
      <c r="H270" s="29">
        <f>SUMIF(①농산물raw!$D$6:$D$1135,$C270,①농산물raw!$H$6:$H$1135)</f>
        <v>80080</v>
      </c>
      <c r="I270" s="30" t="s">
        <v>2057</v>
      </c>
    </row>
    <row r="271" spans="1:9">
      <c r="A271" s="30">
        <v>269</v>
      </c>
      <c r="B271" s="30" t="s">
        <v>47</v>
      </c>
      <c r="C271" s="30" t="s">
        <v>579</v>
      </c>
      <c r="D271" s="25" t="s">
        <v>580</v>
      </c>
      <c r="E271" s="30" t="s">
        <v>7</v>
      </c>
      <c r="F271" s="29">
        <f>SUMIF(①농산물raw!$D$6:$D$1135,$C271,①농산물raw!$F$6:$F$1135)</f>
        <v>11</v>
      </c>
      <c r="G271" s="29">
        <f>SUMIF(①농산물raw!$D$6:$D$1135,$C271,①농산물raw!$G$6:$G$1135)</f>
        <v>248700</v>
      </c>
      <c r="H271" s="29">
        <f>SUMIF(①농산물raw!$D$6:$D$1135,$C271,①농산물raw!$H$6:$H$1135)</f>
        <v>37600</v>
      </c>
      <c r="I271" s="30" t="s">
        <v>2057</v>
      </c>
    </row>
    <row r="272" spans="1:9">
      <c r="A272" s="30">
        <v>270</v>
      </c>
      <c r="B272" s="30" t="s">
        <v>39</v>
      </c>
      <c r="C272" s="30" t="s">
        <v>581</v>
      </c>
      <c r="D272" s="25" t="s">
        <v>582</v>
      </c>
      <c r="E272" s="30" t="s">
        <v>12</v>
      </c>
      <c r="F272" s="29">
        <f>SUMIF(①농산물raw!$D$6:$D$1135,$C272,①농산물raw!$F$6:$F$1135)</f>
        <v>3810</v>
      </c>
      <c r="G272" s="29">
        <f>SUMIF(①농산물raw!$D$6:$D$1135,$C272,①농산물raw!$G$6:$G$1135)</f>
        <v>20074700</v>
      </c>
      <c r="H272" s="29">
        <f>SUMIF(①농산물raw!$D$6:$D$1135,$C272,①농산물raw!$H$6:$H$1135)</f>
        <v>1044409</v>
      </c>
      <c r="I272" s="30" t="s">
        <v>2057</v>
      </c>
    </row>
    <row r="273" spans="1:9">
      <c r="A273" s="30">
        <v>271</v>
      </c>
      <c r="B273" s="30" t="s">
        <v>39</v>
      </c>
      <c r="C273" s="30" t="s">
        <v>583</v>
      </c>
      <c r="D273" s="25" t="s">
        <v>584</v>
      </c>
      <c r="E273" s="30" t="s">
        <v>12</v>
      </c>
      <c r="F273" s="29">
        <f>SUMIF(①농산물raw!$D$6:$D$1135,$C273,①농산물raw!$F$6:$F$1135)</f>
        <v>388</v>
      </c>
      <c r="G273" s="29">
        <f>SUMIF(①농산물raw!$D$6:$D$1135,$C273,①농산물raw!$G$6:$G$1135)</f>
        <v>4984700</v>
      </c>
      <c r="H273" s="29">
        <f>SUMIF(①농산물raw!$D$6:$D$1135,$C273,①농산물raw!$H$6:$H$1135)</f>
        <v>407640</v>
      </c>
      <c r="I273" s="30" t="s">
        <v>2057</v>
      </c>
    </row>
    <row r="274" spans="1:9">
      <c r="A274" s="30">
        <v>272</v>
      </c>
      <c r="B274" s="30" t="s">
        <v>39</v>
      </c>
      <c r="C274" s="30" t="s">
        <v>585</v>
      </c>
      <c r="D274" s="25" t="s">
        <v>586</v>
      </c>
      <c r="E274" s="30" t="s">
        <v>7</v>
      </c>
      <c r="F274" s="29">
        <f>SUMIF(①농산물raw!$D$6:$D$1135,$C274,①농산물raw!$F$6:$F$1135)</f>
        <v>9</v>
      </c>
      <c r="G274" s="29">
        <f>SUMIF(①농산물raw!$D$6:$D$1135,$C274,①농산물raw!$G$6:$G$1135)</f>
        <v>325620</v>
      </c>
      <c r="H274" s="29">
        <f>SUMIF(①농산물raw!$D$6:$D$1135,$C274,①농산물raw!$H$6:$H$1135)</f>
        <v>3780</v>
      </c>
      <c r="I274" s="30" t="s">
        <v>2057</v>
      </c>
    </row>
    <row r="275" spans="1:9">
      <c r="A275" s="30">
        <v>273</v>
      </c>
      <c r="B275" s="30" t="s">
        <v>39</v>
      </c>
      <c r="C275" s="30" t="s">
        <v>587</v>
      </c>
      <c r="D275" s="25" t="s">
        <v>588</v>
      </c>
      <c r="E275" s="30" t="s">
        <v>7</v>
      </c>
      <c r="F275" s="29">
        <f>SUMIF(①농산물raw!$D$6:$D$1135,$C275,①농산물raw!$F$6:$F$1135)</f>
        <v>86</v>
      </c>
      <c r="G275" s="29">
        <f>SUMIF(①농산물raw!$D$6:$D$1135,$C275,①농산물raw!$G$6:$G$1135)</f>
        <v>874420</v>
      </c>
      <c r="H275" s="29">
        <f>SUMIF(①농산물raw!$D$6:$D$1135,$C275,①농산물raw!$H$6:$H$1135)</f>
        <v>139070</v>
      </c>
      <c r="I275" s="30" t="s">
        <v>2057</v>
      </c>
    </row>
    <row r="276" spans="1:9">
      <c r="A276" s="30">
        <v>274</v>
      </c>
      <c r="B276" s="30" t="s">
        <v>39</v>
      </c>
      <c r="C276" s="30" t="s">
        <v>589</v>
      </c>
      <c r="D276" s="25" t="s">
        <v>590</v>
      </c>
      <c r="E276" s="30" t="s">
        <v>7</v>
      </c>
      <c r="F276" s="29">
        <f>SUMIF(①농산물raw!$D$6:$D$1135,$C276,①농산물raw!$F$6:$F$1135)</f>
        <v>236</v>
      </c>
      <c r="G276" s="29">
        <f>SUMIF(①농산물raw!$D$6:$D$1135,$C276,①농산물raw!$G$6:$G$1135)</f>
        <v>7008000</v>
      </c>
      <c r="H276" s="29">
        <f>SUMIF(①농산물raw!$D$6:$D$1135,$C276,①농산물raw!$H$6:$H$1135)</f>
        <v>696800</v>
      </c>
      <c r="I276" s="30" t="s">
        <v>2057</v>
      </c>
    </row>
    <row r="277" spans="1:9">
      <c r="A277" s="30">
        <v>275</v>
      </c>
      <c r="B277" s="30" t="s">
        <v>47</v>
      </c>
      <c r="C277" s="30" t="s">
        <v>591</v>
      </c>
      <c r="D277" s="25" t="s">
        <v>592</v>
      </c>
      <c r="E277" s="30" t="s">
        <v>7</v>
      </c>
      <c r="F277" s="29">
        <f>SUMIF(①농산물raw!$D$6:$D$1135,$C277,①농산물raw!$F$6:$F$1135)</f>
        <v>209</v>
      </c>
      <c r="G277" s="29">
        <f>SUMIF(①농산물raw!$D$6:$D$1135,$C277,①농산물raw!$G$6:$G$1135)</f>
        <v>5231660</v>
      </c>
      <c r="H277" s="29">
        <f>SUMIF(①농산물raw!$D$6:$D$1135,$C277,①농산물raw!$H$6:$H$1135)</f>
        <v>377420</v>
      </c>
      <c r="I277" s="30" t="s">
        <v>2057</v>
      </c>
    </row>
    <row r="278" spans="1:9">
      <c r="A278" s="30">
        <v>276</v>
      </c>
      <c r="B278" s="30" t="s">
        <v>47</v>
      </c>
      <c r="C278" s="30" t="s">
        <v>593</v>
      </c>
      <c r="D278" s="25" t="s">
        <v>594</v>
      </c>
      <c r="E278" s="30" t="s">
        <v>7</v>
      </c>
      <c r="F278" s="29">
        <f>SUMIF(①농산물raw!$D$6:$D$1135,$C278,①농산물raw!$F$6:$F$1135)</f>
        <v>0</v>
      </c>
      <c r="G278" s="29">
        <f>SUMIF(①농산물raw!$D$6:$D$1135,$C278,①농산물raw!$G$6:$G$1135)</f>
        <v>0</v>
      </c>
      <c r="H278" s="29">
        <f>SUMIF(①농산물raw!$D$6:$D$1135,$C278,①농산물raw!$H$6:$H$1135)</f>
        <v>0</v>
      </c>
      <c r="I278" s="25"/>
    </row>
    <row r="279" spans="1:9">
      <c r="A279" s="30">
        <v>277</v>
      </c>
      <c r="B279" s="30" t="s">
        <v>47</v>
      </c>
      <c r="C279" s="30" t="s">
        <v>595</v>
      </c>
      <c r="D279" s="25" t="s">
        <v>596</v>
      </c>
      <c r="E279" s="30" t="s">
        <v>7</v>
      </c>
      <c r="F279" s="29">
        <f>SUMIF(①농산물raw!$D$6:$D$1135,$C279,①농산물raw!$F$6:$F$1135)</f>
        <v>0</v>
      </c>
      <c r="G279" s="29">
        <f>SUMIF(①농산물raw!$D$6:$D$1135,$C279,①농산물raw!$G$6:$G$1135)</f>
        <v>0</v>
      </c>
      <c r="H279" s="29">
        <f>SUMIF(①농산물raw!$D$6:$D$1135,$C279,①농산물raw!$H$6:$H$1135)</f>
        <v>0</v>
      </c>
      <c r="I279" s="25"/>
    </row>
    <row r="280" spans="1:9">
      <c r="A280" s="30">
        <v>278</v>
      </c>
      <c r="B280" s="30" t="s">
        <v>47</v>
      </c>
      <c r="C280" s="30" t="s">
        <v>597</v>
      </c>
      <c r="D280" s="25" t="s">
        <v>598</v>
      </c>
      <c r="E280" s="30" t="s">
        <v>7</v>
      </c>
      <c r="F280" s="29">
        <f>SUMIF(①농산물raw!$D$6:$D$1135,$C280,①농산물raw!$F$6:$F$1135)</f>
        <v>5</v>
      </c>
      <c r="G280" s="29">
        <f>SUMIF(①농산물raw!$D$6:$D$1135,$C280,①농산물raw!$G$6:$G$1135)</f>
        <v>96000</v>
      </c>
      <c r="H280" s="29">
        <f>SUMIF(①농산물raw!$D$6:$D$1135,$C280,①농산물raw!$H$6:$H$1135)</f>
        <v>4800</v>
      </c>
      <c r="I280" s="30" t="s">
        <v>2057</v>
      </c>
    </row>
    <row r="281" spans="1:9">
      <c r="A281" s="30">
        <v>279</v>
      </c>
      <c r="B281" s="30" t="s">
        <v>47</v>
      </c>
      <c r="C281" s="30" t="s">
        <v>599</v>
      </c>
      <c r="D281" s="25" t="s">
        <v>600</v>
      </c>
      <c r="E281" s="30" t="s">
        <v>10</v>
      </c>
      <c r="F281" s="29">
        <f>SUMIF(①농산물raw!$D$6:$D$1135,$C281,①농산물raw!$F$6:$F$1135)</f>
        <v>14</v>
      </c>
      <c r="G281" s="29">
        <f>SUMIF(①농산물raw!$D$6:$D$1135,$C281,①농산물raw!$G$6:$G$1135)</f>
        <v>326000</v>
      </c>
      <c r="H281" s="29">
        <f>SUMIF(①농산물raw!$D$6:$D$1135,$C281,①농산물raw!$H$6:$H$1135)</f>
        <v>50900</v>
      </c>
      <c r="I281" s="30" t="s">
        <v>2057</v>
      </c>
    </row>
    <row r="282" spans="1:9">
      <c r="A282" s="30">
        <v>280</v>
      </c>
      <c r="B282" s="30" t="s">
        <v>47</v>
      </c>
      <c r="C282" s="30" t="s">
        <v>601</v>
      </c>
      <c r="D282" s="25" t="s">
        <v>602</v>
      </c>
      <c r="E282" s="30" t="s">
        <v>7</v>
      </c>
      <c r="F282" s="29">
        <f>SUMIF(①농산물raw!$D$6:$D$1135,$C282,①농산물raw!$F$6:$F$1135)</f>
        <v>2</v>
      </c>
      <c r="G282" s="29">
        <f>SUMIF(①농산물raw!$D$6:$D$1135,$C282,①농산물raw!$G$6:$G$1135)</f>
        <v>50000</v>
      </c>
      <c r="H282" s="29">
        <f>SUMIF(①농산물raw!$D$6:$D$1135,$C282,①농산물raw!$H$6:$H$1135)</f>
        <v>5000</v>
      </c>
      <c r="I282" s="30" t="s">
        <v>2057</v>
      </c>
    </row>
    <row r="283" spans="1:9">
      <c r="A283" s="30">
        <v>281</v>
      </c>
      <c r="B283" s="30" t="s">
        <v>47</v>
      </c>
      <c r="C283" s="30" t="s">
        <v>603</v>
      </c>
      <c r="D283" s="25" t="s">
        <v>604</v>
      </c>
      <c r="E283" s="30" t="s">
        <v>7</v>
      </c>
      <c r="F283" s="29">
        <f>SUMIF(①농산물raw!$D$6:$D$1135,$C283,①농산물raw!$F$6:$F$1135)</f>
        <v>1</v>
      </c>
      <c r="G283" s="29">
        <f>SUMIF(①농산물raw!$D$6:$D$1135,$C283,①농산물raw!$G$6:$G$1135)</f>
        <v>20000</v>
      </c>
      <c r="H283" s="29">
        <f>SUMIF(①농산물raw!$D$6:$D$1135,$C283,①농산물raw!$H$6:$H$1135)</f>
        <v>0</v>
      </c>
      <c r="I283" s="30" t="s">
        <v>2057</v>
      </c>
    </row>
    <row r="284" spans="1:9">
      <c r="A284" s="30">
        <v>282</v>
      </c>
      <c r="B284" s="30" t="s">
        <v>47</v>
      </c>
      <c r="C284" s="30" t="s">
        <v>605</v>
      </c>
      <c r="D284" s="25" t="s">
        <v>606</v>
      </c>
      <c r="E284" s="30" t="s">
        <v>7</v>
      </c>
      <c r="F284" s="29">
        <f>SUMIF(①농산물raw!$D$6:$D$1135,$C284,①농산물raw!$F$6:$F$1135)</f>
        <v>120</v>
      </c>
      <c r="G284" s="29">
        <f>SUMIF(①농산물raw!$D$6:$D$1135,$C284,①농산물raw!$G$6:$G$1135)</f>
        <v>2945910</v>
      </c>
      <c r="H284" s="29">
        <f>SUMIF(①농산물raw!$D$6:$D$1135,$C284,①농산물raw!$H$6:$H$1135)</f>
        <v>131820</v>
      </c>
      <c r="I284" s="30" t="s">
        <v>2057</v>
      </c>
    </row>
    <row r="285" spans="1:9">
      <c r="A285" s="30">
        <v>283</v>
      </c>
      <c r="B285" s="30" t="s">
        <v>47</v>
      </c>
      <c r="C285" s="30" t="s">
        <v>607</v>
      </c>
      <c r="D285" s="25" t="s">
        <v>608</v>
      </c>
      <c r="E285" s="30" t="s">
        <v>7</v>
      </c>
      <c r="F285" s="29">
        <f>SUMIF(①농산물raw!$D$6:$D$1135,$C285,①농산물raw!$F$6:$F$1135)</f>
        <v>0</v>
      </c>
      <c r="G285" s="29">
        <f>SUMIF(①농산물raw!$D$6:$D$1135,$C285,①농산물raw!$G$6:$G$1135)</f>
        <v>0</v>
      </c>
      <c r="H285" s="29">
        <f>SUMIF(①농산물raw!$D$6:$D$1135,$C285,①농산물raw!$H$6:$H$1135)</f>
        <v>0</v>
      </c>
      <c r="I285" s="25"/>
    </row>
    <row r="286" spans="1:9">
      <c r="A286" s="30">
        <v>284</v>
      </c>
      <c r="B286" s="30" t="s">
        <v>47</v>
      </c>
      <c r="C286" s="30" t="s">
        <v>609</v>
      </c>
      <c r="D286" s="25" t="s">
        <v>610</v>
      </c>
      <c r="E286" s="30" t="s">
        <v>7</v>
      </c>
      <c r="F286" s="29">
        <f>SUMIF(①농산물raw!$D$6:$D$1135,$C286,①농산물raw!$F$6:$F$1135)</f>
        <v>0</v>
      </c>
      <c r="G286" s="29">
        <f>SUMIF(①농산물raw!$D$6:$D$1135,$C286,①농산물raw!$G$6:$G$1135)</f>
        <v>0</v>
      </c>
      <c r="H286" s="29">
        <f>SUMIF(①농산물raw!$D$6:$D$1135,$C286,①농산물raw!$H$6:$H$1135)</f>
        <v>0</v>
      </c>
      <c r="I286" s="25"/>
    </row>
    <row r="287" spans="1:9">
      <c r="A287" s="30">
        <v>285</v>
      </c>
      <c r="B287" s="30" t="s">
        <v>47</v>
      </c>
      <c r="C287" s="30" t="s">
        <v>611</v>
      </c>
      <c r="D287" s="25" t="s">
        <v>612</v>
      </c>
      <c r="E287" s="30" t="s">
        <v>7</v>
      </c>
      <c r="F287" s="29">
        <f>SUMIF(①농산물raw!$D$6:$D$1135,$C287,①농산물raw!$F$6:$F$1135)</f>
        <v>2</v>
      </c>
      <c r="G287" s="29">
        <f>SUMIF(①농산물raw!$D$6:$D$1135,$C287,①농산물raw!$G$6:$G$1135)</f>
        <v>61900</v>
      </c>
      <c r="H287" s="29">
        <f>SUMIF(①농산물raw!$D$6:$D$1135,$C287,①농산물raw!$H$6:$H$1135)</f>
        <v>5380</v>
      </c>
      <c r="I287" s="30" t="s">
        <v>2057</v>
      </c>
    </row>
  </sheetData>
  <phoneticPr fontId="4" type="noConversion"/>
  <conditionalFormatting sqref="C1:C1048576">
    <cfRule type="duplicateValues" dxfId="11" priority="12"/>
    <cfRule type="duplicateValues" dxfId="10" priority="13"/>
    <cfRule type="duplicateValues" dxfId="9" priority="14"/>
    <cfRule type="duplicateValues" dxfId="8" priority="15"/>
    <cfRule type="duplicateValues" dxfId="7" priority="16"/>
    <cfRule type="duplicateValues" dxfId="6" priority="1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135"/>
  <sheetViews>
    <sheetView zoomScaleNormal="100" zoomScaleSheetLayoutView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9" sqref="I9"/>
    </sheetView>
  </sheetViews>
  <sheetFormatPr defaultColWidth="9" defaultRowHeight="17.399999999999999"/>
  <cols>
    <col min="1" max="1" width="13.69921875" style="7" customWidth="1"/>
    <col min="2" max="2" width="14" style="7" customWidth="1"/>
    <col min="3" max="3" width="21.69921875" style="7" customWidth="1"/>
    <col min="4" max="4" width="15" style="7" customWidth="1"/>
    <col min="5" max="5" width="46.19921875" style="7" customWidth="1"/>
    <col min="6" max="6" width="11.59765625" style="38" customWidth="1"/>
    <col min="7" max="7" width="16.19921875" style="38" customWidth="1"/>
    <col min="8" max="8" width="15.69921875" style="38" customWidth="1"/>
    <col min="9" max="9" width="19.19921875" style="7" customWidth="1"/>
    <col min="10" max="11" width="9" style="7" customWidth="1"/>
    <col min="12" max="16384" width="9" style="7"/>
  </cols>
  <sheetData>
    <row r="1" spans="1:8" s="2" customFormat="1" ht="47.25" customHeight="1">
      <c r="A1" s="10" t="s">
        <v>613</v>
      </c>
      <c r="B1" s="1"/>
      <c r="C1" s="1"/>
      <c r="F1" s="39"/>
      <c r="G1" s="39"/>
    </row>
    <row r="2" spans="1:8" s="3" customFormat="1" ht="26.25" customHeight="1">
      <c r="A2" s="11" t="s">
        <v>614</v>
      </c>
      <c r="F2" s="40"/>
      <c r="G2" s="40"/>
    </row>
    <row r="3" spans="1:8" s="3" customFormat="1">
      <c r="A3" s="4"/>
      <c r="F3" s="40"/>
      <c r="G3" s="40"/>
    </row>
    <row r="4" spans="1:8">
      <c r="A4" s="5" t="s">
        <v>615</v>
      </c>
      <c r="B4" s="5"/>
      <c r="C4" s="5"/>
      <c r="D4" s="6"/>
      <c r="E4" s="6"/>
      <c r="F4" s="41">
        <f>SUM(F6:F1200)</f>
        <v>226559</v>
      </c>
      <c r="G4" s="41">
        <f>SUM(G6:G1200)</f>
        <v>2936214433</v>
      </c>
      <c r="H4" s="41">
        <f>SUM(H6:H1200)</f>
        <v>163578655</v>
      </c>
    </row>
    <row r="5" spans="1:8" ht="38.25" customHeight="1">
      <c r="A5" s="12" t="s">
        <v>616</v>
      </c>
      <c r="B5" s="12" t="s">
        <v>617</v>
      </c>
      <c r="C5" s="12" t="s">
        <v>618</v>
      </c>
      <c r="D5" s="12" t="s">
        <v>619</v>
      </c>
      <c r="E5" s="12" t="s">
        <v>620</v>
      </c>
      <c r="F5" s="42" t="s">
        <v>621</v>
      </c>
      <c r="G5" s="42" t="s">
        <v>18</v>
      </c>
      <c r="H5" s="42" t="s">
        <v>38</v>
      </c>
    </row>
    <row r="6" spans="1:8">
      <c r="A6" s="8" t="s">
        <v>7</v>
      </c>
      <c r="B6" s="9" t="s">
        <v>24</v>
      </c>
      <c r="C6" s="9" t="s">
        <v>196</v>
      </c>
      <c r="D6" s="43" t="s">
        <v>195</v>
      </c>
      <c r="E6" s="8" t="s">
        <v>622</v>
      </c>
      <c r="F6" s="14">
        <v>2297</v>
      </c>
      <c r="G6" s="14">
        <v>110459500</v>
      </c>
      <c r="H6" s="14">
        <v>2090900</v>
      </c>
    </row>
    <row r="7" spans="1:8">
      <c r="A7" s="8" t="s">
        <v>7</v>
      </c>
      <c r="B7" s="9" t="s">
        <v>22</v>
      </c>
      <c r="C7" s="9" t="s">
        <v>194</v>
      </c>
      <c r="D7" s="43" t="s">
        <v>193</v>
      </c>
      <c r="E7" s="8" t="s">
        <v>623</v>
      </c>
      <c r="F7" s="14">
        <v>2393</v>
      </c>
      <c r="G7" s="14">
        <v>104954500</v>
      </c>
      <c r="H7" s="14">
        <v>4684290</v>
      </c>
    </row>
    <row r="8" spans="1:8">
      <c r="A8" s="8" t="s">
        <v>7</v>
      </c>
      <c r="B8" s="9" t="s">
        <v>22</v>
      </c>
      <c r="C8" s="9" t="s">
        <v>480</v>
      </c>
      <c r="D8" s="43" t="s">
        <v>479</v>
      </c>
      <c r="E8" s="8" t="s">
        <v>624</v>
      </c>
      <c r="F8" s="14">
        <v>2057</v>
      </c>
      <c r="G8" s="14">
        <v>86769670</v>
      </c>
      <c r="H8" s="14">
        <v>4883600</v>
      </c>
    </row>
    <row r="9" spans="1:8">
      <c r="A9" s="8" t="s">
        <v>7</v>
      </c>
      <c r="B9" s="9" t="s">
        <v>22</v>
      </c>
      <c r="C9" s="9" t="s">
        <v>86</v>
      </c>
      <c r="D9" s="43" t="s">
        <v>85</v>
      </c>
      <c r="E9" s="8" t="s">
        <v>625</v>
      </c>
      <c r="F9" s="14">
        <v>1842</v>
      </c>
      <c r="G9" s="14">
        <v>62322800</v>
      </c>
      <c r="H9" s="14">
        <v>1478320</v>
      </c>
    </row>
    <row r="10" spans="1:8">
      <c r="A10" s="8" t="s">
        <v>7</v>
      </c>
      <c r="B10" s="9" t="s">
        <v>23</v>
      </c>
      <c r="C10" s="9" t="s">
        <v>120</v>
      </c>
      <c r="D10" s="43" t="s">
        <v>119</v>
      </c>
      <c r="E10" s="8" t="s">
        <v>626</v>
      </c>
      <c r="F10" s="14">
        <v>2416</v>
      </c>
      <c r="G10" s="14">
        <v>53342360</v>
      </c>
      <c r="H10" s="14">
        <v>3359880</v>
      </c>
    </row>
    <row r="11" spans="1:8">
      <c r="A11" s="8" t="s">
        <v>7</v>
      </c>
      <c r="B11" s="9" t="s">
        <v>24</v>
      </c>
      <c r="C11" s="9" t="s">
        <v>196</v>
      </c>
      <c r="D11" s="43" t="s">
        <v>195</v>
      </c>
      <c r="E11" s="8" t="s">
        <v>627</v>
      </c>
      <c r="F11" s="14">
        <v>2743</v>
      </c>
      <c r="G11" s="14">
        <v>52666800</v>
      </c>
      <c r="H11" s="14">
        <v>164960</v>
      </c>
    </row>
    <row r="12" spans="1:8">
      <c r="A12" s="8" t="s">
        <v>7</v>
      </c>
      <c r="B12" s="9" t="s">
        <v>22</v>
      </c>
      <c r="C12" s="9" t="s">
        <v>86</v>
      </c>
      <c r="D12" s="43" t="s">
        <v>85</v>
      </c>
      <c r="E12" s="8" t="s">
        <v>628</v>
      </c>
      <c r="F12" s="14">
        <v>5425</v>
      </c>
      <c r="G12" s="14">
        <v>50080500</v>
      </c>
      <c r="H12" s="14">
        <v>2364250</v>
      </c>
    </row>
    <row r="13" spans="1:8">
      <c r="A13" s="8" t="s">
        <v>7</v>
      </c>
      <c r="B13" s="9" t="s">
        <v>24</v>
      </c>
      <c r="C13" s="9" t="s">
        <v>196</v>
      </c>
      <c r="D13" s="43" t="s">
        <v>195</v>
      </c>
      <c r="E13" s="8" t="s">
        <v>629</v>
      </c>
      <c r="F13" s="14">
        <v>2199</v>
      </c>
      <c r="G13" s="14">
        <v>47591200</v>
      </c>
      <c r="H13" s="14">
        <v>251360</v>
      </c>
    </row>
    <row r="14" spans="1:8">
      <c r="A14" s="8" t="s">
        <v>7</v>
      </c>
      <c r="B14" s="9" t="s">
        <v>23</v>
      </c>
      <c r="C14" s="9" t="s">
        <v>102</v>
      </c>
      <c r="D14" s="43" t="s">
        <v>101</v>
      </c>
      <c r="E14" s="8" t="s">
        <v>630</v>
      </c>
      <c r="F14" s="14">
        <v>761</v>
      </c>
      <c r="G14" s="14">
        <v>46999200</v>
      </c>
      <c r="H14" s="14">
        <v>3566200</v>
      </c>
    </row>
    <row r="15" spans="1:8">
      <c r="A15" s="8" t="s">
        <v>7</v>
      </c>
      <c r="B15" s="9" t="s">
        <v>24</v>
      </c>
      <c r="C15" s="9" t="s">
        <v>196</v>
      </c>
      <c r="D15" s="43" t="s">
        <v>195</v>
      </c>
      <c r="E15" s="8" t="s">
        <v>631</v>
      </c>
      <c r="F15" s="14">
        <v>2217</v>
      </c>
      <c r="G15" s="14">
        <v>45657100</v>
      </c>
      <c r="H15" s="14">
        <v>191600</v>
      </c>
    </row>
    <row r="16" spans="1:8">
      <c r="A16" s="8" t="s">
        <v>7</v>
      </c>
      <c r="B16" s="9" t="s">
        <v>22</v>
      </c>
      <c r="C16" s="9" t="s">
        <v>194</v>
      </c>
      <c r="D16" s="43" t="s">
        <v>193</v>
      </c>
      <c r="E16" s="8" t="s">
        <v>632</v>
      </c>
      <c r="F16" s="14">
        <v>338</v>
      </c>
      <c r="G16" s="14">
        <v>44247000</v>
      </c>
      <c r="H16" s="14">
        <v>350000</v>
      </c>
    </row>
    <row r="17" spans="1:8">
      <c r="A17" s="8" t="s">
        <v>7</v>
      </c>
      <c r="B17" s="9" t="s">
        <v>24</v>
      </c>
      <c r="C17" s="9" t="s">
        <v>128</v>
      </c>
      <c r="D17" s="43" t="s">
        <v>127</v>
      </c>
      <c r="E17" s="8" t="s">
        <v>633</v>
      </c>
      <c r="F17" s="14">
        <v>1648</v>
      </c>
      <c r="G17" s="14">
        <v>42484960</v>
      </c>
      <c r="H17" s="14">
        <v>2608170</v>
      </c>
    </row>
    <row r="18" spans="1:8">
      <c r="A18" s="8" t="s">
        <v>7</v>
      </c>
      <c r="B18" s="9" t="s">
        <v>22</v>
      </c>
      <c r="C18" s="9" t="s">
        <v>68</v>
      </c>
      <c r="D18" s="43" t="s">
        <v>67</v>
      </c>
      <c r="E18" s="8" t="s">
        <v>634</v>
      </c>
      <c r="F18" s="14">
        <v>991</v>
      </c>
      <c r="G18" s="14">
        <v>39641300</v>
      </c>
      <c r="H18" s="14">
        <v>4488490</v>
      </c>
    </row>
    <row r="19" spans="1:8">
      <c r="A19" s="8" t="s">
        <v>7</v>
      </c>
      <c r="B19" s="9" t="s">
        <v>22</v>
      </c>
      <c r="C19" s="9" t="s">
        <v>182</v>
      </c>
      <c r="D19" s="43" t="s">
        <v>181</v>
      </c>
      <c r="E19" s="8" t="s">
        <v>635</v>
      </c>
      <c r="F19" s="14">
        <v>881</v>
      </c>
      <c r="G19" s="14">
        <v>24877810</v>
      </c>
      <c r="H19" s="14">
        <v>716960</v>
      </c>
    </row>
    <row r="20" spans="1:8">
      <c r="A20" s="8" t="s">
        <v>7</v>
      </c>
      <c r="B20" s="9" t="s">
        <v>23</v>
      </c>
      <c r="C20" s="9" t="s">
        <v>104</v>
      </c>
      <c r="D20" s="43" t="s">
        <v>103</v>
      </c>
      <c r="E20" s="8" t="s">
        <v>636</v>
      </c>
      <c r="F20" s="14">
        <v>879</v>
      </c>
      <c r="G20" s="14">
        <v>24089600</v>
      </c>
      <c r="H20" s="14">
        <v>2273230</v>
      </c>
    </row>
    <row r="21" spans="1:8">
      <c r="A21" s="8" t="s">
        <v>7</v>
      </c>
      <c r="B21" s="9" t="s">
        <v>23</v>
      </c>
      <c r="C21" s="9" t="s">
        <v>104</v>
      </c>
      <c r="D21" s="43" t="s">
        <v>103</v>
      </c>
      <c r="E21" s="8" t="s">
        <v>637</v>
      </c>
      <c r="F21" s="14">
        <v>681</v>
      </c>
      <c r="G21" s="14">
        <v>19334100</v>
      </c>
      <c r="H21" s="14">
        <v>363740</v>
      </c>
    </row>
    <row r="22" spans="1:8">
      <c r="A22" s="8" t="s">
        <v>7</v>
      </c>
      <c r="B22" s="9" t="s">
        <v>24</v>
      </c>
      <c r="C22" s="9" t="s">
        <v>66</v>
      </c>
      <c r="D22" s="43" t="s">
        <v>65</v>
      </c>
      <c r="E22" s="8" t="s">
        <v>638</v>
      </c>
      <c r="F22" s="14">
        <v>333</v>
      </c>
      <c r="G22" s="14">
        <v>15534500</v>
      </c>
      <c r="H22" s="14">
        <v>1024620</v>
      </c>
    </row>
    <row r="23" spans="1:8">
      <c r="A23" s="8" t="s">
        <v>7</v>
      </c>
      <c r="B23" s="9" t="s">
        <v>22</v>
      </c>
      <c r="C23" s="9" t="s">
        <v>310</v>
      </c>
      <c r="D23" s="43" t="s">
        <v>309</v>
      </c>
      <c r="E23" s="8" t="s">
        <v>639</v>
      </c>
      <c r="F23" s="14">
        <v>356</v>
      </c>
      <c r="G23" s="14">
        <v>15279260</v>
      </c>
      <c r="H23" s="14">
        <v>1160980</v>
      </c>
    </row>
    <row r="24" spans="1:8">
      <c r="A24" s="8" t="s">
        <v>7</v>
      </c>
      <c r="B24" s="9" t="s">
        <v>22</v>
      </c>
      <c r="C24" s="9" t="s">
        <v>242</v>
      </c>
      <c r="D24" s="43" t="s">
        <v>241</v>
      </c>
      <c r="E24" s="8" t="s">
        <v>640</v>
      </c>
      <c r="F24" s="14">
        <v>265</v>
      </c>
      <c r="G24" s="14">
        <v>11588840</v>
      </c>
      <c r="H24" s="14">
        <v>621520</v>
      </c>
    </row>
    <row r="25" spans="1:8">
      <c r="A25" s="8" t="s">
        <v>7</v>
      </c>
      <c r="B25" s="9" t="s">
        <v>24</v>
      </c>
      <c r="C25" s="9" t="s">
        <v>224</v>
      </c>
      <c r="D25" s="43" t="s">
        <v>223</v>
      </c>
      <c r="E25" s="8" t="s">
        <v>641</v>
      </c>
      <c r="F25" s="14">
        <v>90</v>
      </c>
      <c r="G25" s="14">
        <v>10493450</v>
      </c>
      <c r="H25" s="14">
        <v>0</v>
      </c>
    </row>
    <row r="26" spans="1:8">
      <c r="A26" s="8" t="s">
        <v>7</v>
      </c>
      <c r="B26" s="9" t="s">
        <v>22</v>
      </c>
      <c r="C26" s="9" t="s">
        <v>228</v>
      </c>
      <c r="D26" s="43" t="s">
        <v>227</v>
      </c>
      <c r="E26" s="8" t="s">
        <v>642</v>
      </c>
      <c r="F26" s="14">
        <v>426</v>
      </c>
      <c r="G26" s="14">
        <v>8812400</v>
      </c>
      <c r="H26" s="14">
        <v>101200</v>
      </c>
    </row>
    <row r="27" spans="1:8">
      <c r="A27" s="8" t="s">
        <v>7</v>
      </c>
      <c r="B27" s="9" t="s">
        <v>24</v>
      </c>
      <c r="C27" s="9" t="s">
        <v>70</v>
      </c>
      <c r="D27" s="43" t="s">
        <v>69</v>
      </c>
      <c r="E27" s="8" t="s">
        <v>643</v>
      </c>
      <c r="F27" s="14">
        <v>261</v>
      </c>
      <c r="G27" s="14">
        <v>8275000</v>
      </c>
      <c r="H27" s="14">
        <v>310000</v>
      </c>
    </row>
    <row r="28" spans="1:8">
      <c r="A28" s="8" t="s">
        <v>7</v>
      </c>
      <c r="B28" s="9" t="s">
        <v>22</v>
      </c>
      <c r="C28" s="9" t="s">
        <v>310</v>
      </c>
      <c r="D28" s="43" t="s">
        <v>309</v>
      </c>
      <c r="E28" s="8" t="s">
        <v>644</v>
      </c>
      <c r="F28" s="14">
        <v>238</v>
      </c>
      <c r="G28" s="14">
        <v>8152930</v>
      </c>
      <c r="H28" s="14">
        <v>669540</v>
      </c>
    </row>
    <row r="29" spans="1:8">
      <c r="A29" s="8" t="s">
        <v>7</v>
      </c>
      <c r="B29" s="9" t="s">
        <v>22</v>
      </c>
      <c r="C29" s="9" t="s">
        <v>68</v>
      </c>
      <c r="D29" s="43" t="s">
        <v>67</v>
      </c>
      <c r="E29" s="8" t="s">
        <v>645</v>
      </c>
      <c r="F29" s="14">
        <v>217</v>
      </c>
      <c r="G29" s="14">
        <v>7669100</v>
      </c>
      <c r="H29" s="14">
        <v>203450</v>
      </c>
    </row>
    <row r="30" spans="1:8">
      <c r="A30" s="8" t="s">
        <v>7</v>
      </c>
      <c r="B30" s="9" t="s">
        <v>24</v>
      </c>
      <c r="C30" s="9" t="s">
        <v>168</v>
      </c>
      <c r="D30" s="43" t="s">
        <v>167</v>
      </c>
      <c r="E30" s="8" t="s">
        <v>646</v>
      </c>
      <c r="F30" s="14">
        <v>247</v>
      </c>
      <c r="G30" s="14">
        <v>7443000</v>
      </c>
      <c r="H30" s="14">
        <v>729090</v>
      </c>
    </row>
    <row r="31" spans="1:8">
      <c r="A31" s="8" t="s">
        <v>7</v>
      </c>
      <c r="B31" s="9" t="s">
        <v>23</v>
      </c>
      <c r="C31" s="9" t="s">
        <v>104</v>
      </c>
      <c r="D31" s="43" t="s">
        <v>103</v>
      </c>
      <c r="E31" s="8" t="s">
        <v>647</v>
      </c>
      <c r="F31" s="14">
        <v>198</v>
      </c>
      <c r="G31" s="14">
        <v>5924200</v>
      </c>
      <c r="H31" s="14">
        <v>171480</v>
      </c>
    </row>
    <row r="32" spans="1:8">
      <c r="A32" s="13" t="s">
        <v>7</v>
      </c>
      <c r="B32" s="9" t="s">
        <v>24</v>
      </c>
      <c r="C32" s="13" t="s">
        <v>128</v>
      </c>
      <c r="D32" s="44" t="s">
        <v>127</v>
      </c>
      <c r="E32" s="13" t="s">
        <v>648</v>
      </c>
      <c r="F32" s="15">
        <v>293</v>
      </c>
      <c r="G32" s="15">
        <v>5887200</v>
      </c>
      <c r="H32" s="15">
        <v>394960</v>
      </c>
    </row>
    <row r="33" spans="1:8">
      <c r="A33" s="13" t="s">
        <v>7</v>
      </c>
      <c r="B33" s="13" t="s">
        <v>23</v>
      </c>
      <c r="C33" s="13" t="s">
        <v>202</v>
      </c>
      <c r="D33" s="44" t="s">
        <v>201</v>
      </c>
      <c r="E33" s="13" t="s">
        <v>649</v>
      </c>
      <c r="F33" s="15">
        <v>145</v>
      </c>
      <c r="G33" s="15">
        <v>5408020</v>
      </c>
      <c r="H33" s="15">
        <v>796330</v>
      </c>
    </row>
    <row r="34" spans="1:8">
      <c r="A34" s="13" t="s">
        <v>7</v>
      </c>
      <c r="B34" s="9" t="s">
        <v>24</v>
      </c>
      <c r="C34" s="13" t="s">
        <v>128</v>
      </c>
      <c r="D34" s="44" t="s">
        <v>127</v>
      </c>
      <c r="E34" s="13" t="s">
        <v>650</v>
      </c>
      <c r="F34" s="15">
        <v>367</v>
      </c>
      <c r="G34" s="15">
        <v>5219500</v>
      </c>
      <c r="H34" s="15">
        <v>333680</v>
      </c>
    </row>
    <row r="35" spans="1:8">
      <c r="A35" s="13" t="s">
        <v>7</v>
      </c>
      <c r="B35" s="13" t="s">
        <v>22</v>
      </c>
      <c r="C35" s="13" t="s">
        <v>68</v>
      </c>
      <c r="D35" s="44" t="s">
        <v>67</v>
      </c>
      <c r="E35" s="13" t="s">
        <v>651</v>
      </c>
      <c r="F35" s="15">
        <v>129</v>
      </c>
      <c r="G35" s="15">
        <v>5105500</v>
      </c>
      <c r="H35" s="15">
        <v>175120</v>
      </c>
    </row>
    <row r="36" spans="1:8">
      <c r="A36" s="13" t="s">
        <v>7</v>
      </c>
      <c r="B36" s="13" t="s">
        <v>22</v>
      </c>
      <c r="C36" s="13" t="s">
        <v>372</v>
      </c>
      <c r="D36" s="44" t="s">
        <v>371</v>
      </c>
      <c r="E36" s="13" t="s">
        <v>652</v>
      </c>
      <c r="F36" s="15">
        <v>146</v>
      </c>
      <c r="G36" s="15">
        <v>5099300</v>
      </c>
      <c r="H36" s="15">
        <v>331200</v>
      </c>
    </row>
    <row r="37" spans="1:8">
      <c r="A37" s="13" t="s">
        <v>7</v>
      </c>
      <c r="B37" s="13" t="s">
        <v>22</v>
      </c>
      <c r="C37" s="13" t="s">
        <v>246</v>
      </c>
      <c r="D37" s="44" t="s">
        <v>245</v>
      </c>
      <c r="E37" s="13" t="s">
        <v>653</v>
      </c>
      <c r="F37" s="15">
        <v>171</v>
      </c>
      <c r="G37" s="15">
        <v>4380900</v>
      </c>
      <c r="H37" s="15">
        <v>248440</v>
      </c>
    </row>
    <row r="38" spans="1:8">
      <c r="A38" s="13" t="s">
        <v>7</v>
      </c>
      <c r="B38" s="13" t="s">
        <v>22</v>
      </c>
      <c r="C38" s="13" t="s">
        <v>304</v>
      </c>
      <c r="D38" s="44" t="s">
        <v>303</v>
      </c>
      <c r="E38" s="13" t="s">
        <v>654</v>
      </c>
      <c r="F38" s="15">
        <v>164</v>
      </c>
      <c r="G38" s="15">
        <v>4300400</v>
      </c>
      <c r="H38" s="15">
        <v>0</v>
      </c>
    </row>
    <row r="39" spans="1:8">
      <c r="A39" s="13" t="s">
        <v>7</v>
      </c>
      <c r="B39" s="13" t="s">
        <v>22</v>
      </c>
      <c r="C39" s="13" t="s">
        <v>218</v>
      </c>
      <c r="D39" s="44" t="s">
        <v>217</v>
      </c>
      <c r="E39" s="13" t="s">
        <v>655</v>
      </c>
      <c r="F39" s="15">
        <v>199</v>
      </c>
      <c r="G39" s="15">
        <v>3671410</v>
      </c>
      <c r="H39" s="15">
        <v>382980</v>
      </c>
    </row>
    <row r="40" spans="1:8">
      <c r="A40" s="13" t="s">
        <v>7</v>
      </c>
      <c r="B40" s="13" t="s">
        <v>22</v>
      </c>
      <c r="C40" s="13" t="s">
        <v>194</v>
      </c>
      <c r="D40" s="44" t="s">
        <v>193</v>
      </c>
      <c r="E40" s="13" t="s">
        <v>656</v>
      </c>
      <c r="F40" s="15">
        <v>80</v>
      </c>
      <c r="G40" s="15">
        <v>3433500</v>
      </c>
      <c r="H40" s="15">
        <v>51600</v>
      </c>
    </row>
    <row r="41" spans="1:8">
      <c r="A41" s="13" t="s">
        <v>7</v>
      </c>
      <c r="B41" s="13" t="s">
        <v>22</v>
      </c>
      <c r="C41" s="13" t="s">
        <v>502</v>
      </c>
      <c r="D41" s="44" t="s">
        <v>501</v>
      </c>
      <c r="E41" s="13" t="s">
        <v>657</v>
      </c>
      <c r="F41" s="15">
        <v>90</v>
      </c>
      <c r="G41" s="15">
        <v>3151400</v>
      </c>
      <c r="H41" s="15">
        <v>191470</v>
      </c>
    </row>
    <row r="42" spans="1:8">
      <c r="A42" s="13" t="s">
        <v>7</v>
      </c>
      <c r="B42" s="13" t="s">
        <v>22</v>
      </c>
      <c r="C42" s="13" t="s">
        <v>52</v>
      </c>
      <c r="D42" s="44" t="s">
        <v>51</v>
      </c>
      <c r="E42" s="13" t="s">
        <v>658</v>
      </c>
      <c r="F42" s="15">
        <v>68</v>
      </c>
      <c r="G42" s="15">
        <v>2967200</v>
      </c>
      <c r="H42" s="15">
        <v>206920</v>
      </c>
    </row>
    <row r="43" spans="1:8">
      <c r="A43" s="13" t="s">
        <v>7</v>
      </c>
      <c r="B43" s="13" t="s">
        <v>22</v>
      </c>
      <c r="C43" s="13" t="s">
        <v>590</v>
      </c>
      <c r="D43" s="44" t="s">
        <v>589</v>
      </c>
      <c r="E43" s="13" t="s">
        <v>659</v>
      </c>
      <c r="F43" s="15">
        <v>65</v>
      </c>
      <c r="G43" s="15">
        <v>2828000</v>
      </c>
      <c r="H43" s="15">
        <v>373030</v>
      </c>
    </row>
    <row r="44" spans="1:8">
      <c r="A44" s="13" t="s">
        <v>7</v>
      </c>
      <c r="B44" s="13" t="s">
        <v>22</v>
      </c>
      <c r="C44" s="13" t="s">
        <v>298</v>
      </c>
      <c r="D44" s="44" t="s">
        <v>297</v>
      </c>
      <c r="E44" s="13" t="s">
        <v>660</v>
      </c>
      <c r="F44" s="15">
        <v>53</v>
      </c>
      <c r="G44" s="15">
        <v>2534500</v>
      </c>
      <c r="H44" s="15">
        <v>145340</v>
      </c>
    </row>
    <row r="45" spans="1:8">
      <c r="A45" s="13" t="s">
        <v>7</v>
      </c>
      <c r="B45" s="9" t="s">
        <v>24</v>
      </c>
      <c r="C45" s="13" t="s">
        <v>456</v>
      </c>
      <c r="D45" s="44" t="s">
        <v>455</v>
      </c>
      <c r="E45" s="13" t="s">
        <v>661</v>
      </c>
      <c r="F45" s="15">
        <v>59</v>
      </c>
      <c r="G45" s="15">
        <v>2527000</v>
      </c>
      <c r="H45" s="15">
        <v>30000</v>
      </c>
    </row>
    <row r="46" spans="1:8">
      <c r="A46" s="13" t="s">
        <v>7</v>
      </c>
      <c r="B46" s="9" t="s">
        <v>24</v>
      </c>
      <c r="C46" s="13" t="s">
        <v>590</v>
      </c>
      <c r="D46" s="44" t="s">
        <v>589</v>
      </c>
      <c r="E46" s="13" t="s">
        <v>662</v>
      </c>
      <c r="F46" s="15">
        <v>87</v>
      </c>
      <c r="G46" s="15">
        <v>2492000</v>
      </c>
      <c r="H46" s="15">
        <v>183550</v>
      </c>
    </row>
    <row r="47" spans="1:8">
      <c r="A47" s="13" t="s">
        <v>7</v>
      </c>
      <c r="B47" s="9" t="s">
        <v>24</v>
      </c>
      <c r="C47" s="13" t="s">
        <v>224</v>
      </c>
      <c r="D47" s="44" t="s">
        <v>223</v>
      </c>
      <c r="E47" s="13" t="s">
        <v>663</v>
      </c>
      <c r="F47" s="15">
        <v>16</v>
      </c>
      <c r="G47" s="15">
        <v>2425000</v>
      </c>
      <c r="H47" s="15">
        <v>0</v>
      </c>
    </row>
    <row r="48" spans="1:8">
      <c r="A48" s="13" t="s">
        <v>7</v>
      </c>
      <c r="B48" s="13" t="s">
        <v>23</v>
      </c>
      <c r="C48" s="13" t="s">
        <v>118</v>
      </c>
      <c r="D48" s="44" t="s">
        <v>117</v>
      </c>
      <c r="E48" s="13" t="s">
        <v>664</v>
      </c>
      <c r="F48" s="15">
        <v>104</v>
      </c>
      <c r="G48" s="15">
        <v>2269370</v>
      </c>
      <c r="H48" s="15">
        <v>394640</v>
      </c>
    </row>
    <row r="49" spans="1:8">
      <c r="A49" s="13" t="s">
        <v>7</v>
      </c>
      <c r="B49" s="9" t="s">
        <v>24</v>
      </c>
      <c r="C49" s="13" t="s">
        <v>524</v>
      </c>
      <c r="D49" s="44" t="s">
        <v>523</v>
      </c>
      <c r="E49" s="13" t="s">
        <v>665</v>
      </c>
      <c r="F49" s="15">
        <v>79</v>
      </c>
      <c r="G49" s="15">
        <v>2228000</v>
      </c>
      <c r="H49" s="15">
        <v>193800</v>
      </c>
    </row>
    <row r="50" spans="1:8">
      <c r="A50" s="13" t="s">
        <v>7</v>
      </c>
      <c r="B50" s="9" t="s">
        <v>24</v>
      </c>
      <c r="C50" s="13" t="s">
        <v>300</v>
      </c>
      <c r="D50" s="44" t="s">
        <v>299</v>
      </c>
      <c r="E50" s="13" t="s">
        <v>666</v>
      </c>
      <c r="F50" s="15">
        <v>39</v>
      </c>
      <c r="G50" s="15">
        <v>2183000</v>
      </c>
      <c r="H50" s="15">
        <v>84800</v>
      </c>
    </row>
    <row r="51" spans="1:8">
      <c r="A51" s="13" t="s">
        <v>7</v>
      </c>
      <c r="B51" s="9" t="s">
        <v>24</v>
      </c>
      <c r="C51" s="13" t="s">
        <v>490</v>
      </c>
      <c r="D51" s="44" t="s">
        <v>489</v>
      </c>
      <c r="E51" s="13" t="s">
        <v>667</v>
      </c>
      <c r="F51" s="15">
        <v>80</v>
      </c>
      <c r="G51" s="15">
        <v>2122000</v>
      </c>
      <c r="H51" s="15">
        <v>175800</v>
      </c>
    </row>
    <row r="52" spans="1:8">
      <c r="A52" s="13" t="s">
        <v>7</v>
      </c>
      <c r="B52" s="13" t="s">
        <v>23</v>
      </c>
      <c r="C52" s="13" t="s">
        <v>118</v>
      </c>
      <c r="D52" s="44" t="s">
        <v>117</v>
      </c>
      <c r="E52" s="13" t="s">
        <v>668</v>
      </c>
      <c r="F52" s="15">
        <v>65</v>
      </c>
      <c r="G52" s="15">
        <v>2090970</v>
      </c>
      <c r="H52" s="15">
        <v>174310</v>
      </c>
    </row>
    <row r="53" spans="1:8">
      <c r="A53" s="13" t="s">
        <v>7</v>
      </c>
      <c r="B53" s="9" t="s">
        <v>24</v>
      </c>
      <c r="C53" s="13" t="s">
        <v>574</v>
      </c>
      <c r="D53" s="44" t="s">
        <v>573</v>
      </c>
      <c r="E53" s="13" t="s">
        <v>669</v>
      </c>
      <c r="F53" s="15">
        <v>39</v>
      </c>
      <c r="G53" s="15">
        <v>2081000</v>
      </c>
      <c r="H53" s="15">
        <v>224400</v>
      </c>
    </row>
    <row r="54" spans="1:8">
      <c r="A54" s="13" t="s">
        <v>7</v>
      </c>
      <c r="B54" s="13" t="s">
        <v>22</v>
      </c>
      <c r="C54" s="13" t="s">
        <v>238</v>
      </c>
      <c r="D54" s="44" t="s">
        <v>237</v>
      </c>
      <c r="E54" s="13" t="s">
        <v>670</v>
      </c>
      <c r="F54" s="15">
        <v>110</v>
      </c>
      <c r="G54" s="15">
        <v>2074590</v>
      </c>
      <c r="H54" s="15">
        <v>88920</v>
      </c>
    </row>
    <row r="55" spans="1:8">
      <c r="A55" s="13" t="s">
        <v>7</v>
      </c>
      <c r="B55" s="13" t="s">
        <v>23</v>
      </c>
      <c r="C55" s="13" t="s">
        <v>104</v>
      </c>
      <c r="D55" s="44" t="s">
        <v>103</v>
      </c>
      <c r="E55" s="13" t="s">
        <v>671</v>
      </c>
      <c r="F55" s="15">
        <v>154</v>
      </c>
      <c r="G55" s="15">
        <v>2060300</v>
      </c>
      <c r="H55" s="15">
        <v>116740</v>
      </c>
    </row>
    <row r="56" spans="1:8">
      <c r="A56" s="13" t="s">
        <v>7</v>
      </c>
      <c r="B56" s="13" t="s">
        <v>22</v>
      </c>
      <c r="C56" s="13" t="s">
        <v>208</v>
      </c>
      <c r="D56" s="44" t="s">
        <v>207</v>
      </c>
      <c r="E56" s="13" t="s">
        <v>672</v>
      </c>
      <c r="F56" s="15">
        <v>66</v>
      </c>
      <c r="G56" s="15">
        <v>2028200</v>
      </c>
      <c r="H56" s="15">
        <v>16940</v>
      </c>
    </row>
    <row r="57" spans="1:8">
      <c r="A57" s="13" t="s">
        <v>7</v>
      </c>
      <c r="B57" s="13" t="s">
        <v>22</v>
      </c>
      <c r="C57" s="13" t="s">
        <v>302</v>
      </c>
      <c r="D57" s="44" t="s">
        <v>301</v>
      </c>
      <c r="E57" s="13" t="s">
        <v>673</v>
      </c>
      <c r="F57" s="15">
        <v>26</v>
      </c>
      <c r="G57" s="15">
        <v>1969100</v>
      </c>
      <c r="H57" s="15">
        <v>80000</v>
      </c>
    </row>
    <row r="58" spans="1:8">
      <c r="A58" s="13" t="s">
        <v>7</v>
      </c>
      <c r="B58" s="9" t="s">
        <v>24</v>
      </c>
      <c r="C58" s="13" t="s">
        <v>592</v>
      </c>
      <c r="D58" s="44" t="s">
        <v>591</v>
      </c>
      <c r="E58" s="13" t="s">
        <v>674</v>
      </c>
      <c r="F58" s="15">
        <v>71</v>
      </c>
      <c r="G58" s="15">
        <v>1911240</v>
      </c>
      <c r="H58" s="15">
        <v>49220</v>
      </c>
    </row>
    <row r="59" spans="1:8">
      <c r="A59" s="13" t="s">
        <v>7</v>
      </c>
      <c r="B59" s="13" t="s">
        <v>22</v>
      </c>
      <c r="C59" s="13" t="s">
        <v>304</v>
      </c>
      <c r="D59" s="44" t="s">
        <v>303</v>
      </c>
      <c r="E59" s="13" t="s">
        <v>675</v>
      </c>
      <c r="F59" s="15">
        <v>74</v>
      </c>
      <c r="G59" s="15">
        <v>1901600</v>
      </c>
      <c r="H59" s="15">
        <v>116480</v>
      </c>
    </row>
    <row r="60" spans="1:8">
      <c r="A60" s="13" t="s">
        <v>7</v>
      </c>
      <c r="B60" s="13" t="s">
        <v>23</v>
      </c>
      <c r="C60" s="13" t="s">
        <v>120</v>
      </c>
      <c r="D60" s="44" t="s">
        <v>119</v>
      </c>
      <c r="E60" s="13" t="s">
        <v>676</v>
      </c>
      <c r="F60" s="15">
        <v>96</v>
      </c>
      <c r="G60" s="15">
        <v>1874050</v>
      </c>
      <c r="H60" s="15">
        <v>96660</v>
      </c>
    </row>
    <row r="61" spans="1:8">
      <c r="A61" s="13" t="s">
        <v>7</v>
      </c>
      <c r="B61" s="13" t="s">
        <v>22</v>
      </c>
      <c r="C61" s="13" t="s">
        <v>326</v>
      </c>
      <c r="D61" s="44" t="s">
        <v>325</v>
      </c>
      <c r="E61" s="13" t="s">
        <v>677</v>
      </c>
      <c r="F61" s="15">
        <v>51</v>
      </c>
      <c r="G61" s="15">
        <v>1826300</v>
      </c>
      <c r="H61" s="15">
        <v>36180</v>
      </c>
    </row>
    <row r="62" spans="1:8">
      <c r="A62" s="13" t="s">
        <v>7</v>
      </c>
      <c r="B62" s="9" t="s">
        <v>24</v>
      </c>
      <c r="C62" s="13" t="s">
        <v>320</v>
      </c>
      <c r="D62" s="44" t="s">
        <v>319</v>
      </c>
      <c r="E62" s="13" t="s">
        <v>678</v>
      </c>
      <c r="F62" s="15">
        <v>52</v>
      </c>
      <c r="G62" s="15">
        <v>1806000</v>
      </c>
      <c r="H62" s="15">
        <v>204000</v>
      </c>
    </row>
    <row r="63" spans="1:8">
      <c r="A63" s="13" t="s">
        <v>7</v>
      </c>
      <c r="B63" s="9" t="s">
        <v>24</v>
      </c>
      <c r="C63" s="13" t="s">
        <v>128</v>
      </c>
      <c r="D63" s="44" t="s">
        <v>127</v>
      </c>
      <c r="E63" s="13" t="s">
        <v>679</v>
      </c>
      <c r="F63" s="15">
        <v>138</v>
      </c>
      <c r="G63" s="15">
        <v>1752100</v>
      </c>
      <c r="H63" s="15">
        <v>96430</v>
      </c>
    </row>
    <row r="64" spans="1:8">
      <c r="A64" s="13" t="s">
        <v>7</v>
      </c>
      <c r="B64" s="9" t="s">
        <v>24</v>
      </c>
      <c r="C64" s="13" t="s">
        <v>606</v>
      </c>
      <c r="D64" s="44" t="s">
        <v>605</v>
      </c>
      <c r="E64" s="13" t="s">
        <v>680</v>
      </c>
      <c r="F64" s="15">
        <v>51</v>
      </c>
      <c r="G64" s="15">
        <v>1711410</v>
      </c>
      <c r="H64" s="15">
        <v>72680</v>
      </c>
    </row>
    <row r="65" spans="1:8">
      <c r="A65" s="13" t="s">
        <v>7</v>
      </c>
      <c r="B65" s="13" t="s">
        <v>22</v>
      </c>
      <c r="C65" s="13" t="s">
        <v>484</v>
      </c>
      <c r="D65" s="44" t="s">
        <v>483</v>
      </c>
      <c r="E65" s="13" t="s">
        <v>681</v>
      </c>
      <c r="F65" s="15">
        <v>47</v>
      </c>
      <c r="G65" s="15">
        <v>1704600</v>
      </c>
      <c r="H65" s="15">
        <v>80240</v>
      </c>
    </row>
    <row r="66" spans="1:8">
      <c r="A66" s="13" t="s">
        <v>7</v>
      </c>
      <c r="B66" s="13" t="s">
        <v>23</v>
      </c>
      <c r="C66" s="13" t="s">
        <v>104</v>
      </c>
      <c r="D66" s="44" t="s">
        <v>103</v>
      </c>
      <c r="E66" s="13" t="s">
        <v>682</v>
      </c>
      <c r="F66" s="15">
        <v>94</v>
      </c>
      <c r="G66" s="15">
        <v>1687100</v>
      </c>
      <c r="H66" s="15">
        <v>114470</v>
      </c>
    </row>
    <row r="67" spans="1:8">
      <c r="A67" s="13" t="s">
        <v>7</v>
      </c>
      <c r="B67" s="9" t="s">
        <v>22</v>
      </c>
      <c r="C67" s="13" t="s">
        <v>190</v>
      </c>
      <c r="D67" s="44" t="s">
        <v>189</v>
      </c>
      <c r="E67" s="13" t="s">
        <v>683</v>
      </c>
      <c r="F67" s="15">
        <v>48</v>
      </c>
      <c r="G67" s="15">
        <v>1673000</v>
      </c>
      <c r="H67" s="15">
        <v>82000</v>
      </c>
    </row>
    <row r="68" spans="1:8">
      <c r="A68" s="13" t="s">
        <v>7</v>
      </c>
      <c r="B68" s="9" t="s">
        <v>24</v>
      </c>
      <c r="C68" s="13" t="s">
        <v>70</v>
      </c>
      <c r="D68" s="44" t="s">
        <v>69</v>
      </c>
      <c r="E68" s="13" t="s">
        <v>684</v>
      </c>
      <c r="F68" s="15">
        <v>8</v>
      </c>
      <c r="G68" s="15">
        <v>1656000</v>
      </c>
      <c r="H68" s="15">
        <v>10000</v>
      </c>
    </row>
    <row r="69" spans="1:8">
      <c r="A69" s="13" t="s">
        <v>7</v>
      </c>
      <c r="B69" s="13" t="s">
        <v>24</v>
      </c>
      <c r="C69" s="13" t="s">
        <v>128</v>
      </c>
      <c r="D69" s="44" t="s">
        <v>127</v>
      </c>
      <c r="E69" s="13" t="s">
        <v>685</v>
      </c>
      <c r="F69" s="15">
        <v>133</v>
      </c>
      <c r="G69" s="15">
        <v>1604300</v>
      </c>
      <c r="H69" s="15">
        <v>65960</v>
      </c>
    </row>
    <row r="70" spans="1:8">
      <c r="A70" s="13" t="s">
        <v>7</v>
      </c>
      <c r="B70" s="13" t="s">
        <v>22</v>
      </c>
      <c r="C70" s="13" t="s">
        <v>228</v>
      </c>
      <c r="D70" s="44" t="s">
        <v>227</v>
      </c>
      <c r="E70" s="13" t="s">
        <v>686</v>
      </c>
      <c r="F70" s="15">
        <v>144</v>
      </c>
      <c r="G70" s="15">
        <v>1586600</v>
      </c>
      <c r="H70" s="15">
        <v>30050</v>
      </c>
    </row>
    <row r="71" spans="1:8">
      <c r="A71" s="13" t="s">
        <v>7</v>
      </c>
      <c r="B71" s="13" t="s">
        <v>23</v>
      </c>
      <c r="C71" s="13" t="s">
        <v>178</v>
      </c>
      <c r="D71" s="44" t="s">
        <v>177</v>
      </c>
      <c r="E71" s="13" t="s">
        <v>687</v>
      </c>
      <c r="F71" s="15">
        <v>46</v>
      </c>
      <c r="G71" s="15">
        <v>1556900</v>
      </c>
      <c r="H71" s="15">
        <v>81520</v>
      </c>
    </row>
    <row r="72" spans="1:8">
      <c r="A72" s="13" t="s">
        <v>7</v>
      </c>
      <c r="B72" s="9" t="s">
        <v>24</v>
      </c>
      <c r="C72" s="13" t="s">
        <v>456</v>
      </c>
      <c r="D72" s="44" t="s">
        <v>455</v>
      </c>
      <c r="E72" s="13" t="s">
        <v>688</v>
      </c>
      <c r="F72" s="15">
        <v>50</v>
      </c>
      <c r="G72" s="15">
        <v>1522000</v>
      </c>
      <c r="H72" s="15">
        <v>21400</v>
      </c>
    </row>
    <row r="73" spans="1:8">
      <c r="A73" s="13" t="s">
        <v>7</v>
      </c>
      <c r="B73" s="13" t="s">
        <v>22</v>
      </c>
      <c r="C73" s="13" t="s">
        <v>226</v>
      </c>
      <c r="D73" s="44" t="s">
        <v>225</v>
      </c>
      <c r="E73" s="13" t="s">
        <v>689</v>
      </c>
      <c r="F73" s="15">
        <v>53</v>
      </c>
      <c r="G73" s="15">
        <v>1450100</v>
      </c>
      <c r="H73" s="15">
        <v>144400</v>
      </c>
    </row>
    <row r="74" spans="1:8">
      <c r="A74" s="13" t="s">
        <v>7</v>
      </c>
      <c r="B74" s="13" t="s">
        <v>24</v>
      </c>
      <c r="C74" s="13" t="s">
        <v>572</v>
      </c>
      <c r="D74" s="44" t="s">
        <v>571</v>
      </c>
      <c r="E74" s="13" t="s">
        <v>690</v>
      </c>
      <c r="F74" s="15">
        <v>51</v>
      </c>
      <c r="G74" s="15">
        <v>1407100</v>
      </c>
      <c r="H74" s="15">
        <v>0</v>
      </c>
    </row>
    <row r="75" spans="1:8">
      <c r="A75" s="13" t="s">
        <v>7</v>
      </c>
      <c r="B75" s="9" t="s">
        <v>22</v>
      </c>
      <c r="C75" s="13" t="s">
        <v>592</v>
      </c>
      <c r="D75" s="44" t="s">
        <v>591</v>
      </c>
      <c r="E75" s="13" t="s">
        <v>691</v>
      </c>
      <c r="F75" s="15">
        <v>93</v>
      </c>
      <c r="G75" s="15">
        <v>1406900</v>
      </c>
      <c r="H75" s="15">
        <v>214060</v>
      </c>
    </row>
    <row r="76" spans="1:8">
      <c r="A76" s="13" t="s">
        <v>7</v>
      </c>
      <c r="B76" s="13" t="s">
        <v>22</v>
      </c>
      <c r="C76" s="13" t="s">
        <v>106</v>
      </c>
      <c r="D76" s="44" t="s">
        <v>105</v>
      </c>
      <c r="E76" s="13" t="s">
        <v>692</v>
      </c>
      <c r="F76" s="15">
        <v>35</v>
      </c>
      <c r="G76" s="15">
        <v>1393000</v>
      </c>
      <c r="H76" s="15">
        <v>94720</v>
      </c>
    </row>
    <row r="77" spans="1:8">
      <c r="A77" s="13" t="s">
        <v>7</v>
      </c>
      <c r="B77" s="13" t="s">
        <v>22</v>
      </c>
      <c r="C77" s="13" t="s">
        <v>290</v>
      </c>
      <c r="D77" s="44" t="s">
        <v>289</v>
      </c>
      <c r="E77" s="13" t="s">
        <v>693</v>
      </c>
      <c r="F77" s="15">
        <v>55</v>
      </c>
      <c r="G77" s="15">
        <v>1348000</v>
      </c>
      <c r="H77" s="15">
        <v>46770</v>
      </c>
    </row>
    <row r="78" spans="1:8">
      <c r="A78" s="13" t="s">
        <v>7</v>
      </c>
      <c r="B78" s="13" t="s">
        <v>22</v>
      </c>
      <c r="C78" s="13" t="s">
        <v>304</v>
      </c>
      <c r="D78" s="44" t="s">
        <v>303</v>
      </c>
      <c r="E78" s="13" t="s">
        <v>694</v>
      </c>
      <c r="F78" s="15">
        <v>45</v>
      </c>
      <c r="G78" s="15">
        <v>1330700</v>
      </c>
      <c r="H78" s="15">
        <v>0</v>
      </c>
    </row>
    <row r="79" spans="1:8">
      <c r="A79" s="13" t="s">
        <v>7</v>
      </c>
      <c r="B79" s="13" t="s">
        <v>22</v>
      </c>
      <c r="C79" s="13" t="s">
        <v>534</v>
      </c>
      <c r="D79" s="44" t="s">
        <v>533</v>
      </c>
      <c r="E79" s="13" t="s">
        <v>695</v>
      </c>
      <c r="F79" s="15">
        <v>66</v>
      </c>
      <c r="G79" s="15">
        <v>1297570</v>
      </c>
      <c r="H79" s="15">
        <v>252920</v>
      </c>
    </row>
    <row r="80" spans="1:8">
      <c r="A80" s="13" t="s">
        <v>7</v>
      </c>
      <c r="B80" s="13" t="s">
        <v>22</v>
      </c>
      <c r="C80" s="13" t="s">
        <v>238</v>
      </c>
      <c r="D80" s="44" t="s">
        <v>237</v>
      </c>
      <c r="E80" s="13" t="s">
        <v>696</v>
      </c>
      <c r="F80" s="15">
        <v>62</v>
      </c>
      <c r="G80" s="15">
        <v>1239820</v>
      </c>
      <c r="H80" s="15">
        <v>23760</v>
      </c>
    </row>
    <row r="81" spans="1:8">
      <c r="A81" s="13" t="s">
        <v>7</v>
      </c>
      <c r="B81" s="13" t="s">
        <v>22</v>
      </c>
      <c r="C81" s="13" t="s">
        <v>302</v>
      </c>
      <c r="D81" s="44" t="s">
        <v>301</v>
      </c>
      <c r="E81" s="13" t="s">
        <v>697</v>
      </c>
      <c r="F81" s="15">
        <v>33</v>
      </c>
      <c r="G81" s="15">
        <v>1238400</v>
      </c>
      <c r="H81" s="15">
        <v>136030</v>
      </c>
    </row>
    <row r="82" spans="1:8">
      <c r="A82" s="13" t="s">
        <v>7</v>
      </c>
      <c r="B82" s="9" t="s">
        <v>24</v>
      </c>
      <c r="C82" s="13" t="s">
        <v>300</v>
      </c>
      <c r="D82" s="44" t="s">
        <v>299</v>
      </c>
      <c r="E82" s="13" t="s">
        <v>698</v>
      </c>
      <c r="F82" s="15">
        <v>37</v>
      </c>
      <c r="G82" s="15">
        <v>1210000</v>
      </c>
      <c r="H82" s="15">
        <v>35200</v>
      </c>
    </row>
    <row r="83" spans="1:8">
      <c r="A83" s="13" t="s">
        <v>7</v>
      </c>
      <c r="B83" s="13" t="s">
        <v>22</v>
      </c>
      <c r="C83" s="13" t="s">
        <v>292</v>
      </c>
      <c r="D83" s="44" t="s">
        <v>291</v>
      </c>
      <c r="E83" s="13" t="s">
        <v>699</v>
      </c>
      <c r="F83" s="15">
        <v>21</v>
      </c>
      <c r="G83" s="15">
        <v>1209800</v>
      </c>
      <c r="H83" s="15">
        <v>0</v>
      </c>
    </row>
    <row r="84" spans="1:8">
      <c r="A84" s="13" t="s">
        <v>7</v>
      </c>
      <c r="B84" s="13" t="s">
        <v>22</v>
      </c>
      <c r="C84" s="13" t="s">
        <v>68</v>
      </c>
      <c r="D84" s="44" t="s">
        <v>67</v>
      </c>
      <c r="E84" s="13" t="s">
        <v>700</v>
      </c>
      <c r="F84" s="15">
        <v>19</v>
      </c>
      <c r="G84" s="15">
        <v>1201000</v>
      </c>
      <c r="H84" s="15">
        <v>16400</v>
      </c>
    </row>
    <row r="85" spans="1:8">
      <c r="A85" s="13" t="s">
        <v>7</v>
      </c>
      <c r="B85" s="13" t="s">
        <v>22</v>
      </c>
      <c r="C85" s="13" t="s">
        <v>326</v>
      </c>
      <c r="D85" s="44" t="s">
        <v>325</v>
      </c>
      <c r="E85" s="13" t="s">
        <v>701</v>
      </c>
      <c r="F85" s="15">
        <v>19</v>
      </c>
      <c r="G85" s="15">
        <v>1178600</v>
      </c>
      <c r="H85" s="15">
        <v>68560</v>
      </c>
    </row>
    <row r="86" spans="1:8">
      <c r="A86" s="13" t="s">
        <v>7</v>
      </c>
      <c r="B86" s="9" t="s">
        <v>24</v>
      </c>
      <c r="C86" s="13" t="s">
        <v>70</v>
      </c>
      <c r="D86" s="44" t="s">
        <v>69</v>
      </c>
      <c r="E86" s="13" t="s">
        <v>702</v>
      </c>
      <c r="F86" s="15">
        <v>12</v>
      </c>
      <c r="G86" s="15">
        <v>1152000</v>
      </c>
      <c r="H86" s="15">
        <v>40000</v>
      </c>
    </row>
    <row r="87" spans="1:8">
      <c r="A87" s="13" t="s">
        <v>7</v>
      </c>
      <c r="B87" s="13" t="s">
        <v>22</v>
      </c>
      <c r="C87" s="13" t="s">
        <v>400</v>
      </c>
      <c r="D87" s="44" t="s">
        <v>399</v>
      </c>
      <c r="E87" s="13" t="s">
        <v>703</v>
      </c>
      <c r="F87" s="15">
        <v>62</v>
      </c>
      <c r="G87" s="15">
        <v>1143000</v>
      </c>
      <c r="H87" s="15">
        <v>40800</v>
      </c>
    </row>
    <row r="88" spans="1:8">
      <c r="A88" s="13" t="s">
        <v>7</v>
      </c>
      <c r="B88" s="13" t="s">
        <v>22</v>
      </c>
      <c r="C88" s="13" t="s">
        <v>592</v>
      </c>
      <c r="D88" s="44" t="s">
        <v>591</v>
      </c>
      <c r="E88" s="13" t="s">
        <v>704</v>
      </c>
      <c r="F88" s="15">
        <v>20</v>
      </c>
      <c r="G88" s="15">
        <v>1099620</v>
      </c>
      <c r="H88" s="15">
        <v>54840</v>
      </c>
    </row>
    <row r="89" spans="1:8">
      <c r="A89" s="13" t="s">
        <v>7</v>
      </c>
      <c r="B89" s="9" t="s">
        <v>24</v>
      </c>
      <c r="C89" s="13" t="s">
        <v>128</v>
      </c>
      <c r="D89" s="44" t="s">
        <v>127</v>
      </c>
      <c r="E89" s="13" t="s">
        <v>705</v>
      </c>
      <c r="F89" s="15">
        <v>86</v>
      </c>
      <c r="G89" s="15">
        <v>1071850</v>
      </c>
      <c r="H89" s="15">
        <v>44800</v>
      </c>
    </row>
    <row r="90" spans="1:8">
      <c r="A90" s="13" t="s">
        <v>7</v>
      </c>
      <c r="B90" s="9" t="s">
        <v>24</v>
      </c>
      <c r="C90" s="13" t="s">
        <v>168</v>
      </c>
      <c r="D90" s="44" t="s">
        <v>167</v>
      </c>
      <c r="E90" s="13" t="s">
        <v>706</v>
      </c>
      <c r="F90" s="15">
        <v>76</v>
      </c>
      <c r="G90" s="15">
        <v>1038000</v>
      </c>
      <c r="H90" s="15">
        <v>27000</v>
      </c>
    </row>
    <row r="91" spans="1:8">
      <c r="A91" s="13" t="s">
        <v>7</v>
      </c>
      <c r="B91" s="13" t="s">
        <v>22</v>
      </c>
      <c r="C91" s="13" t="s">
        <v>46</v>
      </c>
      <c r="D91" s="44" t="s">
        <v>45</v>
      </c>
      <c r="E91" s="13" t="s">
        <v>707</v>
      </c>
      <c r="F91" s="15">
        <v>40</v>
      </c>
      <c r="G91" s="15">
        <v>1031000</v>
      </c>
      <c r="H91" s="15">
        <v>43900</v>
      </c>
    </row>
    <row r="92" spans="1:8">
      <c r="A92" s="13" t="s">
        <v>7</v>
      </c>
      <c r="B92" s="9" t="s">
        <v>24</v>
      </c>
      <c r="C92" s="13" t="s">
        <v>606</v>
      </c>
      <c r="D92" s="44" t="s">
        <v>605</v>
      </c>
      <c r="E92" s="13" t="s">
        <v>708</v>
      </c>
      <c r="F92" s="15">
        <v>60</v>
      </c>
      <c r="G92" s="15">
        <v>1023000</v>
      </c>
      <c r="H92" s="15">
        <v>29560</v>
      </c>
    </row>
    <row r="93" spans="1:8">
      <c r="A93" s="13" t="s">
        <v>7</v>
      </c>
      <c r="B93" s="13" t="s">
        <v>22</v>
      </c>
      <c r="C93" s="13" t="s">
        <v>68</v>
      </c>
      <c r="D93" s="44" t="s">
        <v>67</v>
      </c>
      <c r="E93" s="13" t="s">
        <v>709</v>
      </c>
      <c r="F93" s="15">
        <v>55</v>
      </c>
      <c r="G93" s="15">
        <v>1014100</v>
      </c>
      <c r="H93" s="15">
        <v>27680</v>
      </c>
    </row>
    <row r="94" spans="1:8">
      <c r="A94" s="13" t="s">
        <v>7</v>
      </c>
      <c r="B94" s="13" t="s">
        <v>22</v>
      </c>
      <c r="C94" s="13" t="s">
        <v>558</v>
      </c>
      <c r="D94" s="44" t="s">
        <v>557</v>
      </c>
      <c r="E94" s="13" t="s">
        <v>710</v>
      </c>
      <c r="F94" s="15">
        <v>107</v>
      </c>
      <c r="G94" s="15">
        <v>944800</v>
      </c>
      <c r="H94" s="15">
        <v>26000</v>
      </c>
    </row>
    <row r="95" spans="1:8">
      <c r="A95" s="13" t="s">
        <v>7</v>
      </c>
      <c r="B95" s="9" t="s">
        <v>22</v>
      </c>
      <c r="C95" s="13" t="s">
        <v>292</v>
      </c>
      <c r="D95" s="44" t="s">
        <v>291</v>
      </c>
      <c r="E95" s="13" t="s">
        <v>711</v>
      </c>
      <c r="F95" s="15">
        <v>16</v>
      </c>
      <c r="G95" s="15">
        <v>940300</v>
      </c>
      <c r="H95" s="15">
        <v>110000</v>
      </c>
    </row>
    <row r="96" spans="1:8">
      <c r="A96" s="13" t="s">
        <v>7</v>
      </c>
      <c r="B96" s="13" t="s">
        <v>24</v>
      </c>
      <c r="C96" s="13" t="s">
        <v>168</v>
      </c>
      <c r="D96" s="44" t="s">
        <v>167</v>
      </c>
      <c r="E96" s="13" t="s">
        <v>712</v>
      </c>
      <c r="F96" s="15">
        <v>79</v>
      </c>
      <c r="G96" s="15">
        <v>927500</v>
      </c>
      <c r="H96" s="15">
        <v>9900</v>
      </c>
    </row>
    <row r="97" spans="1:8">
      <c r="A97" s="13" t="s">
        <v>7</v>
      </c>
      <c r="B97" s="13" t="s">
        <v>23</v>
      </c>
      <c r="C97" s="13" t="s">
        <v>120</v>
      </c>
      <c r="D97" s="44" t="s">
        <v>119</v>
      </c>
      <c r="E97" s="13" t="s">
        <v>713</v>
      </c>
      <c r="F97" s="15">
        <v>65</v>
      </c>
      <c r="G97" s="15">
        <v>927300</v>
      </c>
      <c r="H97" s="15">
        <v>16720</v>
      </c>
    </row>
    <row r="98" spans="1:8">
      <c r="A98" s="13" t="s">
        <v>7</v>
      </c>
      <c r="B98" s="9" t="s">
        <v>22</v>
      </c>
      <c r="C98" s="13" t="s">
        <v>400</v>
      </c>
      <c r="D98" s="44" t="s">
        <v>399</v>
      </c>
      <c r="E98" s="13" t="s">
        <v>714</v>
      </c>
      <c r="F98" s="15">
        <v>22</v>
      </c>
      <c r="G98" s="15">
        <v>900500</v>
      </c>
      <c r="H98" s="15">
        <v>44800</v>
      </c>
    </row>
    <row r="99" spans="1:8">
      <c r="A99" s="13" t="s">
        <v>7</v>
      </c>
      <c r="B99" s="13" t="s">
        <v>24</v>
      </c>
      <c r="C99" s="13" t="s">
        <v>224</v>
      </c>
      <c r="D99" s="44" t="s">
        <v>223</v>
      </c>
      <c r="E99" s="13" t="s">
        <v>715</v>
      </c>
      <c r="F99" s="15">
        <v>17</v>
      </c>
      <c r="G99" s="15">
        <v>894140</v>
      </c>
      <c r="H99" s="15">
        <v>0</v>
      </c>
    </row>
    <row r="100" spans="1:8">
      <c r="A100" s="13" t="s">
        <v>7</v>
      </c>
      <c r="B100" s="9" t="s">
        <v>22</v>
      </c>
      <c r="C100" s="13" t="s">
        <v>404</v>
      </c>
      <c r="D100" s="44" t="s">
        <v>403</v>
      </c>
      <c r="E100" s="13" t="s">
        <v>716</v>
      </c>
      <c r="F100" s="15">
        <v>50</v>
      </c>
      <c r="G100" s="15">
        <v>886340</v>
      </c>
      <c r="H100" s="15">
        <v>30780</v>
      </c>
    </row>
    <row r="101" spans="1:8">
      <c r="A101" s="13" t="s">
        <v>7</v>
      </c>
      <c r="B101" s="13" t="s">
        <v>24</v>
      </c>
      <c r="C101" s="13" t="s">
        <v>120</v>
      </c>
      <c r="D101" s="44" t="s">
        <v>119</v>
      </c>
      <c r="E101" s="13" t="s">
        <v>717</v>
      </c>
      <c r="F101" s="15">
        <v>32</v>
      </c>
      <c r="G101" s="15">
        <v>875300</v>
      </c>
      <c r="H101" s="15">
        <v>98710</v>
      </c>
    </row>
    <row r="102" spans="1:8">
      <c r="A102" s="13" t="s">
        <v>7</v>
      </c>
      <c r="B102" s="13" t="s">
        <v>22</v>
      </c>
      <c r="C102" s="13" t="s">
        <v>372</v>
      </c>
      <c r="D102" s="44" t="s">
        <v>371</v>
      </c>
      <c r="E102" s="13" t="s">
        <v>718</v>
      </c>
      <c r="F102" s="15">
        <v>17</v>
      </c>
      <c r="G102" s="15">
        <v>859000</v>
      </c>
      <c r="H102" s="15">
        <v>103000</v>
      </c>
    </row>
    <row r="103" spans="1:8">
      <c r="A103" s="13" t="s">
        <v>7</v>
      </c>
      <c r="B103" s="13" t="s">
        <v>22</v>
      </c>
      <c r="C103" s="13" t="s">
        <v>212</v>
      </c>
      <c r="D103" s="44" t="s">
        <v>211</v>
      </c>
      <c r="E103" s="13" t="s">
        <v>719</v>
      </c>
      <c r="F103" s="15">
        <v>17</v>
      </c>
      <c r="G103" s="15">
        <v>835000</v>
      </c>
      <c r="H103" s="15">
        <v>65000</v>
      </c>
    </row>
    <row r="104" spans="1:8">
      <c r="A104" s="13" t="s">
        <v>7</v>
      </c>
      <c r="B104" s="13" t="s">
        <v>22</v>
      </c>
      <c r="C104" s="13" t="s">
        <v>212</v>
      </c>
      <c r="D104" s="44" t="s">
        <v>211</v>
      </c>
      <c r="E104" s="13" t="s">
        <v>720</v>
      </c>
      <c r="F104" s="15">
        <v>48</v>
      </c>
      <c r="G104" s="15">
        <v>834000</v>
      </c>
      <c r="H104" s="15">
        <v>53200</v>
      </c>
    </row>
    <row r="105" spans="1:8">
      <c r="A105" s="13" t="s">
        <v>7</v>
      </c>
      <c r="B105" s="13" t="s">
        <v>22</v>
      </c>
      <c r="C105" s="13" t="s">
        <v>292</v>
      </c>
      <c r="D105" s="44" t="s">
        <v>291</v>
      </c>
      <c r="E105" s="13" t="s">
        <v>721</v>
      </c>
      <c r="F105" s="15">
        <v>13</v>
      </c>
      <c r="G105" s="15">
        <v>830500</v>
      </c>
      <c r="H105" s="15">
        <v>80000</v>
      </c>
    </row>
    <row r="106" spans="1:8">
      <c r="A106" s="13" t="s">
        <v>7</v>
      </c>
      <c r="B106" s="9" t="s">
        <v>24</v>
      </c>
      <c r="C106" s="13" t="s">
        <v>570</v>
      </c>
      <c r="D106" s="44" t="s">
        <v>569</v>
      </c>
      <c r="E106" s="13" t="s">
        <v>722</v>
      </c>
      <c r="F106" s="15">
        <v>23</v>
      </c>
      <c r="G106" s="15">
        <v>826500</v>
      </c>
      <c r="H106" s="15">
        <v>115800</v>
      </c>
    </row>
    <row r="107" spans="1:8">
      <c r="A107" s="13" t="s">
        <v>7</v>
      </c>
      <c r="B107" s="13" t="s">
        <v>24</v>
      </c>
      <c r="C107" s="13" t="s">
        <v>266</v>
      </c>
      <c r="D107" s="44" t="s">
        <v>265</v>
      </c>
      <c r="E107" s="13" t="s">
        <v>723</v>
      </c>
      <c r="F107" s="15">
        <v>38</v>
      </c>
      <c r="G107" s="15">
        <v>792000</v>
      </c>
      <c r="H107" s="15">
        <v>14600</v>
      </c>
    </row>
    <row r="108" spans="1:8">
      <c r="A108" s="13" t="s">
        <v>7</v>
      </c>
      <c r="B108" s="9" t="s">
        <v>22</v>
      </c>
      <c r="C108" s="13" t="s">
        <v>400</v>
      </c>
      <c r="D108" s="44" t="s">
        <v>399</v>
      </c>
      <c r="E108" s="13" t="s">
        <v>724</v>
      </c>
      <c r="F108" s="15">
        <v>12</v>
      </c>
      <c r="G108" s="15">
        <v>770500</v>
      </c>
      <c r="H108" s="15">
        <v>7400</v>
      </c>
    </row>
    <row r="109" spans="1:8">
      <c r="A109" s="13" t="s">
        <v>7</v>
      </c>
      <c r="B109" s="13" t="s">
        <v>22</v>
      </c>
      <c r="C109" s="13" t="s">
        <v>310</v>
      </c>
      <c r="D109" s="44" t="s">
        <v>309</v>
      </c>
      <c r="E109" s="13" t="s">
        <v>725</v>
      </c>
      <c r="F109" s="15">
        <v>19</v>
      </c>
      <c r="G109" s="15">
        <v>750000</v>
      </c>
      <c r="H109" s="15">
        <v>90580</v>
      </c>
    </row>
    <row r="110" spans="1:8">
      <c r="A110" s="13" t="s">
        <v>7</v>
      </c>
      <c r="B110" s="13" t="s">
        <v>23</v>
      </c>
      <c r="C110" s="13" t="s">
        <v>202</v>
      </c>
      <c r="D110" s="44" t="s">
        <v>201</v>
      </c>
      <c r="E110" s="13" t="s">
        <v>726</v>
      </c>
      <c r="F110" s="15">
        <v>20</v>
      </c>
      <c r="G110" s="15">
        <v>722300</v>
      </c>
      <c r="H110" s="15">
        <v>17800</v>
      </c>
    </row>
    <row r="111" spans="1:8">
      <c r="A111" s="13" t="s">
        <v>7</v>
      </c>
      <c r="B111" s="9" t="s">
        <v>22</v>
      </c>
      <c r="C111" s="13" t="s">
        <v>590</v>
      </c>
      <c r="D111" s="44" t="s">
        <v>589</v>
      </c>
      <c r="E111" s="13" t="s">
        <v>727</v>
      </c>
      <c r="F111" s="15">
        <v>30</v>
      </c>
      <c r="G111" s="15">
        <v>693000</v>
      </c>
      <c r="H111" s="15">
        <v>41580</v>
      </c>
    </row>
    <row r="112" spans="1:8">
      <c r="A112" s="13" t="s">
        <v>7</v>
      </c>
      <c r="B112" s="13" t="s">
        <v>22</v>
      </c>
      <c r="C112" s="13" t="s">
        <v>226</v>
      </c>
      <c r="D112" s="44" t="s">
        <v>225</v>
      </c>
      <c r="E112" s="13" t="s">
        <v>728</v>
      </c>
      <c r="F112" s="15">
        <v>26</v>
      </c>
      <c r="G112" s="15">
        <v>692980</v>
      </c>
      <c r="H112" s="15">
        <v>47980</v>
      </c>
    </row>
    <row r="113" spans="1:8">
      <c r="A113" s="13" t="s">
        <v>7</v>
      </c>
      <c r="B113" s="13" t="s">
        <v>22</v>
      </c>
      <c r="C113" s="13" t="s">
        <v>502</v>
      </c>
      <c r="D113" s="44" t="s">
        <v>501</v>
      </c>
      <c r="E113" s="13" t="s">
        <v>729</v>
      </c>
      <c r="F113" s="15">
        <v>32</v>
      </c>
      <c r="G113" s="15">
        <v>691100</v>
      </c>
      <c r="H113" s="15">
        <v>79080</v>
      </c>
    </row>
    <row r="114" spans="1:8">
      <c r="A114" s="13" t="s">
        <v>7</v>
      </c>
      <c r="B114" s="13" t="s">
        <v>24</v>
      </c>
      <c r="C114" s="13" t="s">
        <v>516</v>
      </c>
      <c r="D114" s="44" t="s">
        <v>515</v>
      </c>
      <c r="E114" s="13" t="s">
        <v>730</v>
      </c>
      <c r="F114" s="15">
        <v>35</v>
      </c>
      <c r="G114" s="15">
        <v>687000</v>
      </c>
      <c r="H114" s="15">
        <v>9000</v>
      </c>
    </row>
    <row r="115" spans="1:8">
      <c r="A115" s="13" t="s">
        <v>7</v>
      </c>
      <c r="B115" s="13" t="s">
        <v>23</v>
      </c>
      <c r="C115" s="13" t="s">
        <v>202</v>
      </c>
      <c r="D115" s="44" t="s">
        <v>201</v>
      </c>
      <c r="E115" s="13" t="s">
        <v>731</v>
      </c>
      <c r="F115" s="15">
        <v>21</v>
      </c>
      <c r="G115" s="15">
        <v>641000</v>
      </c>
      <c r="H115" s="15">
        <v>36550</v>
      </c>
    </row>
    <row r="116" spans="1:8">
      <c r="A116" s="13" t="s">
        <v>7</v>
      </c>
      <c r="B116" s="13" t="s">
        <v>22</v>
      </c>
      <c r="C116" s="13" t="s">
        <v>590</v>
      </c>
      <c r="D116" s="44" t="s">
        <v>589</v>
      </c>
      <c r="E116" s="13" t="s">
        <v>732</v>
      </c>
      <c r="F116" s="15">
        <v>25</v>
      </c>
      <c r="G116" s="15">
        <v>636200</v>
      </c>
      <c r="H116" s="15">
        <v>82680</v>
      </c>
    </row>
    <row r="117" spans="1:8">
      <c r="A117" s="13" t="s">
        <v>7</v>
      </c>
      <c r="B117" s="13" t="s">
        <v>22</v>
      </c>
      <c r="C117" s="13" t="s">
        <v>212</v>
      </c>
      <c r="D117" s="44" t="s">
        <v>211</v>
      </c>
      <c r="E117" s="13" t="s">
        <v>733</v>
      </c>
      <c r="F117" s="15">
        <v>15</v>
      </c>
      <c r="G117" s="15">
        <v>635000</v>
      </c>
      <c r="H117" s="15">
        <v>97200</v>
      </c>
    </row>
    <row r="118" spans="1:8">
      <c r="A118" s="13" t="s">
        <v>7</v>
      </c>
      <c r="B118" s="13" t="s">
        <v>22</v>
      </c>
      <c r="C118" s="13" t="s">
        <v>212</v>
      </c>
      <c r="D118" s="44" t="s">
        <v>211</v>
      </c>
      <c r="E118" s="13" t="s">
        <v>734</v>
      </c>
      <c r="F118" s="15">
        <v>19</v>
      </c>
      <c r="G118" s="15">
        <v>611000</v>
      </c>
      <c r="H118" s="15">
        <v>85700</v>
      </c>
    </row>
    <row r="119" spans="1:8">
      <c r="A119" s="13" t="s">
        <v>7</v>
      </c>
      <c r="B119" s="13" t="s">
        <v>22</v>
      </c>
      <c r="C119" s="13" t="s">
        <v>212</v>
      </c>
      <c r="D119" s="44" t="s">
        <v>211</v>
      </c>
      <c r="E119" s="13" t="s">
        <v>735</v>
      </c>
      <c r="F119" s="15">
        <v>20</v>
      </c>
      <c r="G119" s="15">
        <v>609000</v>
      </c>
      <c r="H119" s="15">
        <v>88600</v>
      </c>
    </row>
    <row r="120" spans="1:8">
      <c r="A120" s="13" t="s">
        <v>7</v>
      </c>
      <c r="B120" s="9" t="s">
        <v>22</v>
      </c>
      <c r="C120" s="13" t="s">
        <v>588</v>
      </c>
      <c r="D120" s="44" t="s">
        <v>587</v>
      </c>
      <c r="E120" s="13" t="s">
        <v>736</v>
      </c>
      <c r="F120" s="15">
        <v>66</v>
      </c>
      <c r="G120" s="15">
        <v>607380</v>
      </c>
      <c r="H120" s="15">
        <v>105420</v>
      </c>
    </row>
    <row r="121" spans="1:8">
      <c r="A121" s="13" t="s">
        <v>7</v>
      </c>
      <c r="B121" s="13" t="s">
        <v>24</v>
      </c>
      <c r="C121" s="13" t="s">
        <v>70</v>
      </c>
      <c r="D121" s="44" t="s">
        <v>69</v>
      </c>
      <c r="E121" s="13" t="s">
        <v>737</v>
      </c>
      <c r="F121" s="15">
        <v>25</v>
      </c>
      <c r="G121" s="15">
        <v>600000</v>
      </c>
      <c r="H121" s="15">
        <v>47800</v>
      </c>
    </row>
    <row r="122" spans="1:8">
      <c r="A122" s="13" t="s">
        <v>7</v>
      </c>
      <c r="B122" s="13" t="s">
        <v>22</v>
      </c>
      <c r="C122" s="13" t="s">
        <v>72</v>
      </c>
      <c r="D122" s="44" t="s">
        <v>71</v>
      </c>
      <c r="E122" s="13" t="s">
        <v>738</v>
      </c>
      <c r="F122" s="15">
        <v>30</v>
      </c>
      <c r="G122" s="15">
        <v>599700</v>
      </c>
      <c r="H122" s="15">
        <v>33980</v>
      </c>
    </row>
    <row r="123" spans="1:8">
      <c r="A123" s="13" t="s">
        <v>7</v>
      </c>
      <c r="B123" s="9" t="s">
        <v>22</v>
      </c>
      <c r="C123" s="13" t="s">
        <v>300</v>
      </c>
      <c r="D123" s="44" t="s">
        <v>299</v>
      </c>
      <c r="E123" s="13" t="s">
        <v>739</v>
      </c>
      <c r="F123" s="15">
        <v>12</v>
      </c>
      <c r="G123" s="15">
        <v>592000</v>
      </c>
      <c r="H123" s="15">
        <v>20000</v>
      </c>
    </row>
    <row r="124" spans="1:8">
      <c r="A124" s="13" t="s">
        <v>7</v>
      </c>
      <c r="B124" s="13" t="s">
        <v>24</v>
      </c>
      <c r="C124" s="13" t="s">
        <v>570</v>
      </c>
      <c r="D124" s="44" t="s">
        <v>569</v>
      </c>
      <c r="E124" s="13" t="s">
        <v>740</v>
      </c>
      <c r="F124" s="15">
        <v>10</v>
      </c>
      <c r="G124" s="15">
        <v>586500</v>
      </c>
      <c r="H124" s="15">
        <v>70000</v>
      </c>
    </row>
    <row r="125" spans="1:8">
      <c r="A125" s="13" t="s">
        <v>7</v>
      </c>
      <c r="B125" s="13" t="s">
        <v>22</v>
      </c>
      <c r="C125" s="13" t="s">
        <v>68</v>
      </c>
      <c r="D125" s="44" t="s">
        <v>67</v>
      </c>
      <c r="E125" s="13" t="s">
        <v>741</v>
      </c>
      <c r="F125" s="15">
        <v>15</v>
      </c>
      <c r="G125" s="15">
        <v>551000</v>
      </c>
      <c r="H125" s="15">
        <v>12560</v>
      </c>
    </row>
    <row r="126" spans="1:8">
      <c r="A126" s="13" t="s">
        <v>7</v>
      </c>
      <c r="B126" s="13" t="s">
        <v>22</v>
      </c>
      <c r="C126" s="13" t="s">
        <v>400</v>
      </c>
      <c r="D126" s="44" t="s">
        <v>399</v>
      </c>
      <c r="E126" s="13" t="s">
        <v>742</v>
      </c>
      <c r="F126" s="15">
        <v>15</v>
      </c>
      <c r="G126" s="15">
        <v>547910</v>
      </c>
      <c r="H126" s="15">
        <v>14800</v>
      </c>
    </row>
    <row r="127" spans="1:8">
      <c r="A127" s="13" t="s">
        <v>7</v>
      </c>
      <c r="B127" s="9" t="s">
        <v>22</v>
      </c>
      <c r="C127" s="13" t="s">
        <v>246</v>
      </c>
      <c r="D127" s="44" t="s">
        <v>245</v>
      </c>
      <c r="E127" s="13" t="s">
        <v>743</v>
      </c>
      <c r="F127" s="15">
        <v>24</v>
      </c>
      <c r="G127" s="15">
        <v>536500</v>
      </c>
      <c r="H127" s="15">
        <v>30260</v>
      </c>
    </row>
    <row r="128" spans="1:8">
      <c r="A128" s="13" t="s">
        <v>7</v>
      </c>
      <c r="B128" s="13" t="s">
        <v>24</v>
      </c>
      <c r="C128" s="13" t="s">
        <v>570</v>
      </c>
      <c r="D128" s="44" t="s">
        <v>569</v>
      </c>
      <c r="E128" s="13" t="s">
        <v>744</v>
      </c>
      <c r="F128" s="15">
        <v>12</v>
      </c>
      <c r="G128" s="15">
        <v>524000</v>
      </c>
      <c r="H128" s="15">
        <v>79000</v>
      </c>
    </row>
    <row r="129" spans="1:8">
      <c r="A129" s="13" t="s">
        <v>7</v>
      </c>
      <c r="B129" s="13" t="s">
        <v>22</v>
      </c>
      <c r="C129" s="13" t="s">
        <v>292</v>
      </c>
      <c r="D129" s="44" t="s">
        <v>291</v>
      </c>
      <c r="E129" s="13" t="s">
        <v>745</v>
      </c>
      <c r="F129" s="15">
        <v>12</v>
      </c>
      <c r="G129" s="15">
        <v>515800</v>
      </c>
      <c r="H129" s="15">
        <v>0</v>
      </c>
    </row>
    <row r="130" spans="1:8">
      <c r="A130" s="13" t="s">
        <v>7</v>
      </c>
      <c r="B130" s="13" t="s">
        <v>22</v>
      </c>
      <c r="C130" s="13" t="s">
        <v>190</v>
      </c>
      <c r="D130" s="44" t="s">
        <v>189</v>
      </c>
      <c r="E130" s="13" t="s">
        <v>746</v>
      </c>
      <c r="F130" s="15">
        <v>10</v>
      </c>
      <c r="G130" s="15">
        <v>514000</v>
      </c>
      <c r="H130" s="15">
        <v>17600</v>
      </c>
    </row>
    <row r="131" spans="1:8">
      <c r="A131" s="13" t="s">
        <v>7</v>
      </c>
      <c r="B131" s="9" t="s">
        <v>23</v>
      </c>
      <c r="C131" s="13" t="s">
        <v>120</v>
      </c>
      <c r="D131" s="44" t="s">
        <v>119</v>
      </c>
      <c r="E131" s="13" t="s">
        <v>747</v>
      </c>
      <c r="F131" s="15">
        <v>17</v>
      </c>
      <c r="G131" s="15">
        <v>511650</v>
      </c>
      <c r="H131" s="15">
        <v>8760</v>
      </c>
    </row>
    <row r="132" spans="1:8">
      <c r="A132" s="13" t="s">
        <v>7</v>
      </c>
      <c r="B132" s="13" t="s">
        <v>24</v>
      </c>
      <c r="C132" s="13" t="s">
        <v>224</v>
      </c>
      <c r="D132" s="44" t="s">
        <v>223</v>
      </c>
      <c r="E132" s="13" t="s">
        <v>748</v>
      </c>
      <c r="F132" s="15">
        <v>4</v>
      </c>
      <c r="G132" s="15">
        <v>511450</v>
      </c>
      <c r="H132" s="15">
        <v>0</v>
      </c>
    </row>
    <row r="133" spans="1:8">
      <c r="A133" s="13" t="s">
        <v>7</v>
      </c>
      <c r="B133" s="9" t="s">
        <v>23</v>
      </c>
      <c r="C133" s="13" t="s">
        <v>120</v>
      </c>
      <c r="D133" s="44" t="s">
        <v>119</v>
      </c>
      <c r="E133" s="13" t="s">
        <v>749</v>
      </c>
      <c r="F133" s="15">
        <v>24</v>
      </c>
      <c r="G133" s="15">
        <v>500100</v>
      </c>
      <c r="H133" s="15">
        <v>4180</v>
      </c>
    </row>
    <row r="134" spans="1:8">
      <c r="A134" s="13" t="s">
        <v>7</v>
      </c>
      <c r="B134" s="13" t="s">
        <v>24</v>
      </c>
      <c r="C134" s="13" t="s">
        <v>322</v>
      </c>
      <c r="D134" s="44" t="s">
        <v>321</v>
      </c>
      <c r="E134" s="13" t="s">
        <v>750</v>
      </c>
      <c r="F134" s="15">
        <v>16</v>
      </c>
      <c r="G134" s="15">
        <v>496900</v>
      </c>
      <c r="H134" s="15">
        <v>26240</v>
      </c>
    </row>
    <row r="135" spans="1:8">
      <c r="A135" s="13" t="s">
        <v>7</v>
      </c>
      <c r="B135" s="9" t="s">
        <v>24</v>
      </c>
      <c r="C135" s="13" t="s">
        <v>108</v>
      </c>
      <c r="D135" s="44" t="s">
        <v>107</v>
      </c>
      <c r="E135" s="13" t="s">
        <v>751</v>
      </c>
      <c r="F135" s="15">
        <v>8</v>
      </c>
      <c r="G135" s="15">
        <v>480000</v>
      </c>
      <c r="H135" s="15">
        <v>0</v>
      </c>
    </row>
    <row r="136" spans="1:8">
      <c r="A136" s="13" t="s">
        <v>7</v>
      </c>
      <c r="B136" s="9" t="s">
        <v>24</v>
      </c>
      <c r="C136" s="13" t="s">
        <v>224</v>
      </c>
      <c r="D136" s="44" t="s">
        <v>223</v>
      </c>
      <c r="E136" s="13" t="s">
        <v>752</v>
      </c>
      <c r="F136" s="15">
        <v>7</v>
      </c>
      <c r="G136" s="15">
        <v>478000</v>
      </c>
      <c r="H136" s="15">
        <v>0</v>
      </c>
    </row>
    <row r="137" spans="1:8">
      <c r="A137" s="13" t="s">
        <v>7</v>
      </c>
      <c r="B137" s="9" t="s">
        <v>24</v>
      </c>
      <c r="C137" s="13" t="s">
        <v>516</v>
      </c>
      <c r="D137" s="44" t="s">
        <v>515</v>
      </c>
      <c r="E137" s="13" t="s">
        <v>753</v>
      </c>
      <c r="F137" s="15">
        <v>17</v>
      </c>
      <c r="G137" s="15">
        <v>477000</v>
      </c>
      <c r="H137" s="15">
        <v>9000</v>
      </c>
    </row>
    <row r="138" spans="1:8">
      <c r="A138" s="13" t="s">
        <v>7</v>
      </c>
      <c r="B138" s="9" t="s">
        <v>24</v>
      </c>
      <c r="C138" s="13" t="s">
        <v>224</v>
      </c>
      <c r="D138" s="44" t="s">
        <v>223</v>
      </c>
      <c r="E138" s="13" t="s">
        <v>754</v>
      </c>
      <c r="F138" s="15">
        <v>7</v>
      </c>
      <c r="G138" s="15">
        <v>476000</v>
      </c>
      <c r="H138" s="15">
        <v>0</v>
      </c>
    </row>
    <row r="139" spans="1:8">
      <c r="A139" s="13" t="s">
        <v>7</v>
      </c>
      <c r="B139" s="9" t="s">
        <v>24</v>
      </c>
      <c r="C139" s="13" t="s">
        <v>516</v>
      </c>
      <c r="D139" s="44" t="s">
        <v>515</v>
      </c>
      <c r="E139" s="13" t="s">
        <v>755</v>
      </c>
      <c r="F139" s="15">
        <v>27</v>
      </c>
      <c r="G139" s="15">
        <v>461800</v>
      </c>
      <c r="H139" s="15">
        <v>10000</v>
      </c>
    </row>
    <row r="140" spans="1:8">
      <c r="A140" s="13" t="s">
        <v>7</v>
      </c>
      <c r="B140" s="13" t="s">
        <v>22</v>
      </c>
      <c r="C140" s="13" t="s">
        <v>592</v>
      </c>
      <c r="D140" s="44" t="s">
        <v>591</v>
      </c>
      <c r="E140" s="13" t="s">
        <v>756</v>
      </c>
      <c r="F140" s="15">
        <v>13</v>
      </c>
      <c r="G140" s="15">
        <v>450600</v>
      </c>
      <c r="H140" s="15">
        <v>38680</v>
      </c>
    </row>
    <row r="141" spans="1:8">
      <c r="A141" s="13" t="s">
        <v>7</v>
      </c>
      <c r="B141" s="9" t="s">
        <v>24</v>
      </c>
      <c r="C141" s="13" t="s">
        <v>456</v>
      </c>
      <c r="D141" s="44" t="s">
        <v>455</v>
      </c>
      <c r="E141" s="13" t="s">
        <v>757</v>
      </c>
      <c r="F141" s="15">
        <v>15</v>
      </c>
      <c r="G141" s="15">
        <v>431000</v>
      </c>
      <c r="H141" s="15">
        <v>21600</v>
      </c>
    </row>
    <row r="142" spans="1:8">
      <c r="A142" s="13" t="s">
        <v>7</v>
      </c>
      <c r="B142" s="13" t="s">
        <v>23</v>
      </c>
      <c r="C142" s="13" t="s">
        <v>118</v>
      </c>
      <c r="D142" s="44" t="s">
        <v>117</v>
      </c>
      <c r="E142" s="13" t="s">
        <v>758</v>
      </c>
      <c r="F142" s="15">
        <v>5</v>
      </c>
      <c r="G142" s="15">
        <v>417400</v>
      </c>
      <c r="H142" s="15">
        <v>10000</v>
      </c>
    </row>
    <row r="143" spans="1:8">
      <c r="A143" s="13" t="s">
        <v>7</v>
      </c>
      <c r="B143" s="9" t="s">
        <v>24</v>
      </c>
      <c r="C143" s="13" t="s">
        <v>66</v>
      </c>
      <c r="D143" s="44" t="s">
        <v>65</v>
      </c>
      <c r="E143" s="13" t="s">
        <v>759</v>
      </c>
      <c r="F143" s="15">
        <v>7</v>
      </c>
      <c r="G143" s="15">
        <v>415500</v>
      </c>
      <c r="H143" s="15">
        <v>14000</v>
      </c>
    </row>
    <row r="144" spans="1:8">
      <c r="A144" s="13" t="s">
        <v>7</v>
      </c>
      <c r="B144" s="9" t="s">
        <v>24</v>
      </c>
      <c r="C144" s="13" t="s">
        <v>224</v>
      </c>
      <c r="D144" s="44" t="s">
        <v>223</v>
      </c>
      <c r="E144" s="13" t="s">
        <v>760</v>
      </c>
      <c r="F144" s="15">
        <v>4</v>
      </c>
      <c r="G144" s="15">
        <v>399560</v>
      </c>
      <c r="H144" s="15">
        <v>0</v>
      </c>
    </row>
    <row r="145" spans="1:8">
      <c r="A145" s="13" t="s">
        <v>7</v>
      </c>
      <c r="B145" s="9" t="s">
        <v>22</v>
      </c>
      <c r="C145" s="13" t="s">
        <v>68</v>
      </c>
      <c r="D145" s="44" t="s">
        <v>67</v>
      </c>
      <c r="E145" s="13" t="s">
        <v>761</v>
      </c>
      <c r="F145" s="15">
        <v>13</v>
      </c>
      <c r="G145" s="15">
        <v>396100</v>
      </c>
      <c r="H145" s="15">
        <v>0</v>
      </c>
    </row>
    <row r="146" spans="1:8">
      <c r="A146" s="13" t="s">
        <v>7</v>
      </c>
      <c r="B146" s="9" t="s">
        <v>24</v>
      </c>
      <c r="C146" s="13" t="s">
        <v>224</v>
      </c>
      <c r="D146" s="44" t="s">
        <v>223</v>
      </c>
      <c r="E146" s="13" t="s">
        <v>762</v>
      </c>
      <c r="F146" s="15">
        <v>1</v>
      </c>
      <c r="G146" s="15">
        <v>396000</v>
      </c>
      <c r="H146" s="15">
        <v>0</v>
      </c>
    </row>
    <row r="147" spans="1:8">
      <c r="A147" s="13" t="s">
        <v>7</v>
      </c>
      <c r="B147" s="13" t="s">
        <v>24</v>
      </c>
      <c r="C147" s="13" t="s">
        <v>490</v>
      </c>
      <c r="D147" s="44" t="s">
        <v>489</v>
      </c>
      <c r="E147" s="13" t="s">
        <v>763</v>
      </c>
      <c r="F147" s="15">
        <v>13</v>
      </c>
      <c r="G147" s="15">
        <v>392200</v>
      </c>
      <c r="H147" s="15">
        <v>13000</v>
      </c>
    </row>
    <row r="148" spans="1:8">
      <c r="A148" s="13" t="s">
        <v>7</v>
      </c>
      <c r="B148" s="13" t="s">
        <v>23</v>
      </c>
      <c r="C148" s="13" t="s">
        <v>118</v>
      </c>
      <c r="D148" s="44" t="s">
        <v>117</v>
      </c>
      <c r="E148" s="13" t="s">
        <v>764</v>
      </c>
      <c r="F148" s="15">
        <v>6</v>
      </c>
      <c r="G148" s="15">
        <v>391500</v>
      </c>
      <c r="H148" s="15">
        <v>30000</v>
      </c>
    </row>
    <row r="149" spans="1:8">
      <c r="A149" s="13" t="s">
        <v>7</v>
      </c>
      <c r="B149" s="13" t="s">
        <v>22</v>
      </c>
      <c r="C149" s="13" t="s">
        <v>212</v>
      </c>
      <c r="D149" s="44" t="s">
        <v>211</v>
      </c>
      <c r="E149" s="13" t="s">
        <v>765</v>
      </c>
      <c r="F149" s="15">
        <v>9</v>
      </c>
      <c r="G149" s="15">
        <v>390000</v>
      </c>
      <c r="H149" s="15">
        <v>66000</v>
      </c>
    </row>
    <row r="150" spans="1:8">
      <c r="A150" s="13" t="s">
        <v>7</v>
      </c>
      <c r="B150" s="13" t="s">
        <v>22</v>
      </c>
      <c r="C150" s="13" t="s">
        <v>530</v>
      </c>
      <c r="D150" s="44" t="s">
        <v>529</v>
      </c>
      <c r="E150" s="13" t="s">
        <v>766</v>
      </c>
      <c r="F150" s="15">
        <v>23</v>
      </c>
      <c r="G150" s="15">
        <v>383400</v>
      </c>
      <c r="H150" s="15">
        <v>26080</v>
      </c>
    </row>
    <row r="151" spans="1:8">
      <c r="A151" s="13" t="s">
        <v>7</v>
      </c>
      <c r="B151" s="13" t="s">
        <v>23</v>
      </c>
      <c r="C151" s="13" t="s">
        <v>118</v>
      </c>
      <c r="D151" s="44" t="s">
        <v>117</v>
      </c>
      <c r="E151" s="13" t="s">
        <v>767</v>
      </c>
      <c r="F151" s="15">
        <v>6</v>
      </c>
      <c r="G151" s="15">
        <v>365590</v>
      </c>
      <c r="H151" s="15">
        <v>12590</v>
      </c>
    </row>
    <row r="152" spans="1:8">
      <c r="A152" s="13" t="s">
        <v>7</v>
      </c>
      <c r="B152" s="13" t="s">
        <v>22</v>
      </c>
      <c r="C152" s="13" t="s">
        <v>68</v>
      </c>
      <c r="D152" s="44" t="s">
        <v>67</v>
      </c>
      <c r="E152" s="13" t="s">
        <v>768</v>
      </c>
      <c r="F152" s="15">
        <v>12</v>
      </c>
      <c r="G152" s="15">
        <v>362500</v>
      </c>
      <c r="H152" s="15">
        <v>8020</v>
      </c>
    </row>
    <row r="153" spans="1:8">
      <c r="A153" s="13" t="s">
        <v>7</v>
      </c>
      <c r="B153" s="13" t="s">
        <v>22</v>
      </c>
      <c r="C153" s="13" t="s">
        <v>534</v>
      </c>
      <c r="D153" s="44" t="s">
        <v>533</v>
      </c>
      <c r="E153" s="13" t="s">
        <v>769</v>
      </c>
      <c r="F153" s="15">
        <v>13</v>
      </c>
      <c r="G153" s="15">
        <v>362300</v>
      </c>
      <c r="H153" s="15">
        <v>12540</v>
      </c>
    </row>
    <row r="154" spans="1:8">
      <c r="A154" s="13" t="s">
        <v>7</v>
      </c>
      <c r="B154" s="13" t="s">
        <v>22</v>
      </c>
      <c r="C154" s="13" t="s">
        <v>226</v>
      </c>
      <c r="D154" s="44" t="s">
        <v>225</v>
      </c>
      <c r="E154" s="13" t="s">
        <v>770</v>
      </c>
      <c r="F154" s="15">
        <v>8</v>
      </c>
      <c r="G154" s="15">
        <v>361930</v>
      </c>
      <c r="H154" s="15">
        <v>18240</v>
      </c>
    </row>
    <row r="155" spans="1:8">
      <c r="A155" s="13" t="s">
        <v>7</v>
      </c>
      <c r="B155" s="13" t="s">
        <v>23</v>
      </c>
      <c r="C155" s="13" t="s">
        <v>118</v>
      </c>
      <c r="D155" s="44" t="s">
        <v>117</v>
      </c>
      <c r="E155" s="13" t="s">
        <v>771</v>
      </c>
      <c r="F155" s="15">
        <v>4</v>
      </c>
      <c r="G155" s="15">
        <v>357600</v>
      </c>
      <c r="H155" s="15">
        <v>11920</v>
      </c>
    </row>
    <row r="156" spans="1:8">
      <c r="A156" s="13" t="s">
        <v>7</v>
      </c>
      <c r="B156" s="9" t="s">
        <v>24</v>
      </c>
      <c r="C156" s="13" t="s">
        <v>592</v>
      </c>
      <c r="D156" s="44" t="s">
        <v>591</v>
      </c>
      <c r="E156" s="13" t="s">
        <v>772</v>
      </c>
      <c r="F156" s="15">
        <v>11</v>
      </c>
      <c r="G156" s="15">
        <v>356800</v>
      </c>
      <c r="H156" s="15">
        <v>20620</v>
      </c>
    </row>
    <row r="157" spans="1:8">
      <c r="A157" s="13" t="s">
        <v>7</v>
      </c>
      <c r="B157" s="13" t="s">
        <v>23</v>
      </c>
      <c r="C157" s="13" t="s">
        <v>104</v>
      </c>
      <c r="D157" s="44" t="s">
        <v>103</v>
      </c>
      <c r="E157" s="13" t="s">
        <v>773</v>
      </c>
      <c r="F157" s="15">
        <v>20</v>
      </c>
      <c r="G157" s="15">
        <v>349400</v>
      </c>
      <c r="H157" s="15">
        <v>26680</v>
      </c>
    </row>
    <row r="158" spans="1:8">
      <c r="A158" s="13" t="s">
        <v>7</v>
      </c>
      <c r="B158" s="9" t="s">
        <v>24</v>
      </c>
      <c r="C158" s="13" t="s">
        <v>514</v>
      </c>
      <c r="D158" s="44" t="s">
        <v>513</v>
      </c>
      <c r="E158" s="13" t="s">
        <v>774</v>
      </c>
      <c r="F158" s="15">
        <v>3</v>
      </c>
      <c r="G158" s="15">
        <v>340000</v>
      </c>
      <c r="H158" s="15">
        <v>0</v>
      </c>
    </row>
    <row r="159" spans="1:8">
      <c r="A159" s="13" t="s">
        <v>7</v>
      </c>
      <c r="B159" s="13" t="s">
        <v>23</v>
      </c>
      <c r="C159" s="13" t="s">
        <v>118</v>
      </c>
      <c r="D159" s="44" t="s">
        <v>117</v>
      </c>
      <c r="E159" s="13" t="s">
        <v>775</v>
      </c>
      <c r="F159" s="15">
        <v>11</v>
      </c>
      <c r="G159" s="15">
        <v>335000</v>
      </c>
      <c r="H159" s="15">
        <v>12640</v>
      </c>
    </row>
    <row r="160" spans="1:8">
      <c r="A160" s="13" t="s">
        <v>7</v>
      </c>
      <c r="B160" s="13" t="s">
        <v>23</v>
      </c>
      <c r="C160" s="13" t="s">
        <v>118</v>
      </c>
      <c r="D160" s="44" t="s">
        <v>117</v>
      </c>
      <c r="E160" s="13" t="s">
        <v>776</v>
      </c>
      <c r="F160" s="15">
        <v>5</v>
      </c>
      <c r="G160" s="15">
        <v>334100</v>
      </c>
      <c r="H160" s="15">
        <v>9210</v>
      </c>
    </row>
    <row r="161" spans="1:8">
      <c r="A161" s="13" t="s">
        <v>7</v>
      </c>
      <c r="B161" s="13" t="s">
        <v>22</v>
      </c>
      <c r="C161" s="13" t="s">
        <v>292</v>
      </c>
      <c r="D161" s="44" t="s">
        <v>291</v>
      </c>
      <c r="E161" s="13" t="s">
        <v>777</v>
      </c>
      <c r="F161" s="15">
        <v>6</v>
      </c>
      <c r="G161" s="15">
        <v>321400</v>
      </c>
      <c r="H161" s="15">
        <v>30000</v>
      </c>
    </row>
    <row r="162" spans="1:8">
      <c r="A162" s="13" t="s">
        <v>7</v>
      </c>
      <c r="B162" s="9" t="s">
        <v>24</v>
      </c>
      <c r="C162" s="13" t="s">
        <v>570</v>
      </c>
      <c r="D162" s="44" t="s">
        <v>569</v>
      </c>
      <c r="E162" s="13" t="s">
        <v>778</v>
      </c>
      <c r="F162" s="15">
        <v>3</v>
      </c>
      <c r="G162" s="15">
        <v>320000</v>
      </c>
      <c r="H162" s="15">
        <v>8000</v>
      </c>
    </row>
    <row r="163" spans="1:8">
      <c r="A163" s="13" t="s">
        <v>7</v>
      </c>
      <c r="B163" s="9" t="s">
        <v>24</v>
      </c>
      <c r="C163" s="13" t="s">
        <v>224</v>
      </c>
      <c r="D163" s="44" t="s">
        <v>223</v>
      </c>
      <c r="E163" s="13" t="s">
        <v>779</v>
      </c>
      <c r="F163" s="15">
        <v>7</v>
      </c>
      <c r="G163" s="15">
        <v>315230</v>
      </c>
      <c r="H163" s="15">
        <v>0</v>
      </c>
    </row>
    <row r="164" spans="1:8">
      <c r="A164" s="13" t="s">
        <v>7</v>
      </c>
      <c r="B164" s="13" t="s">
        <v>22</v>
      </c>
      <c r="C164" s="13" t="s">
        <v>242</v>
      </c>
      <c r="D164" s="44" t="s">
        <v>241</v>
      </c>
      <c r="E164" s="13" t="s">
        <v>780</v>
      </c>
      <c r="F164" s="15">
        <v>4</v>
      </c>
      <c r="G164" s="15">
        <v>299400</v>
      </c>
      <c r="H164" s="15">
        <v>10000</v>
      </c>
    </row>
    <row r="165" spans="1:8">
      <c r="A165" s="13" t="s">
        <v>7</v>
      </c>
      <c r="B165" s="9" t="s">
        <v>24</v>
      </c>
      <c r="C165" s="13" t="s">
        <v>576</v>
      </c>
      <c r="D165" s="44" t="s">
        <v>575</v>
      </c>
      <c r="E165" s="13" t="s">
        <v>781</v>
      </c>
      <c r="F165" s="15">
        <v>8</v>
      </c>
      <c r="G165" s="15">
        <v>299000</v>
      </c>
      <c r="H165" s="15">
        <v>23000</v>
      </c>
    </row>
    <row r="166" spans="1:8">
      <c r="A166" s="13" t="s">
        <v>7</v>
      </c>
      <c r="B166" s="13" t="s">
        <v>23</v>
      </c>
      <c r="C166" s="13" t="s">
        <v>202</v>
      </c>
      <c r="D166" s="44" t="s">
        <v>201</v>
      </c>
      <c r="E166" s="13" t="s">
        <v>782</v>
      </c>
      <c r="F166" s="15">
        <v>12</v>
      </c>
      <c r="G166" s="15">
        <v>291800</v>
      </c>
      <c r="H166" s="15">
        <v>8080</v>
      </c>
    </row>
    <row r="167" spans="1:8">
      <c r="A167" s="13" t="s">
        <v>7</v>
      </c>
      <c r="B167" s="13" t="s">
        <v>22</v>
      </c>
      <c r="C167" s="13" t="s">
        <v>212</v>
      </c>
      <c r="D167" s="44" t="s">
        <v>211</v>
      </c>
      <c r="E167" s="13" t="s">
        <v>783</v>
      </c>
      <c r="F167" s="15">
        <v>24</v>
      </c>
      <c r="G167" s="15">
        <v>276500</v>
      </c>
      <c r="H167" s="15">
        <v>3600</v>
      </c>
    </row>
    <row r="168" spans="1:8">
      <c r="A168" s="13" t="s">
        <v>7</v>
      </c>
      <c r="B168" s="9" t="s">
        <v>24</v>
      </c>
      <c r="C168" s="13" t="s">
        <v>570</v>
      </c>
      <c r="D168" s="44" t="s">
        <v>569</v>
      </c>
      <c r="E168" s="13" t="s">
        <v>784</v>
      </c>
      <c r="F168" s="15">
        <v>2</v>
      </c>
      <c r="G168" s="15">
        <v>267000</v>
      </c>
      <c r="H168" s="15">
        <v>0</v>
      </c>
    </row>
    <row r="169" spans="1:8">
      <c r="A169" s="13" t="s">
        <v>7</v>
      </c>
      <c r="B169" s="13" t="s">
        <v>24</v>
      </c>
      <c r="C169" s="13" t="s">
        <v>128</v>
      </c>
      <c r="D169" s="44" t="s">
        <v>127</v>
      </c>
      <c r="E169" s="13" t="s">
        <v>785</v>
      </c>
      <c r="F169" s="15">
        <v>18</v>
      </c>
      <c r="G169" s="15">
        <v>260500</v>
      </c>
      <c r="H169" s="15">
        <v>6660</v>
      </c>
    </row>
    <row r="170" spans="1:8">
      <c r="A170" s="13" t="s">
        <v>7</v>
      </c>
      <c r="B170" s="9" t="s">
        <v>22</v>
      </c>
      <c r="C170" s="13" t="s">
        <v>106</v>
      </c>
      <c r="D170" s="44" t="s">
        <v>105</v>
      </c>
      <c r="E170" s="13" t="s">
        <v>786</v>
      </c>
      <c r="F170" s="15">
        <v>8</v>
      </c>
      <c r="G170" s="15">
        <v>259800</v>
      </c>
      <c r="H170" s="15">
        <v>0</v>
      </c>
    </row>
    <row r="171" spans="1:8">
      <c r="A171" s="13" t="s">
        <v>7</v>
      </c>
      <c r="B171" s="9" t="s">
        <v>24</v>
      </c>
      <c r="C171" s="13" t="s">
        <v>570</v>
      </c>
      <c r="D171" s="44" t="s">
        <v>569</v>
      </c>
      <c r="E171" s="13" t="s">
        <v>787</v>
      </c>
      <c r="F171" s="15">
        <v>6</v>
      </c>
      <c r="G171" s="15">
        <v>245400</v>
      </c>
      <c r="H171" s="15">
        <v>30000</v>
      </c>
    </row>
    <row r="172" spans="1:8">
      <c r="A172" s="13" t="s">
        <v>7</v>
      </c>
      <c r="B172" s="13" t="s">
        <v>22</v>
      </c>
      <c r="C172" s="13" t="s">
        <v>194</v>
      </c>
      <c r="D172" s="44" t="s">
        <v>193</v>
      </c>
      <c r="E172" s="13" t="s">
        <v>788</v>
      </c>
      <c r="F172" s="15">
        <v>3</v>
      </c>
      <c r="G172" s="15">
        <v>242000</v>
      </c>
      <c r="H172" s="15">
        <v>0</v>
      </c>
    </row>
    <row r="173" spans="1:8">
      <c r="A173" s="13" t="s">
        <v>7</v>
      </c>
      <c r="B173" s="9" t="s">
        <v>24</v>
      </c>
      <c r="C173" s="13" t="s">
        <v>516</v>
      </c>
      <c r="D173" s="44" t="s">
        <v>515</v>
      </c>
      <c r="E173" s="13" t="s">
        <v>789</v>
      </c>
      <c r="F173" s="15">
        <v>8</v>
      </c>
      <c r="G173" s="15">
        <v>240500</v>
      </c>
      <c r="H173" s="15">
        <v>18400</v>
      </c>
    </row>
    <row r="174" spans="1:8">
      <c r="A174" s="13" t="s">
        <v>7</v>
      </c>
      <c r="B174" s="9" t="s">
        <v>24</v>
      </c>
      <c r="C174" s="13" t="s">
        <v>590</v>
      </c>
      <c r="D174" s="44" t="s">
        <v>589</v>
      </c>
      <c r="E174" s="13" t="s">
        <v>790</v>
      </c>
      <c r="F174" s="15">
        <v>20</v>
      </c>
      <c r="G174" s="15">
        <v>240000</v>
      </c>
      <c r="H174" s="15">
        <v>12000</v>
      </c>
    </row>
    <row r="175" spans="1:8">
      <c r="A175" s="13" t="s">
        <v>7</v>
      </c>
      <c r="B175" s="13" t="s">
        <v>23</v>
      </c>
      <c r="C175" s="13" t="s">
        <v>118</v>
      </c>
      <c r="D175" s="44" t="s">
        <v>117</v>
      </c>
      <c r="E175" s="13" t="s">
        <v>791</v>
      </c>
      <c r="F175" s="15">
        <v>3</v>
      </c>
      <c r="G175" s="15">
        <v>230000</v>
      </c>
      <c r="H175" s="15">
        <v>0</v>
      </c>
    </row>
    <row r="176" spans="1:8">
      <c r="A176" s="13" t="s">
        <v>7</v>
      </c>
      <c r="B176" s="9" t="s">
        <v>24</v>
      </c>
      <c r="C176" s="13" t="s">
        <v>70</v>
      </c>
      <c r="D176" s="44" t="s">
        <v>69</v>
      </c>
      <c r="E176" s="13" t="s">
        <v>792</v>
      </c>
      <c r="F176" s="15">
        <v>3</v>
      </c>
      <c r="G176" s="15">
        <v>228000</v>
      </c>
      <c r="H176" s="15">
        <v>20000</v>
      </c>
    </row>
    <row r="177" spans="1:8">
      <c r="A177" s="13" t="s">
        <v>7</v>
      </c>
      <c r="B177" s="9" t="s">
        <v>24</v>
      </c>
      <c r="C177" s="13" t="s">
        <v>66</v>
      </c>
      <c r="D177" s="44" t="s">
        <v>65</v>
      </c>
      <c r="E177" s="13" t="s">
        <v>793</v>
      </c>
      <c r="F177" s="15">
        <v>9</v>
      </c>
      <c r="G177" s="15">
        <v>224000</v>
      </c>
      <c r="H177" s="15">
        <v>21000</v>
      </c>
    </row>
    <row r="178" spans="1:8">
      <c r="A178" s="13" t="s">
        <v>7</v>
      </c>
      <c r="B178" s="13" t="s">
        <v>24</v>
      </c>
      <c r="C178" s="13" t="s">
        <v>356</v>
      </c>
      <c r="D178" s="44" t="s">
        <v>355</v>
      </c>
      <c r="E178" s="13" t="s">
        <v>794</v>
      </c>
      <c r="F178" s="15">
        <v>20</v>
      </c>
      <c r="G178" s="15">
        <v>223500</v>
      </c>
      <c r="H178" s="15">
        <v>2340</v>
      </c>
    </row>
    <row r="179" spans="1:8">
      <c r="A179" s="13" t="s">
        <v>7</v>
      </c>
      <c r="B179" s="9" t="s">
        <v>23</v>
      </c>
      <c r="C179" s="13" t="s">
        <v>118</v>
      </c>
      <c r="D179" s="44" t="s">
        <v>117</v>
      </c>
      <c r="E179" s="13" t="s">
        <v>795</v>
      </c>
      <c r="F179" s="15">
        <v>1</v>
      </c>
      <c r="G179" s="15">
        <v>222300</v>
      </c>
      <c r="H179" s="15">
        <v>0</v>
      </c>
    </row>
    <row r="180" spans="1:8">
      <c r="A180" s="13" t="s">
        <v>7</v>
      </c>
      <c r="B180" s="13" t="s">
        <v>24</v>
      </c>
      <c r="C180" s="13" t="s">
        <v>570</v>
      </c>
      <c r="D180" s="44" t="s">
        <v>569</v>
      </c>
      <c r="E180" s="13" t="s">
        <v>796</v>
      </c>
      <c r="F180" s="15">
        <v>1</v>
      </c>
      <c r="G180" s="15">
        <v>221400</v>
      </c>
      <c r="H180" s="15">
        <v>0</v>
      </c>
    </row>
    <row r="181" spans="1:8">
      <c r="A181" s="13" t="s">
        <v>7</v>
      </c>
      <c r="B181" s="13" t="s">
        <v>22</v>
      </c>
      <c r="C181" s="13" t="s">
        <v>326</v>
      </c>
      <c r="D181" s="44" t="s">
        <v>325</v>
      </c>
      <c r="E181" s="13" t="s">
        <v>797</v>
      </c>
      <c r="F181" s="15">
        <v>4</v>
      </c>
      <c r="G181" s="15">
        <v>220000</v>
      </c>
      <c r="H181" s="15">
        <v>10000</v>
      </c>
    </row>
    <row r="182" spans="1:8">
      <c r="A182" s="13" t="s">
        <v>7</v>
      </c>
      <c r="B182" s="13" t="s">
        <v>22</v>
      </c>
      <c r="C182" s="13" t="s">
        <v>218</v>
      </c>
      <c r="D182" s="44" t="s">
        <v>217</v>
      </c>
      <c r="E182" s="13" t="s">
        <v>798</v>
      </c>
      <c r="F182" s="15">
        <v>9</v>
      </c>
      <c r="G182" s="15">
        <v>215500</v>
      </c>
      <c r="H182" s="15">
        <v>19200</v>
      </c>
    </row>
    <row r="183" spans="1:8">
      <c r="A183" s="13" t="s">
        <v>7</v>
      </c>
      <c r="B183" s="9" t="s">
        <v>22</v>
      </c>
      <c r="C183" s="13" t="s">
        <v>326</v>
      </c>
      <c r="D183" s="44" t="s">
        <v>325</v>
      </c>
      <c r="E183" s="13" t="s">
        <v>799</v>
      </c>
      <c r="F183" s="15">
        <v>7</v>
      </c>
      <c r="G183" s="15">
        <v>213800</v>
      </c>
      <c r="H183" s="15">
        <v>11920</v>
      </c>
    </row>
    <row r="184" spans="1:8">
      <c r="A184" s="13" t="s">
        <v>7</v>
      </c>
      <c r="B184" s="9" t="s">
        <v>24</v>
      </c>
      <c r="C184" s="13" t="s">
        <v>224</v>
      </c>
      <c r="D184" s="44" t="s">
        <v>223</v>
      </c>
      <c r="E184" s="13" t="s">
        <v>800</v>
      </c>
      <c r="F184" s="15">
        <v>2</v>
      </c>
      <c r="G184" s="15">
        <v>210000</v>
      </c>
      <c r="H184" s="15">
        <v>0</v>
      </c>
    </row>
    <row r="185" spans="1:8">
      <c r="A185" s="13" t="s">
        <v>7</v>
      </c>
      <c r="B185" s="13" t="s">
        <v>24</v>
      </c>
      <c r="C185" s="13" t="s">
        <v>322</v>
      </c>
      <c r="D185" s="44" t="s">
        <v>321</v>
      </c>
      <c r="E185" s="13" t="s">
        <v>801</v>
      </c>
      <c r="F185" s="15">
        <v>8</v>
      </c>
      <c r="G185" s="15">
        <v>204000</v>
      </c>
      <c r="H185" s="15">
        <v>20960</v>
      </c>
    </row>
    <row r="186" spans="1:8">
      <c r="A186" s="13" t="s">
        <v>7</v>
      </c>
      <c r="B186" s="13" t="s">
        <v>22</v>
      </c>
      <c r="C186" s="13" t="s">
        <v>158</v>
      </c>
      <c r="D186" s="44" t="s">
        <v>157</v>
      </c>
      <c r="E186" s="13" t="s">
        <v>802</v>
      </c>
      <c r="F186" s="15">
        <v>10</v>
      </c>
      <c r="G186" s="15">
        <v>201000</v>
      </c>
      <c r="H186" s="15">
        <v>4200</v>
      </c>
    </row>
    <row r="187" spans="1:8">
      <c r="A187" s="13" t="s">
        <v>7</v>
      </c>
      <c r="B187" s="9" t="s">
        <v>22</v>
      </c>
      <c r="C187" s="13" t="s">
        <v>214</v>
      </c>
      <c r="D187" s="44" t="s">
        <v>213</v>
      </c>
      <c r="E187" s="13" t="s">
        <v>803</v>
      </c>
      <c r="F187" s="15">
        <v>2</v>
      </c>
      <c r="G187" s="15">
        <v>200000</v>
      </c>
      <c r="H187" s="15">
        <v>10000</v>
      </c>
    </row>
    <row r="188" spans="1:8">
      <c r="A188" s="13" t="s">
        <v>7</v>
      </c>
      <c r="B188" s="9" t="s">
        <v>24</v>
      </c>
      <c r="C188" s="13" t="s">
        <v>544</v>
      </c>
      <c r="D188" s="44" t="s">
        <v>543</v>
      </c>
      <c r="E188" s="13" t="s">
        <v>804</v>
      </c>
      <c r="F188" s="15">
        <v>3</v>
      </c>
      <c r="G188" s="15">
        <v>198000</v>
      </c>
      <c r="H188" s="15">
        <v>30000</v>
      </c>
    </row>
    <row r="189" spans="1:8">
      <c r="A189" s="13" t="s">
        <v>7</v>
      </c>
      <c r="B189" s="9" t="s">
        <v>24</v>
      </c>
      <c r="C189" s="13" t="s">
        <v>98</v>
      </c>
      <c r="D189" s="44" t="s">
        <v>97</v>
      </c>
      <c r="E189" s="13" t="s">
        <v>805</v>
      </c>
      <c r="F189" s="15">
        <v>6</v>
      </c>
      <c r="G189" s="15">
        <v>195000</v>
      </c>
      <c r="H189" s="15">
        <v>15000</v>
      </c>
    </row>
    <row r="190" spans="1:8">
      <c r="A190" s="13" t="s">
        <v>7</v>
      </c>
      <c r="B190" s="9" t="s">
        <v>24</v>
      </c>
      <c r="C190" s="13" t="s">
        <v>570</v>
      </c>
      <c r="D190" s="44" t="s">
        <v>569</v>
      </c>
      <c r="E190" s="13" t="s">
        <v>806</v>
      </c>
      <c r="F190" s="15">
        <v>3</v>
      </c>
      <c r="G190" s="15">
        <v>187000</v>
      </c>
      <c r="H190" s="15">
        <v>19800</v>
      </c>
    </row>
    <row r="191" spans="1:8">
      <c r="A191" s="13" t="s">
        <v>7</v>
      </c>
      <c r="B191" s="9" t="s">
        <v>24</v>
      </c>
      <c r="C191" s="13" t="s">
        <v>350</v>
      </c>
      <c r="D191" s="44" t="s">
        <v>349</v>
      </c>
      <c r="E191" s="13" t="s">
        <v>807</v>
      </c>
      <c r="F191" s="15">
        <v>10</v>
      </c>
      <c r="G191" s="15">
        <v>180500</v>
      </c>
      <c r="H191" s="15">
        <v>6600</v>
      </c>
    </row>
    <row r="192" spans="1:8">
      <c r="A192" s="13" t="s">
        <v>7</v>
      </c>
      <c r="B192" s="9" t="s">
        <v>24</v>
      </c>
      <c r="C192" s="13" t="s">
        <v>586</v>
      </c>
      <c r="D192" s="44" t="s">
        <v>585</v>
      </c>
      <c r="E192" s="13" t="s">
        <v>808</v>
      </c>
      <c r="F192" s="15">
        <v>5</v>
      </c>
      <c r="G192" s="15">
        <v>179500</v>
      </c>
      <c r="H192" s="15">
        <v>0</v>
      </c>
    </row>
    <row r="193" spans="1:8">
      <c r="A193" s="13" t="s">
        <v>7</v>
      </c>
      <c r="B193" s="13" t="s">
        <v>24</v>
      </c>
      <c r="C193" s="13" t="s">
        <v>322</v>
      </c>
      <c r="D193" s="44" t="s">
        <v>321</v>
      </c>
      <c r="E193" s="13" t="s">
        <v>809</v>
      </c>
      <c r="F193" s="15">
        <v>11</v>
      </c>
      <c r="G193" s="15">
        <v>177400</v>
      </c>
      <c r="H193" s="15">
        <v>11840</v>
      </c>
    </row>
    <row r="194" spans="1:8">
      <c r="A194" s="13" t="s">
        <v>7</v>
      </c>
      <c r="B194" s="9" t="s">
        <v>22</v>
      </c>
      <c r="C194" s="13" t="s">
        <v>82</v>
      </c>
      <c r="D194" s="44" t="s">
        <v>81</v>
      </c>
      <c r="E194" s="13" t="s">
        <v>810</v>
      </c>
      <c r="F194" s="15">
        <v>3</v>
      </c>
      <c r="G194" s="15">
        <v>175000</v>
      </c>
      <c r="H194" s="15">
        <v>0</v>
      </c>
    </row>
    <row r="195" spans="1:8">
      <c r="A195" s="13" t="s">
        <v>7</v>
      </c>
      <c r="B195" s="9" t="s">
        <v>24</v>
      </c>
      <c r="C195" s="13" t="s">
        <v>572</v>
      </c>
      <c r="D195" s="44" t="s">
        <v>571</v>
      </c>
      <c r="E195" s="13" t="s">
        <v>811</v>
      </c>
      <c r="F195" s="15">
        <v>2</v>
      </c>
      <c r="G195" s="15">
        <v>165000</v>
      </c>
      <c r="H195" s="15">
        <v>20000</v>
      </c>
    </row>
    <row r="196" spans="1:8">
      <c r="A196" s="13" t="s">
        <v>7</v>
      </c>
      <c r="B196" s="13" t="s">
        <v>22</v>
      </c>
      <c r="C196" s="13" t="s">
        <v>106</v>
      </c>
      <c r="D196" s="44" t="s">
        <v>105</v>
      </c>
      <c r="E196" s="13" t="s">
        <v>812</v>
      </c>
      <c r="F196" s="15">
        <v>9</v>
      </c>
      <c r="G196" s="15">
        <v>164700</v>
      </c>
      <c r="H196" s="15">
        <v>12640</v>
      </c>
    </row>
    <row r="197" spans="1:8">
      <c r="A197" s="13" t="s">
        <v>7</v>
      </c>
      <c r="B197" s="13" t="s">
        <v>24</v>
      </c>
      <c r="C197" s="13" t="s">
        <v>570</v>
      </c>
      <c r="D197" s="44" t="s">
        <v>569</v>
      </c>
      <c r="E197" s="13" t="s">
        <v>813</v>
      </c>
      <c r="F197" s="15">
        <v>2</v>
      </c>
      <c r="G197" s="15">
        <v>164000</v>
      </c>
      <c r="H197" s="15">
        <v>0</v>
      </c>
    </row>
    <row r="198" spans="1:8">
      <c r="A198" s="13" t="s">
        <v>7</v>
      </c>
      <c r="B198" s="13" t="s">
        <v>22</v>
      </c>
      <c r="C198" s="13" t="s">
        <v>68</v>
      </c>
      <c r="D198" s="44" t="s">
        <v>67</v>
      </c>
      <c r="E198" s="13" t="s">
        <v>814</v>
      </c>
      <c r="F198" s="15">
        <v>5</v>
      </c>
      <c r="G198" s="15">
        <v>162500</v>
      </c>
      <c r="H198" s="15">
        <v>6540</v>
      </c>
    </row>
    <row r="199" spans="1:8">
      <c r="A199" s="13" t="s">
        <v>7</v>
      </c>
      <c r="B199" s="13" t="s">
        <v>23</v>
      </c>
      <c r="C199" s="13" t="s">
        <v>118</v>
      </c>
      <c r="D199" s="44" t="s">
        <v>117</v>
      </c>
      <c r="E199" s="13" t="s">
        <v>815</v>
      </c>
      <c r="F199" s="15">
        <v>3</v>
      </c>
      <c r="G199" s="15">
        <v>160240</v>
      </c>
      <c r="H199" s="15">
        <v>16040</v>
      </c>
    </row>
    <row r="200" spans="1:8">
      <c r="A200" s="13" t="s">
        <v>7</v>
      </c>
      <c r="B200" s="13" t="s">
        <v>22</v>
      </c>
      <c r="C200" s="13" t="s">
        <v>212</v>
      </c>
      <c r="D200" s="44" t="s">
        <v>211</v>
      </c>
      <c r="E200" s="13" t="s">
        <v>816</v>
      </c>
      <c r="F200" s="15">
        <v>7</v>
      </c>
      <c r="G200" s="15">
        <v>160000</v>
      </c>
      <c r="H200" s="15">
        <v>19200</v>
      </c>
    </row>
    <row r="201" spans="1:8">
      <c r="A201" s="13" t="s">
        <v>7</v>
      </c>
      <c r="B201" s="13" t="s">
        <v>22</v>
      </c>
      <c r="C201" s="13" t="s">
        <v>106</v>
      </c>
      <c r="D201" s="44" t="s">
        <v>105</v>
      </c>
      <c r="E201" s="13" t="s">
        <v>817</v>
      </c>
      <c r="F201" s="15">
        <v>2</v>
      </c>
      <c r="G201" s="15">
        <v>159200</v>
      </c>
      <c r="H201" s="15">
        <v>0</v>
      </c>
    </row>
    <row r="202" spans="1:8">
      <c r="A202" s="13" t="s">
        <v>7</v>
      </c>
      <c r="B202" s="9" t="s">
        <v>22</v>
      </c>
      <c r="C202" s="13" t="s">
        <v>212</v>
      </c>
      <c r="D202" s="44" t="s">
        <v>211</v>
      </c>
      <c r="E202" s="13" t="s">
        <v>818</v>
      </c>
      <c r="F202" s="15">
        <v>5</v>
      </c>
      <c r="G202" s="15">
        <v>155000</v>
      </c>
      <c r="H202" s="15">
        <v>25000</v>
      </c>
    </row>
    <row r="203" spans="1:8">
      <c r="A203" s="13" t="s">
        <v>7</v>
      </c>
      <c r="B203" s="13" t="s">
        <v>24</v>
      </c>
      <c r="C203" s="13" t="s">
        <v>456</v>
      </c>
      <c r="D203" s="44" t="s">
        <v>455</v>
      </c>
      <c r="E203" s="13" t="s">
        <v>819</v>
      </c>
      <c r="F203" s="15">
        <v>5</v>
      </c>
      <c r="G203" s="15">
        <v>155000</v>
      </c>
      <c r="H203" s="15">
        <v>7800</v>
      </c>
    </row>
    <row r="204" spans="1:8">
      <c r="A204" s="13" t="s">
        <v>7</v>
      </c>
      <c r="B204" s="13" t="s">
        <v>22</v>
      </c>
      <c r="C204" s="13" t="s">
        <v>212</v>
      </c>
      <c r="D204" s="44" t="s">
        <v>211</v>
      </c>
      <c r="E204" s="13" t="s">
        <v>820</v>
      </c>
      <c r="F204" s="15">
        <v>8</v>
      </c>
      <c r="G204" s="15">
        <v>151000</v>
      </c>
      <c r="H204" s="15">
        <v>20000</v>
      </c>
    </row>
    <row r="205" spans="1:8">
      <c r="A205" s="13" t="s">
        <v>7</v>
      </c>
      <c r="B205" s="13" t="s">
        <v>22</v>
      </c>
      <c r="C205" s="13" t="s">
        <v>588</v>
      </c>
      <c r="D205" s="44" t="s">
        <v>587</v>
      </c>
      <c r="E205" s="13" t="s">
        <v>821</v>
      </c>
      <c r="F205" s="15">
        <v>14</v>
      </c>
      <c r="G205" s="15">
        <v>149600</v>
      </c>
      <c r="H205" s="15">
        <v>12320</v>
      </c>
    </row>
    <row r="206" spans="1:8">
      <c r="A206" s="13" t="s">
        <v>7</v>
      </c>
      <c r="B206" s="13" t="s">
        <v>23</v>
      </c>
      <c r="C206" s="13" t="s">
        <v>118</v>
      </c>
      <c r="D206" s="44" t="s">
        <v>117</v>
      </c>
      <c r="E206" s="13" t="s">
        <v>822</v>
      </c>
      <c r="F206" s="15">
        <v>6</v>
      </c>
      <c r="G206" s="15">
        <v>149400</v>
      </c>
      <c r="H206" s="15">
        <v>4740</v>
      </c>
    </row>
    <row r="207" spans="1:8">
      <c r="A207" s="13" t="s">
        <v>7</v>
      </c>
      <c r="B207" s="13" t="s">
        <v>22</v>
      </c>
      <c r="C207" s="13" t="s">
        <v>502</v>
      </c>
      <c r="D207" s="44" t="s">
        <v>501</v>
      </c>
      <c r="E207" s="13" t="s">
        <v>823</v>
      </c>
      <c r="F207" s="15">
        <v>6</v>
      </c>
      <c r="G207" s="15">
        <v>148800</v>
      </c>
      <c r="H207" s="15">
        <v>0</v>
      </c>
    </row>
    <row r="208" spans="1:8">
      <c r="A208" s="13" t="s">
        <v>7</v>
      </c>
      <c r="B208" s="13" t="s">
        <v>22</v>
      </c>
      <c r="C208" s="13" t="s">
        <v>586</v>
      </c>
      <c r="D208" s="44" t="s">
        <v>585</v>
      </c>
      <c r="E208" s="13" t="s">
        <v>824</v>
      </c>
      <c r="F208" s="15">
        <v>4</v>
      </c>
      <c r="G208" s="15">
        <v>146120</v>
      </c>
      <c r="H208" s="15">
        <v>3780</v>
      </c>
    </row>
    <row r="209" spans="1:8">
      <c r="A209" s="13" t="s">
        <v>7</v>
      </c>
      <c r="B209" s="9" t="s">
        <v>22</v>
      </c>
      <c r="C209" s="13" t="s">
        <v>212</v>
      </c>
      <c r="D209" s="44" t="s">
        <v>211</v>
      </c>
      <c r="E209" s="13" t="s">
        <v>825</v>
      </c>
      <c r="F209" s="15">
        <v>11</v>
      </c>
      <c r="G209" s="15">
        <v>138000</v>
      </c>
      <c r="H209" s="15">
        <v>10000</v>
      </c>
    </row>
    <row r="210" spans="1:8">
      <c r="A210" s="13" t="s">
        <v>7</v>
      </c>
      <c r="B210" s="13" t="s">
        <v>24</v>
      </c>
      <c r="C210" s="13" t="s">
        <v>404</v>
      </c>
      <c r="D210" s="44" t="s">
        <v>403</v>
      </c>
      <c r="E210" s="13" t="s">
        <v>826</v>
      </c>
      <c r="F210" s="15">
        <v>10</v>
      </c>
      <c r="G210" s="15">
        <v>136800</v>
      </c>
      <c r="H210" s="15">
        <v>0</v>
      </c>
    </row>
    <row r="211" spans="1:8">
      <c r="A211" s="13" t="s">
        <v>7</v>
      </c>
      <c r="B211" s="13" t="s">
        <v>24</v>
      </c>
      <c r="C211" s="13" t="s">
        <v>128</v>
      </c>
      <c r="D211" s="44" t="s">
        <v>127</v>
      </c>
      <c r="E211" s="13" t="s">
        <v>827</v>
      </c>
      <c r="F211" s="15">
        <v>10</v>
      </c>
      <c r="G211" s="15">
        <v>136600</v>
      </c>
      <c r="H211" s="15">
        <v>12540</v>
      </c>
    </row>
    <row r="212" spans="1:8">
      <c r="A212" s="13" t="s">
        <v>7</v>
      </c>
      <c r="B212" s="13" t="s">
        <v>22</v>
      </c>
      <c r="C212" s="13" t="s">
        <v>298</v>
      </c>
      <c r="D212" s="44" t="s">
        <v>297</v>
      </c>
      <c r="E212" s="13" t="s">
        <v>828</v>
      </c>
      <c r="F212" s="15">
        <v>2</v>
      </c>
      <c r="G212" s="15">
        <v>136000</v>
      </c>
      <c r="H212" s="15">
        <v>20000</v>
      </c>
    </row>
    <row r="213" spans="1:8">
      <c r="A213" s="13" t="s">
        <v>7</v>
      </c>
      <c r="B213" s="9" t="s">
        <v>22</v>
      </c>
      <c r="C213" s="13" t="s">
        <v>68</v>
      </c>
      <c r="D213" s="44" t="s">
        <v>67</v>
      </c>
      <c r="E213" s="13" t="s">
        <v>829</v>
      </c>
      <c r="F213" s="15">
        <v>19</v>
      </c>
      <c r="G213" s="15">
        <v>135800</v>
      </c>
      <c r="H213" s="15">
        <v>0</v>
      </c>
    </row>
    <row r="214" spans="1:8">
      <c r="A214" s="13" t="s">
        <v>7</v>
      </c>
      <c r="B214" s="13" t="s">
        <v>22</v>
      </c>
      <c r="C214" s="13" t="s">
        <v>292</v>
      </c>
      <c r="D214" s="44" t="s">
        <v>291</v>
      </c>
      <c r="E214" s="13" t="s">
        <v>830</v>
      </c>
      <c r="F214" s="15">
        <v>3</v>
      </c>
      <c r="G214" s="15">
        <v>134700</v>
      </c>
      <c r="H214" s="15">
        <v>17960</v>
      </c>
    </row>
    <row r="215" spans="1:8">
      <c r="A215" s="13" t="s">
        <v>7</v>
      </c>
      <c r="B215" s="13" t="s">
        <v>22</v>
      </c>
      <c r="C215" s="13" t="s">
        <v>68</v>
      </c>
      <c r="D215" s="44" t="s">
        <v>67</v>
      </c>
      <c r="E215" s="13" t="s">
        <v>831</v>
      </c>
      <c r="F215" s="15">
        <v>3</v>
      </c>
      <c r="G215" s="15">
        <v>130200</v>
      </c>
      <c r="H215" s="15">
        <v>14760</v>
      </c>
    </row>
    <row r="216" spans="1:8">
      <c r="A216" s="13" t="s">
        <v>7</v>
      </c>
      <c r="B216" s="13" t="s">
        <v>23</v>
      </c>
      <c r="C216" s="13" t="s">
        <v>118</v>
      </c>
      <c r="D216" s="44" t="s">
        <v>117</v>
      </c>
      <c r="E216" s="13" t="s">
        <v>832</v>
      </c>
      <c r="F216" s="15">
        <v>2</v>
      </c>
      <c r="G216" s="15">
        <v>127980</v>
      </c>
      <c r="H216" s="15">
        <v>0</v>
      </c>
    </row>
    <row r="217" spans="1:8">
      <c r="A217" s="13" t="s">
        <v>7</v>
      </c>
      <c r="B217" s="13" t="s">
        <v>23</v>
      </c>
      <c r="C217" s="13" t="s">
        <v>202</v>
      </c>
      <c r="D217" s="44" t="s">
        <v>201</v>
      </c>
      <c r="E217" s="13" t="s">
        <v>833</v>
      </c>
      <c r="F217" s="15">
        <v>4</v>
      </c>
      <c r="G217" s="15">
        <v>125500</v>
      </c>
      <c r="H217" s="15">
        <v>6060</v>
      </c>
    </row>
    <row r="218" spans="1:8">
      <c r="A218" s="13" t="s">
        <v>7</v>
      </c>
      <c r="B218" s="13" t="s">
        <v>22</v>
      </c>
      <c r="C218" s="13" t="s">
        <v>106</v>
      </c>
      <c r="D218" s="44" t="s">
        <v>105</v>
      </c>
      <c r="E218" s="13" t="s">
        <v>834</v>
      </c>
      <c r="F218" s="15">
        <v>5</v>
      </c>
      <c r="G218" s="15">
        <v>124500</v>
      </c>
      <c r="H218" s="15">
        <v>0</v>
      </c>
    </row>
    <row r="219" spans="1:8">
      <c r="A219" s="13" t="s">
        <v>7</v>
      </c>
      <c r="B219" s="9" t="s">
        <v>22</v>
      </c>
      <c r="C219" s="13" t="s">
        <v>212</v>
      </c>
      <c r="D219" s="44" t="s">
        <v>211</v>
      </c>
      <c r="E219" s="13" t="s">
        <v>835</v>
      </c>
      <c r="F219" s="15">
        <v>5</v>
      </c>
      <c r="G219" s="15">
        <v>122000</v>
      </c>
      <c r="H219" s="15">
        <v>5400</v>
      </c>
    </row>
    <row r="220" spans="1:8">
      <c r="A220" s="13" t="s">
        <v>7</v>
      </c>
      <c r="B220" s="9" t="s">
        <v>23</v>
      </c>
      <c r="C220" s="13" t="s">
        <v>202</v>
      </c>
      <c r="D220" s="44" t="s">
        <v>201</v>
      </c>
      <c r="E220" s="13" t="s">
        <v>836</v>
      </c>
      <c r="F220" s="15">
        <v>3</v>
      </c>
      <c r="G220" s="15">
        <v>121000</v>
      </c>
      <c r="H220" s="15">
        <v>6280</v>
      </c>
    </row>
    <row r="221" spans="1:8">
      <c r="A221" s="13" t="s">
        <v>7</v>
      </c>
      <c r="B221" s="13" t="s">
        <v>24</v>
      </c>
      <c r="C221" s="13" t="s">
        <v>570</v>
      </c>
      <c r="D221" s="44" t="s">
        <v>569</v>
      </c>
      <c r="E221" s="13" t="s">
        <v>837</v>
      </c>
      <c r="F221" s="15">
        <v>2</v>
      </c>
      <c r="G221" s="15">
        <v>121000</v>
      </c>
      <c r="H221" s="15">
        <v>9000</v>
      </c>
    </row>
    <row r="222" spans="1:8">
      <c r="A222" s="13" t="s">
        <v>7</v>
      </c>
      <c r="B222" s="9" t="s">
        <v>24</v>
      </c>
      <c r="C222" s="13" t="s">
        <v>456</v>
      </c>
      <c r="D222" s="44" t="s">
        <v>455</v>
      </c>
      <c r="E222" s="13" t="s">
        <v>838</v>
      </c>
      <c r="F222" s="15">
        <v>7</v>
      </c>
      <c r="G222" s="15">
        <v>120000</v>
      </c>
      <c r="H222" s="15">
        <v>0</v>
      </c>
    </row>
    <row r="223" spans="1:8">
      <c r="A223" s="13" t="s">
        <v>7</v>
      </c>
      <c r="B223" s="9" t="s">
        <v>24</v>
      </c>
      <c r="C223" s="13" t="s">
        <v>580</v>
      </c>
      <c r="D223" s="44" t="s">
        <v>579</v>
      </c>
      <c r="E223" s="13" t="s">
        <v>839</v>
      </c>
      <c r="F223" s="15">
        <v>4</v>
      </c>
      <c r="G223" s="15">
        <v>120000</v>
      </c>
      <c r="H223" s="15">
        <v>22800</v>
      </c>
    </row>
    <row r="224" spans="1:8">
      <c r="A224" s="13" t="s">
        <v>7</v>
      </c>
      <c r="B224" s="9" t="s">
        <v>22</v>
      </c>
      <c r="C224" s="13" t="s">
        <v>400</v>
      </c>
      <c r="D224" s="44" t="s">
        <v>399</v>
      </c>
      <c r="E224" s="13" t="s">
        <v>840</v>
      </c>
      <c r="F224" s="15">
        <v>3</v>
      </c>
      <c r="G224" s="15">
        <v>119600</v>
      </c>
      <c r="H224" s="15">
        <v>15980</v>
      </c>
    </row>
    <row r="225" spans="1:8">
      <c r="A225" s="13" t="s">
        <v>7</v>
      </c>
      <c r="B225" s="13" t="s">
        <v>24</v>
      </c>
      <c r="C225" s="13" t="s">
        <v>570</v>
      </c>
      <c r="D225" s="44" t="s">
        <v>569</v>
      </c>
      <c r="E225" s="13" t="s">
        <v>841</v>
      </c>
      <c r="F225" s="15">
        <v>2</v>
      </c>
      <c r="G225" s="15">
        <v>119000</v>
      </c>
      <c r="H225" s="15">
        <v>20000</v>
      </c>
    </row>
    <row r="226" spans="1:8">
      <c r="A226" s="13" t="s">
        <v>7</v>
      </c>
      <c r="B226" s="13" t="s">
        <v>22</v>
      </c>
      <c r="C226" s="13" t="s">
        <v>590</v>
      </c>
      <c r="D226" s="44" t="s">
        <v>589</v>
      </c>
      <c r="E226" s="13" t="s">
        <v>842</v>
      </c>
      <c r="F226" s="15">
        <v>9</v>
      </c>
      <c r="G226" s="15">
        <v>118800</v>
      </c>
      <c r="H226" s="15">
        <v>3960</v>
      </c>
    </row>
    <row r="227" spans="1:8">
      <c r="A227" s="13" t="s">
        <v>7</v>
      </c>
      <c r="B227" s="9" t="s">
        <v>22</v>
      </c>
      <c r="C227" s="13" t="s">
        <v>212</v>
      </c>
      <c r="D227" s="44" t="s">
        <v>211</v>
      </c>
      <c r="E227" s="13" t="s">
        <v>843</v>
      </c>
      <c r="F227" s="15">
        <v>5</v>
      </c>
      <c r="G227" s="15">
        <v>117000</v>
      </c>
      <c r="H227" s="15">
        <v>12800</v>
      </c>
    </row>
    <row r="228" spans="1:8">
      <c r="A228" s="13" t="s">
        <v>7</v>
      </c>
      <c r="B228" s="13" t="s">
        <v>22</v>
      </c>
      <c r="C228" s="13" t="s">
        <v>68</v>
      </c>
      <c r="D228" s="44" t="s">
        <v>67</v>
      </c>
      <c r="E228" s="13" t="s">
        <v>844</v>
      </c>
      <c r="F228" s="15">
        <v>4</v>
      </c>
      <c r="G228" s="15">
        <v>113400</v>
      </c>
      <c r="H228" s="15">
        <v>0</v>
      </c>
    </row>
    <row r="229" spans="1:8">
      <c r="A229" s="13" t="s">
        <v>7</v>
      </c>
      <c r="B229" s="13" t="s">
        <v>24</v>
      </c>
      <c r="C229" s="13" t="s">
        <v>322</v>
      </c>
      <c r="D229" s="44" t="s">
        <v>321</v>
      </c>
      <c r="E229" s="13" t="s">
        <v>845</v>
      </c>
      <c r="F229" s="15">
        <v>11</v>
      </c>
      <c r="G229" s="15">
        <v>111800</v>
      </c>
      <c r="H229" s="15">
        <v>4320</v>
      </c>
    </row>
    <row r="230" spans="1:8">
      <c r="A230" s="13" t="s">
        <v>7</v>
      </c>
      <c r="B230" s="9" t="s">
        <v>22</v>
      </c>
      <c r="C230" s="13" t="s">
        <v>218</v>
      </c>
      <c r="D230" s="44" t="s">
        <v>217</v>
      </c>
      <c r="E230" s="13" t="s">
        <v>846</v>
      </c>
      <c r="F230" s="15">
        <v>10</v>
      </c>
      <c r="G230" s="15">
        <v>111300</v>
      </c>
      <c r="H230" s="15">
        <v>6680</v>
      </c>
    </row>
    <row r="231" spans="1:8">
      <c r="A231" s="13" t="s">
        <v>7</v>
      </c>
      <c r="B231" s="9" t="s">
        <v>22</v>
      </c>
      <c r="C231" s="13" t="s">
        <v>212</v>
      </c>
      <c r="D231" s="44" t="s">
        <v>211</v>
      </c>
      <c r="E231" s="13" t="s">
        <v>847</v>
      </c>
      <c r="F231" s="15">
        <v>7</v>
      </c>
      <c r="G231" s="15">
        <v>111000</v>
      </c>
      <c r="H231" s="15">
        <v>6000</v>
      </c>
    </row>
    <row r="232" spans="1:8">
      <c r="A232" s="13" t="s">
        <v>7</v>
      </c>
      <c r="B232" s="13" t="s">
        <v>24</v>
      </c>
      <c r="C232" s="13" t="s">
        <v>212</v>
      </c>
      <c r="D232" s="44" t="s">
        <v>211</v>
      </c>
      <c r="E232" s="13" t="s">
        <v>848</v>
      </c>
      <c r="F232" s="15">
        <v>12</v>
      </c>
      <c r="G232" s="15">
        <v>111000</v>
      </c>
      <c r="H232" s="15">
        <v>1600</v>
      </c>
    </row>
    <row r="233" spans="1:8">
      <c r="A233" s="13" t="s">
        <v>7</v>
      </c>
      <c r="B233" s="9" t="s">
        <v>24</v>
      </c>
      <c r="C233" s="13" t="s">
        <v>66</v>
      </c>
      <c r="D233" s="44" t="s">
        <v>65</v>
      </c>
      <c r="E233" s="13" t="s">
        <v>849</v>
      </c>
      <c r="F233" s="15">
        <v>4</v>
      </c>
      <c r="G233" s="15">
        <v>108000</v>
      </c>
      <c r="H233" s="15">
        <v>14400</v>
      </c>
    </row>
    <row r="234" spans="1:8">
      <c r="A234" s="13" t="s">
        <v>7</v>
      </c>
      <c r="B234" s="9" t="s">
        <v>24</v>
      </c>
      <c r="C234" s="13" t="s">
        <v>224</v>
      </c>
      <c r="D234" s="44" t="s">
        <v>223</v>
      </c>
      <c r="E234" s="13" t="s">
        <v>850</v>
      </c>
      <c r="F234" s="15">
        <v>1</v>
      </c>
      <c r="G234" s="15">
        <v>105000</v>
      </c>
      <c r="H234" s="15">
        <v>0</v>
      </c>
    </row>
    <row r="235" spans="1:8">
      <c r="A235" s="13" t="s">
        <v>7</v>
      </c>
      <c r="B235" s="13" t="s">
        <v>24</v>
      </c>
      <c r="C235" s="13" t="s">
        <v>516</v>
      </c>
      <c r="D235" s="44" t="s">
        <v>515</v>
      </c>
      <c r="E235" s="13" t="s">
        <v>851</v>
      </c>
      <c r="F235" s="15">
        <v>2</v>
      </c>
      <c r="G235" s="15">
        <v>105000</v>
      </c>
      <c r="H235" s="15">
        <v>7000</v>
      </c>
    </row>
    <row r="236" spans="1:8">
      <c r="A236" s="13" t="s">
        <v>7</v>
      </c>
      <c r="B236" s="13" t="s">
        <v>22</v>
      </c>
      <c r="C236" s="13" t="s">
        <v>106</v>
      </c>
      <c r="D236" s="44" t="s">
        <v>105</v>
      </c>
      <c r="E236" s="13" t="s">
        <v>852</v>
      </c>
      <c r="F236" s="15">
        <v>4</v>
      </c>
      <c r="G236" s="15">
        <v>103600</v>
      </c>
      <c r="H236" s="15">
        <v>4180</v>
      </c>
    </row>
    <row r="237" spans="1:8">
      <c r="A237" s="13" t="s">
        <v>7</v>
      </c>
      <c r="B237" s="9" t="s">
        <v>22</v>
      </c>
      <c r="C237" s="13" t="s">
        <v>212</v>
      </c>
      <c r="D237" s="44" t="s">
        <v>211</v>
      </c>
      <c r="E237" s="13" t="s">
        <v>853</v>
      </c>
      <c r="F237" s="15">
        <v>5</v>
      </c>
      <c r="G237" s="15">
        <v>103000</v>
      </c>
      <c r="H237" s="15">
        <v>10000</v>
      </c>
    </row>
    <row r="238" spans="1:8">
      <c r="A238" s="13" t="s">
        <v>7</v>
      </c>
      <c r="B238" s="9" t="s">
        <v>24</v>
      </c>
      <c r="C238" s="13" t="s">
        <v>224</v>
      </c>
      <c r="D238" s="44" t="s">
        <v>223</v>
      </c>
      <c r="E238" s="13" t="s">
        <v>854</v>
      </c>
      <c r="F238" s="15">
        <v>3</v>
      </c>
      <c r="G238" s="15">
        <v>98670</v>
      </c>
      <c r="H238" s="15">
        <v>0</v>
      </c>
    </row>
    <row r="239" spans="1:8">
      <c r="A239" s="13" t="s">
        <v>7</v>
      </c>
      <c r="B239" s="13" t="s">
        <v>24</v>
      </c>
      <c r="C239" s="13" t="s">
        <v>514</v>
      </c>
      <c r="D239" s="44" t="s">
        <v>513</v>
      </c>
      <c r="E239" s="13" t="s">
        <v>855</v>
      </c>
      <c r="F239" s="15">
        <v>1</v>
      </c>
      <c r="G239" s="15">
        <v>98500</v>
      </c>
      <c r="H239" s="15">
        <v>0</v>
      </c>
    </row>
    <row r="240" spans="1:8">
      <c r="A240" s="13" t="s">
        <v>7</v>
      </c>
      <c r="B240" s="9" t="s">
        <v>22</v>
      </c>
      <c r="C240" s="13" t="s">
        <v>524</v>
      </c>
      <c r="D240" s="44" t="s">
        <v>523</v>
      </c>
      <c r="E240" s="13" t="s">
        <v>856</v>
      </c>
      <c r="F240" s="15">
        <v>2</v>
      </c>
      <c r="G240" s="15">
        <v>97800</v>
      </c>
      <c r="H240" s="15">
        <v>0</v>
      </c>
    </row>
    <row r="241" spans="1:8">
      <c r="A241" s="13" t="s">
        <v>7</v>
      </c>
      <c r="B241" s="13" t="s">
        <v>22</v>
      </c>
      <c r="C241" s="13" t="s">
        <v>490</v>
      </c>
      <c r="D241" s="44" t="s">
        <v>489</v>
      </c>
      <c r="E241" s="13" t="s">
        <v>857</v>
      </c>
      <c r="F241" s="15">
        <v>2</v>
      </c>
      <c r="G241" s="15">
        <v>96200</v>
      </c>
      <c r="H241" s="15">
        <v>0</v>
      </c>
    </row>
    <row r="242" spans="1:8">
      <c r="A242" s="13" t="s">
        <v>7</v>
      </c>
      <c r="B242" s="13" t="s">
        <v>24</v>
      </c>
      <c r="C242" s="13" t="s">
        <v>388</v>
      </c>
      <c r="D242" s="44" t="s">
        <v>387</v>
      </c>
      <c r="E242" s="13" t="s">
        <v>858</v>
      </c>
      <c r="F242" s="15">
        <v>5</v>
      </c>
      <c r="G242" s="15">
        <v>95400</v>
      </c>
      <c r="H242" s="15">
        <v>0</v>
      </c>
    </row>
    <row r="243" spans="1:8">
      <c r="A243" s="13" t="s">
        <v>7</v>
      </c>
      <c r="B243" s="13" t="s">
        <v>22</v>
      </c>
      <c r="C243" s="13" t="s">
        <v>292</v>
      </c>
      <c r="D243" s="44" t="s">
        <v>291</v>
      </c>
      <c r="E243" s="13" t="s">
        <v>859</v>
      </c>
      <c r="F243" s="15">
        <v>2</v>
      </c>
      <c r="G243" s="15">
        <v>93800</v>
      </c>
      <c r="H243" s="15">
        <v>9380</v>
      </c>
    </row>
    <row r="244" spans="1:8">
      <c r="A244" s="13" t="s">
        <v>7</v>
      </c>
      <c r="B244" s="9" t="s">
        <v>22</v>
      </c>
      <c r="C244" s="13" t="s">
        <v>106</v>
      </c>
      <c r="D244" s="44" t="s">
        <v>105</v>
      </c>
      <c r="E244" s="13" t="s">
        <v>860</v>
      </c>
      <c r="F244" s="15">
        <v>5</v>
      </c>
      <c r="G244" s="15">
        <v>91500</v>
      </c>
      <c r="H244" s="15">
        <v>3660</v>
      </c>
    </row>
    <row r="245" spans="1:8">
      <c r="A245" s="13" t="s">
        <v>7</v>
      </c>
      <c r="B245" s="9" t="s">
        <v>24</v>
      </c>
      <c r="C245" s="13" t="s">
        <v>572</v>
      </c>
      <c r="D245" s="44" t="s">
        <v>571</v>
      </c>
      <c r="E245" s="13" t="s">
        <v>861</v>
      </c>
      <c r="F245" s="15">
        <v>2</v>
      </c>
      <c r="G245" s="15">
        <v>90000</v>
      </c>
      <c r="H245" s="15">
        <v>9000</v>
      </c>
    </row>
    <row r="246" spans="1:8">
      <c r="A246" s="13" t="s">
        <v>7</v>
      </c>
      <c r="B246" s="9" t="s">
        <v>24</v>
      </c>
      <c r="C246" s="13" t="s">
        <v>516</v>
      </c>
      <c r="D246" s="44" t="s">
        <v>515</v>
      </c>
      <c r="E246" s="13" t="s">
        <v>862</v>
      </c>
      <c r="F246" s="15">
        <v>4</v>
      </c>
      <c r="G246" s="15">
        <v>90000</v>
      </c>
      <c r="H246" s="15">
        <v>0</v>
      </c>
    </row>
    <row r="247" spans="1:8">
      <c r="A247" s="13" t="s">
        <v>7</v>
      </c>
      <c r="B247" s="9" t="s">
        <v>24</v>
      </c>
      <c r="C247" s="13" t="s">
        <v>570</v>
      </c>
      <c r="D247" s="44" t="s">
        <v>569</v>
      </c>
      <c r="E247" s="13" t="s">
        <v>863</v>
      </c>
      <c r="F247" s="15">
        <v>1</v>
      </c>
      <c r="G247" s="15">
        <v>89100</v>
      </c>
      <c r="H247" s="15">
        <v>0</v>
      </c>
    </row>
    <row r="248" spans="1:8">
      <c r="A248" s="13" t="s">
        <v>7</v>
      </c>
      <c r="B248" s="13" t="s">
        <v>24</v>
      </c>
      <c r="C248" s="13" t="s">
        <v>576</v>
      </c>
      <c r="D248" s="44" t="s">
        <v>575</v>
      </c>
      <c r="E248" s="13" t="s">
        <v>864</v>
      </c>
      <c r="F248" s="15">
        <v>4</v>
      </c>
      <c r="G248" s="15">
        <v>89100</v>
      </c>
      <c r="H248" s="15">
        <v>13860</v>
      </c>
    </row>
    <row r="249" spans="1:8">
      <c r="A249" s="13" t="s">
        <v>7</v>
      </c>
      <c r="B249" s="9" t="s">
        <v>24</v>
      </c>
      <c r="C249" s="13" t="s">
        <v>576</v>
      </c>
      <c r="D249" s="44" t="s">
        <v>575</v>
      </c>
      <c r="E249" s="13" t="s">
        <v>865</v>
      </c>
      <c r="F249" s="15">
        <v>2</v>
      </c>
      <c r="G249" s="15">
        <v>88700</v>
      </c>
      <c r="H249" s="15">
        <v>10000</v>
      </c>
    </row>
    <row r="250" spans="1:8">
      <c r="A250" s="13" t="s">
        <v>7</v>
      </c>
      <c r="B250" s="9" t="s">
        <v>24</v>
      </c>
      <c r="C250" s="13" t="s">
        <v>570</v>
      </c>
      <c r="D250" s="44" t="s">
        <v>569</v>
      </c>
      <c r="E250" s="13" t="s">
        <v>866</v>
      </c>
      <c r="F250" s="15">
        <v>4</v>
      </c>
      <c r="G250" s="15">
        <v>88000</v>
      </c>
      <c r="H250" s="15">
        <v>13200</v>
      </c>
    </row>
    <row r="251" spans="1:8">
      <c r="A251" s="13" t="s">
        <v>7</v>
      </c>
      <c r="B251" s="9" t="s">
        <v>22</v>
      </c>
      <c r="C251" s="13" t="s">
        <v>302</v>
      </c>
      <c r="D251" s="44" t="s">
        <v>301</v>
      </c>
      <c r="E251" s="13" t="s">
        <v>867</v>
      </c>
      <c r="F251" s="15">
        <v>2</v>
      </c>
      <c r="G251" s="15">
        <v>87800</v>
      </c>
      <c r="H251" s="15">
        <v>8780</v>
      </c>
    </row>
    <row r="252" spans="1:8">
      <c r="A252" s="13" t="s">
        <v>7</v>
      </c>
      <c r="B252" s="13" t="s">
        <v>24</v>
      </c>
      <c r="C252" s="13" t="s">
        <v>580</v>
      </c>
      <c r="D252" s="44" t="s">
        <v>579</v>
      </c>
      <c r="E252" s="13" t="s">
        <v>868</v>
      </c>
      <c r="F252" s="15">
        <v>3</v>
      </c>
      <c r="G252" s="15">
        <v>87200</v>
      </c>
      <c r="H252" s="15">
        <v>10000</v>
      </c>
    </row>
    <row r="253" spans="1:8">
      <c r="A253" s="13" t="s">
        <v>7</v>
      </c>
      <c r="B253" s="9" t="s">
        <v>24</v>
      </c>
      <c r="C253" s="13" t="s">
        <v>514</v>
      </c>
      <c r="D253" s="44" t="s">
        <v>513</v>
      </c>
      <c r="E253" s="13" t="s">
        <v>869</v>
      </c>
      <c r="F253" s="15">
        <v>3</v>
      </c>
      <c r="G253" s="15">
        <v>87000</v>
      </c>
      <c r="H253" s="15">
        <v>0</v>
      </c>
    </row>
    <row r="254" spans="1:8">
      <c r="A254" s="13" t="s">
        <v>7</v>
      </c>
      <c r="B254" s="13" t="s">
        <v>24</v>
      </c>
      <c r="C254" s="13" t="s">
        <v>560</v>
      </c>
      <c r="D254" s="44" t="s">
        <v>559</v>
      </c>
      <c r="E254" s="13" t="s">
        <v>870</v>
      </c>
      <c r="F254" s="15">
        <v>2</v>
      </c>
      <c r="G254" s="15">
        <v>85260</v>
      </c>
      <c r="H254" s="15">
        <v>0</v>
      </c>
    </row>
    <row r="255" spans="1:8">
      <c r="A255" s="13" t="s">
        <v>7</v>
      </c>
      <c r="B255" s="13" t="s">
        <v>22</v>
      </c>
      <c r="C255" s="13" t="s">
        <v>212</v>
      </c>
      <c r="D255" s="44" t="s">
        <v>211</v>
      </c>
      <c r="E255" s="13" t="s">
        <v>871</v>
      </c>
      <c r="F255" s="15">
        <v>3</v>
      </c>
      <c r="G255" s="15">
        <v>85000</v>
      </c>
      <c r="H255" s="15">
        <v>10000</v>
      </c>
    </row>
    <row r="256" spans="1:8">
      <c r="A256" s="13" t="s">
        <v>7</v>
      </c>
      <c r="B256" s="9" t="s">
        <v>22</v>
      </c>
      <c r="C256" s="13" t="s">
        <v>106</v>
      </c>
      <c r="D256" s="44" t="s">
        <v>105</v>
      </c>
      <c r="E256" s="13" t="s">
        <v>872</v>
      </c>
      <c r="F256" s="15">
        <v>4</v>
      </c>
      <c r="G256" s="15">
        <v>83600</v>
      </c>
      <c r="H256" s="15">
        <v>4180</v>
      </c>
    </row>
    <row r="257" spans="1:8">
      <c r="A257" s="13" t="s">
        <v>7</v>
      </c>
      <c r="B257" s="9" t="s">
        <v>24</v>
      </c>
      <c r="C257" s="13" t="s">
        <v>456</v>
      </c>
      <c r="D257" s="44" t="s">
        <v>455</v>
      </c>
      <c r="E257" s="13" t="s">
        <v>873</v>
      </c>
      <c r="F257" s="15">
        <v>6</v>
      </c>
      <c r="G257" s="15">
        <v>83000</v>
      </c>
      <c r="H257" s="15">
        <v>3000</v>
      </c>
    </row>
    <row r="258" spans="1:8">
      <c r="A258" s="13" t="s">
        <v>7</v>
      </c>
      <c r="B258" s="9" t="s">
        <v>24</v>
      </c>
      <c r="C258" s="13" t="s">
        <v>570</v>
      </c>
      <c r="D258" s="44" t="s">
        <v>569</v>
      </c>
      <c r="E258" s="13" t="s">
        <v>874</v>
      </c>
      <c r="F258" s="15">
        <v>4</v>
      </c>
      <c r="G258" s="15">
        <v>83000</v>
      </c>
      <c r="H258" s="15">
        <v>12000</v>
      </c>
    </row>
    <row r="259" spans="1:8">
      <c r="A259" s="13" t="s">
        <v>7</v>
      </c>
      <c r="B259" s="9" t="s">
        <v>24</v>
      </c>
      <c r="C259" s="13" t="s">
        <v>516</v>
      </c>
      <c r="D259" s="44" t="s">
        <v>515</v>
      </c>
      <c r="E259" s="13" t="s">
        <v>875</v>
      </c>
      <c r="F259" s="15">
        <v>2</v>
      </c>
      <c r="G259" s="15">
        <v>80000</v>
      </c>
      <c r="H259" s="15">
        <v>10000</v>
      </c>
    </row>
    <row r="260" spans="1:8">
      <c r="A260" s="13" t="s">
        <v>7</v>
      </c>
      <c r="B260" s="9" t="s">
        <v>24</v>
      </c>
      <c r="C260" s="13" t="s">
        <v>350</v>
      </c>
      <c r="D260" s="44" t="s">
        <v>349</v>
      </c>
      <c r="E260" s="13" t="s">
        <v>876</v>
      </c>
      <c r="F260" s="15">
        <v>1</v>
      </c>
      <c r="G260" s="15">
        <v>80000</v>
      </c>
      <c r="H260" s="15">
        <v>0</v>
      </c>
    </row>
    <row r="261" spans="1:8">
      <c r="A261" s="13" t="s">
        <v>7</v>
      </c>
      <c r="B261" s="13" t="s">
        <v>24</v>
      </c>
      <c r="C261" s="13" t="s">
        <v>570</v>
      </c>
      <c r="D261" s="44" t="s">
        <v>569</v>
      </c>
      <c r="E261" s="13" t="s">
        <v>877</v>
      </c>
      <c r="F261" s="15">
        <v>1</v>
      </c>
      <c r="G261" s="15">
        <v>80000</v>
      </c>
      <c r="H261" s="15">
        <v>0</v>
      </c>
    </row>
    <row r="262" spans="1:8">
      <c r="A262" s="13" t="s">
        <v>7</v>
      </c>
      <c r="B262" s="13" t="s">
        <v>22</v>
      </c>
      <c r="C262" s="13" t="s">
        <v>326</v>
      </c>
      <c r="D262" s="44" t="s">
        <v>325</v>
      </c>
      <c r="E262" s="13" t="s">
        <v>878</v>
      </c>
      <c r="F262" s="15">
        <v>1</v>
      </c>
      <c r="G262" s="15">
        <v>79000</v>
      </c>
      <c r="H262" s="15">
        <v>0</v>
      </c>
    </row>
    <row r="263" spans="1:8">
      <c r="A263" s="13" t="s">
        <v>7</v>
      </c>
      <c r="B263" s="9" t="s">
        <v>22</v>
      </c>
      <c r="C263" s="13" t="s">
        <v>326</v>
      </c>
      <c r="D263" s="44" t="s">
        <v>325</v>
      </c>
      <c r="E263" s="13" t="s">
        <v>879</v>
      </c>
      <c r="F263" s="15">
        <v>1</v>
      </c>
      <c r="G263" s="15">
        <v>78500</v>
      </c>
      <c r="H263" s="15">
        <v>0</v>
      </c>
    </row>
    <row r="264" spans="1:8">
      <c r="A264" s="13" t="s">
        <v>7</v>
      </c>
      <c r="B264" s="13" t="s">
        <v>24</v>
      </c>
      <c r="C264" s="13" t="s">
        <v>456</v>
      </c>
      <c r="D264" s="44" t="s">
        <v>455</v>
      </c>
      <c r="E264" s="13" t="s">
        <v>880</v>
      </c>
      <c r="F264" s="15">
        <v>5</v>
      </c>
      <c r="G264" s="15">
        <v>78000</v>
      </c>
      <c r="H264" s="15">
        <v>0</v>
      </c>
    </row>
    <row r="265" spans="1:8">
      <c r="A265" s="13" t="s">
        <v>7</v>
      </c>
      <c r="B265" s="13" t="s">
        <v>22</v>
      </c>
      <c r="C265" s="13" t="s">
        <v>98</v>
      </c>
      <c r="D265" s="44" t="s">
        <v>97</v>
      </c>
      <c r="E265" s="13" t="s">
        <v>881</v>
      </c>
      <c r="F265" s="15">
        <v>2</v>
      </c>
      <c r="G265" s="15">
        <v>77000</v>
      </c>
      <c r="H265" s="15">
        <v>10000</v>
      </c>
    </row>
    <row r="266" spans="1:8">
      <c r="A266" s="13" t="s">
        <v>7</v>
      </c>
      <c r="B266" s="13" t="s">
        <v>22</v>
      </c>
      <c r="C266" s="13" t="s">
        <v>68</v>
      </c>
      <c r="D266" s="44" t="s">
        <v>67</v>
      </c>
      <c r="E266" s="13" t="s">
        <v>882</v>
      </c>
      <c r="F266" s="15">
        <v>4</v>
      </c>
      <c r="G266" s="15">
        <v>76500</v>
      </c>
      <c r="H266" s="15">
        <v>0</v>
      </c>
    </row>
    <row r="267" spans="1:8">
      <c r="A267" s="13" t="s">
        <v>7</v>
      </c>
      <c r="B267" s="9" t="s">
        <v>22</v>
      </c>
      <c r="C267" s="13" t="s">
        <v>212</v>
      </c>
      <c r="D267" s="44" t="s">
        <v>211</v>
      </c>
      <c r="E267" s="13" t="s">
        <v>883</v>
      </c>
      <c r="F267" s="15">
        <v>4</v>
      </c>
      <c r="G267" s="15">
        <v>76000</v>
      </c>
      <c r="H267" s="15">
        <v>9600</v>
      </c>
    </row>
    <row r="268" spans="1:8">
      <c r="A268" s="13" t="s">
        <v>7</v>
      </c>
      <c r="B268" s="9" t="s">
        <v>24</v>
      </c>
      <c r="C268" s="13" t="s">
        <v>570</v>
      </c>
      <c r="D268" s="44" t="s">
        <v>569</v>
      </c>
      <c r="E268" s="13" t="s">
        <v>884</v>
      </c>
      <c r="F268" s="15">
        <v>1</v>
      </c>
      <c r="G268" s="15">
        <v>76000</v>
      </c>
      <c r="H268" s="15">
        <v>0</v>
      </c>
    </row>
    <row r="269" spans="1:8">
      <c r="A269" s="13" t="s">
        <v>7</v>
      </c>
      <c r="B269" s="13" t="s">
        <v>23</v>
      </c>
      <c r="C269" s="13" t="s">
        <v>118</v>
      </c>
      <c r="D269" s="44" t="s">
        <v>117</v>
      </c>
      <c r="E269" s="13" t="s">
        <v>885</v>
      </c>
      <c r="F269" s="15">
        <v>3</v>
      </c>
      <c r="G269" s="15">
        <v>75620</v>
      </c>
      <c r="H269" s="15">
        <v>5170</v>
      </c>
    </row>
    <row r="270" spans="1:8">
      <c r="A270" s="13" t="s">
        <v>7</v>
      </c>
      <c r="B270" s="9" t="s">
        <v>24</v>
      </c>
      <c r="C270" s="13" t="s">
        <v>88</v>
      </c>
      <c r="D270" s="44" t="s">
        <v>87</v>
      </c>
      <c r="E270" s="13" t="s">
        <v>886</v>
      </c>
      <c r="F270" s="15">
        <v>1</v>
      </c>
      <c r="G270" s="15">
        <v>75000</v>
      </c>
      <c r="H270" s="15">
        <v>0</v>
      </c>
    </row>
    <row r="271" spans="1:8">
      <c r="A271" s="13" t="s">
        <v>7</v>
      </c>
      <c r="B271" s="9" t="s">
        <v>24</v>
      </c>
      <c r="C271" s="13" t="s">
        <v>570</v>
      </c>
      <c r="D271" s="44" t="s">
        <v>569</v>
      </c>
      <c r="E271" s="13" t="s">
        <v>887</v>
      </c>
      <c r="F271" s="15">
        <v>2</v>
      </c>
      <c r="G271" s="15">
        <v>75000</v>
      </c>
      <c r="H271" s="15">
        <v>15000</v>
      </c>
    </row>
    <row r="272" spans="1:8">
      <c r="A272" s="13" t="s">
        <v>7</v>
      </c>
      <c r="B272" s="13" t="s">
        <v>22</v>
      </c>
      <c r="C272" s="13" t="s">
        <v>326</v>
      </c>
      <c r="D272" s="44" t="s">
        <v>325</v>
      </c>
      <c r="E272" s="13" t="s">
        <v>888</v>
      </c>
      <c r="F272" s="15">
        <v>1</v>
      </c>
      <c r="G272" s="15">
        <v>74500</v>
      </c>
      <c r="H272" s="15">
        <v>0</v>
      </c>
    </row>
    <row r="273" spans="1:8">
      <c r="A273" s="13" t="s">
        <v>7</v>
      </c>
      <c r="B273" s="13" t="s">
        <v>23</v>
      </c>
      <c r="C273" s="13" t="s">
        <v>118</v>
      </c>
      <c r="D273" s="44" t="s">
        <v>117</v>
      </c>
      <c r="E273" s="13" t="s">
        <v>889</v>
      </c>
      <c r="F273" s="15">
        <v>5</v>
      </c>
      <c r="G273" s="15">
        <v>73800</v>
      </c>
      <c r="H273" s="15">
        <v>3000</v>
      </c>
    </row>
    <row r="274" spans="1:8">
      <c r="A274" s="13" t="s">
        <v>7</v>
      </c>
      <c r="B274" s="13" t="s">
        <v>24</v>
      </c>
      <c r="C274" s="13" t="s">
        <v>388</v>
      </c>
      <c r="D274" s="44" t="s">
        <v>387</v>
      </c>
      <c r="E274" s="13" t="s">
        <v>890</v>
      </c>
      <c r="F274" s="15">
        <v>4</v>
      </c>
      <c r="G274" s="15">
        <v>73000</v>
      </c>
      <c r="H274" s="15">
        <v>0</v>
      </c>
    </row>
    <row r="275" spans="1:8">
      <c r="A275" s="13" t="s">
        <v>7</v>
      </c>
      <c r="B275" s="9" t="s">
        <v>23</v>
      </c>
      <c r="C275" s="13" t="s">
        <v>118</v>
      </c>
      <c r="D275" s="44" t="s">
        <v>117</v>
      </c>
      <c r="E275" s="13" t="s">
        <v>891</v>
      </c>
      <c r="F275" s="15">
        <v>3</v>
      </c>
      <c r="G275" s="15">
        <v>72900</v>
      </c>
      <c r="H275" s="15">
        <v>11120</v>
      </c>
    </row>
    <row r="276" spans="1:8">
      <c r="A276" s="13" t="s">
        <v>7</v>
      </c>
      <c r="B276" s="13" t="s">
        <v>22</v>
      </c>
      <c r="C276" s="13" t="s">
        <v>534</v>
      </c>
      <c r="D276" s="44" t="s">
        <v>533</v>
      </c>
      <c r="E276" s="13" t="s">
        <v>892</v>
      </c>
      <c r="F276" s="15">
        <v>2</v>
      </c>
      <c r="G276" s="15">
        <v>71980</v>
      </c>
      <c r="H276" s="15">
        <v>7200</v>
      </c>
    </row>
    <row r="277" spans="1:8">
      <c r="A277" s="13" t="s">
        <v>7</v>
      </c>
      <c r="B277" s="9" t="s">
        <v>24</v>
      </c>
      <c r="C277" s="13" t="s">
        <v>322</v>
      </c>
      <c r="D277" s="44" t="s">
        <v>321</v>
      </c>
      <c r="E277" s="13" t="s">
        <v>893</v>
      </c>
      <c r="F277" s="15">
        <v>5</v>
      </c>
      <c r="G277" s="15">
        <v>71180</v>
      </c>
      <c r="H277" s="15">
        <v>3570</v>
      </c>
    </row>
    <row r="278" spans="1:8">
      <c r="A278" s="13" t="s">
        <v>7</v>
      </c>
      <c r="B278" s="9" t="s">
        <v>24</v>
      </c>
      <c r="C278" s="13" t="s">
        <v>404</v>
      </c>
      <c r="D278" s="44" t="s">
        <v>403</v>
      </c>
      <c r="E278" s="13" t="s">
        <v>894</v>
      </c>
      <c r="F278" s="15">
        <v>3</v>
      </c>
      <c r="G278" s="15">
        <v>70000</v>
      </c>
      <c r="H278" s="15">
        <v>11200</v>
      </c>
    </row>
    <row r="279" spans="1:8">
      <c r="A279" s="13" t="s">
        <v>7</v>
      </c>
      <c r="B279" s="9" t="s">
        <v>24</v>
      </c>
      <c r="C279" s="13" t="s">
        <v>88</v>
      </c>
      <c r="D279" s="44" t="s">
        <v>87</v>
      </c>
      <c r="E279" s="13" t="s">
        <v>895</v>
      </c>
      <c r="F279" s="15">
        <v>2</v>
      </c>
      <c r="G279" s="15">
        <v>70000</v>
      </c>
      <c r="H279" s="15">
        <v>13860</v>
      </c>
    </row>
    <row r="280" spans="1:8">
      <c r="A280" s="13" t="s">
        <v>7</v>
      </c>
      <c r="B280" s="9" t="s">
        <v>24</v>
      </c>
      <c r="C280" s="13" t="s">
        <v>576</v>
      </c>
      <c r="D280" s="44" t="s">
        <v>575</v>
      </c>
      <c r="E280" s="13" t="s">
        <v>896</v>
      </c>
      <c r="F280" s="15">
        <v>4</v>
      </c>
      <c r="G280" s="15">
        <v>67600</v>
      </c>
      <c r="H280" s="15">
        <v>10140</v>
      </c>
    </row>
    <row r="281" spans="1:8">
      <c r="A281" s="13" t="s">
        <v>7</v>
      </c>
      <c r="B281" s="13" t="s">
        <v>23</v>
      </c>
      <c r="C281" s="13" t="s">
        <v>202</v>
      </c>
      <c r="D281" s="44" t="s">
        <v>201</v>
      </c>
      <c r="E281" s="13" t="s">
        <v>897</v>
      </c>
      <c r="F281" s="15">
        <v>3</v>
      </c>
      <c r="G281" s="15">
        <v>67500</v>
      </c>
      <c r="H281" s="15">
        <v>0</v>
      </c>
    </row>
    <row r="282" spans="1:8">
      <c r="A282" s="13" t="s">
        <v>7</v>
      </c>
      <c r="B282" s="9" t="s">
        <v>24</v>
      </c>
      <c r="C282" s="13" t="s">
        <v>388</v>
      </c>
      <c r="D282" s="44" t="s">
        <v>387</v>
      </c>
      <c r="E282" s="13" t="s">
        <v>898</v>
      </c>
      <c r="F282" s="15">
        <v>1</v>
      </c>
      <c r="G282" s="15">
        <v>66000</v>
      </c>
      <c r="H282" s="15">
        <v>0</v>
      </c>
    </row>
    <row r="283" spans="1:8">
      <c r="A283" s="13" t="s">
        <v>7</v>
      </c>
      <c r="B283" s="13" t="s">
        <v>22</v>
      </c>
      <c r="C283" s="13" t="s">
        <v>400</v>
      </c>
      <c r="D283" s="44" t="s">
        <v>399</v>
      </c>
      <c r="E283" s="13" t="s">
        <v>899</v>
      </c>
      <c r="F283" s="15">
        <v>4</v>
      </c>
      <c r="G283" s="15">
        <v>65500</v>
      </c>
      <c r="H283" s="15">
        <v>0</v>
      </c>
    </row>
    <row r="284" spans="1:8">
      <c r="A284" s="13" t="s">
        <v>7</v>
      </c>
      <c r="B284" s="13" t="s">
        <v>23</v>
      </c>
      <c r="C284" s="13" t="s">
        <v>100</v>
      </c>
      <c r="D284" s="44" t="s">
        <v>99</v>
      </c>
      <c r="E284" s="13" t="s">
        <v>900</v>
      </c>
      <c r="F284" s="15">
        <v>2</v>
      </c>
      <c r="G284" s="15">
        <v>65400</v>
      </c>
      <c r="H284" s="15">
        <v>8720</v>
      </c>
    </row>
    <row r="285" spans="1:8">
      <c r="A285" s="13" t="s">
        <v>7</v>
      </c>
      <c r="B285" s="9" t="s">
        <v>24</v>
      </c>
      <c r="C285" s="13" t="s">
        <v>576</v>
      </c>
      <c r="D285" s="44" t="s">
        <v>575</v>
      </c>
      <c r="E285" s="13" t="s">
        <v>901</v>
      </c>
      <c r="F285" s="15">
        <v>3</v>
      </c>
      <c r="G285" s="15">
        <v>65200</v>
      </c>
      <c r="H285" s="15">
        <v>10000</v>
      </c>
    </row>
    <row r="286" spans="1:8">
      <c r="A286" s="13" t="s">
        <v>7</v>
      </c>
      <c r="B286" s="9" t="s">
        <v>24</v>
      </c>
      <c r="C286" s="13" t="s">
        <v>322</v>
      </c>
      <c r="D286" s="44" t="s">
        <v>321</v>
      </c>
      <c r="E286" s="13" t="s">
        <v>902</v>
      </c>
      <c r="F286" s="15">
        <v>4</v>
      </c>
      <c r="G286" s="15">
        <v>64700</v>
      </c>
      <c r="H286" s="15">
        <v>6480</v>
      </c>
    </row>
    <row r="287" spans="1:8">
      <c r="A287" s="13" t="s">
        <v>7</v>
      </c>
      <c r="B287" s="9" t="s">
        <v>24</v>
      </c>
      <c r="C287" s="13" t="s">
        <v>576</v>
      </c>
      <c r="D287" s="44" t="s">
        <v>575</v>
      </c>
      <c r="E287" s="13" t="s">
        <v>903</v>
      </c>
      <c r="F287" s="15">
        <v>1</v>
      </c>
      <c r="G287" s="15">
        <v>64000</v>
      </c>
      <c r="H287" s="15">
        <v>10000</v>
      </c>
    </row>
    <row r="288" spans="1:8">
      <c r="A288" s="13" t="s">
        <v>7</v>
      </c>
      <c r="B288" s="9" t="s">
        <v>24</v>
      </c>
      <c r="C288" s="13" t="s">
        <v>322</v>
      </c>
      <c r="D288" s="44" t="s">
        <v>321</v>
      </c>
      <c r="E288" s="13" t="s">
        <v>904</v>
      </c>
      <c r="F288" s="15">
        <v>3</v>
      </c>
      <c r="G288" s="15">
        <v>63900</v>
      </c>
      <c r="H288" s="15">
        <v>10220</v>
      </c>
    </row>
    <row r="289" spans="1:8">
      <c r="A289" s="13" t="s">
        <v>7</v>
      </c>
      <c r="B289" s="9" t="s">
        <v>24</v>
      </c>
      <c r="C289" s="13" t="s">
        <v>570</v>
      </c>
      <c r="D289" s="44" t="s">
        <v>569</v>
      </c>
      <c r="E289" s="13" t="s">
        <v>905</v>
      </c>
      <c r="F289" s="15">
        <v>1</v>
      </c>
      <c r="G289" s="15">
        <v>62700</v>
      </c>
      <c r="H289" s="15">
        <v>0</v>
      </c>
    </row>
    <row r="290" spans="1:8">
      <c r="A290" s="13" t="s">
        <v>7</v>
      </c>
      <c r="B290" s="9" t="s">
        <v>24</v>
      </c>
      <c r="C290" s="13" t="s">
        <v>320</v>
      </c>
      <c r="D290" s="44" t="s">
        <v>319</v>
      </c>
      <c r="E290" s="13" t="s">
        <v>906</v>
      </c>
      <c r="F290" s="15">
        <v>3</v>
      </c>
      <c r="G290" s="15">
        <v>62000</v>
      </c>
      <c r="H290" s="15">
        <v>8800</v>
      </c>
    </row>
    <row r="291" spans="1:8">
      <c r="A291" s="13" t="s">
        <v>7</v>
      </c>
      <c r="B291" s="13" t="s">
        <v>22</v>
      </c>
      <c r="C291" s="13" t="s">
        <v>68</v>
      </c>
      <c r="D291" s="13" t="s">
        <v>67</v>
      </c>
      <c r="E291" s="13" t="s">
        <v>907</v>
      </c>
      <c r="F291" s="15">
        <v>2</v>
      </c>
      <c r="G291" s="15">
        <v>61100</v>
      </c>
      <c r="H291" s="15">
        <v>2740</v>
      </c>
    </row>
    <row r="292" spans="1:8">
      <c r="A292" s="13" t="s">
        <v>7</v>
      </c>
      <c r="B292" s="13" t="s">
        <v>22</v>
      </c>
      <c r="C292" s="13" t="s">
        <v>588</v>
      </c>
      <c r="D292" s="13" t="s">
        <v>587</v>
      </c>
      <c r="E292" s="13" t="s">
        <v>908</v>
      </c>
      <c r="F292" s="15">
        <v>2</v>
      </c>
      <c r="G292" s="15">
        <v>60300</v>
      </c>
      <c r="H292" s="15">
        <v>12060</v>
      </c>
    </row>
    <row r="293" spans="1:8">
      <c r="A293" s="13" t="s">
        <v>7</v>
      </c>
      <c r="B293" s="13" t="s">
        <v>22</v>
      </c>
      <c r="C293" s="13" t="s">
        <v>326</v>
      </c>
      <c r="D293" s="13" t="s">
        <v>325</v>
      </c>
      <c r="E293" s="13" t="s">
        <v>909</v>
      </c>
      <c r="F293" s="15">
        <v>1</v>
      </c>
      <c r="G293" s="15">
        <v>60000</v>
      </c>
      <c r="H293" s="15">
        <v>0</v>
      </c>
    </row>
    <row r="294" spans="1:8">
      <c r="A294" s="13" t="s">
        <v>7</v>
      </c>
      <c r="B294" s="9" t="s">
        <v>22</v>
      </c>
      <c r="C294" s="13" t="s">
        <v>598</v>
      </c>
      <c r="D294" s="13" t="s">
        <v>597</v>
      </c>
      <c r="E294" s="13" t="s">
        <v>910</v>
      </c>
      <c r="F294" s="15">
        <v>3</v>
      </c>
      <c r="G294" s="15">
        <v>60000</v>
      </c>
      <c r="H294" s="15">
        <v>0</v>
      </c>
    </row>
    <row r="295" spans="1:8">
      <c r="A295" s="13" t="s">
        <v>7</v>
      </c>
      <c r="B295" s="13" t="s">
        <v>24</v>
      </c>
      <c r="C295" s="13" t="s">
        <v>606</v>
      </c>
      <c r="D295" s="13" t="s">
        <v>605</v>
      </c>
      <c r="E295" s="13" t="s">
        <v>911</v>
      </c>
      <c r="F295" s="15">
        <v>1</v>
      </c>
      <c r="G295" s="15">
        <v>60000</v>
      </c>
      <c r="H295" s="15">
        <v>10000</v>
      </c>
    </row>
    <row r="296" spans="1:8">
      <c r="A296" s="13" t="s">
        <v>7</v>
      </c>
      <c r="B296" s="9" t="s">
        <v>22</v>
      </c>
      <c r="C296" s="13" t="s">
        <v>106</v>
      </c>
      <c r="D296" s="13" t="s">
        <v>105</v>
      </c>
      <c r="E296" s="13" t="s">
        <v>912</v>
      </c>
      <c r="F296" s="15">
        <v>2</v>
      </c>
      <c r="G296" s="15">
        <v>59000</v>
      </c>
      <c r="H296" s="15">
        <v>0</v>
      </c>
    </row>
    <row r="297" spans="1:8">
      <c r="A297" s="13" t="s">
        <v>7</v>
      </c>
      <c r="B297" s="9" t="s">
        <v>24</v>
      </c>
      <c r="C297" s="13" t="s">
        <v>514</v>
      </c>
      <c r="D297" s="13" t="s">
        <v>513</v>
      </c>
      <c r="E297" s="13" t="s">
        <v>913</v>
      </c>
      <c r="F297" s="15">
        <v>2</v>
      </c>
      <c r="G297" s="15">
        <v>58000</v>
      </c>
      <c r="H297" s="15">
        <v>0</v>
      </c>
    </row>
    <row r="298" spans="1:8">
      <c r="A298" s="13" t="s">
        <v>7</v>
      </c>
      <c r="B298" s="13" t="s">
        <v>24</v>
      </c>
      <c r="C298" s="13" t="s">
        <v>108</v>
      </c>
      <c r="D298" s="13" t="s">
        <v>107</v>
      </c>
      <c r="E298" s="13" t="s">
        <v>914</v>
      </c>
      <c r="F298" s="15">
        <v>2</v>
      </c>
      <c r="G298" s="15">
        <v>58000</v>
      </c>
      <c r="H298" s="15">
        <v>0</v>
      </c>
    </row>
    <row r="299" spans="1:8">
      <c r="A299" s="13" t="s">
        <v>7</v>
      </c>
      <c r="B299" s="13" t="s">
        <v>22</v>
      </c>
      <c r="C299" s="13" t="s">
        <v>588</v>
      </c>
      <c r="D299" s="13" t="s">
        <v>587</v>
      </c>
      <c r="E299" s="13" t="s">
        <v>915</v>
      </c>
      <c r="F299" s="15">
        <v>4</v>
      </c>
      <c r="G299" s="15">
        <v>57140</v>
      </c>
      <c r="H299" s="15">
        <v>9270</v>
      </c>
    </row>
    <row r="300" spans="1:8">
      <c r="A300" s="13" t="s">
        <v>7</v>
      </c>
      <c r="B300" s="13" t="s">
        <v>23</v>
      </c>
      <c r="C300" s="13" t="s">
        <v>118</v>
      </c>
      <c r="D300" s="13" t="s">
        <v>117</v>
      </c>
      <c r="E300" s="13" t="s">
        <v>916</v>
      </c>
      <c r="F300" s="15">
        <v>4</v>
      </c>
      <c r="G300" s="15">
        <v>56600</v>
      </c>
      <c r="H300" s="15">
        <v>9260</v>
      </c>
    </row>
    <row r="301" spans="1:8">
      <c r="A301" s="13" t="s">
        <v>7</v>
      </c>
      <c r="B301" s="9" t="s">
        <v>24</v>
      </c>
      <c r="C301" s="13" t="s">
        <v>322</v>
      </c>
      <c r="D301" s="13" t="s">
        <v>321</v>
      </c>
      <c r="E301" s="13" t="s">
        <v>917</v>
      </c>
      <c r="F301" s="15">
        <v>4</v>
      </c>
      <c r="G301" s="15">
        <v>55000</v>
      </c>
      <c r="H301" s="15">
        <v>0</v>
      </c>
    </row>
    <row r="302" spans="1:8">
      <c r="A302" s="13" t="s">
        <v>7</v>
      </c>
      <c r="B302" s="13" t="s">
        <v>22</v>
      </c>
      <c r="C302" s="13" t="s">
        <v>326</v>
      </c>
      <c r="D302" s="13" t="s">
        <v>325</v>
      </c>
      <c r="E302" s="13" t="s">
        <v>918</v>
      </c>
      <c r="F302" s="15">
        <v>2</v>
      </c>
      <c r="G302" s="15">
        <v>53700</v>
      </c>
      <c r="H302" s="15">
        <v>0</v>
      </c>
    </row>
    <row r="303" spans="1:8">
      <c r="A303" s="13" t="s">
        <v>7</v>
      </c>
      <c r="B303" s="13" t="s">
        <v>23</v>
      </c>
      <c r="C303" s="13" t="s">
        <v>118</v>
      </c>
      <c r="D303" s="13" t="s">
        <v>117</v>
      </c>
      <c r="E303" s="13" t="s">
        <v>919</v>
      </c>
      <c r="F303" s="15">
        <v>6</v>
      </c>
      <c r="G303" s="15">
        <v>53440</v>
      </c>
      <c r="H303" s="15">
        <v>6690</v>
      </c>
    </row>
    <row r="304" spans="1:8">
      <c r="A304" s="13" t="s">
        <v>7</v>
      </c>
      <c r="B304" s="9" t="s">
        <v>24</v>
      </c>
      <c r="C304" s="13" t="s">
        <v>606</v>
      </c>
      <c r="D304" s="13" t="s">
        <v>605</v>
      </c>
      <c r="E304" s="13" t="s">
        <v>920</v>
      </c>
      <c r="F304" s="15">
        <v>1</v>
      </c>
      <c r="G304" s="15">
        <v>50000</v>
      </c>
      <c r="H304" s="15">
        <v>8500</v>
      </c>
    </row>
    <row r="305" spans="1:8">
      <c r="A305" s="13" t="s">
        <v>7</v>
      </c>
      <c r="B305" s="13" t="s">
        <v>22</v>
      </c>
      <c r="C305" s="13" t="s">
        <v>602</v>
      </c>
      <c r="D305" s="13" t="s">
        <v>601</v>
      </c>
      <c r="E305" s="13" t="s">
        <v>921</v>
      </c>
      <c r="F305" s="15">
        <v>2</v>
      </c>
      <c r="G305" s="15">
        <v>50000</v>
      </c>
      <c r="H305" s="15">
        <v>5000</v>
      </c>
    </row>
    <row r="306" spans="1:8">
      <c r="A306" s="13" t="s">
        <v>7</v>
      </c>
      <c r="B306" s="9" t="s">
        <v>24</v>
      </c>
      <c r="C306" s="13" t="s">
        <v>570</v>
      </c>
      <c r="D306" s="13" t="s">
        <v>569</v>
      </c>
      <c r="E306" s="13" t="s">
        <v>922</v>
      </c>
      <c r="F306" s="15">
        <v>1</v>
      </c>
      <c r="G306" s="15">
        <v>50000</v>
      </c>
      <c r="H306" s="15">
        <v>10000</v>
      </c>
    </row>
    <row r="307" spans="1:8">
      <c r="A307" s="13" t="s">
        <v>7</v>
      </c>
      <c r="B307" s="9" t="s">
        <v>24</v>
      </c>
      <c r="C307" s="13" t="s">
        <v>570</v>
      </c>
      <c r="D307" s="13" t="s">
        <v>569</v>
      </c>
      <c r="E307" s="13" t="s">
        <v>923</v>
      </c>
      <c r="F307" s="15">
        <v>1</v>
      </c>
      <c r="G307" s="15">
        <v>50000</v>
      </c>
      <c r="H307" s="15">
        <v>10000</v>
      </c>
    </row>
    <row r="308" spans="1:8">
      <c r="A308" s="13" t="s">
        <v>7</v>
      </c>
      <c r="B308" s="9" t="s">
        <v>24</v>
      </c>
      <c r="C308" s="13" t="s">
        <v>404</v>
      </c>
      <c r="D308" s="13" t="s">
        <v>403</v>
      </c>
      <c r="E308" s="13" t="s">
        <v>924</v>
      </c>
      <c r="F308" s="15">
        <v>1</v>
      </c>
      <c r="G308" s="15">
        <v>49280</v>
      </c>
      <c r="H308" s="15">
        <v>0</v>
      </c>
    </row>
    <row r="309" spans="1:8">
      <c r="A309" s="13" t="s">
        <v>7</v>
      </c>
      <c r="B309" s="13" t="s">
        <v>22</v>
      </c>
      <c r="C309" s="13" t="s">
        <v>212</v>
      </c>
      <c r="D309" s="13" t="s">
        <v>211</v>
      </c>
      <c r="E309" s="13" t="s">
        <v>925</v>
      </c>
      <c r="F309" s="15">
        <v>8</v>
      </c>
      <c r="G309" s="15">
        <v>48000</v>
      </c>
      <c r="H309" s="15">
        <v>1200</v>
      </c>
    </row>
    <row r="310" spans="1:8">
      <c r="A310" s="13" t="s">
        <v>7</v>
      </c>
      <c r="B310" s="9" t="s">
        <v>24</v>
      </c>
      <c r="C310" s="13" t="s">
        <v>438</v>
      </c>
      <c r="D310" s="13" t="s">
        <v>437</v>
      </c>
      <c r="E310" s="13" t="s">
        <v>926</v>
      </c>
      <c r="F310" s="15">
        <v>3</v>
      </c>
      <c r="G310" s="15">
        <v>48000</v>
      </c>
      <c r="H310" s="15">
        <v>0</v>
      </c>
    </row>
    <row r="311" spans="1:8">
      <c r="A311" s="13" t="s">
        <v>7</v>
      </c>
      <c r="B311" s="9" t="s">
        <v>24</v>
      </c>
      <c r="C311" s="13" t="s">
        <v>606</v>
      </c>
      <c r="D311" s="13" t="s">
        <v>605</v>
      </c>
      <c r="E311" s="13" t="s">
        <v>927</v>
      </c>
      <c r="F311" s="15">
        <v>5</v>
      </c>
      <c r="G311" s="15">
        <v>47500</v>
      </c>
      <c r="H311" s="15">
        <v>1900</v>
      </c>
    </row>
    <row r="312" spans="1:8">
      <c r="A312" s="13" t="s">
        <v>7</v>
      </c>
      <c r="B312" s="13" t="s">
        <v>22</v>
      </c>
      <c r="C312" s="13" t="s">
        <v>404</v>
      </c>
      <c r="D312" s="13" t="s">
        <v>403</v>
      </c>
      <c r="E312" s="13" t="s">
        <v>928</v>
      </c>
      <c r="F312" s="15">
        <v>3</v>
      </c>
      <c r="G312" s="15">
        <v>47400</v>
      </c>
      <c r="H312" s="15">
        <v>2350</v>
      </c>
    </row>
    <row r="313" spans="1:8">
      <c r="A313" s="13" t="s">
        <v>7</v>
      </c>
      <c r="B313" s="13" t="s">
        <v>24</v>
      </c>
      <c r="C313" s="13" t="s">
        <v>560</v>
      </c>
      <c r="D313" s="13" t="s">
        <v>559</v>
      </c>
      <c r="E313" s="13" t="s">
        <v>929</v>
      </c>
      <c r="F313" s="15">
        <v>3</v>
      </c>
      <c r="G313" s="15">
        <v>47120</v>
      </c>
      <c r="H313" s="15">
        <v>0</v>
      </c>
    </row>
    <row r="314" spans="1:8">
      <c r="A314" s="13" t="s">
        <v>7</v>
      </c>
      <c r="B314" s="9" t="s">
        <v>23</v>
      </c>
      <c r="C314" s="13" t="s">
        <v>118</v>
      </c>
      <c r="D314" s="13" t="s">
        <v>117</v>
      </c>
      <c r="E314" s="13" t="s">
        <v>930</v>
      </c>
      <c r="F314" s="15">
        <v>2</v>
      </c>
      <c r="G314" s="15">
        <v>44000</v>
      </c>
      <c r="H314" s="15">
        <v>0</v>
      </c>
    </row>
    <row r="315" spans="1:8">
      <c r="A315" s="13" t="s">
        <v>7</v>
      </c>
      <c r="B315" s="9" t="s">
        <v>24</v>
      </c>
      <c r="C315" s="13" t="s">
        <v>570</v>
      </c>
      <c r="D315" s="13" t="s">
        <v>569</v>
      </c>
      <c r="E315" s="13" t="s">
        <v>931</v>
      </c>
      <c r="F315" s="15">
        <v>2</v>
      </c>
      <c r="G315" s="15">
        <v>44000</v>
      </c>
      <c r="H315" s="15">
        <v>8400</v>
      </c>
    </row>
    <row r="316" spans="1:8">
      <c r="A316" s="13" t="s">
        <v>7</v>
      </c>
      <c r="B316" s="13" t="s">
        <v>22</v>
      </c>
      <c r="C316" s="13" t="s">
        <v>326</v>
      </c>
      <c r="D316" s="13" t="s">
        <v>325</v>
      </c>
      <c r="E316" s="13" t="s">
        <v>932</v>
      </c>
      <c r="F316" s="15">
        <v>1</v>
      </c>
      <c r="G316" s="15">
        <v>42800</v>
      </c>
      <c r="H316" s="15">
        <v>0</v>
      </c>
    </row>
    <row r="317" spans="1:8">
      <c r="A317" s="13" t="s">
        <v>7</v>
      </c>
      <c r="B317" s="13" t="s">
        <v>22</v>
      </c>
      <c r="C317" s="13" t="s">
        <v>326</v>
      </c>
      <c r="D317" s="13" t="s">
        <v>325</v>
      </c>
      <c r="E317" s="13" t="s">
        <v>933</v>
      </c>
      <c r="F317" s="15">
        <v>1</v>
      </c>
      <c r="G317" s="15">
        <v>42300</v>
      </c>
      <c r="H317" s="15">
        <v>0</v>
      </c>
    </row>
    <row r="318" spans="1:8">
      <c r="A318" s="13" t="s">
        <v>7</v>
      </c>
      <c r="B318" s="9" t="s">
        <v>24</v>
      </c>
      <c r="C318" s="13" t="s">
        <v>516</v>
      </c>
      <c r="D318" s="13" t="s">
        <v>515</v>
      </c>
      <c r="E318" s="13" t="s">
        <v>934</v>
      </c>
      <c r="F318" s="15">
        <v>2</v>
      </c>
      <c r="G318" s="15">
        <v>42000</v>
      </c>
      <c r="H318" s="15">
        <v>0</v>
      </c>
    </row>
    <row r="319" spans="1:8">
      <c r="A319" s="13" t="s">
        <v>7</v>
      </c>
      <c r="B319" s="9" t="s">
        <v>24</v>
      </c>
      <c r="C319" s="13" t="s">
        <v>580</v>
      </c>
      <c r="D319" s="13" t="s">
        <v>579</v>
      </c>
      <c r="E319" s="13" t="s">
        <v>935</v>
      </c>
      <c r="F319" s="15">
        <v>4</v>
      </c>
      <c r="G319" s="15">
        <v>41500</v>
      </c>
      <c r="H319" s="15">
        <v>4800</v>
      </c>
    </row>
    <row r="320" spans="1:8">
      <c r="A320" s="13" t="s">
        <v>7</v>
      </c>
      <c r="B320" s="13" t="s">
        <v>22</v>
      </c>
      <c r="C320" s="13" t="s">
        <v>302</v>
      </c>
      <c r="D320" s="13" t="s">
        <v>301</v>
      </c>
      <c r="E320" s="13" t="s">
        <v>936</v>
      </c>
      <c r="F320" s="15">
        <v>1</v>
      </c>
      <c r="G320" s="15">
        <v>41000</v>
      </c>
      <c r="H320" s="15">
        <v>0</v>
      </c>
    </row>
    <row r="321" spans="1:8">
      <c r="A321" s="13" t="s">
        <v>7</v>
      </c>
      <c r="B321" s="13" t="s">
        <v>22</v>
      </c>
      <c r="C321" s="13" t="s">
        <v>214</v>
      </c>
      <c r="D321" s="13" t="s">
        <v>213</v>
      </c>
      <c r="E321" s="13" t="s">
        <v>937</v>
      </c>
      <c r="F321" s="15">
        <v>1</v>
      </c>
      <c r="G321" s="15">
        <v>40000</v>
      </c>
      <c r="H321" s="15">
        <v>8000</v>
      </c>
    </row>
    <row r="322" spans="1:8">
      <c r="A322" s="13" t="s">
        <v>7</v>
      </c>
      <c r="B322" s="13" t="s">
        <v>22</v>
      </c>
      <c r="C322" s="13" t="s">
        <v>400</v>
      </c>
      <c r="D322" s="13" t="s">
        <v>399</v>
      </c>
      <c r="E322" s="13" t="s">
        <v>938</v>
      </c>
      <c r="F322" s="15">
        <v>2</v>
      </c>
      <c r="G322" s="15">
        <v>39000</v>
      </c>
      <c r="H322" s="15">
        <v>0</v>
      </c>
    </row>
    <row r="323" spans="1:8">
      <c r="A323" s="13" t="s">
        <v>7</v>
      </c>
      <c r="B323" s="13" t="s">
        <v>22</v>
      </c>
      <c r="C323" s="13" t="s">
        <v>448</v>
      </c>
      <c r="D323" s="13" t="s">
        <v>447</v>
      </c>
      <c r="E323" s="13" t="s">
        <v>939</v>
      </c>
      <c r="F323" s="15">
        <v>1</v>
      </c>
      <c r="G323" s="15">
        <v>36900</v>
      </c>
      <c r="H323" s="15">
        <v>0</v>
      </c>
    </row>
    <row r="324" spans="1:8">
      <c r="A324" s="13" t="s">
        <v>7</v>
      </c>
      <c r="B324" s="9" t="s">
        <v>24</v>
      </c>
      <c r="C324" s="13" t="s">
        <v>516</v>
      </c>
      <c r="D324" s="13" t="s">
        <v>515</v>
      </c>
      <c r="E324" s="13" t="s">
        <v>940</v>
      </c>
      <c r="F324" s="15">
        <v>2</v>
      </c>
      <c r="G324" s="15">
        <v>36500</v>
      </c>
      <c r="H324" s="15">
        <v>0</v>
      </c>
    </row>
    <row r="325" spans="1:8">
      <c r="A325" s="13" t="s">
        <v>7</v>
      </c>
      <c r="B325" s="9" t="s">
        <v>24</v>
      </c>
      <c r="C325" s="13" t="s">
        <v>606</v>
      </c>
      <c r="D325" s="13" t="s">
        <v>605</v>
      </c>
      <c r="E325" s="13" t="s">
        <v>941</v>
      </c>
      <c r="F325" s="15">
        <v>1</v>
      </c>
      <c r="G325" s="15">
        <v>36000</v>
      </c>
      <c r="H325" s="15">
        <v>6120</v>
      </c>
    </row>
    <row r="326" spans="1:8">
      <c r="A326" s="13" t="s">
        <v>7</v>
      </c>
      <c r="B326" s="9" t="s">
        <v>24</v>
      </c>
      <c r="C326" s="13" t="s">
        <v>598</v>
      </c>
      <c r="D326" s="13" t="s">
        <v>597</v>
      </c>
      <c r="E326" s="13" t="s">
        <v>942</v>
      </c>
      <c r="F326" s="15">
        <v>2</v>
      </c>
      <c r="G326" s="15">
        <v>36000</v>
      </c>
      <c r="H326" s="15">
        <v>4800</v>
      </c>
    </row>
    <row r="327" spans="1:8">
      <c r="A327" s="13" t="s">
        <v>7</v>
      </c>
      <c r="B327" s="9" t="s">
        <v>24</v>
      </c>
      <c r="C327" s="13" t="s">
        <v>66</v>
      </c>
      <c r="D327" s="13" t="s">
        <v>65</v>
      </c>
      <c r="E327" s="13" t="s">
        <v>943</v>
      </c>
      <c r="F327" s="15">
        <v>1</v>
      </c>
      <c r="G327" s="15">
        <v>36000</v>
      </c>
      <c r="H327" s="15">
        <v>0</v>
      </c>
    </row>
    <row r="328" spans="1:8">
      <c r="A328" s="13" t="s">
        <v>7</v>
      </c>
      <c r="B328" s="13" t="s">
        <v>22</v>
      </c>
      <c r="C328" s="13" t="s">
        <v>310</v>
      </c>
      <c r="D328" s="13" t="s">
        <v>309</v>
      </c>
      <c r="E328" s="13" t="s">
        <v>944</v>
      </c>
      <c r="F328" s="15">
        <v>1</v>
      </c>
      <c r="G328" s="15">
        <v>35900</v>
      </c>
      <c r="H328" s="15">
        <v>0</v>
      </c>
    </row>
    <row r="329" spans="1:8">
      <c r="A329" s="13" t="s">
        <v>7</v>
      </c>
      <c r="B329" s="13" t="s">
        <v>22</v>
      </c>
      <c r="C329" s="13" t="s">
        <v>106</v>
      </c>
      <c r="D329" s="13" t="s">
        <v>105</v>
      </c>
      <c r="E329" s="13" t="s">
        <v>945</v>
      </c>
      <c r="F329" s="15">
        <v>2</v>
      </c>
      <c r="G329" s="15">
        <v>35800</v>
      </c>
      <c r="H329" s="15">
        <v>0</v>
      </c>
    </row>
    <row r="330" spans="1:8">
      <c r="A330" s="13" t="s">
        <v>7</v>
      </c>
      <c r="B330" s="13" t="s">
        <v>22</v>
      </c>
      <c r="C330" s="13" t="s">
        <v>106</v>
      </c>
      <c r="D330" s="13" t="s">
        <v>105</v>
      </c>
      <c r="E330" s="13" t="s">
        <v>946</v>
      </c>
      <c r="F330" s="15">
        <v>2</v>
      </c>
      <c r="G330" s="15">
        <v>35800</v>
      </c>
      <c r="H330" s="15">
        <v>0</v>
      </c>
    </row>
    <row r="331" spans="1:8">
      <c r="A331" s="13" t="s">
        <v>7</v>
      </c>
      <c r="B331" s="13" t="s">
        <v>22</v>
      </c>
      <c r="C331" s="13" t="s">
        <v>218</v>
      </c>
      <c r="D331" s="13" t="s">
        <v>217</v>
      </c>
      <c r="E331" s="13" t="s">
        <v>947</v>
      </c>
      <c r="F331" s="15">
        <v>3</v>
      </c>
      <c r="G331" s="15">
        <v>35500</v>
      </c>
      <c r="H331" s="15">
        <v>2400</v>
      </c>
    </row>
    <row r="332" spans="1:8">
      <c r="A332" s="13" t="s">
        <v>7</v>
      </c>
      <c r="B332" s="13" t="s">
        <v>22</v>
      </c>
      <c r="C332" s="13" t="s">
        <v>612</v>
      </c>
      <c r="D332" s="13" t="s">
        <v>611</v>
      </c>
      <c r="E332" s="13" t="s">
        <v>948</v>
      </c>
      <c r="F332" s="15">
        <v>1</v>
      </c>
      <c r="G332" s="15">
        <v>35000</v>
      </c>
      <c r="H332" s="15">
        <v>0</v>
      </c>
    </row>
    <row r="333" spans="1:8">
      <c r="A333" s="13" t="s">
        <v>7</v>
      </c>
      <c r="B333" s="13" t="s">
        <v>23</v>
      </c>
      <c r="C333" s="13" t="s">
        <v>202</v>
      </c>
      <c r="D333" s="13" t="s">
        <v>201</v>
      </c>
      <c r="E333" s="13" t="s">
        <v>949</v>
      </c>
      <c r="F333" s="15">
        <v>1</v>
      </c>
      <c r="G333" s="15">
        <v>35000</v>
      </c>
      <c r="H333" s="15">
        <v>7000</v>
      </c>
    </row>
    <row r="334" spans="1:8">
      <c r="A334" s="13" t="s">
        <v>7</v>
      </c>
      <c r="B334" s="13" t="s">
        <v>22</v>
      </c>
      <c r="C334" s="13" t="s">
        <v>292</v>
      </c>
      <c r="D334" s="13" t="s">
        <v>291</v>
      </c>
      <c r="E334" s="13" t="s">
        <v>950</v>
      </c>
      <c r="F334" s="15">
        <v>1</v>
      </c>
      <c r="G334" s="15">
        <v>34900</v>
      </c>
      <c r="H334" s="15">
        <v>6980</v>
      </c>
    </row>
    <row r="335" spans="1:8">
      <c r="A335" s="13" t="s">
        <v>7</v>
      </c>
      <c r="B335" s="13" t="s">
        <v>22</v>
      </c>
      <c r="C335" s="13" t="s">
        <v>400</v>
      </c>
      <c r="D335" s="13" t="s">
        <v>399</v>
      </c>
      <c r="E335" s="13" t="s">
        <v>951</v>
      </c>
      <c r="F335" s="15">
        <v>3</v>
      </c>
      <c r="G335" s="15">
        <v>33000</v>
      </c>
      <c r="H335" s="15">
        <v>2200</v>
      </c>
    </row>
    <row r="336" spans="1:8">
      <c r="A336" s="13" t="s">
        <v>7</v>
      </c>
      <c r="B336" s="13" t="s">
        <v>22</v>
      </c>
      <c r="C336" s="13" t="s">
        <v>400</v>
      </c>
      <c r="D336" s="13" t="s">
        <v>399</v>
      </c>
      <c r="E336" s="13" t="s">
        <v>952</v>
      </c>
      <c r="F336" s="15">
        <v>3</v>
      </c>
      <c r="G336" s="15">
        <v>33000</v>
      </c>
      <c r="H336" s="15">
        <v>0</v>
      </c>
    </row>
    <row r="337" spans="1:8">
      <c r="A337" s="13" t="s">
        <v>7</v>
      </c>
      <c r="B337" s="9" t="s">
        <v>24</v>
      </c>
      <c r="C337" s="13" t="s">
        <v>224</v>
      </c>
      <c r="D337" s="13" t="s">
        <v>223</v>
      </c>
      <c r="E337" s="13" t="s">
        <v>953</v>
      </c>
      <c r="F337" s="15">
        <v>1</v>
      </c>
      <c r="G337" s="15">
        <v>32000</v>
      </c>
      <c r="H337" s="15">
        <v>0</v>
      </c>
    </row>
    <row r="338" spans="1:8">
      <c r="A338" s="13" t="s">
        <v>7</v>
      </c>
      <c r="B338" s="13" t="s">
        <v>22</v>
      </c>
      <c r="C338" s="13" t="s">
        <v>298</v>
      </c>
      <c r="D338" s="13" t="s">
        <v>297</v>
      </c>
      <c r="E338" s="13" t="s">
        <v>954</v>
      </c>
      <c r="F338" s="15">
        <v>1</v>
      </c>
      <c r="G338" s="15">
        <v>32000</v>
      </c>
      <c r="H338" s="15">
        <v>6400</v>
      </c>
    </row>
    <row r="339" spans="1:8">
      <c r="A339" s="13" t="s">
        <v>7</v>
      </c>
      <c r="B339" s="13" t="s">
        <v>22</v>
      </c>
      <c r="C339" s="13" t="s">
        <v>304</v>
      </c>
      <c r="D339" s="13" t="s">
        <v>303</v>
      </c>
      <c r="E339" s="13" t="s">
        <v>955</v>
      </c>
      <c r="F339" s="15">
        <v>1</v>
      </c>
      <c r="G339" s="15">
        <v>31000</v>
      </c>
      <c r="H339" s="15">
        <v>0</v>
      </c>
    </row>
    <row r="340" spans="1:8">
      <c r="A340" s="13" t="s">
        <v>7</v>
      </c>
      <c r="B340" s="9" t="s">
        <v>24</v>
      </c>
      <c r="C340" s="13" t="s">
        <v>576</v>
      </c>
      <c r="D340" s="13" t="s">
        <v>575</v>
      </c>
      <c r="E340" s="13" t="s">
        <v>956</v>
      </c>
      <c r="F340" s="15">
        <v>1</v>
      </c>
      <c r="G340" s="15">
        <v>30000</v>
      </c>
      <c r="H340" s="15">
        <v>6000</v>
      </c>
    </row>
    <row r="341" spans="1:8">
      <c r="A341" s="13" t="s">
        <v>7</v>
      </c>
      <c r="B341" s="13" t="s">
        <v>22</v>
      </c>
      <c r="C341" s="13" t="s">
        <v>68</v>
      </c>
      <c r="D341" s="13" t="s">
        <v>67</v>
      </c>
      <c r="E341" s="13" t="s">
        <v>957</v>
      </c>
      <c r="F341" s="15">
        <v>2</v>
      </c>
      <c r="G341" s="15">
        <v>30000</v>
      </c>
      <c r="H341" s="15">
        <v>0</v>
      </c>
    </row>
    <row r="342" spans="1:8">
      <c r="A342" s="13" t="s">
        <v>7</v>
      </c>
      <c r="B342" s="9" t="s">
        <v>24</v>
      </c>
      <c r="C342" s="13" t="s">
        <v>88</v>
      </c>
      <c r="D342" s="13" t="s">
        <v>87</v>
      </c>
      <c r="E342" s="13" t="s">
        <v>958</v>
      </c>
      <c r="F342" s="15">
        <v>1</v>
      </c>
      <c r="G342" s="15">
        <v>30000</v>
      </c>
      <c r="H342" s="15">
        <v>0</v>
      </c>
    </row>
    <row r="343" spans="1:8">
      <c r="A343" s="13" t="s">
        <v>7</v>
      </c>
      <c r="B343" s="9" t="s">
        <v>24</v>
      </c>
      <c r="C343" s="13" t="s">
        <v>456</v>
      </c>
      <c r="D343" s="13" t="s">
        <v>455</v>
      </c>
      <c r="E343" s="13" t="s">
        <v>959</v>
      </c>
      <c r="F343" s="15">
        <v>2</v>
      </c>
      <c r="G343" s="15">
        <v>30000</v>
      </c>
      <c r="H343" s="15">
        <v>2940</v>
      </c>
    </row>
    <row r="344" spans="1:8">
      <c r="A344" s="13" t="s">
        <v>7</v>
      </c>
      <c r="B344" s="9" t="s">
        <v>24</v>
      </c>
      <c r="C344" s="13" t="s">
        <v>456</v>
      </c>
      <c r="D344" s="13" t="s">
        <v>455</v>
      </c>
      <c r="E344" s="13" t="s">
        <v>960</v>
      </c>
      <c r="F344" s="15">
        <v>1</v>
      </c>
      <c r="G344" s="15">
        <v>30000</v>
      </c>
      <c r="H344" s="15">
        <v>0</v>
      </c>
    </row>
    <row r="345" spans="1:8">
      <c r="A345" s="13" t="s">
        <v>7</v>
      </c>
      <c r="B345" s="9" t="s">
        <v>24</v>
      </c>
      <c r="C345" s="13" t="s">
        <v>322</v>
      </c>
      <c r="D345" s="13" t="s">
        <v>321</v>
      </c>
      <c r="E345" s="13" t="s">
        <v>961</v>
      </c>
      <c r="F345" s="15">
        <v>2</v>
      </c>
      <c r="G345" s="15">
        <v>29600</v>
      </c>
      <c r="H345" s="15">
        <v>2960</v>
      </c>
    </row>
    <row r="346" spans="1:8">
      <c r="A346" s="13" t="s">
        <v>7</v>
      </c>
      <c r="B346" s="9" t="s">
        <v>24</v>
      </c>
      <c r="C346" s="13" t="s">
        <v>66</v>
      </c>
      <c r="D346" s="13" t="s">
        <v>65</v>
      </c>
      <c r="E346" s="13" t="s">
        <v>793</v>
      </c>
      <c r="F346" s="15">
        <v>1</v>
      </c>
      <c r="G346" s="15">
        <v>29500</v>
      </c>
      <c r="H346" s="15">
        <v>0</v>
      </c>
    </row>
    <row r="347" spans="1:8">
      <c r="A347" s="13" t="s">
        <v>7</v>
      </c>
      <c r="B347" s="9" t="s">
        <v>24</v>
      </c>
      <c r="C347" s="13" t="s">
        <v>388</v>
      </c>
      <c r="D347" s="13" t="s">
        <v>387</v>
      </c>
      <c r="E347" s="13" t="s">
        <v>962</v>
      </c>
      <c r="F347" s="15">
        <v>1</v>
      </c>
      <c r="G347" s="15">
        <v>28400</v>
      </c>
      <c r="H347" s="15">
        <v>0</v>
      </c>
    </row>
    <row r="348" spans="1:8">
      <c r="A348" s="13" t="s">
        <v>7</v>
      </c>
      <c r="B348" s="9" t="s">
        <v>24</v>
      </c>
      <c r="C348" s="13" t="s">
        <v>224</v>
      </c>
      <c r="D348" s="13" t="s">
        <v>223</v>
      </c>
      <c r="E348" s="13" t="s">
        <v>963</v>
      </c>
      <c r="F348" s="15">
        <v>1</v>
      </c>
      <c r="G348" s="15">
        <v>28000</v>
      </c>
      <c r="H348" s="15">
        <v>0</v>
      </c>
    </row>
    <row r="349" spans="1:8">
      <c r="A349" s="13" t="s">
        <v>7</v>
      </c>
      <c r="B349" s="9" t="s">
        <v>24</v>
      </c>
      <c r="C349" s="13" t="s">
        <v>516</v>
      </c>
      <c r="D349" s="13" t="s">
        <v>515</v>
      </c>
      <c r="E349" s="13" t="s">
        <v>964</v>
      </c>
      <c r="F349" s="15">
        <v>2</v>
      </c>
      <c r="G349" s="15">
        <v>28000</v>
      </c>
      <c r="H349" s="15">
        <v>0</v>
      </c>
    </row>
    <row r="350" spans="1:8">
      <c r="A350" s="13" t="s">
        <v>7</v>
      </c>
      <c r="B350" s="9" t="s">
        <v>24</v>
      </c>
      <c r="C350" s="13" t="s">
        <v>576</v>
      </c>
      <c r="D350" s="13" t="s">
        <v>575</v>
      </c>
      <c r="E350" s="13" t="s">
        <v>965</v>
      </c>
      <c r="F350" s="15">
        <v>1</v>
      </c>
      <c r="G350" s="15">
        <v>27900</v>
      </c>
      <c r="H350" s="15">
        <v>0</v>
      </c>
    </row>
    <row r="351" spans="1:8">
      <c r="A351" s="13" t="s">
        <v>7</v>
      </c>
      <c r="B351" s="13" t="s">
        <v>23</v>
      </c>
      <c r="C351" s="13" t="s">
        <v>118</v>
      </c>
      <c r="D351" s="13" t="s">
        <v>117</v>
      </c>
      <c r="E351" s="13" t="s">
        <v>966</v>
      </c>
      <c r="F351" s="15">
        <v>1</v>
      </c>
      <c r="G351" s="15">
        <v>27230</v>
      </c>
      <c r="H351" s="15">
        <v>0</v>
      </c>
    </row>
    <row r="352" spans="1:8">
      <c r="A352" s="13" t="s">
        <v>7</v>
      </c>
      <c r="B352" s="13" t="s">
        <v>22</v>
      </c>
      <c r="C352" s="13" t="s">
        <v>612</v>
      </c>
      <c r="D352" s="13" t="s">
        <v>611</v>
      </c>
      <c r="E352" s="13" t="s">
        <v>967</v>
      </c>
      <c r="F352" s="15">
        <v>1</v>
      </c>
      <c r="G352" s="15">
        <v>26900</v>
      </c>
      <c r="H352" s="15">
        <v>5380</v>
      </c>
    </row>
    <row r="353" spans="1:8">
      <c r="A353" s="13" t="s">
        <v>7</v>
      </c>
      <c r="B353" s="9" t="s">
        <v>24</v>
      </c>
      <c r="C353" s="13" t="s">
        <v>456</v>
      </c>
      <c r="D353" s="13" t="s">
        <v>455</v>
      </c>
      <c r="E353" s="13" t="s">
        <v>968</v>
      </c>
      <c r="F353" s="15">
        <v>1</v>
      </c>
      <c r="G353" s="15">
        <v>26000</v>
      </c>
      <c r="H353" s="15">
        <v>5200</v>
      </c>
    </row>
    <row r="354" spans="1:8">
      <c r="A354" s="13" t="s">
        <v>7</v>
      </c>
      <c r="B354" s="13" t="s">
        <v>24</v>
      </c>
      <c r="C354" s="13" t="s">
        <v>576</v>
      </c>
      <c r="D354" s="13" t="s">
        <v>575</v>
      </c>
      <c r="E354" s="13" t="s">
        <v>969</v>
      </c>
      <c r="F354" s="15">
        <v>1</v>
      </c>
      <c r="G354" s="15">
        <v>25900</v>
      </c>
      <c r="H354" s="15">
        <v>5180</v>
      </c>
    </row>
    <row r="355" spans="1:8">
      <c r="A355" s="13" t="s">
        <v>7</v>
      </c>
      <c r="B355" s="13" t="s">
        <v>23</v>
      </c>
      <c r="C355" s="13" t="s">
        <v>118</v>
      </c>
      <c r="D355" s="13" t="s">
        <v>117</v>
      </c>
      <c r="E355" s="13" t="s">
        <v>970</v>
      </c>
      <c r="F355" s="15">
        <v>2</v>
      </c>
      <c r="G355" s="15">
        <v>25800</v>
      </c>
      <c r="H355" s="15">
        <v>0</v>
      </c>
    </row>
    <row r="356" spans="1:8">
      <c r="A356" s="13" t="s">
        <v>7</v>
      </c>
      <c r="B356" s="9" t="s">
        <v>22</v>
      </c>
      <c r="C356" s="13" t="s">
        <v>68</v>
      </c>
      <c r="D356" s="13" t="s">
        <v>67</v>
      </c>
      <c r="E356" s="13" t="s">
        <v>971</v>
      </c>
      <c r="F356" s="15">
        <v>2</v>
      </c>
      <c r="G356" s="15">
        <v>25700</v>
      </c>
      <c r="H356" s="15">
        <v>0</v>
      </c>
    </row>
    <row r="357" spans="1:8">
      <c r="A357" s="13" t="s">
        <v>7</v>
      </c>
      <c r="B357" s="9" t="s">
        <v>24</v>
      </c>
      <c r="C357" s="13" t="s">
        <v>290</v>
      </c>
      <c r="D357" s="13" t="s">
        <v>289</v>
      </c>
      <c r="E357" s="13" t="s">
        <v>972</v>
      </c>
      <c r="F357" s="15">
        <v>1</v>
      </c>
      <c r="G357" s="15">
        <v>25000</v>
      </c>
      <c r="H357" s="15">
        <v>0</v>
      </c>
    </row>
    <row r="358" spans="1:8">
      <c r="A358" s="13" t="s">
        <v>7</v>
      </c>
      <c r="B358" s="13" t="s">
        <v>23</v>
      </c>
      <c r="C358" s="13" t="s">
        <v>118</v>
      </c>
      <c r="D358" s="13" t="s">
        <v>117</v>
      </c>
      <c r="E358" s="13" t="s">
        <v>973</v>
      </c>
      <c r="F358" s="15">
        <v>3</v>
      </c>
      <c r="G358" s="15">
        <v>23700</v>
      </c>
      <c r="H358" s="15">
        <v>0</v>
      </c>
    </row>
    <row r="359" spans="1:8">
      <c r="A359" s="13" t="s">
        <v>7</v>
      </c>
      <c r="B359" s="13" t="s">
        <v>23</v>
      </c>
      <c r="C359" s="13" t="s">
        <v>118</v>
      </c>
      <c r="D359" s="13" t="s">
        <v>117</v>
      </c>
      <c r="E359" s="13" t="s">
        <v>974</v>
      </c>
      <c r="F359" s="15">
        <v>1</v>
      </c>
      <c r="G359" s="15">
        <v>23500</v>
      </c>
      <c r="H359" s="15">
        <v>4700</v>
      </c>
    </row>
    <row r="360" spans="1:8">
      <c r="A360" s="13" t="s">
        <v>7</v>
      </c>
      <c r="B360" s="13" t="s">
        <v>24</v>
      </c>
      <c r="C360" s="13" t="s">
        <v>456</v>
      </c>
      <c r="D360" s="13" t="s">
        <v>455</v>
      </c>
      <c r="E360" s="13" t="s">
        <v>975</v>
      </c>
      <c r="F360" s="15">
        <v>2</v>
      </c>
      <c r="G360" s="15">
        <v>23000</v>
      </c>
      <c r="H360" s="15">
        <v>0</v>
      </c>
    </row>
    <row r="361" spans="1:8">
      <c r="A361" s="13" t="s">
        <v>7</v>
      </c>
      <c r="B361" s="9" t="s">
        <v>22</v>
      </c>
      <c r="C361" s="13" t="s">
        <v>534</v>
      </c>
      <c r="D361" s="13" t="s">
        <v>533</v>
      </c>
      <c r="E361" s="13" t="s">
        <v>976</v>
      </c>
      <c r="F361" s="15">
        <v>1</v>
      </c>
      <c r="G361" s="15">
        <v>22900</v>
      </c>
      <c r="H361" s="15">
        <v>4580</v>
      </c>
    </row>
    <row r="362" spans="1:8">
      <c r="A362" s="13" t="s">
        <v>7</v>
      </c>
      <c r="B362" s="9" t="s">
        <v>24</v>
      </c>
      <c r="C362" s="13" t="s">
        <v>388</v>
      </c>
      <c r="D362" s="13" t="s">
        <v>387</v>
      </c>
      <c r="E362" s="13" t="s">
        <v>977</v>
      </c>
      <c r="F362" s="15">
        <v>1</v>
      </c>
      <c r="G362" s="15">
        <v>21400</v>
      </c>
      <c r="H362" s="15">
        <v>0</v>
      </c>
    </row>
    <row r="363" spans="1:8">
      <c r="A363" s="13" t="s">
        <v>7</v>
      </c>
      <c r="B363" s="9" t="s">
        <v>24</v>
      </c>
      <c r="C363" s="13" t="s">
        <v>604</v>
      </c>
      <c r="D363" s="13" t="s">
        <v>603</v>
      </c>
      <c r="E363" s="13" t="s">
        <v>978</v>
      </c>
      <c r="F363" s="15">
        <v>1</v>
      </c>
      <c r="G363" s="15">
        <v>20000</v>
      </c>
      <c r="H363" s="15">
        <v>0</v>
      </c>
    </row>
    <row r="364" spans="1:8">
      <c r="A364" s="13" t="s">
        <v>7</v>
      </c>
      <c r="B364" s="9" t="s">
        <v>24</v>
      </c>
      <c r="C364" s="13" t="s">
        <v>438</v>
      </c>
      <c r="D364" s="13" t="s">
        <v>437</v>
      </c>
      <c r="E364" s="13" t="s">
        <v>979</v>
      </c>
      <c r="F364" s="15">
        <v>2</v>
      </c>
      <c r="G364" s="15">
        <v>20000</v>
      </c>
      <c r="H364" s="15">
        <v>0</v>
      </c>
    </row>
    <row r="365" spans="1:8">
      <c r="A365" s="13" t="s">
        <v>7</v>
      </c>
      <c r="B365" s="9" t="s">
        <v>24</v>
      </c>
      <c r="C365" s="13" t="s">
        <v>290</v>
      </c>
      <c r="D365" s="13" t="s">
        <v>289</v>
      </c>
      <c r="E365" s="13" t="s">
        <v>980</v>
      </c>
      <c r="F365" s="15">
        <v>1</v>
      </c>
      <c r="G365" s="15">
        <v>19900</v>
      </c>
      <c r="H365" s="15">
        <v>0</v>
      </c>
    </row>
    <row r="366" spans="1:8">
      <c r="A366" s="13" t="s">
        <v>7</v>
      </c>
      <c r="B366" s="13" t="s">
        <v>22</v>
      </c>
      <c r="C366" s="13" t="s">
        <v>212</v>
      </c>
      <c r="D366" s="13" t="s">
        <v>211</v>
      </c>
      <c r="E366" s="13" t="s">
        <v>981</v>
      </c>
      <c r="F366" s="15">
        <v>3</v>
      </c>
      <c r="G366" s="15">
        <v>19000</v>
      </c>
      <c r="H366" s="15">
        <v>1800</v>
      </c>
    </row>
    <row r="367" spans="1:8">
      <c r="A367" s="13" t="s">
        <v>7</v>
      </c>
      <c r="B367" s="9" t="s">
        <v>24</v>
      </c>
      <c r="C367" s="13" t="s">
        <v>560</v>
      </c>
      <c r="D367" s="13" t="s">
        <v>559</v>
      </c>
      <c r="E367" s="13" t="s">
        <v>982</v>
      </c>
      <c r="F367" s="15">
        <v>3</v>
      </c>
      <c r="G367" s="15">
        <v>18360</v>
      </c>
      <c r="H367" s="15">
        <v>0</v>
      </c>
    </row>
    <row r="368" spans="1:8">
      <c r="A368" s="13" t="s">
        <v>7</v>
      </c>
      <c r="B368" s="13" t="s">
        <v>24</v>
      </c>
      <c r="C368" s="13" t="s">
        <v>606</v>
      </c>
      <c r="D368" s="13" t="s">
        <v>605</v>
      </c>
      <c r="E368" s="13" t="s">
        <v>983</v>
      </c>
      <c r="F368" s="15">
        <v>1</v>
      </c>
      <c r="G368" s="15">
        <v>18000</v>
      </c>
      <c r="H368" s="15">
        <v>3060</v>
      </c>
    </row>
    <row r="369" spans="1:8">
      <c r="A369" s="13" t="s">
        <v>7</v>
      </c>
      <c r="B369" s="9" t="s">
        <v>23</v>
      </c>
      <c r="C369" s="13" t="s">
        <v>100</v>
      </c>
      <c r="D369" s="13" t="s">
        <v>99</v>
      </c>
      <c r="E369" s="13" t="s">
        <v>984</v>
      </c>
      <c r="F369" s="15">
        <v>1</v>
      </c>
      <c r="G369" s="15">
        <v>17800</v>
      </c>
      <c r="H369" s="15">
        <v>3560</v>
      </c>
    </row>
    <row r="370" spans="1:8">
      <c r="A370" s="13" t="s">
        <v>7</v>
      </c>
      <c r="B370" s="13" t="s">
        <v>22</v>
      </c>
      <c r="C370" s="13" t="s">
        <v>212</v>
      </c>
      <c r="D370" s="13" t="s">
        <v>211</v>
      </c>
      <c r="E370" s="13" t="s">
        <v>985</v>
      </c>
      <c r="F370" s="15">
        <v>2</v>
      </c>
      <c r="G370" s="15">
        <v>16000</v>
      </c>
      <c r="H370" s="15">
        <v>0</v>
      </c>
    </row>
    <row r="371" spans="1:8">
      <c r="A371" s="13" t="s">
        <v>7</v>
      </c>
      <c r="B371" s="9" t="s">
        <v>24</v>
      </c>
      <c r="C371" s="13" t="s">
        <v>88</v>
      </c>
      <c r="D371" s="13" t="s">
        <v>87</v>
      </c>
      <c r="E371" s="13" t="s">
        <v>986</v>
      </c>
      <c r="F371" s="15">
        <v>1</v>
      </c>
      <c r="G371" s="15">
        <v>16000</v>
      </c>
      <c r="H371" s="15">
        <v>0</v>
      </c>
    </row>
    <row r="372" spans="1:8">
      <c r="A372" s="13" t="s">
        <v>7</v>
      </c>
      <c r="B372" s="9" t="s">
        <v>24</v>
      </c>
      <c r="C372" s="13" t="s">
        <v>576</v>
      </c>
      <c r="D372" s="13" t="s">
        <v>575</v>
      </c>
      <c r="E372" s="13" t="s">
        <v>987</v>
      </c>
      <c r="F372" s="15">
        <v>1</v>
      </c>
      <c r="G372" s="15">
        <v>15900</v>
      </c>
      <c r="H372" s="15">
        <v>0</v>
      </c>
    </row>
    <row r="373" spans="1:8">
      <c r="A373" s="13" t="s">
        <v>7</v>
      </c>
      <c r="B373" s="9" t="s">
        <v>24</v>
      </c>
      <c r="C373" s="13" t="s">
        <v>456</v>
      </c>
      <c r="D373" s="13" t="s">
        <v>455</v>
      </c>
      <c r="E373" s="13" t="s">
        <v>988</v>
      </c>
      <c r="F373" s="15">
        <v>1</v>
      </c>
      <c r="G373" s="15">
        <v>15000</v>
      </c>
      <c r="H373" s="15">
        <v>0</v>
      </c>
    </row>
    <row r="374" spans="1:8">
      <c r="A374" s="13" t="s">
        <v>7</v>
      </c>
      <c r="B374" s="9" t="s">
        <v>24</v>
      </c>
      <c r="C374" s="13" t="s">
        <v>456</v>
      </c>
      <c r="D374" s="13" t="s">
        <v>455</v>
      </c>
      <c r="E374" s="13" t="s">
        <v>989</v>
      </c>
      <c r="F374" s="15">
        <v>1</v>
      </c>
      <c r="G374" s="15">
        <v>15000</v>
      </c>
      <c r="H374" s="15">
        <v>3000</v>
      </c>
    </row>
    <row r="375" spans="1:8">
      <c r="A375" s="13" t="s">
        <v>7</v>
      </c>
      <c r="B375" s="13" t="s">
        <v>23</v>
      </c>
      <c r="C375" s="13" t="s">
        <v>100</v>
      </c>
      <c r="D375" s="13" t="s">
        <v>99</v>
      </c>
      <c r="E375" s="13" t="s">
        <v>990</v>
      </c>
      <c r="F375" s="15">
        <v>1</v>
      </c>
      <c r="G375" s="15">
        <v>13800</v>
      </c>
      <c r="H375" s="15">
        <v>0</v>
      </c>
    </row>
    <row r="376" spans="1:8">
      <c r="A376" s="13" t="s">
        <v>7</v>
      </c>
      <c r="B376" s="13" t="s">
        <v>22</v>
      </c>
      <c r="C376" s="13" t="s">
        <v>212</v>
      </c>
      <c r="D376" s="13" t="s">
        <v>211</v>
      </c>
      <c r="E376" s="13" t="s">
        <v>991</v>
      </c>
      <c r="F376" s="15">
        <v>2</v>
      </c>
      <c r="G376" s="15">
        <v>13000</v>
      </c>
      <c r="H376" s="15">
        <v>0</v>
      </c>
    </row>
    <row r="377" spans="1:8">
      <c r="A377" s="13" t="s">
        <v>7</v>
      </c>
      <c r="B377" s="69" t="s">
        <v>24</v>
      </c>
      <c r="C377" s="13" t="s">
        <v>400</v>
      </c>
      <c r="D377" s="13" t="s">
        <v>399</v>
      </c>
      <c r="E377" s="13" t="s">
        <v>992</v>
      </c>
      <c r="F377" s="15">
        <v>1</v>
      </c>
      <c r="G377" s="15">
        <v>11000</v>
      </c>
      <c r="H377" s="15">
        <v>0</v>
      </c>
    </row>
    <row r="378" spans="1:8">
      <c r="A378" s="13" t="s">
        <v>7</v>
      </c>
      <c r="B378" s="9" t="s">
        <v>24</v>
      </c>
      <c r="C378" s="13" t="s">
        <v>322</v>
      </c>
      <c r="D378" s="13" t="s">
        <v>321</v>
      </c>
      <c r="E378" s="13" t="s">
        <v>993</v>
      </c>
      <c r="F378" s="15">
        <v>1</v>
      </c>
      <c r="G378" s="15">
        <v>10800</v>
      </c>
      <c r="H378" s="15">
        <v>2160</v>
      </c>
    </row>
    <row r="379" spans="1:8">
      <c r="A379" s="13" t="s">
        <v>7</v>
      </c>
      <c r="B379" s="13" t="s">
        <v>23</v>
      </c>
      <c r="C379" s="13" t="s">
        <v>118</v>
      </c>
      <c r="D379" s="13" t="s">
        <v>117</v>
      </c>
      <c r="E379" s="13" t="s">
        <v>994</v>
      </c>
      <c r="F379" s="15">
        <v>1</v>
      </c>
      <c r="G379" s="15">
        <v>10700</v>
      </c>
      <c r="H379" s="15">
        <v>0</v>
      </c>
    </row>
    <row r="380" spans="1:8">
      <c r="A380" s="13" t="s">
        <v>7</v>
      </c>
      <c r="B380" s="13" t="s">
        <v>22</v>
      </c>
      <c r="C380" s="13" t="s">
        <v>212</v>
      </c>
      <c r="D380" s="13" t="s">
        <v>211</v>
      </c>
      <c r="E380" s="13" t="s">
        <v>995</v>
      </c>
      <c r="F380" s="15">
        <v>1</v>
      </c>
      <c r="G380" s="15">
        <v>9000</v>
      </c>
      <c r="H380" s="15">
        <v>0</v>
      </c>
    </row>
    <row r="381" spans="1:8">
      <c r="A381" s="13" t="s">
        <v>7</v>
      </c>
      <c r="B381" s="13" t="s">
        <v>22</v>
      </c>
      <c r="C381" s="13" t="s">
        <v>212</v>
      </c>
      <c r="D381" s="13" t="s">
        <v>211</v>
      </c>
      <c r="E381" s="13" t="s">
        <v>996</v>
      </c>
      <c r="F381" s="15">
        <v>2</v>
      </c>
      <c r="G381" s="15">
        <v>9000</v>
      </c>
      <c r="H381" s="15">
        <v>0</v>
      </c>
    </row>
    <row r="382" spans="1:8">
      <c r="A382" s="13" t="s">
        <v>7</v>
      </c>
      <c r="B382" s="9" t="s">
        <v>24</v>
      </c>
      <c r="C382" s="13" t="s">
        <v>456</v>
      </c>
      <c r="D382" s="13" t="s">
        <v>455</v>
      </c>
      <c r="E382" s="13" t="s">
        <v>997</v>
      </c>
      <c r="F382" s="15">
        <v>1</v>
      </c>
      <c r="G382" s="15">
        <v>8000</v>
      </c>
      <c r="H382" s="15">
        <v>0</v>
      </c>
    </row>
    <row r="383" spans="1:8">
      <c r="A383" s="13" t="s">
        <v>7</v>
      </c>
      <c r="B383" s="13" t="s">
        <v>23</v>
      </c>
      <c r="C383" s="13" t="s">
        <v>100</v>
      </c>
      <c r="D383" s="13" t="s">
        <v>99</v>
      </c>
      <c r="E383" s="13" t="s">
        <v>998</v>
      </c>
      <c r="F383" s="15">
        <v>1</v>
      </c>
      <c r="G383" s="15">
        <v>6900</v>
      </c>
      <c r="H383" s="15">
        <v>0</v>
      </c>
    </row>
    <row r="384" spans="1:8">
      <c r="A384" s="13" t="s">
        <v>7</v>
      </c>
      <c r="B384" s="9" t="s">
        <v>24</v>
      </c>
      <c r="C384" s="13" t="s">
        <v>592</v>
      </c>
      <c r="D384" s="13" t="s">
        <v>591</v>
      </c>
      <c r="E384" s="13" t="s">
        <v>999</v>
      </c>
      <c r="F384" s="15">
        <v>1</v>
      </c>
      <c r="G384" s="15">
        <v>6500</v>
      </c>
      <c r="H384" s="15">
        <v>0</v>
      </c>
    </row>
    <row r="385" spans="1:9">
      <c r="A385" s="13" t="s">
        <v>7</v>
      </c>
      <c r="B385" s="9" t="s">
        <v>24</v>
      </c>
      <c r="C385" s="13" t="s">
        <v>560</v>
      </c>
      <c r="D385" s="13" t="s">
        <v>559</v>
      </c>
      <c r="E385" s="13" t="s">
        <v>1000</v>
      </c>
      <c r="F385" s="15">
        <v>1</v>
      </c>
      <c r="G385" s="15">
        <v>6480</v>
      </c>
      <c r="H385" s="15">
        <v>0</v>
      </c>
    </row>
    <row r="386" spans="1:9">
      <c r="A386" s="13" t="s">
        <v>7</v>
      </c>
      <c r="B386" s="9" t="s">
        <v>24</v>
      </c>
      <c r="C386" s="13" t="s">
        <v>560</v>
      </c>
      <c r="D386" s="13" t="s">
        <v>559</v>
      </c>
      <c r="E386" s="13" t="s">
        <v>1001</v>
      </c>
      <c r="F386" s="15">
        <v>1</v>
      </c>
      <c r="G386" s="15">
        <v>6480</v>
      </c>
      <c r="H386" s="15">
        <v>0</v>
      </c>
    </row>
    <row r="387" spans="1:9">
      <c r="A387" s="13" t="s">
        <v>7</v>
      </c>
      <c r="B387" s="9" t="s">
        <v>24</v>
      </c>
      <c r="C387" s="13" t="s">
        <v>560</v>
      </c>
      <c r="D387" s="13" t="s">
        <v>559</v>
      </c>
      <c r="E387" s="13" t="s">
        <v>1002</v>
      </c>
      <c r="F387" s="15">
        <v>1</v>
      </c>
      <c r="G387" s="15">
        <v>6480</v>
      </c>
      <c r="H387" s="15">
        <v>0</v>
      </c>
    </row>
    <row r="388" spans="1:9">
      <c r="A388" s="13" t="s">
        <v>7</v>
      </c>
      <c r="B388" s="13" t="s">
        <v>22</v>
      </c>
      <c r="C388" s="13" t="s">
        <v>212</v>
      </c>
      <c r="D388" s="13" t="s">
        <v>211</v>
      </c>
      <c r="E388" s="13" t="s">
        <v>1003</v>
      </c>
      <c r="F388" s="15">
        <v>1</v>
      </c>
      <c r="G388" s="15">
        <v>5000</v>
      </c>
      <c r="H388" s="15">
        <v>0</v>
      </c>
    </row>
    <row r="389" spans="1:9">
      <c r="A389" s="13" t="s">
        <v>7</v>
      </c>
      <c r="B389" s="13" t="s">
        <v>23</v>
      </c>
      <c r="C389" s="13" t="s">
        <v>118</v>
      </c>
      <c r="D389" s="13" t="s">
        <v>117</v>
      </c>
      <c r="E389" s="13" t="s">
        <v>1004</v>
      </c>
      <c r="F389" s="15">
        <v>1</v>
      </c>
      <c r="G389" s="15">
        <v>4880</v>
      </c>
      <c r="H389" s="15">
        <v>0</v>
      </c>
    </row>
    <row r="390" spans="1:9">
      <c r="A390" s="13" t="s">
        <v>7</v>
      </c>
      <c r="B390" s="9" t="s">
        <v>24</v>
      </c>
      <c r="C390" s="13" t="s">
        <v>438</v>
      </c>
      <c r="D390" s="13" t="s">
        <v>437</v>
      </c>
      <c r="E390" s="13" t="s">
        <v>1005</v>
      </c>
      <c r="F390" s="15">
        <v>1</v>
      </c>
      <c r="G390" s="15">
        <v>4500</v>
      </c>
      <c r="H390" s="15">
        <v>0</v>
      </c>
    </row>
    <row r="391" spans="1:9">
      <c r="A391" s="13" t="s">
        <v>7</v>
      </c>
      <c r="B391" s="13" t="s">
        <v>22</v>
      </c>
      <c r="C391" s="13" t="s">
        <v>212</v>
      </c>
      <c r="D391" s="13" t="s">
        <v>211</v>
      </c>
      <c r="E391" s="13" t="s">
        <v>1006</v>
      </c>
      <c r="F391" s="15">
        <v>1</v>
      </c>
      <c r="G391" s="15">
        <v>4500</v>
      </c>
      <c r="H391" s="15">
        <v>0</v>
      </c>
    </row>
    <row r="392" spans="1:9">
      <c r="A392" s="13" t="s">
        <v>7</v>
      </c>
      <c r="B392" s="9" t="s">
        <v>24</v>
      </c>
      <c r="C392" s="13" t="s">
        <v>438</v>
      </c>
      <c r="D392" s="13" t="s">
        <v>437</v>
      </c>
      <c r="E392" s="13" t="s">
        <v>1007</v>
      </c>
      <c r="F392" s="15">
        <v>1</v>
      </c>
      <c r="G392" s="15">
        <v>4000</v>
      </c>
      <c r="H392" s="15">
        <v>0</v>
      </c>
    </row>
    <row r="393" spans="1:9">
      <c r="A393" s="13" t="s">
        <v>7</v>
      </c>
      <c r="B393" s="9" t="s">
        <v>24</v>
      </c>
      <c r="C393" s="13" t="s">
        <v>404</v>
      </c>
      <c r="D393" s="13" t="s">
        <v>403</v>
      </c>
      <c r="E393" s="13" t="s">
        <v>1008</v>
      </c>
      <c r="F393" s="15">
        <v>1</v>
      </c>
      <c r="G393" s="15">
        <v>3500</v>
      </c>
      <c r="H393" s="15">
        <v>0</v>
      </c>
    </row>
    <row r="394" spans="1:9" s="36" customFormat="1">
      <c r="A394" s="33" t="s">
        <v>9</v>
      </c>
      <c r="B394" s="34" t="s">
        <v>23</v>
      </c>
      <c r="C394" s="34" t="s">
        <v>186</v>
      </c>
      <c r="D394" s="45" t="s">
        <v>185</v>
      </c>
      <c r="E394" s="35" t="s">
        <v>1009</v>
      </c>
      <c r="F394" s="46">
        <v>0</v>
      </c>
      <c r="G394" s="46">
        <v>0</v>
      </c>
      <c r="H394" s="46">
        <v>0</v>
      </c>
      <c r="I394" s="7"/>
    </row>
    <row r="395" spans="1:9">
      <c r="A395" s="8" t="s">
        <v>9</v>
      </c>
      <c r="B395" s="9" t="s">
        <v>23</v>
      </c>
      <c r="C395" s="9" t="s">
        <v>186</v>
      </c>
      <c r="D395" s="43" t="s">
        <v>185</v>
      </c>
      <c r="E395" s="19" t="s">
        <v>1010</v>
      </c>
      <c r="F395" s="47">
        <v>729</v>
      </c>
      <c r="G395" s="47">
        <v>37312000</v>
      </c>
      <c r="H395" s="47">
        <v>4967600</v>
      </c>
    </row>
    <row r="396" spans="1:9">
      <c r="A396" s="8" t="s">
        <v>9</v>
      </c>
      <c r="B396" s="9" t="s">
        <v>23</v>
      </c>
      <c r="C396" s="9" t="s">
        <v>1011</v>
      </c>
      <c r="D396" s="43" t="s">
        <v>113</v>
      </c>
      <c r="E396" s="19" t="s">
        <v>1012</v>
      </c>
      <c r="F396" s="47">
        <v>23</v>
      </c>
      <c r="G396" s="47">
        <v>724600</v>
      </c>
      <c r="H396" s="47">
        <v>142600</v>
      </c>
    </row>
    <row r="397" spans="1:9">
      <c r="A397" s="8" t="s">
        <v>9</v>
      </c>
      <c r="B397" s="9" t="s">
        <v>23</v>
      </c>
      <c r="C397" s="9" t="s">
        <v>1011</v>
      </c>
      <c r="D397" s="43" t="s">
        <v>113</v>
      </c>
      <c r="E397" s="19" t="s">
        <v>1013</v>
      </c>
      <c r="F397" s="47">
        <v>10</v>
      </c>
      <c r="G397" s="47">
        <v>315000</v>
      </c>
      <c r="H397" s="47">
        <v>57230</v>
      </c>
    </row>
    <row r="398" spans="1:9">
      <c r="A398" s="8" t="s">
        <v>9</v>
      </c>
      <c r="B398" s="9" t="s">
        <v>22</v>
      </c>
      <c r="C398" s="9" t="s">
        <v>352</v>
      </c>
      <c r="D398" s="43" t="s">
        <v>351</v>
      </c>
      <c r="E398" s="19" t="s">
        <v>1014</v>
      </c>
      <c r="F398" s="47">
        <v>699</v>
      </c>
      <c r="G398" s="47">
        <v>24332000</v>
      </c>
      <c r="H398" s="47">
        <v>4785490</v>
      </c>
    </row>
    <row r="399" spans="1:9">
      <c r="A399" s="8" t="s">
        <v>9</v>
      </c>
      <c r="B399" s="9" t="s">
        <v>22</v>
      </c>
      <c r="C399" s="9" t="s">
        <v>352</v>
      </c>
      <c r="D399" s="43" t="s">
        <v>351</v>
      </c>
      <c r="E399" s="19" t="s">
        <v>1015</v>
      </c>
      <c r="F399" s="47">
        <v>31</v>
      </c>
      <c r="G399" s="47">
        <v>2044500</v>
      </c>
      <c r="H399" s="47">
        <v>290000</v>
      </c>
    </row>
    <row r="400" spans="1:9">
      <c r="A400" s="8" t="s">
        <v>9</v>
      </c>
      <c r="B400" s="9" t="s">
        <v>22</v>
      </c>
      <c r="C400" s="9" t="s">
        <v>352</v>
      </c>
      <c r="D400" s="43" t="s">
        <v>351</v>
      </c>
      <c r="E400" s="19" t="s">
        <v>1016</v>
      </c>
      <c r="F400" s="47">
        <v>4</v>
      </c>
      <c r="G400" s="47">
        <v>269200</v>
      </c>
      <c r="H400" s="47">
        <v>40000</v>
      </c>
    </row>
    <row r="401" spans="1:8">
      <c r="A401" s="8" t="s">
        <v>9</v>
      </c>
      <c r="B401" s="9" t="s">
        <v>22</v>
      </c>
      <c r="C401" s="9" t="s">
        <v>352</v>
      </c>
      <c r="D401" s="43" t="s">
        <v>351</v>
      </c>
      <c r="E401" s="19" t="s">
        <v>1017</v>
      </c>
      <c r="F401" s="47">
        <v>3</v>
      </c>
      <c r="G401" s="47">
        <v>106500</v>
      </c>
      <c r="H401" s="47">
        <v>21140</v>
      </c>
    </row>
    <row r="402" spans="1:8">
      <c r="A402" s="8" t="s">
        <v>9</v>
      </c>
      <c r="B402" s="9" t="s">
        <v>22</v>
      </c>
      <c r="C402" s="9" t="s">
        <v>352</v>
      </c>
      <c r="D402" s="43" t="s">
        <v>351</v>
      </c>
      <c r="E402" s="19" t="s">
        <v>1018</v>
      </c>
      <c r="F402" s="47">
        <v>0</v>
      </c>
      <c r="G402" s="47">
        <v>0</v>
      </c>
      <c r="H402" s="47">
        <v>0</v>
      </c>
    </row>
    <row r="403" spans="1:8">
      <c r="A403" s="8" t="s">
        <v>9</v>
      </c>
      <c r="B403" s="9" t="s">
        <v>24</v>
      </c>
      <c r="C403" s="9" t="s">
        <v>188</v>
      </c>
      <c r="D403" s="43" t="s">
        <v>187</v>
      </c>
      <c r="E403" s="19" t="s">
        <v>1019</v>
      </c>
      <c r="F403" s="47">
        <v>4</v>
      </c>
      <c r="G403" s="47">
        <v>118000</v>
      </c>
      <c r="H403" s="47">
        <v>22400</v>
      </c>
    </row>
    <row r="404" spans="1:8">
      <c r="A404" s="8" t="s">
        <v>9</v>
      </c>
      <c r="B404" s="9" t="s">
        <v>24</v>
      </c>
      <c r="C404" s="9" t="s">
        <v>188</v>
      </c>
      <c r="D404" s="43" t="s">
        <v>187</v>
      </c>
      <c r="E404" s="19" t="s">
        <v>1020</v>
      </c>
      <c r="F404" s="47">
        <v>0</v>
      </c>
      <c r="G404" s="47">
        <v>0</v>
      </c>
      <c r="H404" s="47">
        <v>0</v>
      </c>
    </row>
    <row r="405" spans="1:8">
      <c r="A405" s="8" t="s">
        <v>9</v>
      </c>
      <c r="B405" s="9" t="s">
        <v>24</v>
      </c>
      <c r="C405" s="9" t="s">
        <v>188</v>
      </c>
      <c r="D405" s="43" t="s">
        <v>187</v>
      </c>
      <c r="E405" s="19" t="s">
        <v>1021</v>
      </c>
      <c r="F405" s="47">
        <v>5</v>
      </c>
      <c r="G405" s="47">
        <v>101000</v>
      </c>
      <c r="H405" s="47">
        <v>19520</v>
      </c>
    </row>
    <row r="406" spans="1:8">
      <c r="A406" s="8" t="s">
        <v>9</v>
      </c>
      <c r="B406" s="9" t="s">
        <v>24</v>
      </c>
      <c r="C406" s="9" t="s">
        <v>188</v>
      </c>
      <c r="D406" s="43" t="s">
        <v>187</v>
      </c>
      <c r="E406" s="19" t="s">
        <v>1022</v>
      </c>
      <c r="F406" s="47">
        <v>0</v>
      </c>
      <c r="G406" s="47">
        <v>0</v>
      </c>
      <c r="H406" s="47">
        <v>0</v>
      </c>
    </row>
    <row r="407" spans="1:8">
      <c r="A407" s="8" t="s">
        <v>9</v>
      </c>
      <c r="B407" s="9" t="s">
        <v>24</v>
      </c>
      <c r="C407" s="9" t="s">
        <v>188</v>
      </c>
      <c r="D407" s="43" t="s">
        <v>187</v>
      </c>
      <c r="E407" s="19" t="s">
        <v>1023</v>
      </c>
      <c r="F407" s="47">
        <v>0</v>
      </c>
      <c r="G407" s="47">
        <v>0</v>
      </c>
      <c r="H407" s="47">
        <v>0</v>
      </c>
    </row>
    <row r="408" spans="1:8">
      <c r="A408" s="8" t="s">
        <v>9</v>
      </c>
      <c r="B408" s="9" t="s">
        <v>24</v>
      </c>
      <c r="C408" s="9" t="s">
        <v>188</v>
      </c>
      <c r="D408" s="43" t="s">
        <v>187</v>
      </c>
      <c r="E408" s="19" t="s">
        <v>1024</v>
      </c>
      <c r="F408" s="47">
        <v>2</v>
      </c>
      <c r="G408" s="47">
        <v>58000</v>
      </c>
      <c r="H408" s="47">
        <v>11010</v>
      </c>
    </row>
    <row r="409" spans="1:8">
      <c r="A409" s="8" t="s">
        <v>9</v>
      </c>
      <c r="B409" s="9" t="s">
        <v>24</v>
      </c>
      <c r="C409" s="9" t="s">
        <v>188</v>
      </c>
      <c r="D409" s="43" t="s">
        <v>187</v>
      </c>
      <c r="E409" s="19" t="s">
        <v>1025</v>
      </c>
      <c r="F409" s="47">
        <v>1</v>
      </c>
      <c r="G409" s="47">
        <v>27900</v>
      </c>
      <c r="H409" s="47">
        <v>5300</v>
      </c>
    </row>
    <row r="410" spans="1:8">
      <c r="A410" s="8" t="s">
        <v>9</v>
      </c>
      <c r="B410" s="9" t="s">
        <v>24</v>
      </c>
      <c r="C410" s="9" t="s">
        <v>188</v>
      </c>
      <c r="D410" s="43" t="s">
        <v>187</v>
      </c>
      <c r="E410" s="19" t="s">
        <v>1026</v>
      </c>
      <c r="F410" s="47">
        <v>0</v>
      </c>
      <c r="G410" s="47">
        <v>0</v>
      </c>
      <c r="H410" s="47">
        <v>0</v>
      </c>
    </row>
    <row r="411" spans="1:8">
      <c r="A411" s="8" t="s">
        <v>9</v>
      </c>
      <c r="B411" s="9" t="s">
        <v>24</v>
      </c>
      <c r="C411" s="9" t="s">
        <v>188</v>
      </c>
      <c r="D411" s="43" t="s">
        <v>187</v>
      </c>
      <c r="E411" s="19" t="s">
        <v>1027</v>
      </c>
      <c r="F411" s="47">
        <v>2</v>
      </c>
      <c r="G411" s="47">
        <v>71300</v>
      </c>
      <c r="H411" s="47">
        <v>13540</v>
      </c>
    </row>
    <row r="412" spans="1:8">
      <c r="A412" s="8" t="s">
        <v>9</v>
      </c>
      <c r="B412" s="9" t="s">
        <v>24</v>
      </c>
      <c r="C412" s="9" t="s">
        <v>188</v>
      </c>
      <c r="D412" s="43" t="s">
        <v>187</v>
      </c>
      <c r="E412" s="19" t="s">
        <v>1028</v>
      </c>
      <c r="F412" s="47">
        <v>1</v>
      </c>
      <c r="G412" s="47">
        <v>119600</v>
      </c>
      <c r="H412" s="47">
        <v>10000</v>
      </c>
    </row>
    <row r="413" spans="1:8">
      <c r="A413" s="8" t="s">
        <v>9</v>
      </c>
      <c r="B413" s="9" t="s">
        <v>24</v>
      </c>
      <c r="C413" s="9" t="s">
        <v>188</v>
      </c>
      <c r="D413" s="43" t="s">
        <v>187</v>
      </c>
      <c r="E413" s="19" t="s">
        <v>1029</v>
      </c>
      <c r="F413" s="47">
        <v>0</v>
      </c>
      <c r="G413" s="47">
        <v>0</v>
      </c>
      <c r="H413" s="47">
        <v>0</v>
      </c>
    </row>
    <row r="414" spans="1:8">
      <c r="A414" s="8" t="s">
        <v>9</v>
      </c>
      <c r="B414" s="9" t="s">
        <v>24</v>
      </c>
      <c r="C414" s="9" t="s">
        <v>188</v>
      </c>
      <c r="D414" s="43" t="s">
        <v>187</v>
      </c>
      <c r="E414" s="19" t="s">
        <v>1030</v>
      </c>
      <c r="F414" s="47">
        <v>0</v>
      </c>
      <c r="G414" s="47">
        <v>0</v>
      </c>
      <c r="H414" s="47">
        <v>0</v>
      </c>
    </row>
    <row r="415" spans="1:8">
      <c r="A415" s="8" t="s">
        <v>9</v>
      </c>
      <c r="B415" s="9" t="s">
        <v>24</v>
      </c>
      <c r="C415" s="9" t="s">
        <v>188</v>
      </c>
      <c r="D415" s="43" t="s">
        <v>187</v>
      </c>
      <c r="E415" s="19" t="s">
        <v>1031</v>
      </c>
      <c r="F415" s="47">
        <v>0</v>
      </c>
      <c r="G415" s="47">
        <v>0</v>
      </c>
      <c r="H415" s="47">
        <v>0</v>
      </c>
    </row>
    <row r="416" spans="1:8">
      <c r="A416" s="8" t="s">
        <v>9</v>
      </c>
      <c r="B416" s="9" t="s">
        <v>24</v>
      </c>
      <c r="C416" s="9" t="s">
        <v>188</v>
      </c>
      <c r="D416" s="43" t="s">
        <v>187</v>
      </c>
      <c r="E416" s="19" t="s">
        <v>1032</v>
      </c>
      <c r="F416" s="47">
        <v>0</v>
      </c>
      <c r="G416" s="47">
        <v>0</v>
      </c>
      <c r="H416" s="47">
        <v>0</v>
      </c>
    </row>
    <row r="417" spans="1:8">
      <c r="A417" s="8" t="s">
        <v>9</v>
      </c>
      <c r="B417" s="9" t="s">
        <v>24</v>
      </c>
      <c r="C417" s="9" t="s">
        <v>188</v>
      </c>
      <c r="D417" s="43" t="s">
        <v>187</v>
      </c>
      <c r="E417" s="19" t="s">
        <v>1033</v>
      </c>
      <c r="F417" s="47">
        <v>0</v>
      </c>
      <c r="G417" s="47">
        <v>0</v>
      </c>
      <c r="H417" s="47">
        <v>0</v>
      </c>
    </row>
    <row r="418" spans="1:8">
      <c r="A418" s="8" t="s">
        <v>9</v>
      </c>
      <c r="B418" s="9" t="s">
        <v>24</v>
      </c>
      <c r="C418" s="13" t="s">
        <v>188</v>
      </c>
      <c r="D418" s="43" t="s">
        <v>187</v>
      </c>
      <c r="E418" s="20" t="s">
        <v>1034</v>
      </c>
      <c r="F418" s="47">
        <v>0</v>
      </c>
      <c r="G418" s="47">
        <v>0</v>
      </c>
      <c r="H418" s="47">
        <v>0</v>
      </c>
    </row>
    <row r="419" spans="1:8">
      <c r="A419" s="8" t="s">
        <v>9</v>
      </c>
      <c r="B419" s="9" t="s">
        <v>24</v>
      </c>
      <c r="C419" s="13" t="s">
        <v>188</v>
      </c>
      <c r="D419" s="43" t="s">
        <v>187</v>
      </c>
      <c r="E419" s="20" t="s">
        <v>1035</v>
      </c>
      <c r="F419" s="47">
        <v>0</v>
      </c>
      <c r="G419" s="47">
        <v>0</v>
      </c>
      <c r="H419" s="47">
        <v>0</v>
      </c>
    </row>
    <row r="420" spans="1:8">
      <c r="A420" s="8" t="s">
        <v>9</v>
      </c>
      <c r="B420" s="9" t="s">
        <v>24</v>
      </c>
      <c r="C420" s="13" t="s">
        <v>188</v>
      </c>
      <c r="D420" s="43" t="s">
        <v>187</v>
      </c>
      <c r="E420" s="20" t="s">
        <v>1036</v>
      </c>
      <c r="F420" s="47">
        <v>0</v>
      </c>
      <c r="G420" s="47">
        <v>0</v>
      </c>
      <c r="H420" s="47">
        <v>0</v>
      </c>
    </row>
    <row r="421" spans="1:8">
      <c r="A421" s="8" t="s">
        <v>9</v>
      </c>
      <c r="B421" s="13" t="s">
        <v>24</v>
      </c>
      <c r="C421" s="13" t="s">
        <v>188</v>
      </c>
      <c r="D421" s="43" t="s">
        <v>187</v>
      </c>
      <c r="E421" s="20" t="s">
        <v>1037</v>
      </c>
      <c r="F421" s="47">
        <v>3</v>
      </c>
      <c r="G421" s="47">
        <v>94600</v>
      </c>
      <c r="H421" s="47">
        <v>18250</v>
      </c>
    </row>
    <row r="422" spans="1:8">
      <c r="A422" s="8" t="s">
        <v>9</v>
      </c>
      <c r="B422" s="13" t="s">
        <v>24</v>
      </c>
      <c r="C422" s="13" t="s">
        <v>90</v>
      </c>
      <c r="D422" s="43" t="s">
        <v>89</v>
      </c>
      <c r="E422" s="20" t="s">
        <v>1038</v>
      </c>
      <c r="F422" s="47">
        <v>0</v>
      </c>
      <c r="G422" s="47">
        <v>0</v>
      </c>
      <c r="H422" s="47">
        <v>0</v>
      </c>
    </row>
    <row r="423" spans="1:8">
      <c r="A423" s="8" t="s">
        <v>9</v>
      </c>
      <c r="B423" s="13" t="s">
        <v>24</v>
      </c>
      <c r="C423" s="13" t="s">
        <v>90</v>
      </c>
      <c r="D423" s="43" t="s">
        <v>89</v>
      </c>
      <c r="E423" s="20" t="s">
        <v>1039</v>
      </c>
      <c r="F423" s="47">
        <v>0</v>
      </c>
      <c r="G423" s="47">
        <v>0</v>
      </c>
      <c r="H423" s="47">
        <v>0</v>
      </c>
    </row>
    <row r="424" spans="1:8">
      <c r="A424" s="8" t="s">
        <v>9</v>
      </c>
      <c r="B424" s="13" t="s">
        <v>24</v>
      </c>
      <c r="C424" s="13" t="s">
        <v>90</v>
      </c>
      <c r="D424" s="43" t="s">
        <v>89</v>
      </c>
      <c r="E424" s="20" t="s">
        <v>1040</v>
      </c>
      <c r="F424" s="47">
        <v>0</v>
      </c>
      <c r="G424" s="47">
        <v>0</v>
      </c>
      <c r="H424" s="47">
        <v>0</v>
      </c>
    </row>
    <row r="425" spans="1:8">
      <c r="A425" s="8" t="s">
        <v>9</v>
      </c>
      <c r="B425" s="13" t="s">
        <v>24</v>
      </c>
      <c r="C425" s="13" t="s">
        <v>90</v>
      </c>
      <c r="D425" s="43" t="s">
        <v>89</v>
      </c>
      <c r="E425" s="20" t="s">
        <v>1041</v>
      </c>
      <c r="F425" s="47">
        <v>0</v>
      </c>
      <c r="G425" s="47">
        <v>0</v>
      </c>
      <c r="H425" s="47">
        <v>0</v>
      </c>
    </row>
    <row r="426" spans="1:8">
      <c r="A426" s="8" t="s">
        <v>9</v>
      </c>
      <c r="B426" s="13" t="s">
        <v>24</v>
      </c>
      <c r="C426" s="13" t="s">
        <v>90</v>
      </c>
      <c r="D426" s="43" t="s">
        <v>89</v>
      </c>
      <c r="E426" s="20" t="s">
        <v>1042</v>
      </c>
      <c r="F426" s="47">
        <v>0</v>
      </c>
      <c r="G426" s="47">
        <v>0</v>
      </c>
      <c r="H426" s="47">
        <v>0</v>
      </c>
    </row>
    <row r="427" spans="1:8">
      <c r="A427" s="8" t="s">
        <v>9</v>
      </c>
      <c r="B427" s="13" t="s">
        <v>24</v>
      </c>
      <c r="C427" s="13" t="s">
        <v>90</v>
      </c>
      <c r="D427" s="43" t="s">
        <v>89</v>
      </c>
      <c r="E427" s="20" t="s">
        <v>1043</v>
      </c>
      <c r="F427" s="47">
        <v>1</v>
      </c>
      <c r="G427" s="47">
        <v>38000</v>
      </c>
      <c r="H427" s="47">
        <v>7220</v>
      </c>
    </row>
    <row r="428" spans="1:8">
      <c r="A428" s="8" t="s">
        <v>9</v>
      </c>
      <c r="B428" s="13" t="s">
        <v>24</v>
      </c>
      <c r="C428" s="13" t="s">
        <v>90</v>
      </c>
      <c r="D428" s="43" t="s">
        <v>89</v>
      </c>
      <c r="E428" s="20" t="s">
        <v>1044</v>
      </c>
      <c r="F428" s="47">
        <v>0</v>
      </c>
      <c r="G428" s="47">
        <v>0</v>
      </c>
      <c r="H428" s="47">
        <v>0</v>
      </c>
    </row>
    <row r="429" spans="1:8">
      <c r="A429" s="8" t="s">
        <v>9</v>
      </c>
      <c r="B429" s="13" t="s">
        <v>24</v>
      </c>
      <c r="C429" s="13" t="s">
        <v>90</v>
      </c>
      <c r="D429" s="43" t="s">
        <v>89</v>
      </c>
      <c r="E429" s="20" t="s">
        <v>1045</v>
      </c>
      <c r="F429" s="47">
        <v>0</v>
      </c>
      <c r="G429" s="47">
        <v>0</v>
      </c>
      <c r="H429" s="47">
        <v>0</v>
      </c>
    </row>
    <row r="430" spans="1:8">
      <c r="A430" s="8" t="s">
        <v>9</v>
      </c>
      <c r="B430" s="13" t="s">
        <v>24</v>
      </c>
      <c r="C430" s="13" t="s">
        <v>90</v>
      </c>
      <c r="D430" s="43" t="s">
        <v>89</v>
      </c>
      <c r="E430" s="20" t="s">
        <v>1046</v>
      </c>
      <c r="F430" s="47">
        <v>0</v>
      </c>
      <c r="G430" s="47">
        <v>0</v>
      </c>
      <c r="H430" s="47">
        <v>0</v>
      </c>
    </row>
    <row r="431" spans="1:8">
      <c r="A431" s="8" t="s">
        <v>9</v>
      </c>
      <c r="B431" s="13" t="s">
        <v>24</v>
      </c>
      <c r="C431" s="13" t="s">
        <v>90</v>
      </c>
      <c r="D431" s="43" t="s">
        <v>89</v>
      </c>
      <c r="E431" s="20" t="s">
        <v>1047</v>
      </c>
      <c r="F431" s="47">
        <v>0</v>
      </c>
      <c r="G431" s="47">
        <v>0</v>
      </c>
      <c r="H431" s="47">
        <v>0</v>
      </c>
    </row>
    <row r="432" spans="1:8">
      <c r="A432" s="8" t="s">
        <v>9</v>
      </c>
      <c r="B432" s="13" t="s">
        <v>24</v>
      </c>
      <c r="C432" s="13" t="s">
        <v>90</v>
      </c>
      <c r="D432" s="43" t="s">
        <v>89</v>
      </c>
      <c r="E432" s="20" t="s">
        <v>1048</v>
      </c>
      <c r="F432" s="47">
        <v>0</v>
      </c>
      <c r="G432" s="47">
        <v>0</v>
      </c>
      <c r="H432" s="47">
        <v>0</v>
      </c>
    </row>
    <row r="433" spans="1:8">
      <c r="A433" s="8" t="s">
        <v>9</v>
      </c>
      <c r="B433" s="13" t="s">
        <v>24</v>
      </c>
      <c r="C433" s="13" t="s">
        <v>90</v>
      </c>
      <c r="D433" s="43" t="s">
        <v>89</v>
      </c>
      <c r="E433" s="20" t="s">
        <v>1049</v>
      </c>
      <c r="F433" s="47">
        <v>0</v>
      </c>
      <c r="G433" s="47">
        <v>0</v>
      </c>
      <c r="H433" s="47">
        <v>0</v>
      </c>
    </row>
    <row r="434" spans="1:8">
      <c r="A434" s="8" t="s">
        <v>9</v>
      </c>
      <c r="B434" s="13" t="s">
        <v>24</v>
      </c>
      <c r="C434" s="13" t="s">
        <v>90</v>
      </c>
      <c r="D434" s="43" t="s">
        <v>89</v>
      </c>
      <c r="E434" s="20" t="s">
        <v>1050</v>
      </c>
      <c r="F434" s="47">
        <v>0</v>
      </c>
      <c r="G434" s="47">
        <v>0</v>
      </c>
      <c r="H434" s="47">
        <v>0</v>
      </c>
    </row>
    <row r="435" spans="1:8">
      <c r="A435" s="8" t="s">
        <v>9</v>
      </c>
      <c r="B435" s="13" t="s">
        <v>24</v>
      </c>
      <c r="C435" s="13" t="s">
        <v>90</v>
      </c>
      <c r="D435" s="43" t="s">
        <v>89</v>
      </c>
      <c r="E435" s="20" t="s">
        <v>1051</v>
      </c>
      <c r="F435" s="47">
        <v>0</v>
      </c>
      <c r="G435" s="47">
        <v>0</v>
      </c>
      <c r="H435" s="47">
        <v>0</v>
      </c>
    </row>
    <row r="436" spans="1:8">
      <c r="A436" s="8" t="s">
        <v>9</v>
      </c>
      <c r="B436" s="9" t="s">
        <v>24</v>
      </c>
      <c r="C436" s="13" t="s">
        <v>90</v>
      </c>
      <c r="D436" s="43" t="s">
        <v>89</v>
      </c>
      <c r="E436" s="20" t="s">
        <v>1052</v>
      </c>
      <c r="F436" s="47">
        <v>4</v>
      </c>
      <c r="G436" s="47">
        <v>83200</v>
      </c>
      <c r="H436" s="47">
        <v>15750</v>
      </c>
    </row>
    <row r="437" spans="1:8">
      <c r="A437" s="8" t="s">
        <v>9</v>
      </c>
      <c r="B437" s="13" t="s">
        <v>24</v>
      </c>
      <c r="C437" s="13" t="s">
        <v>1053</v>
      </c>
      <c r="D437" s="43" t="s">
        <v>415</v>
      </c>
      <c r="E437" s="20" t="s">
        <v>1054</v>
      </c>
      <c r="F437" s="47">
        <v>2</v>
      </c>
      <c r="G437" s="47">
        <v>26400</v>
      </c>
      <c r="H437" s="47">
        <v>4880</v>
      </c>
    </row>
    <row r="438" spans="1:8">
      <c r="A438" s="8" t="s">
        <v>9</v>
      </c>
      <c r="B438" s="13" t="s">
        <v>24</v>
      </c>
      <c r="C438" s="13" t="s">
        <v>1053</v>
      </c>
      <c r="D438" s="43" t="s">
        <v>415</v>
      </c>
      <c r="E438" s="20" t="s">
        <v>1055</v>
      </c>
      <c r="F438" s="47">
        <v>3</v>
      </c>
      <c r="G438" s="47">
        <v>68700</v>
      </c>
      <c r="H438" s="47">
        <v>12700</v>
      </c>
    </row>
    <row r="439" spans="1:8">
      <c r="A439" s="8" t="s">
        <v>9</v>
      </c>
      <c r="B439" s="13" t="s">
        <v>24</v>
      </c>
      <c r="C439" s="13" t="s">
        <v>1053</v>
      </c>
      <c r="D439" s="43" t="s">
        <v>415</v>
      </c>
      <c r="E439" s="20" t="s">
        <v>1056</v>
      </c>
      <c r="F439" s="47">
        <v>2</v>
      </c>
      <c r="G439" s="47">
        <v>45800</v>
      </c>
      <c r="H439" s="47">
        <v>8520</v>
      </c>
    </row>
    <row r="440" spans="1:8">
      <c r="A440" s="8" t="s">
        <v>9</v>
      </c>
      <c r="B440" s="13" t="s">
        <v>24</v>
      </c>
      <c r="C440" s="13" t="s">
        <v>1053</v>
      </c>
      <c r="D440" s="43" t="s">
        <v>415</v>
      </c>
      <c r="E440" s="20" t="s">
        <v>1057</v>
      </c>
      <c r="F440" s="47">
        <v>0</v>
      </c>
      <c r="G440" s="47">
        <v>0</v>
      </c>
      <c r="H440" s="47">
        <v>0</v>
      </c>
    </row>
    <row r="441" spans="1:8">
      <c r="A441" s="8" t="s">
        <v>9</v>
      </c>
      <c r="B441" s="13" t="s">
        <v>24</v>
      </c>
      <c r="C441" s="13" t="s">
        <v>1053</v>
      </c>
      <c r="D441" s="43" t="s">
        <v>415</v>
      </c>
      <c r="E441" s="20" t="s">
        <v>1058</v>
      </c>
      <c r="F441" s="47">
        <v>888</v>
      </c>
      <c r="G441" s="47">
        <v>13174800</v>
      </c>
      <c r="H441" s="47">
        <v>2206680</v>
      </c>
    </row>
    <row r="442" spans="1:8">
      <c r="A442" s="8" t="s">
        <v>9</v>
      </c>
      <c r="B442" s="13" t="s">
        <v>24</v>
      </c>
      <c r="C442" s="13" t="s">
        <v>1053</v>
      </c>
      <c r="D442" s="43" t="s">
        <v>415</v>
      </c>
      <c r="E442" s="20" t="s">
        <v>1059</v>
      </c>
      <c r="F442" s="47">
        <v>13</v>
      </c>
      <c r="G442" s="47">
        <v>112300</v>
      </c>
      <c r="H442" s="47">
        <v>21240</v>
      </c>
    </row>
    <row r="443" spans="1:8">
      <c r="A443" s="8" t="s">
        <v>9</v>
      </c>
      <c r="B443" s="13" t="s">
        <v>24</v>
      </c>
      <c r="C443" s="13" t="s">
        <v>1053</v>
      </c>
      <c r="D443" s="43" t="s">
        <v>415</v>
      </c>
      <c r="E443" s="20" t="s">
        <v>1060</v>
      </c>
      <c r="F443" s="47">
        <v>2</v>
      </c>
      <c r="G443" s="47">
        <v>29800</v>
      </c>
      <c r="H443" s="47">
        <v>5660</v>
      </c>
    </row>
    <row r="444" spans="1:8">
      <c r="A444" s="8" t="s">
        <v>9</v>
      </c>
      <c r="B444" s="13" t="s">
        <v>24</v>
      </c>
      <c r="C444" s="13" t="s">
        <v>1053</v>
      </c>
      <c r="D444" s="43" t="s">
        <v>415</v>
      </c>
      <c r="E444" s="20" t="s">
        <v>1061</v>
      </c>
      <c r="F444" s="47">
        <v>0</v>
      </c>
      <c r="G444" s="47">
        <v>0</v>
      </c>
      <c r="H444" s="47">
        <v>0</v>
      </c>
    </row>
    <row r="445" spans="1:8">
      <c r="A445" s="8" t="s">
        <v>9</v>
      </c>
      <c r="B445" s="13" t="s">
        <v>24</v>
      </c>
      <c r="C445" s="13" t="s">
        <v>1053</v>
      </c>
      <c r="D445" s="43" t="s">
        <v>415</v>
      </c>
      <c r="E445" s="20" t="s">
        <v>1062</v>
      </c>
      <c r="F445" s="47">
        <v>1</v>
      </c>
      <c r="G445" s="47">
        <v>25900</v>
      </c>
      <c r="H445" s="47">
        <v>4560</v>
      </c>
    </row>
    <row r="446" spans="1:8">
      <c r="A446" s="8" t="s">
        <v>9</v>
      </c>
      <c r="B446" s="13" t="s">
        <v>24</v>
      </c>
      <c r="C446" s="13" t="s">
        <v>1053</v>
      </c>
      <c r="D446" s="43" t="s">
        <v>415</v>
      </c>
      <c r="E446" s="20" t="s">
        <v>1063</v>
      </c>
      <c r="F446" s="47">
        <v>3</v>
      </c>
      <c r="G446" s="47">
        <v>17400</v>
      </c>
      <c r="H446" s="47">
        <v>3230</v>
      </c>
    </row>
    <row r="447" spans="1:8">
      <c r="A447" s="8" t="s">
        <v>9</v>
      </c>
      <c r="B447" s="13" t="s">
        <v>24</v>
      </c>
      <c r="C447" s="13" t="s">
        <v>1053</v>
      </c>
      <c r="D447" s="43" t="s">
        <v>415</v>
      </c>
      <c r="E447" s="20" t="s">
        <v>1064</v>
      </c>
      <c r="F447" s="47">
        <v>13</v>
      </c>
      <c r="G447" s="47">
        <v>184000</v>
      </c>
      <c r="H447" s="47">
        <v>32870</v>
      </c>
    </row>
    <row r="448" spans="1:8">
      <c r="A448" s="8" t="s">
        <v>9</v>
      </c>
      <c r="B448" s="13" t="s">
        <v>24</v>
      </c>
      <c r="C448" s="13" t="s">
        <v>1053</v>
      </c>
      <c r="D448" s="43" t="s">
        <v>415</v>
      </c>
      <c r="E448" s="20" t="s">
        <v>1065</v>
      </c>
      <c r="F448" s="47">
        <v>26</v>
      </c>
      <c r="G448" s="47">
        <v>331500</v>
      </c>
      <c r="H448" s="47">
        <v>59500</v>
      </c>
    </row>
    <row r="449" spans="1:8">
      <c r="A449" s="8" t="s">
        <v>9</v>
      </c>
      <c r="B449" s="13" t="s">
        <v>24</v>
      </c>
      <c r="C449" s="13" t="s">
        <v>1053</v>
      </c>
      <c r="D449" s="43" t="s">
        <v>415</v>
      </c>
      <c r="E449" s="20" t="s">
        <v>1066</v>
      </c>
      <c r="F449" s="47">
        <v>0</v>
      </c>
      <c r="G449" s="47">
        <v>0</v>
      </c>
      <c r="H449" s="47">
        <v>0</v>
      </c>
    </row>
    <row r="450" spans="1:8">
      <c r="A450" s="8" t="s">
        <v>9</v>
      </c>
      <c r="B450" s="13" t="s">
        <v>24</v>
      </c>
      <c r="C450" s="13" t="s">
        <v>1053</v>
      </c>
      <c r="D450" s="43" t="s">
        <v>415</v>
      </c>
      <c r="E450" s="20" t="s">
        <v>1067</v>
      </c>
      <c r="F450" s="47">
        <v>0</v>
      </c>
      <c r="G450" s="47">
        <v>0</v>
      </c>
      <c r="H450" s="47">
        <v>0</v>
      </c>
    </row>
    <row r="451" spans="1:8">
      <c r="A451" s="8" t="s">
        <v>9</v>
      </c>
      <c r="B451" s="13" t="s">
        <v>24</v>
      </c>
      <c r="C451" s="13" t="s">
        <v>1053</v>
      </c>
      <c r="D451" s="43" t="s">
        <v>415</v>
      </c>
      <c r="E451" s="20" t="s">
        <v>1068</v>
      </c>
      <c r="F451" s="47">
        <v>1</v>
      </c>
      <c r="G451" s="47">
        <v>14400</v>
      </c>
      <c r="H451" s="47">
        <v>2700</v>
      </c>
    </row>
    <row r="452" spans="1:8">
      <c r="A452" s="8" t="s">
        <v>9</v>
      </c>
      <c r="B452" s="13" t="s">
        <v>24</v>
      </c>
      <c r="C452" s="13" t="s">
        <v>1053</v>
      </c>
      <c r="D452" s="43" t="s">
        <v>415</v>
      </c>
      <c r="E452" s="20" t="s">
        <v>1069</v>
      </c>
      <c r="F452" s="47">
        <v>0</v>
      </c>
      <c r="G452" s="47">
        <v>0</v>
      </c>
      <c r="H452" s="47">
        <v>0</v>
      </c>
    </row>
    <row r="453" spans="1:8">
      <c r="A453" s="8" t="s">
        <v>9</v>
      </c>
      <c r="B453" s="13" t="s">
        <v>24</v>
      </c>
      <c r="C453" s="13" t="s">
        <v>1053</v>
      </c>
      <c r="D453" s="43" t="s">
        <v>415</v>
      </c>
      <c r="E453" s="20" t="s">
        <v>1070</v>
      </c>
      <c r="F453" s="47">
        <v>2</v>
      </c>
      <c r="G453" s="47">
        <v>58200</v>
      </c>
      <c r="H453" s="47">
        <v>9640</v>
      </c>
    </row>
    <row r="454" spans="1:8">
      <c r="A454" s="8" t="s">
        <v>9</v>
      </c>
      <c r="B454" s="13" t="s">
        <v>24</v>
      </c>
      <c r="C454" s="13" t="s">
        <v>1053</v>
      </c>
      <c r="D454" s="43" t="s">
        <v>415</v>
      </c>
      <c r="E454" s="20" t="s">
        <v>1071</v>
      </c>
      <c r="F454" s="47">
        <v>0</v>
      </c>
      <c r="G454" s="47">
        <v>0</v>
      </c>
      <c r="H454" s="47">
        <v>0</v>
      </c>
    </row>
    <row r="455" spans="1:8">
      <c r="A455" s="8" t="s">
        <v>9</v>
      </c>
      <c r="B455" s="13" t="s">
        <v>24</v>
      </c>
      <c r="C455" s="13" t="s">
        <v>1053</v>
      </c>
      <c r="D455" s="43" t="s">
        <v>415</v>
      </c>
      <c r="E455" s="20" t="s">
        <v>1072</v>
      </c>
      <c r="F455" s="47">
        <v>3</v>
      </c>
      <c r="G455" s="47">
        <v>52200</v>
      </c>
      <c r="H455" s="47">
        <v>8340</v>
      </c>
    </row>
    <row r="456" spans="1:8">
      <c r="A456" s="8" t="s">
        <v>9</v>
      </c>
      <c r="B456" s="13" t="s">
        <v>24</v>
      </c>
      <c r="C456" s="13" t="s">
        <v>1053</v>
      </c>
      <c r="D456" s="43" t="s">
        <v>415</v>
      </c>
      <c r="E456" s="20" t="s">
        <v>1073</v>
      </c>
      <c r="F456" s="47">
        <v>1</v>
      </c>
      <c r="G456" s="47">
        <v>26600</v>
      </c>
      <c r="H456" s="47">
        <v>4680</v>
      </c>
    </row>
    <row r="457" spans="1:8">
      <c r="A457" s="8" t="s">
        <v>9</v>
      </c>
      <c r="B457" s="13" t="s">
        <v>24</v>
      </c>
      <c r="C457" s="13" t="s">
        <v>1053</v>
      </c>
      <c r="D457" s="43" t="s">
        <v>415</v>
      </c>
      <c r="E457" s="20" t="s">
        <v>1074</v>
      </c>
      <c r="F457" s="47">
        <v>0</v>
      </c>
      <c r="G457" s="47">
        <v>0</v>
      </c>
      <c r="H457" s="47">
        <v>0</v>
      </c>
    </row>
    <row r="458" spans="1:8">
      <c r="A458" s="8" t="s">
        <v>9</v>
      </c>
      <c r="B458" s="13" t="s">
        <v>24</v>
      </c>
      <c r="C458" s="13" t="s">
        <v>1053</v>
      </c>
      <c r="D458" s="43" t="s">
        <v>415</v>
      </c>
      <c r="E458" s="20" t="s">
        <v>1075</v>
      </c>
      <c r="F458" s="47">
        <v>0</v>
      </c>
      <c r="G458" s="47">
        <v>0</v>
      </c>
      <c r="H458" s="47">
        <v>0</v>
      </c>
    </row>
    <row r="459" spans="1:8">
      <c r="A459" s="8" t="s">
        <v>9</v>
      </c>
      <c r="B459" s="9" t="s">
        <v>24</v>
      </c>
      <c r="C459" s="13" t="s">
        <v>412</v>
      </c>
      <c r="D459" s="43" t="s">
        <v>411</v>
      </c>
      <c r="E459" s="20" t="s">
        <v>1076</v>
      </c>
      <c r="F459" s="47">
        <v>0</v>
      </c>
      <c r="G459" s="47">
        <v>0</v>
      </c>
      <c r="H459" s="47">
        <v>0</v>
      </c>
    </row>
    <row r="460" spans="1:8">
      <c r="A460" s="8" t="s">
        <v>9</v>
      </c>
      <c r="B460" s="9" t="s">
        <v>24</v>
      </c>
      <c r="C460" s="13" t="s">
        <v>412</v>
      </c>
      <c r="D460" s="43" t="s">
        <v>411</v>
      </c>
      <c r="E460" s="20" t="s">
        <v>1077</v>
      </c>
      <c r="F460" s="47">
        <v>0</v>
      </c>
      <c r="G460" s="47">
        <v>0</v>
      </c>
      <c r="H460" s="47">
        <v>0</v>
      </c>
    </row>
    <row r="461" spans="1:8">
      <c r="A461" s="8" t="s">
        <v>9</v>
      </c>
      <c r="B461" s="9" t="s">
        <v>24</v>
      </c>
      <c r="C461" s="13" t="s">
        <v>412</v>
      </c>
      <c r="D461" s="43" t="s">
        <v>411</v>
      </c>
      <c r="E461" s="20" t="s">
        <v>1078</v>
      </c>
      <c r="F461" s="47">
        <v>0</v>
      </c>
      <c r="G461" s="47">
        <v>0</v>
      </c>
      <c r="H461" s="47">
        <v>0</v>
      </c>
    </row>
    <row r="462" spans="1:8">
      <c r="A462" s="8" t="s">
        <v>9</v>
      </c>
      <c r="B462" s="9" t="s">
        <v>24</v>
      </c>
      <c r="C462" s="13" t="s">
        <v>412</v>
      </c>
      <c r="D462" s="43" t="s">
        <v>411</v>
      </c>
      <c r="E462" s="20" t="s">
        <v>1079</v>
      </c>
      <c r="F462" s="47">
        <v>0</v>
      </c>
      <c r="G462" s="47">
        <v>0</v>
      </c>
      <c r="H462" s="47">
        <v>0</v>
      </c>
    </row>
    <row r="463" spans="1:8">
      <c r="A463" s="8" t="s">
        <v>9</v>
      </c>
      <c r="B463" s="9" t="s">
        <v>24</v>
      </c>
      <c r="C463" s="13" t="s">
        <v>412</v>
      </c>
      <c r="D463" s="43" t="s">
        <v>411</v>
      </c>
      <c r="E463" s="20" t="s">
        <v>1080</v>
      </c>
      <c r="F463" s="47">
        <v>0</v>
      </c>
      <c r="G463" s="47">
        <v>0</v>
      </c>
      <c r="H463" s="47">
        <v>0</v>
      </c>
    </row>
    <row r="464" spans="1:8">
      <c r="A464" s="8" t="s">
        <v>9</v>
      </c>
      <c r="B464" s="9" t="s">
        <v>24</v>
      </c>
      <c r="C464" s="13" t="s">
        <v>412</v>
      </c>
      <c r="D464" s="43" t="s">
        <v>411</v>
      </c>
      <c r="E464" s="20" t="s">
        <v>1081</v>
      </c>
      <c r="F464" s="47">
        <v>0</v>
      </c>
      <c r="G464" s="47">
        <v>0</v>
      </c>
      <c r="H464" s="47">
        <v>0</v>
      </c>
    </row>
    <row r="465" spans="1:8">
      <c r="A465" s="8" t="s">
        <v>9</v>
      </c>
      <c r="B465" s="9" t="s">
        <v>24</v>
      </c>
      <c r="C465" s="13" t="s">
        <v>412</v>
      </c>
      <c r="D465" s="43" t="s">
        <v>411</v>
      </c>
      <c r="E465" s="20" t="s">
        <v>1082</v>
      </c>
      <c r="F465" s="47">
        <v>0</v>
      </c>
      <c r="G465" s="47">
        <v>0</v>
      </c>
      <c r="H465" s="47">
        <v>0</v>
      </c>
    </row>
    <row r="466" spans="1:8">
      <c r="A466" s="8" t="s">
        <v>9</v>
      </c>
      <c r="B466" s="9" t="s">
        <v>24</v>
      </c>
      <c r="C466" s="13" t="s">
        <v>412</v>
      </c>
      <c r="D466" s="43" t="s">
        <v>411</v>
      </c>
      <c r="E466" s="20" t="s">
        <v>1083</v>
      </c>
      <c r="F466" s="47">
        <v>0</v>
      </c>
      <c r="G466" s="47">
        <v>0</v>
      </c>
      <c r="H466" s="47">
        <v>0</v>
      </c>
    </row>
    <row r="467" spans="1:8">
      <c r="A467" s="8" t="s">
        <v>9</v>
      </c>
      <c r="B467" s="9" t="s">
        <v>24</v>
      </c>
      <c r="C467" s="13" t="s">
        <v>412</v>
      </c>
      <c r="D467" s="43" t="s">
        <v>411</v>
      </c>
      <c r="E467" s="20" t="s">
        <v>1084</v>
      </c>
      <c r="F467" s="47">
        <v>0</v>
      </c>
      <c r="G467" s="47">
        <v>0</v>
      </c>
      <c r="H467" s="47">
        <v>0</v>
      </c>
    </row>
    <row r="468" spans="1:8">
      <c r="A468" s="8" t="s">
        <v>9</v>
      </c>
      <c r="B468" s="9" t="s">
        <v>24</v>
      </c>
      <c r="C468" s="13" t="s">
        <v>412</v>
      </c>
      <c r="D468" s="43" t="s">
        <v>411</v>
      </c>
      <c r="E468" s="20" t="s">
        <v>1085</v>
      </c>
      <c r="F468" s="47">
        <v>0</v>
      </c>
      <c r="G468" s="47">
        <v>0</v>
      </c>
      <c r="H468" s="47">
        <v>0</v>
      </c>
    </row>
    <row r="469" spans="1:8">
      <c r="A469" s="8" t="s">
        <v>9</v>
      </c>
      <c r="B469" s="9" t="s">
        <v>24</v>
      </c>
      <c r="C469" s="13" t="s">
        <v>412</v>
      </c>
      <c r="D469" s="43" t="s">
        <v>411</v>
      </c>
      <c r="E469" s="20" t="s">
        <v>1086</v>
      </c>
      <c r="F469" s="47">
        <v>0</v>
      </c>
      <c r="G469" s="47">
        <v>0</v>
      </c>
      <c r="H469" s="47">
        <v>0</v>
      </c>
    </row>
    <row r="470" spans="1:8">
      <c r="A470" s="8" t="s">
        <v>9</v>
      </c>
      <c r="B470" s="9" t="s">
        <v>24</v>
      </c>
      <c r="C470" s="13" t="s">
        <v>412</v>
      </c>
      <c r="D470" s="43" t="s">
        <v>411</v>
      </c>
      <c r="E470" s="20" t="s">
        <v>1087</v>
      </c>
      <c r="F470" s="47">
        <v>0</v>
      </c>
      <c r="G470" s="47">
        <v>0</v>
      </c>
      <c r="H470" s="47">
        <v>0</v>
      </c>
    </row>
    <row r="471" spans="1:8">
      <c r="A471" s="8" t="s">
        <v>9</v>
      </c>
      <c r="B471" s="9" t="s">
        <v>24</v>
      </c>
      <c r="C471" s="13" t="s">
        <v>412</v>
      </c>
      <c r="D471" s="43" t="s">
        <v>411</v>
      </c>
      <c r="E471" s="20" t="s">
        <v>1088</v>
      </c>
      <c r="F471" s="47">
        <v>0</v>
      </c>
      <c r="G471" s="47">
        <v>0</v>
      </c>
      <c r="H471" s="47">
        <v>0</v>
      </c>
    </row>
    <row r="472" spans="1:8">
      <c r="A472" s="8" t="s">
        <v>9</v>
      </c>
      <c r="B472" s="9" t="s">
        <v>24</v>
      </c>
      <c r="C472" s="13" t="s">
        <v>412</v>
      </c>
      <c r="D472" s="43" t="s">
        <v>411</v>
      </c>
      <c r="E472" s="20" t="s">
        <v>1089</v>
      </c>
      <c r="F472" s="47">
        <v>0</v>
      </c>
      <c r="G472" s="47">
        <v>0</v>
      </c>
      <c r="H472" s="47">
        <v>0</v>
      </c>
    </row>
    <row r="473" spans="1:8">
      <c r="A473" s="8" t="s">
        <v>9</v>
      </c>
      <c r="B473" s="13" t="s">
        <v>24</v>
      </c>
      <c r="C473" s="13" t="s">
        <v>412</v>
      </c>
      <c r="D473" s="43" t="s">
        <v>411</v>
      </c>
      <c r="E473" s="20" t="s">
        <v>1090</v>
      </c>
      <c r="F473" s="47">
        <v>0</v>
      </c>
      <c r="G473" s="47">
        <v>0</v>
      </c>
      <c r="H473" s="47">
        <v>0</v>
      </c>
    </row>
    <row r="474" spans="1:8">
      <c r="A474" s="8" t="s">
        <v>9</v>
      </c>
      <c r="B474" s="13" t="s">
        <v>24</v>
      </c>
      <c r="C474" s="13" t="s">
        <v>412</v>
      </c>
      <c r="D474" s="43" t="s">
        <v>411</v>
      </c>
      <c r="E474" s="20" t="s">
        <v>1091</v>
      </c>
      <c r="F474" s="47">
        <v>0</v>
      </c>
      <c r="G474" s="47">
        <v>0</v>
      </c>
      <c r="H474" s="47">
        <v>0</v>
      </c>
    </row>
    <row r="475" spans="1:8">
      <c r="A475" s="8" t="s">
        <v>9</v>
      </c>
      <c r="B475" s="9" t="s">
        <v>24</v>
      </c>
      <c r="C475" s="13" t="s">
        <v>412</v>
      </c>
      <c r="D475" s="43" t="s">
        <v>411</v>
      </c>
      <c r="E475" s="20" t="s">
        <v>1092</v>
      </c>
      <c r="F475" s="47">
        <v>0</v>
      </c>
      <c r="G475" s="47">
        <v>0</v>
      </c>
      <c r="H475" s="47">
        <v>0</v>
      </c>
    </row>
    <row r="476" spans="1:8">
      <c r="A476" s="8" t="s">
        <v>9</v>
      </c>
      <c r="B476" s="9" t="s">
        <v>24</v>
      </c>
      <c r="C476" s="13" t="s">
        <v>412</v>
      </c>
      <c r="D476" s="43" t="s">
        <v>411</v>
      </c>
      <c r="E476" s="20" t="s">
        <v>1093</v>
      </c>
      <c r="F476" s="47">
        <v>0</v>
      </c>
      <c r="G476" s="47">
        <v>0</v>
      </c>
      <c r="H476" s="47">
        <v>0</v>
      </c>
    </row>
    <row r="477" spans="1:8">
      <c r="A477" s="8" t="s">
        <v>9</v>
      </c>
      <c r="B477" s="9" t="s">
        <v>24</v>
      </c>
      <c r="C477" s="13" t="s">
        <v>412</v>
      </c>
      <c r="D477" s="43" t="s">
        <v>411</v>
      </c>
      <c r="E477" s="20" t="s">
        <v>1094</v>
      </c>
      <c r="F477" s="47">
        <v>0</v>
      </c>
      <c r="G477" s="47">
        <v>0</v>
      </c>
      <c r="H477" s="47">
        <v>0</v>
      </c>
    </row>
    <row r="478" spans="1:8">
      <c r="A478" s="8" t="s">
        <v>9</v>
      </c>
      <c r="B478" s="9" t="s">
        <v>24</v>
      </c>
      <c r="C478" s="13" t="s">
        <v>412</v>
      </c>
      <c r="D478" s="43" t="s">
        <v>411</v>
      </c>
      <c r="E478" s="20" t="s">
        <v>1095</v>
      </c>
      <c r="F478" s="47">
        <v>0</v>
      </c>
      <c r="G478" s="47">
        <v>0</v>
      </c>
      <c r="H478" s="47">
        <v>0</v>
      </c>
    </row>
    <row r="479" spans="1:8">
      <c r="A479" s="8" t="s">
        <v>9</v>
      </c>
      <c r="B479" s="13" t="s">
        <v>24</v>
      </c>
      <c r="C479" s="13" t="s">
        <v>412</v>
      </c>
      <c r="D479" s="43" t="s">
        <v>411</v>
      </c>
      <c r="E479" s="20" t="s">
        <v>1096</v>
      </c>
      <c r="F479" s="47">
        <v>0</v>
      </c>
      <c r="G479" s="47">
        <v>0</v>
      </c>
      <c r="H479" s="47">
        <v>0</v>
      </c>
    </row>
    <row r="480" spans="1:8">
      <c r="A480" s="8" t="s">
        <v>9</v>
      </c>
      <c r="B480" s="13" t="s">
        <v>24</v>
      </c>
      <c r="C480" s="13" t="s">
        <v>412</v>
      </c>
      <c r="D480" s="43" t="s">
        <v>411</v>
      </c>
      <c r="E480" s="20" t="s">
        <v>1097</v>
      </c>
      <c r="F480" s="47">
        <v>0</v>
      </c>
      <c r="G480" s="47">
        <v>0</v>
      </c>
      <c r="H480" s="47">
        <v>0</v>
      </c>
    </row>
    <row r="481" spans="1:8">
      <c r="A481" s="8" t="s">
        <v>9</v>
      </c>
      <c r="B481" s="13" t="s">
        <v>24</v>
      </c>
      <c r="C481" s="13" t="s">
        <v>412</v>
      </c>
      <c r="D481" s="43" t="s">
        <v>411</v>
      </c>
      <c r="E481" s="20" t="s">
        <v>1098</v>
      </c>
      <c r="F481" s="47">
        <v>0</v>
      </c>
      <c r="G481" s="47">
        <v>0</v>
      </c>
      <c r="H481" s="47">
        <v>0</v>
      </c>
    </row>
    <row r="482" spans="1:8">
      <c r="A482" s="8" t="s">
        <v>9</v>
      </c>
      <c r="B482" s="13" t="s">
        <v>24</v>
      </c>
      <c r="C482" s="13" t="s">
        <v>412</v>
      </c>
      <c r="D482" s="43" t="s">
        <v>411</v>
      </c>
      <c r="E482" s="20" t="s">
        <v>1099</v>
      </c>
      <c r="F482" s="47">
        <v>0</v>
      </c>
      <c r="G482" s="47">
        <v>0</v>
      </c>
      <c r="H482" s="47">
        <v>0</v>
      </c>
    </row>
    <row r="483" spans="1:8">
      <c r="A483" s="8" t="s">
        <v>9</v>
      </c>
      <c r="B483" s="13" t="s">
        <v>24</v>
      </c>
      <c r="C483" s="13" t="s">
        <v>412</v>
      </c>
      <c r="D483" s="43" t="s">
        <v>411</v>
      </c>
      <c r="E483" s="20" t="s">
        <v>1100</v>
      </c>
      <c r="F483" s="47">
        <v>0</v>
      </c>
      <c r="G483" s="47">
        <v>0</v>
      </c>
      <c r="H483" s="47">
        <v>0</v>
      </c>
    </row>
    <row r="484" spans="1:8">
      <c r="A484" s="8" t="s">
        <v>9</v>
      </c>
      <c r="B484" s="13" t="s">
        <v>24</v>
      </c>
      <c r="C484" s="13" t="s">
        <v>412</v>
      </c>
      <c r="D484" s="43" t="s">
        <v>411</v>
      </c>
      <c r="E484" s="20" t="s">
        <v>1101</v>
      </c>
      <c r="F484" s="47">
        <v>0</v>
      </c>
      <c r="G484" s="47">
        <v>0</v>
      </c>
      <c r="H484" s="47">
        <v>0</v>
      </c>
    </row>
    <row r="485" spans="1:8">
      <c r="A485" s="8" t="s">
        <v>9</v>
      </c>
      <c r="B485" s="9" t="s">
        <v>24</v>
      </c>
      <c r="C485" s="13" t="s">
        <v>412</v>
      </c>
      <c r="D485" s="43" t="s">
        <v>411</v>
      </c>
      <c r="E485" s="20" t="s">
        <v>1102</v>
      </c>
      <c r="F485" s="47">
        <v>0</v>
      </c>
      <c r="G485" s="47">
        <v>0</v>
      </c>
      <c r="H485" s="47">
        <v>0</v>
      </c>
    </row>
    <row r="486" spans="1:8">
      <c r="A486" s="8" t="s">
        <v>9</v>
      </c>
      <c r="B486" s="13" t="s">
        <v>24</v>
      </c>
      <c r="C486" s="13" t="s">
        <v>412</v>
      </c>
      <c r="D486" s="43" t="s">
        <v>411</v>
      </c>
      <c r="E486" s="20" t="s">
        <v>1103</v>
      </c>
      <c r="F486" s="47">
        <v>0</v>
      </c>
      <c r="G486" s="47">
        <v>0</v>
      </c>
      <c r="H486" s="47">
        <v>0</v>
      </c>
    </row>
    <row r="487" spans="1:8">
      <c r="A487" s="8" t="s">
        <v>9</v>
      </c>
      <c r="B487" s="13" t="s">
        <v>24</v>
      </c>
      <c r="C487" s="13" t="s">
        <v>412</v>
      </c>
      <c r="D487" s="43" t="s">
        <v>411</v>
      </c>
      <c r="E487" s="20" t="s">
        <v>1104</v>
      </c>
      <c r="F487" s="47">
        <v>0</v>
      </c>
      <c r="G487" s="47">
        <v>0</v>
      </c>
      <c r="H487" s="47">
        <v>0</v>
      </c>
    </row>
    <row r="488" spans="1:8">
      <c r="A488" s="8" t="s">
        <v>9</v>
      </c>
      <c r="B488" s="13" t="s">
        <v>24</v>
      </c>
      <c r="C488" s="13" t="s">
        <v>412</v>
      </c>
      <c r="D488" s="43" t="s">
        <v>411</v>
      </c>
      <c r="E488" s="20" t="s">
        <v>1105</v>
      </c>
      <c r="F488" s="47">
        <v>0</v>
      </c>
      <c r="G488" s="47">
        <v>0</v>
      </c>
      <c r="H488" s="47">
        <v>0</v>
      </c>
    </row>
    <row r="489" spans="1:8">
      <c r="A489" s="8" t="s">
        <v>9</v>
      </c>
      <c r="B489" s="9" t="s">
        <v>24</v>
      </c>
      <c r="C489" s="13" t="s">
        <v>412</v>
      </c>
      <c r="D489" s="43" t="s">
        <v>411</v>
      </c>
      <c r="E489" s="20" t="s">
        <v>1106</v>
      </c>
      <c r="F489" s="47">
        <v>0</v>
      </c>
      <c r="G489" s="47">
        <v>0</v>
      </c>
      <c r="H489" s="47">
        <v>0</v>
      </c>
    </row>
    <row r="490" spans="1:8">
      <c r="A490" s="8" t="s">
        <v>9</v>
      </c>
      <c r="B490" s="9" t="s">
        <v>24</v>
      </c>
      <c r="C490" s="13" t="s">
        <v>412</v>
      </c>
      <c r="D490" s="43" t="s">
        <v>411</v>
      </c>
      <c r="E490" s="20" t="s">
        <v>1107</v>
      </c>
      <c r="F490" s="47">
        <v>0</v>
      </c>
      <c r="G490" s="47">
        <v>0</v>
      </c>
      <c r="H490" s="47">
        <v>0</v>
      </c>
    </row>
    <row r="491" spans="1:8">
      <c r="A491" s="8" t="s">
        <v>9</v>
      </c>
      <c r="B491" s="13" t="s">
        <v>24</v>
      </c>
      <c r="C491" s="13" t="s">
        <v>412</v>
      </c>
      <c r="D491" s="43" t="s">
        <v>411</v>
      </c>
      <c r="E491" s="20" t="s">
        <v>1108</v>
      </c>
      <c r="F491" s="47">
        <v>0</v>
      </c>
      <c r="G491" s="47">
        <v>0</v>
      </c>
      <c r="H491" s="47">
        <v>0</v>
      </c>
    </row>
    <row r="492" spans="1:8">
      <c r="A492" s="8" t="s">
        <v>9</v>
      </c>
      <c r="B492" s="13" t="s">
        <v>24</v>
      </c>
      <c r="C492" s="13" t="s">
        <v>412</v>
      </c>
      <c r="D492" s="43" t="s">
        <v>411</v>
      </c>
      <c r="E492" s="20" t="s">
        <v>1109</v>
      </c>
      <c r="F492" s="47">
        <v>0</v>
      </c>
      <c r="G492" s="47">
        <v>0</v>
      </c>
      <c r="H492" s="47">
        <v>0</v>
      </c>
    </row>
    <row r="493" spans="1:8">
      <c r="A493" s="8" t="s">
        <v>9</v>
      </c>
      <c r="B493" s="13" t="s">
        <v>24</v>
      </c>
      <c r="C493" s="13" t="s">
        <v>412</v>
      </c>
      <c r="D493" s="43" t="s">
        <v>411</v>
      </c>
      <c r="E493" s="20" t="s">
        <v>1110</v>
      </c>
      <c r="F493" s="47">
        <v>0</v>
      </c>
      <c r="G493" s="47">
        <v>0</v>
      </c>
      <c r="H493" s="47">
        <v>0</v>
      </c>
    </row>
    <row r="494" spans="1:8">
      <c r="A494" s="8" t="s">
        <v>9</v>
      </c>
      <c r="B494" s="13" t="s">
        <v>24</v>
      </c>
      <c r="C494" s="13" t="s">
        <v>412</v>
      </c>
      <c r="D494" s="43" t="s">
        <v>411</v>
      </c>
      <c r="E494" s="20" t="s">
        <v>1111</v>
      </c>
      <c r="F494" s="47">
        <v>0</v>
      </c>
      <c r="G494" s="47">
        <v>0</v>
      </c>
      <c r="H494" s="47">
        <v>0</v>
      </c>
    </row>
    <row r="495" spans="1:8">
      <c r="A495" s="8" t="s">
        <v>9</v>
      </c>
      <c r="B495" s="13" t="s">
        <v>24</v>
      </c>
      <c r="C495" s="13" t="s">
        <v>412</v>
      </c>
      <c r="D495" s="43" t="s">
        <v>411</v>
      </c>
      <c r="E495" s="20" t="s">
        <v>1112</v>
      </c>
      <c r="F495" s="47">
        <v>0</v>
      </c>
      <c r="G495" s="47">
        <v>0</v>
      </c>
      <c r="H495" s="47">
        <v>0</v>
      </c>
    </row>
    <row r="496" spans="1:8">
      <c r="A496" s="8" t="s">
        <v>9</v>
      </c>
      <c r="B496" s="13" t="s">
        <v>24</v>
      </c>
      <c r="C496" s="13" t="s">
        <v>412</v>
      </c>
      <c r="D496" s="43" t="s">
        <v>411</v>
      </c>
      <c r="E496" s="20" t="s">
        <v>1113</v>
      </c>
      <c r="F496" s="47">
        <v>0</v>
      </c>
      <c r="G496" s="47">
        <v>0</v>
      </c>
      <c r="H496" s="47">
        <v>0</v>
      </c>
    </row>
    <row r="497" spans="1:8">
      <c r="A497" s="8" t="s">
        <v>9</v>
      </c>
      <c r="B497" s="13" t="s">
        <v>24</v>
      </c>
      <c r="C497" s="13" t="s">
        <v>412</v>
      </c>
      <c r="D497" s="43" t="s">
        <v>411</v>
      </c>
      <c r="E497" s="20" t="s">
        <v>1114</v>
      </c>
      <c r="F497" s="47">
        <v>0</v>
      </c>
      <c r="G497" s="47">
        <v>0</v>
      </c>
      <c r="H497" s="47">
        <v>0</v>
      </c>
    </row>
    <row r="498" spans="1:8">
      <c r="A498" s="8" t="s">
        <v>9</v>
      </c>
      <c r="B498" s="13" t="s">
        <v>24</v>
      </c>
      <c r="C498" s="13" t="s">
        <v>412</v>
      </c>
      <c r="D498" s="43" t="s">
        <v>411</v>
      </c>
      <c r="E498" s="20" t="s">
        <v>1115</v>
      </c>
      <c r="F498" s="47">
        <v>0</v>
      </c>
      <c r="G498" s="47">
        <v>0</v>
      </c>
      <c r="H498" s="47">
        <v>0</v>
      </c>
    </row>
    <row r="499" spans="1:8">
      <c r="A499" s="8" t="s">
        <v>9</v>
      </c>
      <c r="B499" s="13" t="s">
        <v>24</v>
      </c>
      <c r="C499" s="13" t="s">
        <v>412</v>
      </c>
      <c r="D499" s="43" t="s">
        <v>411</v>
      </c>
      <c r="E499" s="20" t="s">
        <v>1116</v>
      </c>
      <c r="F499" s="47">
        <v>0</v>
      </c>
      <c r="G499" s="47">
        <v>0</v>
      </c>
      <c r="H499" s="47">
        <v>0</v>
      </c>
    </row>
    <row r="500" spans="1:8">
      <c r="A500" s="8" t="s">
        <v>9</v>
      </c>
      <c r="B500" s="9" t="s">
        <v>24</v>
      </c>
      <c r="C500" s="13" t="s">
        <v>412</v>
      </c>
      <c r="D500" s="43" t="s">
        <v>411</v>
      </c>
      <c r="E500" s="20" t="s">
        <v>1117</v>
      </c>
      <c r="F500" s="47">
        <v>0</v>
      </c>
      <c r="G500" s="47">
        <v>0</v>
      </c>
      <c r="H500" s="47">
        <v>0</v>
      </c>
    </row>
    <row r="501" spans="1:8">
      <c r="A501" s="8" t="s">
        <v>9</v>
      </c>
      <c r="B501" s="13" t="s">
        <v>24</v>
      </c>
      <c r="C501" s="13" t="s">
        <v>412</v>
      </c>
      <c r="D501" s="43" t="s">
        <v>411</v>
      </c>
      <c r="E501" s="20" t="s">
        <v>1118</v>
      </c>
      <c r="F501" s="47">
        <v>0</v>
      </c>
      <c r="G501" s="47">
        <v>0</v>
      </c>
      <c r="H501" s="47">
        <v>0</v>
      </c>
    </row>
    <row r="502" spans="1:8">
      <c r="A502" s="8" t="s">
        <v>9</v>
      </c>
      <c r="B502" s="13" t="s">
        <v>24</v>
      </c>
      <c r="C502" s="13" t="s">
        <v>412</v>
      </c>
      <c r="D502" s="43" t="s">
        <v>411</v>
      </c>
      <c r="E502" s="20" t="s">
        <v>1119</v>
      </c>
      <c r="F502" s="47">
        <v>0</v>
      </c>
      <c r="G502" s="47">
        <v>0</v>
      </c>
      <c r="H502" s="47">
        <v>0</v>
      </c>
    </row>
    <row r="503" spans="1:8">
      <c r="A503" s="8" t="s">
        <v>9</v>
      </c>
      <c r="B503" s="13" t="s">
        <v>24</v>
      </c>
      <c r="C503" s="13" t="s">
        <v>412</v>
      </c>
      <c r="D503" s="43" t="s">
        <v>411</v>
      </c>
      <c r="E503" s="20" t="s">
        <v>1120</v>
      </c>
      <c r="F503" s="47">
        <v>0</v>
      </c>
      <c r="G503" s="47">
        <v>0</v>
      </c>
      <c r="H503" s="47">
        <v>0</v>
      </c>
    </row>
    <row r="504" spans="1:8">
      <c r="A504" s="8" t="s">
        <v>9</v>
      </c>
      <c r="B504" s="9" t="s">
        <v>24</v>
      </c>
      <c r="C504" s="13" t="s">
        <v>412</v>
      </c>
      <c r="D504" s="43" t="s">
        <v>411</v>
      </c>
      <c r="E504" s="20" t="s">
        <v>1121</v>
      </c>
      <c r="F504" s="47">
        <v>0</v>
      </c>
      <c r="G504" s="47">
        <v>0</v>
      </c>
      <c r="H504" s="47">
        <v>0</v>
      </c>
    </row>
    <row r="505" spans="1:8">
      <c r="A505" s="8" t="s">
        <v>9</v>
      </c>
      <c r="B505" s="13" t="s">
        <v>24</v>
      </c>
      <c r="C505" s="13" t="s">
        <v>412</v>
      </c>
      <c r="D505" s="43" t="s">
        <v>411</v>
      </c>
      <c r="E505" s="20" t="s">
        <v>1122</v>
      </c>
      <c r="F505" s="47">
        <v>0</v>
      </c>
      <c r="G505" s="47">
        <v>0</v>
      </c>
      <c r="H505" s="47">
        <v>0</v>
      </c>
    </row>
    <row r="506" spans="1:8">
      <c r="A506" s="8" t="s">
        <v>9</v>
      </c>
      <c r="B506" s="13" t="s">
        <v>24</v>
      </c>
      <c r="C506" s="13" t="s">
        <v>412</v>
      </c>
      <c r="D506" s="43" t="s">
        <v>411</v>
      </c>
      <c r="E506" s="20" t="s">
        <v>1123</v>
      </c>
      <c r="F506" s="47">
        <v>0</v>
      </c>
      <c r="G506" s="47">
        <v>0</v>
      </c>
      <c r="H506" s="47">
        <v>0</v>
      </c>
    </row>
    <row r="507" spans="1:8">
      <c r="A507" s="8" t="s">
        <v>9</v>
      </c>
      <c r="B507" s="13" t="s">
        <v>24</v>
      </c>
      <c r="C507" s="13" t="s">
        <v>412</v>
      </c>
      <c r="D507" s="43" t="s">
        <v>411</v>
      </c>
      <c r="E507" s="20" t="s">
        <v>1124</v>
      </c>
      <c r="F507" s="47">
        <v>0</v>
      </c>
      <c r="G507" s="47">
        <v>0</v>
      </c>
      <c r="H507" s="47">
        <v>0</v>
      </c>
    </row>
    <row r="508" spans="1:8">
      <c r="A508" s="8" t="s">
        <v>9</v>
      </c>
      <c r="B508" s="13" t="s">
        <v>24</v>
      </c>
      <c r="C508" s="13" t="s">
        <v>412</v>
      </c>
      <c r="D508" s="43" t="s">
        <v>411</v>
      </c>
      <c r="E508" s="20" t="s">
        <v>1125</v>
      </c>
      <c r="F508" s="47">
        <v>0</v>
      </c>
      <c r="G508" s="47">
        <v>0</v>
      </c>
      <c r="H508" s="47">
        <v>0</v>
      </c>
    </row>
    <row r="509" spans="1:8">
      <c r="A509" s="8" t="s">
        <v>9</v>
      </c>
      <c r="B509" s="9" t="s">
        <v>22</v>
      </c>
      <c r="C509" s="13" t="s">
        <v>56</v>
      </c>
      <c r="D509" s="43" t="s">
        <v>55</v>
      </c>
      <c r="E509" s="20" t="s">
        <v>1126</v>
      </c>
      <c r="F509" s="47">
        <v>1662</v>
      </c>
      <c r="G509" s="47">
        <v>18805800</v>
      </c>
      <c r="H509" s="47">
        <v>3349800</v>
      </c>
    </row>
    <row r="510" spans="1:8">
      <c r="A510" s="8" t="s">
        <v>9</v>
      </c>
      <c r="B510" s="9" t="s">
        <v>22</v>
      </c>
      <c r="C510" s="13" t="s">
        <v>56</v>
      </c>
      <c r="D510" s="43" t="s">
        <v>55</v>
      </c>
      <c r="E510" s="20" t="s">
        <v>1127</v>
      </c>
      <c r="F510" s="47">
        <v>0</v>
      </c>
      <c r="G510" s="47">
        <v>0</v>
      </c>
      <c r="H510" s="47">
        <v>0</v>
      </c>
    </row>
    <row r="511" spans="1:8">
      <c r="A511" s="8" t="s">
        <v>9</v>
      </c>
      <c r="B511" s="9" t="s">
        <v>24</v>
      </c>
      <c r="C511" s="13" t="s">
        <v>130</v>
      </c>
      <c r="D511" s="43" t="s">
        <v>129</v>
      </c>
      <c r="E511" s="20" t="s">
        <v>1128</v>
      </c>
      <c r="F511" s="47">
        <v>0</v>
      </c>
      <c r="G511" s="47">
        <v>0</v>
      </c>
      <c r="H511" s="47">
        <v>0</v>
      </c>
    </row>
    <row r="512" spans="1:8">
      <c r="A512" s="8" t="s">
        <v>9</v>
      </c>
      <c r="B512" s="9" t="s">
        <v>22</v>
      </c>
      <c r="C512" s="13" t="s">
        <v>418</v>
      </c>
      <c r="D512" s="43" t="s">
        <v>417</v>
      </c>
      <c r="E512" s="20" t="s">
        <v>1129</v>
      </c>
      <c r="F512" s="47">
        <v>0</v>
      </c>
      <c r="G512" s="47">
        <v>0</v>
      </c>
      <c r="H512" s="47">
        <v>0</v>
      </c>
    </row>
    <row r="513" spans="1:8">
      <c r="A513" s="8" t="s">
        <v>9</v>
      </c>
      <c r="B513" s="9" t="s">
        <v>22</v>
      </c>
      <c r="C513" s="13" t="s">
        <v>44</v>
      </c>
      <c r="D513" s="43" t="s">
        <v>43</v>
      </c>
      <c r="E513" s="20" t="s">
        <v>1130</v>
      </c>
      <c r="F513" s="47">
        <v>0</v>
      </c>
      <c r="G513" s="47">
        <v>0</v>
      </c>
      <c r="H513" s="47">
        <v>0</v>
      </c>
    </row>
    <row r="514" spans="1:8">
      <c r="A514" s="8" t="s">
        <v>9</v>
      </c>
      <c r="B514" s="9" t="s">
        <v>22</v>
      </c>
      <c r="C514" s="13" t="s">
        <v>44</v>
      </c>
      <c r="D514" s="43" t="s">
        <v>43</v>
      </c>
      <c r="E514" s="20" t="s">
        <v>1131</v>
      </c>
      <c r="F514" s="47">
        <v>0</v>
      </c>
      <c r="G514" s="47">
        <v>0</v>
      </c>
      <c r="H514" s="47">
        <v>0</v>
      </c>
    </row>
    <row r="515" spans="1:8">
      <c r="A515" s="8" t="s">
        <v>9</v>
      </c>
      <c r="B515" s="9" t="s">
        <v>22</v>
      </c>
      <c r="C515" s="13" t="s">
        <v>44</v>
      </c>
      <c r="D515" s="43" t="s">
        <v>43</v>
      </c>
      <c r="E515" s="20" t="s">
        <v>1132</v>
      </c>
      <c r="F515" s="47">
        <v>0</v>
      </c>
      <c r="G515" s="47">
        <v>0</v>
      </c>
      <c r="H515" s="47">
        <v>0</v>
      </c>
    </row>
    <row r="516" spans="1:8">
      <c r="A516" s="8" t="s">
        <v>9</v>
      </c>
      <c r="B516" s="9" t="s">
        <v>22</v>
      </c>
      <c r="C516" s="13" t="s">
        <v>44</v>
      </c>
      <c r="D516" s="43" t="s">
        <v>43</v>
      </c>
      <c r="E516" s="20" t="s">
        <v>1133</v>
      </c>
      <c r="F516" s="47">
        <v>0</v>
      </c>
      <c r="G516" s="47">
        <v>0</v>
      </c>
      <c r="H516" s="47">
        <v>0</v>
      </c>
    </row>
    <row r="517" spans="1:8">
      <c r="A517" s="8" t="s">
        <v>9</v>
      </c>
      <c r="B517" s="9" t="s">
        <v>22</v>
      </c>
      <c r="C517" s="13" t="s">
        <v>44</v>
      </c>
      <c r="D517" s="43" t="s">
        <v>43</v>
      </c>
      <c r="E517" s="20" t="s">
        <v>1134</v>
      </c>
      <c r="F517" s="47">
        <v>0</v>
      </c>
      <c r="G517" s="47">
        <v>0</v>
      </c>
      <c r="H517" s="47">
        <v>0</v>
      </c>
    </row>
    <row r="518" spans="1:8">
      <c r="A518" s="8" t="s">
        <v>9</v>
      </c>
      <c r="B518" s="9" t="s">
        <v>22</v>
      </c>
      <c r="C518" s="13" t="s">
        <v>44</v>
      </c>
      <c r="D518" s="43" t="s">
        <v>43</v>
      </c>
      <c r="E518" s="20" t="s">
        <v>1135</v>
      </c>
      <c r="F518" s="47">
        <v>0</v>
      </c>
      <c r="G518" s="47">
        <v>0</v>
      </c>
      <c r="H518" s="47">
        <v>0</v>
      </c>
    </row>
    <row r="519" spans="1:8">
      <c r="A519" s="8" t="s">
        <v>9</v>
      </c>
      <c r="B519" s="9" t="s">
        <v>22</v>
      </c>
      <c r="C519" s="13" t="s">
        <v>44</v>
      </c>
      <c r="D519" s="43" t="s">
        <v>43</v>
      </c>
      <c r="E519" s="20" t="s">
        <v>1136</v>
      </c>
      <c r="F519" s="47">
        <v>0</v>
      </c>
      <c r="G519" s="47">
        <v>0</v>
      </c>
      <c r="H519" s="47">
        <v>0</v>
      </c>
    </row>
    <row r="520" spans="1:8">
      <c r="A520" s="8" t="s">
        <v>9</v>
      </c>
      <c r="B520" s="9" t="s">
        <v>22</v>
      </c>
      <c r="C520" s="13" t="s">
        <v>44</v>
      </c>
      <c r="D520" s="43" t="s">
        <v>43</v>
      </c>
      <c r="E520" s="20" t="s">
        <v>1137</v>
      </c>
      <c r="F520" s="47">
        <v>0</v>
      </c>
      <c r="G520" s="47">
        <v>0</v>
      </c>
      <c r="H520" s="47">
        <v>0</v>
      </c>
    </row>
    <row r="521" spans="1:8">
      <c r="A521" s="8" t="s">
        <v>9</v>
      </c>
      <c r="B521" s="9" t="s">
        <v>22</v>
      </c>
      <c r="C521" s="13" t="s">
        <v>44</v>
      </c>
      <c r="D521" s="43" t="s">
        <v>43</v>
      </c>
      <c r="E521" s="20" t="s">
        <v>1138</v>
      </c>
      <c r="F521" s="47">
        <v>0</v>
      </c>
      <c r="G521" s="47">
        <v>0</v>
      </c>
      <c r="H521" s="47">
        <v>0</v>
      </c>
    </row>
    <row r="522" spans="1:8">
      <c r="A522" s="8" t="s">
        <v>9</v>
      </c>
      <c r="B522" s="9" t="s">
        <v>22</v>
      </c>
      <c r="C522" s="13" t="s">
        <v>44</v>
      </c>
      <c r="D522" s="43" t="s">
        <v>43</v>
      </c>
      <c r="E522" s="20" t="s">
        <v>1139</v>
      </c>
      <c r="F522" s="47">
        <v>0</v>
      </c>
      <c r="G522" s="47">
        <v>0</v>
      </c>
      <c r="H522" s="47">
        <v>0</v>
      </c>
    </row>
    <row r="523" spans="1:8">
      <c r="A523" s="8" t="s">
        <v>9</v>
      </c>
      <c r="B523" s="9" t="s">
        <v>22</v>
      </c>
      <c r="C523" s="13" t="s">
        <v>126</v>
      </c>
      <c r="D523" s="43" t="s">
        <v>125</v>
      </c>
      <c r="E523" s="20" t="s">
        <v>1140</v>
      </c>
      <c r="F523" s="47">
        <v>0</v>
      </c>
      <c r="G523" s="47">
        <v>0</v>
      </c>
      <c r="H523" s="47">
        <v>0</v>
      </c>
    </row>
    <row r="524" spans="1:8">
      <c r="A524" s="8" t="s">
        <v>9</v>
      </c>
      <c r="B524" s="9" t="s">
        <v>22</v>
      </c>
      <c r="C524" s="13" t="s">
        <v>126</v>
      </c>
      <c r="D524" s="43" t="s">
        <v>125</v>
      </c>
      <c r="E524" s="20" t="s">
        <v>1141</v>
      </c>
      <c r="F524" s="47">
        <v>0</v>
      </c>
      <c r="G524" s="47">
        <v>0</v>
      </c>
      <c r="H524" s="47">
        <v>0</v>
      </c>
    </row>
    <row r="525" spans="1:8">
      <c r="A525" s="8" t="s">
        <v>9</v>
      </c>
      <c r="B525" s="9" t="s">
        <v>22</v>
      </c>
      <c r="C525" s="13" t="s">
        <v>126</v>
      </c>
      <c r="D525" s="43" t="s">
        <v>125</v>
      </c>
      <c r="E525" s="20" t="s">
        <v>1142</v>
      </c>
      <c r="F525" s="47">
        <v>0</v>
      </c>
      <c r="G525" s="47">
        <v>0</v>
      </c>
      <c r="H525" s="47">
        <v>0</v>
      </c>
    </row>
    <row r="526" spans="1:8">
      <c r="A526" s="8" t="s">
        <v>9</v>
      </c>
      <c r="B526" s="9" t="s">
        <v>22</v>
      </c>
      <c r="C526" s="13" t="s">
        <v>126</v>
      </c>
      <c r="D526" s="43" t="s">
        <v>125</v>
      </c>
      <c r="E526" s="20" t="s">
        <v>1143</v>
      </c>
      <c r="F526" s="47">
        <v>0</v>
      </c>
      <c r="G526" s="47">
        <v>0</v>
      </c>
      <c r="H526" s="47">
        <v>0</v>
      </c>
    </row>
    <row r="527" spans="1:8">
      <c r="A527" s="8" t="s">
        <v>9</v>
      </c>
      <c r="B527" s="9" t="s">
        <v>22</v>
      </c>
      <c r="C527" s="13" t="s">
        <v>126</v>
      </c>
      <c r="D527" s="43" t="s">
        <v>125</v>
      </c>
      <c r="E527" s="20" t="s">
        <v>1144</v>
      </c>
      <c r="F527" s="47">
        <v>0</v>
      </c>
      <c r="G527" s="47">
        <v>0</v>
      </c>
      <c r="H527" s="47">
        <v>0</v>
      </c>
    </row>
    <row r="528" spans="1:8">
      <c r="A528" s="8" t="s">
        <v>9</v>
      </c>
      <c r="B528" s="9" t="s">
        <v>22</v>
      </c>
      <c r="C528" s="13" t="s">
        <v>126</v>
      </c>
      <c r="D528" s="43" t="s">
        <v>125</v>
      </c>
      <c r="E528" s="20" t="s">
        <v>1145</v>
      </c>
      <c r="F528" s="47">
        <v>0</v>
      </c>
      <c r="G528" s="47">
        <v>0</v>
      </c>
      <c r="H528" s="47">
        <v>0</v>
      </c>
    </row>
    <row r="529" spans="1:8">
      <c r="A529" s="8" t="s">
        <v>9</v>
      </c>
      <c r="B529" s="9" t="s">
        <v>22</v>
      </c>
      <c r="C529" s="13" t="s">
        <v>126</v>
      </c>
      <c r="D529" s="43" t="s">
        <v>125</v>
      </c>
      <c r="E529" s="20" t="s">
        <v>1146</v>
      </c>
      <c r="F529" s="47">
        <v>0</v>
      </c>
      <c r="G529" s="47">
        <v>0</v>
      </c>
      <c r="H529" s="47">
        <v>0</v>
      </c>
    </row>
    <row r="530" spans="1:8">
      <c r="A530" s="8" t="s">
        <v>9</v>
      </c>
      <c r="B530" s="9" t="s">
        <v>22</v>
      </c>
      <c r="C530" s="13" t="s">
        <v>126</v>
      </c>
      <c r="D530" s="43" t="s">
        <v>125</v>
      </c>
      <c r="E530" s="20" t="s">
        <v>1147</v>
      </c>
      <c r="F530" s="47">
        <v>0</v>
      </c>
      <c r="G530" s="47">
        <v>0</v>
      </c>
      <c r="H530" s="47">
        <v>0</v>
      </c>
    </row>
    <row r="531" spans="1:8">
      <c r="A531" s="8" t="s">
        <v>9</v>
      </c>
      <c r="B531" s="9" t="s">
        <v>22</v>
      </c>
      <c r="C531" s="13" t="s">
        <v>126</v>
      </c>
      <c r="D531" s="43" t="s">
        <v>125</v>
      </c>
      <c r="E531" s="20" t="s">
        <v>1148</v>
      </c>
      <c r="F531" s="47">
        <v>0</v>
      </c>
      <c r="G531" s="47">
        <v>0</v>
      </c>
      <c r="H531" s="47">
        <v>0</v>
      </c>
    </row>
    <row r="532" spans="1:8">
      <c r="A532" s="8" t="s">
        <v>9</v>
      </c>
      <c r="B532" s="9" t="s">
        <v>22</v>
      </c>
      <c r="C532" s="13" t="s">
        <v>126</v>
      </c>
      <c r="D532" s="43" t="s">
        <v>125</v>
      </c>
      <c r="E532" s="20" t="s">
        <v>1149</v>
      </c>
      <c r="F532" s="47">
        <v>0</v>
      </c>
      <c r="G532" s="47">
        <v>0</v>
      </c>
      <c r="H532" s="47">
        <v>0</v>
      </c>
    </row>
    <row r="533" spans="1:8">
      <c r="A533" s="8" t="s">
        <v>9</v>
      </c>
      <c r="B533" s="9" t="s">
        <v>22</v>
      </c>
      <c r="C533" s="13" t="s">
        <v>126</v>
      </c>
      <c r="D533" s="43" t="s">
        <v>125</v>
      </c>
      <c r="E533" s="20" t="s">
        <v>1150</v>
      </c>
      <c r="F533" s="47">
        <v>0</v>
      </c>
      <c r="G533" s="47">
        <v>0</v>
      </c>
      <c r="H533" s="47">
        <v>0</v>
      </c>
    </row>
    <row r="534" spans="1:8">
      <c r="A534" s="8" t="s">
        <v>9</v>
      </c>
      <c r="B534" s="9" t="s">
        <v>22</v>
      </c>
      <c r="C534" s="13" t="s">
        <v>126</v>
      </c>
      <c r="D534" s="43" t="s">
        <v>125</v>
      </c>
      <c r="E534" s="20" t="s">
        <v>1151</v>
      </c>
      <c r="F534" s="47">
        <v>0</v>
      </c>
      <c r="G534" s="47">
        <v>0</v>
      </c>
      <c r="H534" s="47">
        <v>0</v>
      </c>
    </row>
    <row r="535" spans="1:8">
      <c r="A535" s="8" t="s">
        <v>9</v>
      </c>
      <c r="B535" s="9" t="s">
        <v>22</v>
      </c>
      <c r="C535" s="13" t="s">
        <v>126</v>
      </c>
      <c r="D535" s="43" t="s">
        <v>125</v>
      </c>
      <c r="E535" s="20" t="s">
        <v>1152</v>
      </c>
      <c r="F535" s="47">
        <v>0</v>
      </c>
      <c r="G535" s="47">
        <v>0</v>
      </c>
      <c r="H535" s="47">
        <v>0</v>
      </c>
    </row>
    <row r="536" spans="1:8">
      <c r="A536" s="8" t="s">
        <v>9</v>
      </c>
      <c r="B536" s="9" t="s">
        <v>22</v>
      </c>
      <c r="C536" s="13" t="s">
        <v>126</v>
      </c>
      <c r="D536" s="43" t="s">
        <v>125</v>
      </c>
      <c r="E536" s="20" t="s">
        <v>1153</v>
      </c>
      <c r="F536" s="47">
        <v>0</v>
      </c>
      <c r="G536" s="47">
        <v>0</v>
      </c>
      <c r="H536" s="47">
        <v>0</v>
      </c>
    </row>
    <row r="537" spans="1:8">
      <c r="A537" s="8" t="s">
        <v>9</v>
      </c>
      <c r="B537" s="9" t="s">
        <v>22</v>
      </c>
      <c r="C537" s="13" t="s">
        <v>126</v>
      </c>
      <c r="D537" s="43" t="s">
        <v>125</v>
      </c>
      <c r="E537" s="20" t="s">
        <v>1154</v>
      </c>
      <c r="F537" s="47">
        <v>0</v>
      </c>
      <c r="G537" s="47">
        <v>0</v>
      </c>
      <c r="H537" s="47">
        <v>0</v>
      </c>
    </row>
    <row r="538" spans="1:8">
      <c r="A538" s="8" t="s">
        <v>9</v>
      </c>
      <c r="B538" s="9" t="s">
        <v>22</v>
      </c>
      <c r="C538" s="13" t="s">
        <v>126</v>
      </c>
      <c r="D538" s="43" t="s">
        <v>125</v>
      </c>
      <c r="E538" s="20" t="s">
        <v>1155</v>
      </c>
      <c r="F538" s="47">
        <v>0</v>
      </c>
      <c r="G538" s="47">
        <v>0</v>
      </c>
      <c r="H538" s="47">
        <v>0</v>
      </c>
    </row>
    <row r="539" spans="1:8">
      <c r="A539" s="8" t="s">
        <v>9</v>
      </c>
      <c r="B539" s="9" t="s">
        <v>22</v>
      </c>
      <c r="C539" s="13" t="s">
        <v>126</v>
      </c>
      <c r="D539" s="43" t="s">
        <v>125</v>
      </c>
      <c r="E539" s="20" t="s">
        <v>1156</v>
      </c>
      <c r="F539" s="47">
        <v>0</v>
      </c>
      <c r="G539" s="47">
        <v>0</v>
      </c>
      <c r="H539" s="47">
        <v>0</v>
      </c>
    </row>
    <row r="540" spans="1:8">
      <c r="A540" s="8" t="s">
        <v>9</v>
      </c>
      <c r="B540" s="9" t="s">
        <v>22</v>
      </c>
      <c r="C540" s="13" t="s">
        <v>126</v>
      </c>
      <c r="D540" s="43" t="s">
        <v>125</v>
      </c>
      <c r="E540" s="20" t="s">
        <v>1157</v>
      </c>
      <c r="F540" s="47">
        <v>0</v>
      </c>
      <c r="G540" s="47">
        <v>0</v>
      </c>
      <c r="H540" s="47">
        <v>0</v>
      </c>
    </row>
    <row r="541" spans="1:8">
      <c r="A541" s="8" t="s">
        <v>9</v>
      </c>
      <c r="B541" s="9" t="s">
        <v>22</v>
      </c>
      <c r="C541" s="13" t="s">
        <v>126</v>
      </c>
      <c r="D541" s="43" t="s">
        <v>125</v>
      </c>
      <c r="E541" s="20" t="s">
        <v>1158</v>
      </c>
      <c r="F541" s="47">
        <v>0</v>
      </c>
      <c r="G541" s="47">
        <v>0</v>
      </c>
      <c r="H541" s="47">
        <v>0</v>
      </c>
    </row>
    <row r="542" spans="1:8">
      <c r="A542" s="8" t="s">
        <v>9</v>
      </c>
      <c r="B542" s="9" t="s">
        <v>22</v>
      </c>
      <c r="C542" s="13" t="s">
        <v>126</v>
      </c>
      <c r="D542" s="43" t="s">
        <v>125</v>
      </c>
      <c r="E542" s="20" t="s">
        <v>1159</v>
      </c>
      <c r="F542" s="47">
        <v>0</v>
      </c>
      <c r="G542" s="47">
        <v>0</v>
      </c>
      <c r="H542" s="47">
        <v>0</v>
      </c>
    </row>
    <row r="543" spans="1:8">
      <c r="A543" s="8" t="s">
        <v>9</v>
      </c>
      <c r="B543" s="9" t="s">
        <v>22</v>
      </c>
      <c r="C543" s="13" t="s">
        <v>126</v>
      </c>
      <c r="D543" s="43" t="s">
        <v>125</v>
      </c>
      <c r="E543" s="20" t="s">
        <v>1160</v>
      </c>
      <c r="F543" s="47">
        <v>0</v>
      </c>
      <c r="G543" s="47">
        <v>0</v>
      </c>
      <c r="H543" s="47">
        <v>0</v>
      </c>
    </row>
    <row r="544" spans="1:8">
      <c r="A544" s="8" t="s">
        <v>9</v>
      </c>
      <c r="B544" s="9" t="s">
        <v>22</v>
      </c>
      <c r="C544" s="13" t="s">
        <v>1161</v>
      </c>
      <c r="D544" s="43" t="s">
        <v>369</v>
      </c>
      <c r="E544" s="20" t="s">
        <v>1162</v>
      </c>
      <c r="F544" s="47">
        <v>0</v>
      </c>
      <c r="G544" s="47">
        <v>0</v>
      </c>
      <c r="H544" s="47">
        <v>0</v>
      </c>
    </row>
    <row r="545" spans="1:8">
      <c r="A545" s="8" t="s">
        <v>9</v>
      </c>
      <c r="B545" s="9" t="s">
        <v>22</v>
      </c>
      <c r="C545" s="13" t="s">
        <v>1161</v>
      </c>
      <c r="D545" s="43" t="s">
        <v>369</v>
      </c>
      <c r="E545" s="20" t="s">
        <v>1163</v>
      </c>
      <c r="F545" s="47">
        <v>0</v>
      </c>
      <c r="G545" s="47">
        <v>0</v>
      </c>
      <c r="H545" s="47">
        <v>0</v>
      </c>
    </row>
    <row r="546" spans="1:8">
      <c r="A546" s="8" t="s">
        <v>9</v>
      </c>
      <c r="B546" s="9" t="s">
        <v>22</v>
      </c>
      <c r="C546" s="13" t="s">
        <v>1161</v>
      </c>
      <c r="D546" s="43" t="s">
        <v>369</v>
      </c>
      <c r="E546" s="20" t="s">
        <v>1164</v>
      </c>
      <c r="F546" s="47">
        <v>0</v>
      </c>
      <c r="G546" s="47">
        <v>0</v>
      </c>
      <c r="H546" s="47">
        <v>0</v>
      </c>
    </row>
    <row r="547" spans="1:8">
      <c r="A547" s="8" t="s">
        <v>9</v>
      </c>
      <c r="B547" s="9" t="s">
        <v>22</v>
      </c>
      <c r="C547" s="13" t="s">
        <v>1161</v>
      </c>
      <c r="D547" s="43" t="s">
        <v>369</v>
      </c>
      <c r="E547" s="20" t="s">
        <v>1165</v>
      </c>
      <c r="F547" s="47">
        <v>0</v>
      </c>
      <c r="G547" s="47">
        <v>0</v>
      </c>
      <c r="H547" s="47">
        <v>0</v>
      </c>
    </row>
    <row r="548" spans="1:8">
      <c r="A548" s="8" t="s">
        <v>9</v>
      </c>
      <c r="B548" s="13" t="s">
        <v>24</v>
      </c>
      <c r="C548" s="13" t="s">
        <v>1161</v>
      </c>
      <c r="D548" s="43" t="s">
        <v>369</v>
      </c>
      <c r="E548" s="20" t="s">
        <v>1166</v>
      </c>
      <c r="F548" s="47">
        <v>0</v>
      </c>
      <c r="G548" s="47">
        <v>0</v>
      </c>
      <c r="H548" s="47">
        <v>0</v>
      </c>
    </row>
    <row r="549" spans="1:8">
      <c r="A549" s="8" t="s">
        <v>9</v>
      </c>
      <c r="B549" s="13" t="s">
        <v>24</v>
      </c>
      <c r="C549" s="13" t="s">
        <v>1161</v>
      </c>
      <c r="D549" s="43" t="s">
        <v>369</v>
      </c>
      <c r="E549" s="20" t="s">
        <v>1167</v>
      </c>
      <c r="F549" s="47">
        <v>0</v>
      </c>
      <c r="G549" s="47">
        <v>0</v>
      </c>
      <c r="H549" s="47">
        <v>0</v>
      </c>
    </row>
    <row r="550" spans="1:8">
      <c r="A550" s="8" t="s">
        <v>9</v>
      </c>
      <c r="B550" s="9" t="s">
        <v>22</v>
      </c>
      <c r="C550" s="13" t="s">
        <v>1161</v>
      </c>
      <c r="D550" s="43" t="s">
        <v>369</v>
      </c>
      <c r="E550" s="20" t="s">
        <v>1168</v>
      </c>
      <c r="F550" s="47">
        <v>0</v>
      </c>
      <c r="G550" s="47">
        <v>0</v>
      </c>
      <c r="H550" s="47">
        <v>0</v>
      </c>
    </row>
    <row r="551" spans="1:8">
      <c r="A551" s="8" t="s">
        <v>9</v>
      </c>
      <c r="B551" s="9" t="s">
        <v>22</v>
      </c>
      <c r="C551" s="13" t="s">
        <v>1161</v>
      </c>
      <c r="D551" s="43" t="s">
        <v>369</v>
      </c>
      <c r="E551" s="20" t="s">
        <v>1169</v>
      </c>
      <c r="F551" s="47">
        <v>0</v>
      </c>
      <c r="G551" s="47">
        <v>0</v>
      </c>
      <c r="H551" s="47">
        <v>0</v>
      </c>
    </row>
    <row r="552" spans="1:8">
      <c r="A552" s="8" t="s">
        <v>9</v>
      </c>
      <c r="B552" s="9" t="s">
        <v>22</v>
      </c>
      <c r="C552" s="13" t="s">
        <v>282</v>
      </c>
      <c r="D552" s="43" t="s">
        <v>281</v>
      </c>
      <c r="E552" s="20" t="s">
        <v>1170</v>
      </c>
      <c r="F552" s="47">
        <v>2244</v>
      </c>
      <c r="G552" s="47">
        <v>13845000</v>
      </c>
      <c r="H552" s="47">
        <v>2757960</v>
      </c>
    </row>
    <row r="553" spans="1:8">
      <c r="A553" s="8" t="s">
        <v>9</v>
      </c>
      <c r="B553" s="9" t="s">
        <v>22</v>
      </c>
      <c r="C553" s="13" t="s">
        <v>172</v>
      </c>
      <c r="D553" s="43" t="s">
        <v>171</v>
      </c>
      <c r="E553" s="20" t="s">
        <v>1171</v>
      </c>
      <c r="F553" s="47">
        <v>8</v>
      </c>
      <c r="G553" s="47">
        <v>107200</v>
      </c>
      <c r="H553" s="47">
        <v>20150</v>
      </c>
    </row>
    <row r="554" spans="1:8">
      <c r="A554" s="8" t="s">
        <v>9</v>
      </c>
      <c r="B554" s="9" t="s">
        <v>22</v>
      </c>
      <c r="C554" s="13" t="s">
        <v>1172</v>
      </c>
      <c r="D554" s="43" t="s">
        <v>197</v>
      </c>
      <c r="E554" s="20" t="s">
        <v>1173</v>
      </c>
      <c r="F554" s="47">
        <v>7</v>
      </c>
      <c r="G554" s="47">
        <v>268100</v>
      </c>
      <c r="H554" s="47">
        <v>52990</v>
      </c>
    </row>
    <row r="555" spans="1:8">
      <c r="A555" s="8" t="s">
        <v>9</v>
      </c>
      <c r="B555" s="9" t="s">
        <v>22</v>
      </c>
      <c r="C555" s="13" t="s">
        <v>1172</v>
      </c>
      <c r="D555" s="43" t="s">
        <v>197</v>
      </c>
      <c r="E555" s="20" t="s">
        <v>1174</v>
      </c>
      <c r="F555" s="47">
        <v>716</v>
      </c>
      <c r="G555" s="47">
        <v>25815250</v>
      </c>
      <c r="H555" s="47">
        <v>5052290</v>
      </c>
    </row>
    <row r="556" spans="1:8">
      <c r="A556" s="8" t="s">
        <v>9</v>
      </c>
      <c r="B556" s="9" t="s">
        <v>22</v>
      </c>
      <c r="C556" s="13" t="s">
        <v>1172</v>
      </c>
      <c r="D556" s="43" t="s">
        <v>197</v>
      </c>
      <c r="E556" s="20" t="s">
        <v>1175</v>
      </c>
      <c r="F556" s="47">
        <v>0</v>
      </c>
      <c r="G556" s="47">
        <v>0</v>
      </c>
      <c r="H556" s="47">
        <v>0</v>
      </c>
    </row>
    <row r="557" spans="1:8">
      <c r="A557" s="8" t="s">
        <v>9</v>
      </c>
      <c r="B557" s="9" t="s">
        <v>22</v>
      </c>
      <c r="C557" s="13" t="s">
        <v>1172</v>
      </c>
      <c r="D557" s="43" t="s">
        <v>197</v>
      </c>
      <c r="E557" s="20" t="s">
        <v>1176</v>
      </c>
      <c r="F557" s="47">
        <v>0</v>
      </c>
      <c r="G557" s="47">
        <v>0</v>
      </c>
      <c r="H557" s="47">
        <v>0</v>
      </c>
    </row>
    <row r="558" spans="1:8">
      <c r="A558" s="8" t="s">
        <v>9</v>
      </c>
      <c r="B558" s="13" t="s">
        <v>24</v>
      </c>
      <c r="C558" s="13" t="s">
        <v>550</v>
      </c>
      <c r="D558" s="43" t="s">
        <v>549</v>
      </c>
      <c r="E558" s="20" t="s">
        <v>1177</v>
      </c>
      <c r="F558" s="47">
        <v>1</v>
      </c>
      <c r="G558" s="47">
        <v>20000</v>
      </c>
      <c r="H558" s="47">
        <v>3800</v>
      </c>
    </row>
    <row r="559" spans="1:8">
      <c r="A559" s="8" t="s">
        <v>9</v>
      </c>
      <c r="B559" s="13" t="s">
        <v>24</v>
      </c>
      <c r="C559" s="13" t="s">
        <v>550</v>
      </c>
      <c r="D559" s="43" t="s">
        <v>549</v>
      </c>
      <c r="E559" s="20" t="s">
        <v>1178</v>
      </c>
      <c r="F559" s="47">
        <v>0</v>
      </c>
      <c r="G559" s="47">
        <v>0</v>
      </c>
      <c r="H559" s="47">
        <v>0</v>
      </c>
    </row>
    <row r="560" spans="1:8">
      <c r="A560" s="8" t="s">
        <v>9</v>
      </c>
      <c r="B560" s="13" t="s">
        <v>24</v>
      </c>
      <c r="C560" s="13" t="s">
        <v>550</v>
      </c>
      <c r="D560" s="43" t="s">
        <v>549</v>
      </c>
      <c r="E560" s="20" t="s">
        <v>1179</v>
      </c>
      <c r="F560" s="47">
        <v>0</v>
      </c>
      <c r="G560" s="47">
        <v>0</v>
      </c>
      <c r="H560" s="47">
        <v>0</v>
      </c>
    </row>
    <row r="561" spans="1:8">
      <c r="A561" s="8" t="s">
        <v>9</v>
      </c>
      <c r="B561" s="13" t="s">
        <v>24</v>
      </c>
      <c r="C561" s="13" t="s">
        <v>550</v>
      </c>
      <c r="D561" s="43" t="s">
        <v>549</v>
      </c>
      <c r="E561" s="20" t="s">
        <v>1180</v>
      </c>
      <c r="F561" s="47">
        <v>0</v>
      </c>
      <c r="G561" s="47">
        <v>0</v>
      </c>
      <c r="H561" s="47">
        <v>0</v>
      </c>
    </row>
    <row r="562" spans="1:8">
      <c r="A562" s="8" t="s">
        <v>9</v>
      </c>
      <c r="B562" s="13" t="s">
        <v>24</v>
      </c>
      <c r="C562" s="13" t="s">
        <v>550</v>
      </c>
      <c r="D562" s="43" t="s">
        <v>549</v>
      </c>
      <c r="E562" s="20" t="s">
        <v>1181</v>
      </c>
      <c r="F562" s="47">
        <v>0</v>
      </c>
      <c r="G562" s="47">
        <v>0</v>
      </c>
      <c r="H562" s="47">
        <v>0</v>
      </c>
    </row>
    <row r="563" spans="1:8">
      <c r="A563" s="8" t="s">
        <v>9</v>
      </c>
      <c r="B563" s="9" t="s">
        <v>23</v>
      </c>
      <c r="C563" s="13" t="s">
        <v>410</v>
      </c>
      <c r="D563" s="43" t="s">
        <v>409</v>
      </c>
      <c r="E563" s="20" t="s">
        <v>1182</v>
      </c>
      <c r="F563" s="47">
        <v>940</v>
      </c>
      <c r="G563" s="47">
        <v>20190600</v>
      </c>
      <c r="H563" s="47">
        <v>2824400</v>
      </c>
    </row>
    <row r="564" spans="1:8">
      <c r="A564" s="8" t="s">
        <v>9</v>
      </c>
      <c r="B564" s="9" t="s">
        <v>23</v>
      </c>
      <c r="C564" s="13" t="s">
        <v>410</v>
      </c>
      <c r="D564" s="43" t="s">
        <v>409</v>
      </c>
      <c r="E564" s="20" t="s">
        <v>1183</v>
      </c>
      <c r="F564" s="47">
        <v>0</v>
      </c>
      <c r="G564" s="47">
        <v>0</v>
      </c>
      <c r="H564" s="47">
        <v>0</v>
      </c>
    </row>
    <row r="565" spans="1:8">
      <c r="A565" s="8" t="s">
        <v>9</v>
      </c>
      <c r="B565" s="9" t="s">
        <v>23</v>
      </c>
      <c r="C565" s="13" t="s">
        <v>410</v>
      </c>
      <c r="D565" s="43" t="s">
        <v>409</v>
      </c>
      <c r="E565" s="20" t="s">
        <v>1184</v>
      </c>
      <c r="F565" s="47">
        <v>0</v>
      </c>
      <c r="G565" s="47">
        <v>0</v>
      </c>
      <c r="H565" s="47">
        <v>0</v>
      </c>
    </row>
    <row r="566" spans="1:8">
      <c r="A566" s="8" t="s">
        <v>9</v>
      </c>
      <c r="B566" s="9" t="s">
        <v>23</v>
      </c>
      <c r="C566" s="13" t="s">
        <v>410</v>
      </c>
      <c r="D566" s="43" t="s">
        <v>409</v>
      </c>
      <c r="E566" s="20" t="s">
        <v>1185</v>
      </c>
      <c r="F566" s="47">
        <v>0</v>
      </c>
      <c r="G566" s="47">
        <v>0</v>
      </c>
      <c r="H566" s="47">
        <v>0</v>
      </c>
    </row>
    <row r="567" spans="1:8">
      <c r="A567" s="8" t="s">
        <v>9</v>
      </c>
      <c r="B567" s="9" t="s">
        <v>23</v>
      </c>
      <c r="C567" s="13" t="s">
        <v>410</v>
      </c>
      <c r="D567" s="43" t="s">
        <v>409</v>
      </c>
      <c r="E567" s="20" t="s">
        <v>1186</v>
      </c>
      <c r="F567" s="47">
        <v>0</v>
      </c>
      <c r="G567" s="47">
        <v>0</v>
      </c>
      <c r="H567" s="47">
        <v>0</v>
      </c>
    </row>
    <row r="568" spans="1:8">
      <c r="A568" s="8" t="s">
        <v>9</v>
      </c>
      <c r="B568" s="9" t="s">
        <v>23</v>
      </c>
      <c r="C568" s="13" t="s">
        <v>410</v>
      </c>
      <c r="D568" s="43" t="s">
        <v>409</v>
      </c>
      <c r="E568" s="20" t="s">
        <v>1182</v>
      </c>
      <c r="F568" s="47">
        <v>0</v>
      </c>
      <c r="G568" s="47">
        <v>0</v>
      </c>
      <c r="H568" s="47">
        <v>0</v>
      </c>
    </row>
    <row r="569" spans="1:8">
      <c r="A569" s="8" t="s">
        <v>9</v>
      </c>
      <c r="B569" s="9" t="s">
        <v>23</v>
      </c>
      <c r="C569" s="13" t="s">
        <v>410</v>
      </c>
      <c r="D569" s="43" t="s">
        <v>409</v>
      </c>
      <c r="E569" s="20" t="s">
        <v>1187</v>
      </c>
      <c r="F569" s="47">
        <v>0</v>
      </c>
      <c r="G569" s="47">
        <v>0</v>
      </c>
      <c r="H569" s="47">
        <v>0</v>
      </c>
    </row>
    <row r="570" spans="1:8">
      <c r="A570" s="8" t="s">
        <v>9</v>
      </c>
      <c r="B570" s="9" t="s">
        <v>24</v>
      </c>
      <c r="C570" s="13" t="s">
        <v>510</v>
      </c>
      <c r="D570" s="43" t="s">
        <v>509</v>
      </c>
      <c r="E570" s="20" t="s">
        <v>1188</v>
      </c>
      <c r="F570" s="47">
        <v>3</v>
      </c>
      <c r="G570" s="47">
        <v>45000</v>
      </c>
      <c r="H570" s="47">
        <v>8520</v>
      </c>
    </row>
    <row r="571" spans="1:8">
      <c r="A571" s="8" t="s">
        <v>9</v>
      </c>
      <c r="B571" s="13" t="s">
        <v>24</v>
      </c>
      <c r="C571" s="13" t="s">
        <v>510</v>
      </c>
      <c r="D571" s="43" t="s">
        <v>509</v>
      </c>
      <c r="E571" s="20" t="s">
        <v>1189</v>
      </c>
      <c r="F571" s="47">
        <v>1</v>
      </c>
      <c r="G571" s="47">
        <v>19000</v>
      </c>
      <c r="H571" s="47">
        <v>3530</v>
      </c>
    </row>
    <row r="572" spans="1:8">
      <c r="A572" s="8" t="s">
        <v>9</v>
      </c>
      <c r="B572" s="9" t="s">
        <v>24</v>
      </c>
      <c r="C572" s="13" t="s">
        <v>510</v>
      </c>
      <c r="D572" s="43" t="s">
        <v>509</v>
      </c>
      <c r="E572" s="20" t="s">
        <v>1190</v>
      </c>
      <c r="F572" s="47">
        <v>0</v>
      </c>
      <c r="G572" s="47">
        <v>0</v>
      </c>
      <c r="H572" s="47">
        <v>0</v>
      </c>
    </row>
    <row r="573" spans="1:8">
      <c r="A573" s="8" t="s">
        <v>9</v>
      </c>
      <c r="B573" s="13" t="s">
        <v>24</v>
      </c>
      <c r="C573" s="13" t="s">
        <v>510</v>
      </c>
      <c r="D573" s="43" t="s">
        <v>509</v>
      </c>
      <c r="E573" s="20" t="s">
        <v>1191</v>
      </c>
      <c r="F573" s="47">
        <v>0</v>
      </c>
      <c r="G573" s="47">
        <v>0</v>
      </c>
      <c r="H573" s="47">
        <v>0</v>
      </c>
    </row>
    <row r="574" spans="1:8">
      <c r="A574" s="8" t="s">
        <v>9</v>
      </c>
      <c r="B574" s="13" t="s">
        <v>24</v>
      </c>
      <c r="C574" s="13" t="s">
        <v>380</v>
      </c>
      <c r="D574" s="43" t="s">
        <v>379</v>
      </c>
      <c r="E574" s="20" t="s">
        <v>1192</v>
      </c>
      <c r="F574" s="47">
        <v>4</v>
      </c>
      <c r="G574" s="47">
        <v>57600</v>
      </c>
      <c r="H574" s="47">
        <v>11360</v>
      </c>
    </row>
    <row r="575" spans="1:8">
      <c r="A575" s="8" t="s">
        <v>9</v>
      </c>
      <c r="B575" s="9" t="s">
        <v>24</v>
      </c>
      <c r="C575" s="13" t="s">
        <v>380</v>
      </c>
      <c r="D575" s="43" t="s">
        <v>379</v>
      </c>
      <c r="E575" s="20" t="s">
        <v>1193</v>
      </c>
      <c r="F575" s="47">
        <v>12</v>
      </c>
      <c r="G575" s="47">
        <v>174200</v>
      </c>
      <c r="H575" s="47">
        <v>33040</v>
      </c>
    </row>
    <row r="576" spans="1:8">
      <c r="A576" s="8" t="s">
        <v>9</v>
      </c>
      <c r="B576" s="13" t="s">
        <v>24</v>
      </c>
      <c r="C576" s="13" t="s">
        <v>380</v>
      </c>
      <c r="D576" s="43" t="s">
        <v>379</v>
      </c>
      <c r="E576" s="20" t="s">
        <v>1194</v>
      </c>
      <c r="F576" s="47">
        <v>0</v>
      </c>
      <c r="G576" s="47">
        <v>0</v>
      </c>
      <c r="H576" s="47">
        <v>0</v>
      </c>
    </row>
    <row r="577" spans="1:8">
      <c r="A577" s="8" t="s">
        <v>9</v>
      </c>
      <c r="B577" s="9" t="s">
        <v>22</v>
      </c>
      <c r="C577" s="13" t="s">
        <v>396</v>
      </c>
      <c r="D577" s="43" t="s">
        <v>395</v>
      </c>
      <c r="E577" s="20" t="s">
        <v>1195</v>
      </c>
      <c r="F577" s="47">
        <v>0</v>
      </c>
      <c r="G577" s="47">
        <v>0</v>
      </c>
      <c r="H577" s="47">
        <v>0</v>
      </c>
    </row>
    <row r="578" spans="1:8">
      <c r="A578" s="8" t="s">
        <v>9</v>
      </c>
      <c r="B578" s="13" t="s">
        <v>24</v>
      </c>
      <c r="C578" s="13" t="s">
        <v>396</v>
      </c>
      <c r="D578" s="43" t="s">
        <v>395</v>
      </c>
      <c r="E578" s="20" t="s">
        <v>1196</v>
      </c>
      <c r="F578" s="47">
        <v>0</v>
      </c>
      <c r="G578" s="47">
        <v>0</v>
      </c>
      <c r="H578" s="47">
        <v>0</v>
      </c>
    </row>
    <row r="579" spans="1:8">
      <c r="A579" s="8" t="s">
        <v>9</v>
      </c>
      <c r="B579" s="9" t="s">
        <v>22</v>
      </c>
      <c r="C579" s="13" t="s">
        <v>1197</v>
      </c>
      <c r="D579" s="43" t="s">
        <v>539</v>
      </c>
      <c r="E579" s="20" t="s">
        <v>1198</v>
      </c>
      <c r="F579" s="47">
        <v>4</v>
      </c>
      <c r="G579" s="47">
        <v>42000</v>
      </c>
      <c r="H579" s="47">
        <v>7980</v>
      </c>
    </row>
    <row r="580" spans="1:8">
      <c r="A580" s="8" t="s">
        <v>9</v>
      </c>
      <c r="B580" s="9" t="s">
        <v>22</v>
      </c>
      <c r="C580" s="13" t="s">
        <v>1197</v>
      </c>
      <c r="D580" s="43" t="s">
        <v>539</v>
      </c>
      <c r="E580" s="20" t="s">
        <v>1199</v>
      </c>
      <c r="F580" s="47">
        <v>0</v>
      </c>
      <c r="G580" s="47">
        <v>0</v>
      </c>
      <c r="H580" s="47">
        <v>0</v>
      </c>
    </row>
    <row r="581" spans="1:8">
      <c r="A581" s="8" t="s">
        <v>9</v>
      </c>
      <c r="B581" s="9" t="s">
        <v>23</v>
      </c>
      <c r="C581" s="13" t="s">
        <v>518</v>
      </c>
      <c r="D581" s="43" t="s">
        <v>517</v>
      </c>
      <c r="E581" s="20" t="s">
        <v>1200</v>
      </c>
      <c r="F581" s="47">
        <v>0</v>
      </c>
      <c r="G581" s="47">
        <v>0</v>
      </c>
      <c r="H581" s="47">
        <v>0</v>
      </c>
    </row>
    <row r="582" spans="1:8">
      <c r="A582" s="8" t="s">
        <v>9</v>
      </c>
      <c r="B582" s="9" t="s">
        <v>23</v>
      </c>
      <c r="C582" s="13" t="s">
        <v>518</v>
      </c>
      <c r="D582" s="43" t="s">
        <v>517</v>
      </c>
      <c r="E582" s="20" t="s">
        <v>1201</v>
      </c>
      <c r="F582" s="47">
        <v>2</v>
      </c>
      <c r="G582" s="47">
        <v>0</v>
      </c>
      <c r="H582" s="47">
        <v>0</v>
      </c>
    </row>
    <row r="583" spans="1:8">
      <c r="A583" s="8" t="s">
        <v>9</v>
      </c>
      <c r="B583" s="9" t="s">
        <v>23</v>
      </c>
      <c r="C583" s="13" t="s">
        <v>518</v>
      </c>
      <c r="D583" s="43" t="s">
        <v>517</v>
      </c>
      <c r="E583" s="20" t="s">
        <v>1202</v>
      </c>
      <c r="F583" s="47">
        <v>0</v>
      </c>
      <c r="G583" s="47">
        <v>0</v>
      </c>
      <c r="H583" s="47">
        <v>0</v>
      </c>
    </row>
    <row r="584" spans="1:8">
      <c r="A584" s="8" t="s">
        <v>9</v>
      </c>
      <c r="B584" s="9" t="s">
        <v>23</v>
      </c>
      <c r="C584" s="13" t="s">
        <v>518</v>
      </c>
      <c r="D584" s="43" t="s">
        <v>517</v>
      </c>
      <c r="E584" s="20" t="s">
        <v>1203</v>
      </c>
      <c r="F584" s="47">
        <v>1</v>
      </c>
      <c r="G584" s="47">
        <v>24500</v>
      </c>
      <c r="H584" s="47">
        <v>4460</v>
      </c>
    </row>
    <row r="585" spans="1:8">
      <c r="A585" s="8" t="s">
        <v>9</v>
      </c>
      <c r="B585" s="9" t="s">
        <v>23</v>
      </c>
      <c r="C585" s="13" t="s">
        <v>518</v>
      </c>
      <c r="D585" s="43" t="s">
        <v>517</v>
      </c>
      <c r="E585" s="20" t="s">
        <v>1204</v>
      </c>
      <c r="F585" s="47">
        <v>0</v>
      </c>
      <c r="G585" s="47">
        <v>0</v>
      </c>
      <c r="H585" s="47">
        <v>0</v>
      </c>
    </row>
    <row r="586" spans="1:8">
      <c r="A586" s="8" t="s">
        <v>9</v>
      </c>
      <c r="B586" s="9" t="s">
        <v>23</v>
      </c>
      <c r="C586" s="13" t="s">
        <v>518</v>
      </c>
      <c r="D586" s="43" t="s">
        <v>517</v>
      </c>
      <c r="E586" s="20" t="s">
        <v>1205</v>
      </c>
      <c r="F586" s="47">
        <v>1</v>
      </c>
      <c r="G586" s="47">
        <v>22500</v>
      </c>
      <c r="H586" s="47">
        <v>4270</v>
      </c>
    </row>
    <row r="587" spans="1:8">
      <c r="A587" s="8" t="s">
        <v>9</v>
      </c>
      <c r="B587" s="9" t="s">
        <v>23</v>
      </c>
      <c r="C587" s="13" t="s">
        <v>518</v>
      </c>
      <c r="D587" s="43" t="s">
        <v>517</v>
      </c>
      <c r="E587" s="20" t="s">
        <v>1206</v>
      </c>
      <c r="F587" s="47">
        <v>1</v>
      </c>
      <c r="G587" s="47">
        <v>25800</v>
      </c>
      <c r="H587" s="47">
        <v>4760</v>
      </c>
    </row>
    <row r="588" spans="1:8">
      <c r="A588" s="8" t="s">
        <v>9</v>
      </c>
      <c r="B588" s="9" t="s">
        <v>23</v>
      </c>
      <c r="C588" s="13" t="s">
        <v>518</v>
      </c>
      <c r="D588" s="43" t="s">
        <v>517</v>
      </c>
      <c r="E588" s="20" t="s">
        <v>1207</v>
      </c>
      <c r="F588" s="47">
        <v>0</v>
      </c>
      <c r="G588" s="47">
        <v>0</v>
      </c>
      <c r="H588" s="47">
        <v>0</v>
      </c>
    </row>
    <row r="589" spans="1:8">
      <c r="A589" s="8" t="s">
        <v>9</v>
      </c>
      <c r="B589" s="9" t="s">
        <v>23</v>
      </c>
      <c r="C589" s="13" t="s">
        <v>518</v>
      </c>
      <c r="D589" s="43" t="s">
        <v>517</v>
      </c>
      <c r="E589" s="20" t="s">
        <v>1208</v>
      </c>
      <c r="F589" s="47">
        <v>0</v>
      </c>
      <c r="G589" s="47">
        <v>0</v>
      </c>
      <c r="H589" s="47">
        <v>0</v>
      </c>
    </row>
    <row r="590" spans="1:8">
      <c r="A590" s="8" t="s">
        <v>9</v>
      </c>
      <c r="B590" s="9" t="s">
        <v>23</v>
      </c>
      <c r="C590" s="13" t="s">
        <v>518</v>
      </c>
      <c r="D590" s="43" t="s">
        <v>517</v>
      </c>
      <c r="E590" s="20" t="s">
        <v>1209</v>
      </c>
      <c r="F590" s="47">
        <v>0</v>
      </c>
      <c r="G590" s="47">
        <v>0</v>
      </c>
      <c r="H590" s="47">
        <v>0</v>
      </c>
    </row>
    <row r="591" spans="1:8">
      <c r="A591" s="8" t="s">
        <v>9</v>
      </c>
      <c r="B591" s="9" t="s">
        <v>23</v>
      </c>
      <c r="C591" s="13" t="s">
        <v>518</v>
      </c>
      <c r="D591" s="43" t="s">
        <v>517</v>
      </c>
      <c r="E591" s="20" t="s">
        <v>1210</v>
      </c>
      <c r="F591" s="47">
        <v>0</v>
      </c>
      <c r="G591" s="47">
        <v>0</v>
      </c>
      <c r="H591" s="47">
        <v>0</v>
      </c>
    </row>
    <row r="592" spans="1:8">
      <c r="A592" s="8" t="s">
        <v>9</v>
      </c>
      <c r="B592" s="9" t="s">
        <v>23</v>
      </c>
      <c r="C592" s="13" t="s">
        <v>518</v>
      </c>
      <c r="D592" s="43" t="s">
        <v>517</v>
      </c>
      <c r="E592" s="20" t="s">
        <v>1211</v>
      </c>
      <c r="F592" s="47">
        <v>0</v>
      </c>
      <c r="G592" s="47">
        <v>0</v>
      </c>
      <c r="H592" s="47">
        <v>0</v>
      </c>
    </row>
    <row r="593" spans="1:8">
      <c r="A593" s="8" t="s">
        <v>9</v>
      </c>
      <c r="B593" s="13" t="s">
        <v>24</v>
      </c>
      <c r="C593" s="13" t="s">
        <v>444</v>
      </c>
      <c r="D593" s="43" t="s">
        <v>443</v>
      </c>
      <c r="E593" s="20" t="s">
        <v>1212</v>
      </c>
      <c r="F593" s="47">
        <v>0</v>
      </c>
      <c r="G593" s="47">
        <v>0</v>
      </c>
      <c r="H593" s="47">
        <v>0</v>
      </c>
    </row>
    <row r="594" spans="1:8">
      <c r="A594" s="8" t="s">
        <v>9</v>
      </c>
      <c r="B594" s="13" t="s">
        <v>24</v>
      </c>
      <c r="C594" s="13" t="s">
        <v>444</v>
      </c>
      <c r="D594" s="43" t="s">
        <v>443</v>
      </c>
      <c r="E594" s="20" t="s">
        <v>1213</v>
      </c>
      <c r="F594" s="47">
        <v>0</v>
      </c>
      <c r="G594" s="47">
        <v>0</v>
      </c>
      <c r="H594" s="47">
        <v>0</v>
      </c>
    </row>
    <row r="595" spans="1:8">
      <c r="A595" s="8" t="s">
        <v>9</v>
      </c>
      <c r="B595" s="13" t="s">
        <v>24</v>
      </c>
      <c r="C595" s="13" t="s">
        <v>444</v>
      </c>
      <c r="D595" s="43" t="s">
        <v>443</v>
      </c>
      <c r="E595" s="20" t="s">
        <v>1214</v>
      </c>
      <c r="F595" s="47">
        <v>0</v>
      </c>
      <c r="G595" s="47">
        <v>0</v>
      </c>
      <c r="H595" s="47">
        <v>0</v>
      </c>
    </row>
    <row r="596" spans="1:8">
      <c r="A596" s="8" t="s">
        <v>9</v>
      </c>
      <c r="B596" s="13" t="s">
        <v>24</v>
      </c>
      <c r="C596" s="13" t="s">
        <v>444</v>
      </c>
      <c r="D596" s="43" t="s">
        <v>443</v>
      </c>
      <c r="E596" s="20" t="s">
        <v>1215</v>
      </c>
      <c r="F596" s="47">
        <v>0</v>
      </c>
      <c r="G596" s="47">
        <v>0</v>
      </c>
      <c r="H596" s="47">
        <v>0</v>
      </c>
    </row>
    <row r="597" spans="1:8">
      <c r="A597" s="8" t="s">
        <v>9</v>
      </c>
      <c r="B597" s="13" t="s">
        <v>24</v>
      </c>
      <c r="C597" s="13" t="s">
        <v>444</v>
      </c>
      <c r="D597" s="43" t="s">
        <v>443</v>
      </c>
      <c r="E597" s="20" t="s">
        <v>1215</v>
      </c>
      <c r="F597" s="47">
        <v>0</v>
      </c>
      <c r="G597" s="47">
        <v>0</v>
      </c>
      <c r="H597" s="47">
        <v>0</v>
      </c>
    </row>
    <row r="598" spans="1:8">
      <c r="A598" s="8" t="s">
        <v>9</v>
      </c>
      <c r="B598" s="13" t="s">
        <v>24</v>
      </c>
      <c r="C598" s="13" t="s">
        <v>444</v>
      </c>
      <c r="D598" s="43" t="s">
        <v>443</v>
      </c>
      <c r="E598" s="20" t="s">
        <v>1216</v>
      </c>
      <c r="F598" s="47">
        <v>0</v>
      </c>
      <c r="G598" s="47">
        <v>0</v>
      </c>
      <c r="H598" s="47">
        <v>0</v>
      </c>
    </row>
    <row r="599" spans="1:8">
      <c r="A599" s="8" t="s">
        <v>9</v>
      </c>
      <c r="B599" s="13" t="s">
        <v>24</v>
      </c>
      <c r="C599" s="13" t="s">
        <v>444</v>
      </c>
      <c r="D599" s="43" t="s">
        <v>443</v>
      </c>
      <c r="E599" s="20" t="s">
        <v>1217</v>
      </c>
      <c r="F599" s="47">
        <v>0</v>
      </c>
      <c r="G599" s="47">
        <v>0</v>
      </c>
      <c r="H599" s="47">
        <v>0</v>
      </c>
    </row>
    <row r="600" spans="1:8">
      <c r="A600" s="8" t="s">
        <v>9</v>
      </c>
      <c r="B600" s="13" t="s">
        <v>24</v>
      </c>
      <c r="C600" s="13" t="s">
        <v>1218</v>
      </c>
      <c r="D600" s="43" t="s">
        <v>525</v>
      </c>
      <c r="E600" s="20" t="s">
        <v>1219</v>
      </c>
      <c r="F600" s="47">
        <v>1</v>
      </c>
      <c r="G600" s="47">
        <v>30000</v>
      </c>
      <c r="H600" s="47">
        <v>5700</v>
      </c>
    </row>
    <row r="601" spans="1:8">
      <c r="A601" s="8" t="s">
        <v>9</v>
      </c>
      <c r="B601" s="13" t="s">
        <v>24</v>
      </c>
      <c r="C601" s="13" t="s">
        <v>1218</v>
      </c>
      <c r="D601" s="43" t="s">
        <v>525</v>
      </c>
      <c r="E601" s="20" t="s">
        <v>1220</v>
      </c>
      <c r="F601" s="47">
        <v>1</v>
      </c>
      <c r="G601" s="47">
        <v>30000</v>
      </c>
      <c r="H601" s="47">
        <v>5700</v>
      </c>
    </row>
    <row r="602" spans="1:8">
      <c r="A602" s="8" t="s">
        <v>9</v>
      </c>
      <c r="B602" s="9" t="s">
        <v>24</v>
      </c>
      <c r="C602" s="13" t="s">
        <v>1218</v>
      </c>
      <c r="D602" s="43" t="s">
        <v>525</v>
      </c>
      <c r="E602" s="20" t="s">
        <v>1221</v>
      </c>
      <c r="F602" s="47">
        <v>0</v>
      </c>
      <c r="G602" s="47">
        <v>0</v>
      </c>
      <c r="H602" s="47">
        <v>0</v>
      </c>
    </row>
    <row r="603" spans="1:8">
      <c r="A603" s="8" t="s">
        <v>9</v>
      </c>
      <c r="B603" s="9" t="s">
        <v>24</v>
      </c>
      <c r="C603" s="13" t="s">
        <v>1218</v>
      </c>
      <c r="D603" s="43" t="s">
        <v>525</v>
      </c>
      <c r="E603" s="20" t="s">
        <v>1222</v>
      </c>
      <c r="F603" s="47">
        <v>0</v>
      </c>
      <c r="G603" s="47">
        <v>0</v>
      </c>
      <c r="H603" s="47">
        <v>0</v>
      </c>
    </row>
    <row r="604" spans="1:8">
      <c r="A604" s="8" t="s">
        <v>9</v>
      </c>
      <c r="B604" s="13" t="s">
        <v>24</v>
      </c>
      <c r="C604" s="13" t="s">
        <v>1218</v>
      </c>
      <c r="D604" s="43" t="s">
        <v>525</v>
      </c>
      <c r="E604" s="20" t="s">
        <v>1223</v>
      </c>
      <c r="F604" s="47">
        <v>0</v>
      </c>
      <c r="G604" s="47">
        <v>0</v>
      </c>
      <c r="H604" s="47">
        <v>0</v>
      </c>
    </row>
    <row r="605" spans="1:8">
      <c r="A605" s="8" t="s">
        <v>9</v>
      </c>
      <c r="B605" s="13" t="s">
        <v>24</v>
      </c>
      <c r="C605" s="13" t="s">
        <v>1218</v>
      </c>
      <c r="D605" s="43" t="s">
        <v>525</v>
      </c>
      <c r="E605" s="20" t="s">
        <v>1224</v>
      </c>
      <c r="F605" s="47">
        <v>0</v>
      </c>
      <c r="G605" s="47">
        <v>0</v>
      </c>
      <c r="H605" s="47">
        <v>0</v>
      </c>
    </row>
    <row r="606" spans="1:8">
      <c r="A606" s="8" t="s">
        <v>9</v>
      </c>
      <c r="B606" s="9" t="s">
        <v>24</v>
      </c>
      <c r="C606" s="13" t="s">
        <v>1218</v>
      </c>
      <c r="D606" s="43" t="s">
        <v>525</v>
      </c>
      <c r="E606" s="20" t="s">
        <v>1225</v>
      </c>
      <c r="F606" s="47">
        <v>0</v>
      </c>
      <c r="G606" s="47">
        <v>0</v>
      </c>
      <c r="H606" s="47">
        <v>0</v>
      </c>
    </row>
    <row r="607" spans="1:8">
      <c r="A607" s="8" t="s">
        <v>9</v>
      </c>
      <c r="B607" s="9" t="s">
        <v>24</v>
      </c>
      <c r="C607" s="13" t="s">
        <v>1218</v>
      </c>
      <c r="D607" s="43" t="s">
        <v>525</v>
      </c>
      <c r="E607" s="20" t="s">
        <v>1226</v>
      </c>
      <c r="F607" s="47">
        <v>1</v>
      </c>
      <c r="G607" s="47">
        <v>15000</v>
      </c>
      <c r="H607" s="47">
        <v>2400</v>
      </c>
    </row>
    <row r="608" spans="1:8">
      <c r="A608" s="8" t="s">
        <v>9</v>
      </c>
      <c r="B608" s="13" t="s">
        <v>24</v>
      </c>
      <c r="C608" s="13" t="s">
        <v>1218</v>
      </c>
      <c r="D608" s="43" t="s">
        <v>525</v>
      </c>
      <c r="E608" s="20" t="s">
        <v>1227</v>
      </c>
      <c r="F608" s="47">
        <v>0</v>
      </c>
      <c r="G608" s="47">
        <v>0</v>
      </c>
      <c r="H608" s="47">
        <v>0</v>
      </c>
    </row>
    <row r="609" spans="1:8">
      <c r="A609" s="8" t="s">
        <v>9</v>
      </c>
      <c r="B609" s="13" t="s">
        <v>24</v>
      </c>
      <c r="C609" s="13" t="s">
        <v>1218</v>
      </c>
      <c r="D609" s="43" t="s">
        <v>525</v>
      </c>
      <c r="E609" s="20" t="s">
        <v>1228</v>
      </c>
      <c r="F609" s="47">
        <v>2</v>
      </c>
      <c r="G609" s="47">
        <v>140000</v>
      </c>
      <c r="H609" s="47">
        <v>20000</v>
      </c>
    </row>
    <row r="610" spans="1:8">
      <c r="A610" s="8" t="s">
        <v>9</v>
      </c>
      <c r="B610" s="9" t="s">
        <v>24</v>
      </c>
      <c r="C610" s="13" t="s">
        <v>340</v>
      </c>
      <c r="D610" s="43" t="s">
        <v>339</v>
      </c>
      <c r="E610" s="20" t="s">
        <v>1229</v>
      </c>
      <c r="F610" s="47">
        <v>0</v>
      </c>
      <c r="G610" s="47">
        <v>0</v>
      </c>
      <c r="H610" s="47">
        <v>0</v>
      </c>
    </row>
    <row r="611" spans="1:8">
      <c r="A611" s="8" t="s">
        <v>9</v>
      </c>
      <c r="B611" s="9" t="s">
        <v>24</v>
      </c>
      <c r="C611" s="13" t="s">
        <v>340</v>
      </c>
      <c r="D611" s="43" t="s">
        <v>339</v>
      </c>
      <c r="E611" s="20" t="s">
        <v>1230</v>
      </c>
      <c r="F611" s="47">
        <v>0</v>
      </c>
      <c r="G611" s="47">
        <v>0</v>
      </c>
      <c r="H611" s="47">
        <v>0</v>
      </c>
    </row>
    <row r="612" spans="1:8">
      <c r="A612" s="8" t="s">
        <v>9</v>
      </c>
      <c r="B612" s="9" t="s">
        <v>24</v>
      </c>
      <c r="C612" s="13" t="s">
        <v>340</v>
      </c>
      <c r="D612" s="43" t="s">
        <v>339</v>
      </c>
      <c r="E612" s="20" t="s">
        <v>1231</v>
      </c>
      <c r="F612" s="47">
        <v>0</v>
      </c>
      <c r="G612" s="47">
        <v>0</v>
      </c>
      <c r="H612" s="47">
        <v>0</v>
      </c>
    </row>
    <row r="613" spans="1:8">
      <c r="A613" s="8" t="s">
        <v>9</v>
      </c>
      <c r="B613" s="9" t="s">
        <v>24</v>
      </c>
      <c r="C613" s="13" t="s">
        <v>340</v>
      </c>
      <c r="D613" s="43" t="s">
        <v>339</v>
      </c>
      <c r="E613" s="20" t="s">
        <v>1232</v>
      </c>
      <c r="F613" s="47">
        <v>0</v>
      </c>
      <c r="G613" s="47">
        <v>0</v>
      </c>
      <c r="H613" s="47">
        <v>0</v>
      </c>
    </row>
    <row r="614" spans="1:8">
      <c r="A614" s="8" t="s">
        <v>9</v>
      </c>
      <c r="B614" s="9" t="s">
        <v>24</v>
      </c>
      <c r="C614" s="13" t="s">
        <v>340</v>
      </c>
      <c r="D614" s="43" t="s">
        <v>339</v>
      </c>
      <c r="E614" s="20" t="s">
        <v>1233</v>
      </c>
      <c r="F614" s="47">
        <v>0</v>
      </c>
      <c r="G614" s="47">
        <v>0</v>
      </c>
      <c r="H614" s="47">
        <v>0</v>
      </c>
    </row>
    <row r="615" spans="1:8">
      <c r="A615" s="8" t="s">
        <v>9</v>
      </c>
      <c r="B615" s="9" t="s">
        <v>24</v>
      </c>
      <c r="C615" s="13" t="s">
        <v>340</v>
      </c>
      <c r="D615" s="43" t="s">
        <v>339</v>
      </c>
      <c r="E615" s="20" t="s">
        <v>1234</v>
      </c>
      <c r="F615" s="47">
        <v>0</v>
      </c>
      <c r="G615" s="47">
        <v>0</v>
      </c>
      <c r="H615" s="47">
        <v>0</v>
      </c>
    </row>
    <row r="616" spans="1:8">
      <c r="A616" s="8" t="s">
        <v>9</v>
      </c>
      <c r="B616" s="9" t="s">
        <v>24</v>
      </c>
      <c r="C616" s="13" t="s">
        <v>340</v>
      </c>
      <c r="D616" s="43" t="s">
        <v>339</v>
      </c>
      <c r="E616" s="20" t="s">
        <v>1235</v>
      </c>
      <c r="F616" s="47">
        <v>0</v>
      </c>
      <c r="G616" s="47">
        <v>0</v>
      </c>
      <c r="H616" s="47">
        <v>0</v>
      </c>
    </row>
    <row r="617" spans="1:8">
      <c r="A617" s="8" t="s">
        <v>9</v>
      </c>
      <c r="B617" s="9" t="s">
        <v>24</v>
      </c>
      <c r="C617" s="13" t="s">
        <v>340</v>
      </c>
      <c r="D617" s="43" t="s">
        <v>339</v>
      </c>
      <c r="E617" s="20" t="s">
        <v>1236</v>
      </c>
      <c r="F617" s="47">
        <v>0</v>
      </c>
      <c r="G617" s="47">
        <v>0</v>
      </c>
      <c r="H617" s="47">
        <v>0</v>
      </c>
    </row>
    <row r="618" spans="1:8">
      <c r="A618" s="8" t="s">
        <v>9</v>
      </c>
      <c r="B618" s="9" t="s">
        <v>24</v>
      </c>
      <c r="C618" s="13" t="s">
        <v>340</v>
      </c>
      <c r="D618" s="43" t="s">
        <v>339</v>
      </c>
      <c r="E618" s="20" t="s">
        <v>1237</v>
      </c>
      <c r="F618" s="47">
        <v>0</v>
      </c>
      <c r="G618" s="47">
        <v>0</v>
      </c>
      <c r="H618" s="47">
        <v>0</v>
      </c>
    </row>
    <row r="619" spans="1:8">
      <c r="A619" s="8" t="s">
        <v>9</v>
      </c>
      <c r="B619" s="9" t="s">
        <v>24</v>
      </c>
      <c r="C619" s="13" t="s">
        <v>340</v>
      </c>
      <c r="D619" s="43" t="s">
        <v>339</v>
      </c>
      <c r="E619" s="20" t="s">
        <v>1238</v>
      </c>
      <c r="F619" s="47">
        <v>0</v>
      </c>
      <c r="G619" s="47">
        <v>0</v>
      </c>
      <c r="H619" s="47">
        <v>0</v>
      </c>
    </row>
    <row r="620" spans="1:8">
      <c r="A620" s="8" t="s">
        <v>9</v>
      </c>
      <c r="B620" s="9" t="s">
        <v>24</v>
      </c>
      <c r="C620" s="13" t="s">
        <v>340</v>
      </c>
      <c r="D620" s="43" t="s">
        <v>339</v>
      </c>
      <c r="E620" s="20" t="s">
        <v>1239</v>
      </c>
      <c r="F620" s="47">
        <v>0</v>
      </c>
      <c r="G620" s="47">
        <v>0</v>
      </c>
      <c r="H620" s="47">
        <v>0</v>
      </c>
    </row>
    <row r="621" spans="1:8">
      <c r="A621" s="8" t="s">
        <v>9</v>
      </c>
      <c r="B621" s="9" t="s">
        <v>24</v>
      </c>
      <c r="C621" s="13" t="s">
        <v>340</v>
      </c>
      <c r="D621" s="43" t="s">
        <v>339</v>
      </c>
      <c r="E621" s="20" t="s">
        <v>1240</v>
      </c>
      <c r="F621" s="47">
        <v>0</v>
      </c>
      <c r="G621" s="47">
        <v>0</v>
      </c>
      <c r="H621" s="47">
        <v>0</v>
      </c>
    </row>
    <row r="622" spans="1:8">
      <c r="A622" s="8" t="s">
        <v>9</v>
      </c>
      <c r="B622" s="9" t="s">
        <v>24</v>
      </c>
      <c r="C622" s="13" t="s">
        <v>340</v>
      </c>
      <c r="D622" s="43" t="s">
        <v>339</v>
      </c>
      <c r="E622" s="20" t="s">
        <v>1241</v>
      </c>
      <c r="F622" s="47">
        <v>0</v>
      </c>
      <c r="G622" s="47">
        <v>0</v>
      </c>
      <c r="H622" s="47">
        <v>0</v>
      </c>
    </row>
    <row r="623" spans="1:8">
      <c r="A623" s="8" t="s">
        <v>9</v>
      </c>
      <c r="B623" s="9" t="s">
        <v>24</v>
      </c>
      <c r="C623" s="13" t="s">
        <v>340</v>
      </c>
      <c r="D623" s="43" t="s">
        <v>339</v>
      </c>
      <c r="E623" s="20" t="s">
        <v>1242</v>
      </c>
      <c r="F623" s="47">
        <v>0</v>
      </c>
      <c r="G623" s="47">
        <v>0</v>
      </c>
      <c r="H623" s="47">
        <v>0</v>
      </c>
    </row>
    <row r="624" spans="1:8">
      <c r="A624" s="8" t="s">
        <v>9</v>
      </c>
      <c r="B624" s="9" t="s">
        <v>24</v>
      </c>
      <c r="C624" s="13" t="s">
        <v>340</v>
      </c>
      <c r="D624" s="43" t="s">
        <v>339</v>
      </c>
      <c r="E624" s="20" t="s">
        <v>1243</v>
      </c>
      <c r="F624" s="47">
        <v>0</v>
      </c>
      <c r="G624" s="47">
        <v>0</v>
      </c>
      <c r="H624" s="47">
        <v>0</v>
      </c>
    </row>
    <row r="625" spans="1:8">
      <c r="A625" s="8" t="s">
        <v>9</v>
      </c>
      <c r="B625" s="9" t="s">
        <v>24</v>
      </c>
      <c r="C625" s="13" t="s">
        <v>340</v>
      </c>
      <c r="D625" s="43" t="s">
        <v>339</v>
      </c>
      <c r="E625" s="20" t="s">
        <v>1244</v>
      </c>
      <c r="F625" s="47">
        <v>0</v>
      </c>
      <c r="G625" s="47">
        <v>0</v>
      </c>
      <c r="H625" s="47">
        <v>0</v>
      </c>
    </row>
    <row r="626" spans="1:8">
      <c r="A626" s="8" t="s">
        <v>9</v>
      </c>
      <c r="B626" s="9" t="s">
        <v>24</v>
      </c>
      <c r="C626" s="13" t="s">
        <v>340</v>
      </c>
      <c r="D626" s="43" t="s">
        <v>339</v>
      </c>
      <c r="E626" s="20" t="s">
        <v>1245</v>
      </c>
      <c r="F626" s="47">
        <v>0</v>
      </c>
      <c r="G626" s="47">
        <v>0</v>
      </c>
      <c r="H626" s="47">
        <v>0</v>
      </c>
    </row>
    <row r="627" spans="1:8">
      <c r="A627" s="8" t="s">
        <v>9</v>
      </c>
      <c r="B627" s="9" t="s">
        <v>24</v>
      </c>
      <c r="C627" s="13" t="s">
        <v>340</v>
      </c>
      <c r="D627" s="43" t="s">
        <v>339</v>
      </c>
      <c r="E627" s="20" t="s">
        <v>1246</v>
      </c>
      <c r="F627" s="47">
        <v>0</v>
      </c>
      <c r="G627" s="47">
        <v>0</v>
      </c>
      <c r="H627" s="47">
        <v>0</v>
      </c>
    </row>
    <row r="628" spans="1:8">
      <c r="A628" s="8" t="s">
        <v>9</v>
      </c>
      <c r="B628" s="9" t="s">
        <v>24</v>
      </c>
      <c r="C628" s="13" t="s">
        <v>340</v>
      </c>
      <c r="D628" s="43" t="s">
        <v>339</v>
      </c>
      <c r="E628" s="20" t="s">
        <v>1247</v>
      </c>
      <c r="F628" s="47">
        <v>0</v>
      </c>
      <c r="G628" s="47">
        <v>0</v>
      </c>
      <c r="H628" s="47">
        <v>0</v>
      </c>
    </row>
    <row r="629" spans="1:8">
      <c r="A629" s="8" t="s">
        <v>9</v>
      </c>
      <c r="B629" s="9" t="s">
        <v>24</v>
      </c>
      <c r="C629" s="13" t="s">
        <v>340</v>
      </c>
      <c r="D629" s="43" t="s">
        <v>339</v>
      </c>
      <c r="E629" s="20" t="s">
        <v>1248</v>
      </c>
      <c r="F629" s="47">
        <v>0</v>
      </c>
      <c r="G629" s="47">
        <v>0</v>
      </c>
      <c r="H629" s="47">
        <v>0</v>
      </c>
    </row>
    <row r="630" spans="1:8">
      <c r="A630" s="8" t="s">
        <v>9</v>
      </c>
      <c r="B630" s="9" t="s">
        <v>24</v>
      </c>
      <c r="C630" s="13" t="s">
        <v>340</v>
      </c>
      <c r="D630" s="43" t="s">
        <v>339</v>
      </c>
      <c r="E630" s="20" t="s">
        <v>1249</v>
      </c>
      <c r="F630" s="47">
        <v>0</v>
      </c>
      <c r="G630" s="47">
        <v>0</v>
      </c>
      <c r="H630" s="47">
        <v>0</v>
      </c>
    </row>
    <row r="631" spans="1:8">
      <c r="A631" s="8" t="s">
        <v>9</v>
      </c>
      <c r="B631" s="9" t="s">
        <v>24</v>
      </c>
      <c r="C631" s="13" t="s">
        <v>340</v>
      </c>
      <c r="D631" s="43" t="s">
        <v>339</v>
      </c>
      <c r="E631" s="20" t="s">
        <v>1250</v>
      </c>
      <c r="F631" s="47">
        <v>0</v>
      </c>
      <c r="G631" s="47">
        <v>0</v>
      </c>
      <c r="H631" s="47">
        <v>0</v>
      </c>
    </row>
    <row r="632" spans="1:8">
      <c r="A632" s="8" t="s">
        <v>9</v>
      </c>
      <c r="B632" s="9" t="s">
        <v>24</v>
      </c>
      <c r="C632" s="13" t="s">
        <v>340</v>
      </c>
      <c r="D632" s="43" t="s">
        <v>339</v>
      </c>
      <c r="E632" s="20" t="s">
        <v>1251</v>
      </c>
      <c r="F632" s="47">
        <v>0</v>
      </c>
      <c r="G632" s="47">
        <v>0</v>
      </c>
      <c r="H632" s="47">
        <v>0</v>
      </c>
    </row>
    <row r="633" spans="1:8">
      <c r="A633" s="8" t="s">
        <v>9</v>
      </c>
      <c r="B633" s="9" t="s">
        <v>24</v>
      </c>
      <c r="C633" s="13" t="s">
        <v>340</v>
      </c>
      <c r="D633" s="43" t="s">
        <v>339</v>
      </c>
      <c r="E633" s="20" t="s">
        <v>1252</v>
      </c>
      <c r="F633" s="47">
        <v>0</v>
      </c>
      <c r="G633" s="47">
        <v>0</v>
      </c>
      <c r="H633" s="47">
        <v>0</v>
      </c>
    </row>
    <row r="634" spans="1:8">
      <c r="A634" s="8" t="s">
        <v>9</v>
      </c>
      <c r="B634" s="9" t="s">
        <v>24</v>
      </c>
      <c r="C634" s="13" t="s">
        <v>340</v>
      </c>
      <c r="D634" s="43" t="s">
        <v>339</v>
      </c>
      <c r="E634" s="20" t="s">
        <v>1253</v>
      </c>
      <c r="F634" s="47">
        <v>0</v>
      </c>
      <c r="G634" s="47">
        <v>0</v>
      </c>
      <c r="H634" s="47">
        <v>0</v>
      </c>
    </row>
    <row r="635" spans="1:8">
      <c r="A635" s="8" t="s">
        <v>9</v>
      </c>
      <c r="B635" s="9" t="s">
        <v>24</v>
      </c>
      <c r="C635" s="13" t="s">
        <v>340</v>
      </c>
      <c r="D635" s="43" t="s">
        <v>339</v>
      </c>
      <c r="E635" s="20" t="s">
        <v>1254</v>
      </c>
      <c r="F635" s="47">
        <v>0</v>
      </c>
      <c r="G635" s="47">
        <v>0</v>
      </c>
      <c r="H635" s="47">
        <v>0</v>
      </c>
    </row>
    <row r="636" spans="1:8">
      <c r="A636" s="8" t="s">
        <v>9</v>
      </c>
      <c r="B636" s="9" t="s">
        <v>24</v>
      </c>
      <c r="C636" s="13" t="s">
        <v>340</v>
      </c>
      <c r="D636" s="43" t="s">
        <v>339</v>
      </c>
      <c r="E636" s="20" t="s">
        <v>1255</v>
      </c>
      <c r="F636" s="47">
        <v>1</v>
      </c>
      <c r="G636" s="47">
        <v>38800</v>
      </c>
      <c r="H636" s="47">
        <v>7210</v>
      </c>
    </row>
    <row r="637" spans="1:8">
      <c r="A637" s="8" t="s">
        <v>9</v>
      </c>
      <c r="B637" s="9" t="s">
        <v>24</v>
      </c>
      <c r="C637" s="13" t="s">
        <v>340</v>
      </c>
      <c r="D637" s="43" t="s">
        <v>339</v>
      </c>
      <c r="E637" s="20" t="s">
        <v>1256</v>
      </c>
      <c r="F637" s="47">
        <v>0</v>
      </c>
      <c r="G637" s="47">
        <v>0</v>
      </c>
      <c r="H637" s="47">
        <v>0</v>
      </c>
    </row>
    <row r="638" spans="1:8">
      <c r="A638" s="8" t="s">
        <v>9</v>
      </c>
      <c r="B638" s="9" t="s">
        <v>24</v>
      </c>
      <c r="C638" s="13" t="s">
        <v>340</v>
      </c>
      <c r="D638" s="43" t="s">
        <v>339</v>
      </c>
      <c r="E638" s="20" t="s">
        <v>1257</v>
      </c>
      <c r="F638" s="47">
        <v>0</v>
      </c>
      <c r="G638" s="47">
        <v>0</v>
      </c>
      <c r="H638" s="47">
        <v>0</v>
      </c>
    </row>
    <row r="639" spans="1:8">
      <c r="A639" s="8" t="s">
        <v>9</v>
      </c>
      <c r="B639" s="9" t="s">
        <v>24</v>
      </c>
      <c r="C639" s="13" t="s">
        <v>340</v>
      </c>
      <c r="D639" s="43" t="s">
        <v>339</v>
      </c>
      <c r="E639" s="20" t="s">
        <v>1258</v>
      </c>
      <c r="F639" s="47">
        <v>1</v>
      </c>
      <c r="G639" s="47">
        <v>28500</v>
      </c>
      <c r="H639" s="47">
        <v>5350</v>
      </c>
    </row>
    <row r="640" spans="1:8">
      <c r="A640" s="8" t="s">
        <v>9</v>
      </c>
      <c r="B640" s="9" t="s">
        <v>24</v>
      </c>
      <c r="C640" s="13" t="s">
        <v>340</v>
      </c>
      <c r="D640" s="43" t="s">
        <v>339</v>
      </c>
      <c r="E640" s="20" t="s">
        <v>1259</v>
      </c>
      <c r="F640" s="47">
        <v>0</v>
      </c>
      <c r="G640" s="47">
        <v>0</v>
      </c>
      <c r="H640" s="47">
        <v>0</v>
      </c>
    </row>
    <row r="641" spans="1:8">
      <c r="A641" s="8" t="s">
        <v>9</v>
      </c>
      <c r="B641" s="9" t="s">
        <v>24</v>
      </c>
      <c r="C641" s="13" t="s">
        <v>340</v>
      </c>
      <c r="D641" s="43" t="s">
        <v>339</v>
      </c>
      <c r="E641" s="20" t="s">
        <v>1260</v>
      </c>
      <c r="F641" s="47">
        <v>0</v>
      </c>
      <c r="G641" s="47">
        <v>0</v>
      </c>
      <c r="H641" s="47">
        <v>0</v>
      </c>
    </row>
    <row r="642" spans="1:8">
      <c r="A642" s="8" t="s">
        <v>9</v>
      </c>
      <c r="B642" s="9" t="s">
        <v>24</v>
      </c>
      <c r="C642" s="13" t="s">
        <v>340</v>
      </c>
      <c r="D642" s="43" t="s">
        <v>339</v>
      </c>
      <c r="E642" s="20" t="s">
        <v>1261</v>
      </c>
      <c r="F642" s="47">
        <v>0</v>
      </c>
      <c r="G642" s="47">
        <v>0</v>
      </c>
      <c r="H642" s="47">
        <v>0</v>
      </c>
    </row>
    <row r="643" spans="1:8">
      <c r="A643" s="8" t="s">
        <v>9</v>
      </c>
      <c r="B643" s="9" t="s">
        <v>24</v>
      </c>
      <c r="C643" s="13" t="s">
        <v>340</v>
      </c>
      <c r="D643" s="43" t="s">
        <v>339</v>
      </c>
      <c r="E643" s="20" t="s">
        <v>1262</v>
      </c>
      <c r="F643" s="47">
        <v>0</v>
      </c>
      <c r="G643" s="47">
        <v>0</v>
      </c>
      <c r="H643" s="47">
        <v>0</v>
      </c>
    </row>
    <row r="644" spans="1:8">
      <c r="A644" s="8" t="s">
        <v>9</v>
      </c>
      <c r="B644" s="9" t="s">
        <v>24</v>
      </c>
      <c r="C644" s="13" t="s">
        <v>340</v>
      </c>
      <c r="D644" s="43" t="s">
        <v>339</v>
      </c>
      <c r="E644" s="20" t="s">
        <v>1263</v>
      </c>
      <c r="F644" s="47">
        <v>0</v>
      </c>
      <c r="G644" s="47">
        <v>0</v>
      </c>
      <c r="H644" s="47">
        <v>0</v>
      </c>
    </row>
    <row r="645" spans="1:8">
      <c r="A645" s="8" t="s">
        <v>9</v>
      </c>
      <c r="B645" s="9" t="s">
        <v>24</v>
      </c>
      <c r="C645" s="13" t="s">
        <v>340</v>
      </c>
      <c r="D645" s="43" t="s">
        <v>339</v>
      </c>
      <c r="E645" s="20" t="s">
        <v>1264</v>
      </c>
      <c r="F645" s="47">
        <v>0</v>
      </c>
      <c r="G645" s="47">
        <v>0</v>
      </c>
      <c r="H645" s="47">
        <v>0</v>
      </c>
    </row>
    <row r="646" spans="1:8">
      <c r="A646" s="8" t="s">
        <v>9</v>
      </c>
      <c r="B646" s="9" t="s">
        <v>24</v>
      </c>
      <c r="C646" s="13" t="s">
        <v>340</v>
      </c>
      <c r="D646" s="43" t="s">
        <v>339</v>
      </c>
      <c r="E646" s="20" t="s">
        <v>1265</v>
      </c>
      <c r="F646" s="47">
        <v>0</v>
      </c>
      <c r="G646" s="47">
        <v>0</v>
      </c>
      <c r="H646" s="47">
        <v>0</v>
      </c>
    </row>
    <row r="647" spans="1:8">
      <c r="A647" s="8" t="s">
        <v>9</v>
      </c>
      <c r="B647" s="9" t="s">
        <v>24</v>
      </c>
      <c r="C647" s="13" t="s">
        <v>340</v>
      </c>
      <c r="D647" s="43" t="s">
        <v>339</v>
      </c>
      <c r="E647" s="20" t="s">
        <v>1266</v>
      </c>
      <c r="F647" s="47">
        <v>0</v>
      </c>
      <c r="G647" s="47">
        <v>0</v>
      </c>
      <c r="H647" s="47">
        <v>0</v>
      </c>
    </row>
    <row r="648" spans="1:8">
      <c r="A648" s="8" t="s">
        <v>9</v>
      </c>
      <c r="B648" s="9" t="s">
        <v>24</v>
      </c>
      <c r="C648" s="13" t="s">
        <v>340</v>
      </c>
      <c r="D648" s="43" t="s">
        <v>339</v>
      </c>
      <c r="E648" s="20" t="s">
        <v>1267</v>
      </c>
      <c r="F648" s="47">
        <v>0</v>
      </c>
      <c r="G648" s="47">
        <v>0</v>
      </c>
      <c r="H648" s="47">
        <v>0</v>
      </c>
    </row>
    <row r="649" spans="1:8">
      <c r="A649" s="8" t="s">
        <v>9</v>
      </c>
      <c r="B649" s="9" t="s">
        <v>24</v>
      </c>
      <c r="C649" s="13" t="s">
        <v>340</v>
      </c>
      <c r="D649" s="43" t="s">
        <v>339</v>
      </c>
      <c r="E649" s="20" t="s">
        <v>1268</v>
      </c>
      <c r="F649" s="47">
        <v>0</v>
      </c>
      <c r="G649" s="47">
        <v>0</v>
      </c>
      <c r="H649" s="47">
        <v>0</v>
      </c>
    </row>
    <row r="650" spans="1:8">
      <c r="A650" s="8" t="s">
        <v>9</v>
      </c>
      <c r="B650" s="9" t="s">
        <v>24</v>
      </c>
      <c r="C650" s="13" t="s">
        <v>340</v>
      </c>
      <c r="D650" s="43" t="s">
        <v>339</v>
      </c>
      <c r="E650" s="20" t="s">
        <v>1269</v>
      </c>
      <c r="F650" s="47">
        <v>0</v>
      </c>
      <c r="G650" s="47">
        <v>0</v>
      </c>
      <c r="H650" s="47">
        <v>0</v>
      </c>
    </row>
    <row r="651" spans="1:8">
      <c r="A651" s="8" t="s">
        <v>9</v>
      </c>
      <c r="B651" s="9" t="s">
        <v>24</v>
      </c>
      <c r="C651" s="13" t="s">
        <v>340</v>
      </c>
      <c r="D651" s="43" t="s">
        <v>339</v>
      </c>
      <c r="E651" s="20" t="s">
        <v>1270</v>
      </c>
      <c r="F651" s="47">
        <v>0</v>
      </c>
      <c r="G651" s="47">
        <v>0</v>
      </c>
      <c r="H651" s="47">
        <v>0</v>
      </c>
    </row>
    <row r="652" spans="1:8">
      <c r="A652" s="8" t="s">
        <v>9</v>
      </c>
      <c r="B652" s="9" t="s">
        <v>24</v>
      </c>
      <c r="C652" s="13" t="s">
        <v>340</v>
      </c>
      <c r="D652" s="43" t="s">
        <v>339</v>
      </c>
      <c r="E652" s="20" t="s">
        <v>1271</v>
      </c>
      <c r="F652" s="47">
        <v>1</v>
      </c>
      <c r="G652" s="47">
        <v>14700</v>
      </c>
      <c r="H652" s="47">
        <v>2770</v>
      </c>
    </row>
    <row r="653" spans="1:8">
      <c r="A653" s="8" t="s">
        <v>9</v>
      </c>
      <c r="B653" s="9" t="s">
        <v>24</v>
      </c>
      <c r="C653" s="13" t="s">
        <v>340</v>
      </c>
      <c r="D653" s="43" t="s">
        <v>339</v>
      </c>
      <c r="E653" s="20" t="s">
        <v>1272</v>
      </c>
      <c r="F653" s="47">
        <v>0</v>
      </c>
      <c r="G653" s="47">
        <v>0</v>
      </c>
      <c r="H653" s="47">
        <v>0</v>
      </c>
    </row>
    <row r="654" spans="1:8">
      <c r="A654" s="8" t="s">
        <v>9</v>
      </c>
      <c r="B654" s="9" t="s">
        <v>24</v>
      </c>
      <c r="C654" s="13" t="s">
        <v>340</v>
      </c>
      <c r="D654" s="43" t="s">
        <v>339</v>
      </c>
      <c r="E654" s="20" t="s">
        <v>1273</v>
      </c>
      <c r="F654" s="47">
        <v>0</v>
      </c>
      <c r="G654" s="47">
        <v>0</v>
      </c>
      <c r="H654" s="47">
        <v>0</v>
      </c>
    </row>
    <row r="655" spans="1:8">
      <c r="A655" s="8" t="s">
        <v>9</v>
      </c>
      <c r="B655" s="9" t="s">
        <v>24</v>
      </c>
      <c r="C655" s="13" t="s">
        <v>340</v>
      </c>
      <c r="D655" s="43" t="s">
        <v>339</v>
      </c>
      <c r="E655" s="20" t="s">
        <v>1274</v>
      </c>
      <c r="F655" s="47">
        <v>0</v>
      </c>
      <c r="G655" s="47">
        <v>0</v>
      </c>
      <c r="H655" s="47">
        <v>0</v>
      </c>
    </row>
    <row r="656" spans="1:8">
      <c r="A656" s="8" t="s">
        <v>9</v>
      </c>
      <c r="B656" s="9" t="s">
        <v>24</v>
      </c>
      <c r="C656" s="13" t="s">
        <v>340</v>
      </c>
      <c r="D656" s="43" t="s">
        <v>339</v>
      </c>
      <c r="E656" s="20" t="s">
        <v>1275</v>
      </c>
      <c r="F656" s="47">
        <v>0</v>
      </c>
      <c r="G656" s="47">
        <v>0</v>
      </c>
      <c r="H656" s="47">
        <v>0</v>
      </c>
    </row>
    <row r="657" spans="1:8">
      <c r="A657" s="8" t="s">
        <v>9</v>
      </c>
      <c r="B657" s="9" t="s">
        <v>24</v>
      </c>
      <c r="C657" s="13" t="s">
        <v>340</v>
      </c>
      <c r="D657" s="43" t="s">
        <v>339</v>
      </c>
      <c r="E657" s="20" t="s">
        <v>1276</v>
      </c>
      <c r="F657" s="47">
        <v>0</v>
      </c>
      <c r="G657" s="47">
        <v>0</v>
      </c>
      <c r="H657" s="47">
        <v>0</v>
      </c>
    </row>
    <row r="658" spans="1:8">
      <c r="A658" s="8" t="s">
        <v>9</v>
      </c>
      <c r="B658" s="9" t="s">
        <v>24</v>
      </c>
      <c r="C658" s="13" t="s">
        <v>340</v>
      </c>
      <c r="D658" s="43" t="s">
        <v>339</v>
      </c>
      <c r="E658" s="20" t="s">
        <v>1277</v>
      </c>
      <c r="F658" s="47">
        <v>0</v>
      </c>
      <c r="G658" s="47">
        <v>0</v>
      </c>
      <c r="H658" s="47">
        <v>0</v>
      </c>
    </row>
    <row r="659" spans="1:8">
      <c r="A659" s="8" t="s">
        <v>9</v>
      </c>
      <c r="B659" s="9" t="s">
        <v>24</v>
      </c>
      <c r="C659" s="13" t="s">
        <v>340</v>
      </c>
      <c r="D659" s="43" t="s">
        <v>339</v>
      </c>
      <c r="E659" s="20" t="s">
        <v>1278</v>
      </c>
      <c r="F659" s="47">
        <v>0</v>
      </c>
      <c r="G659" s="47">
        <v>0</v>
      </c>
      <c r="H659" s="47">
        <v>0</v>
      </c>
    </row>
    <row r="660" spans="1:8">
      <c r="A660" s="8" t="s">
        <v>9</v>
      </c>
      <c r="B660" s="9" t="s">
        <v>24</v>
      </c>
      <c r="C660" s="13" t="s">
        <v>340</v>
      </c>
      <c r="D660" s="43" t="s">
        <v>339</v>
      </c>
      <c r="E660" s="20" t="s">
        <v>1279</v>
      </c>
      <c r="F660" s="47">
        <v>0</v>
      </c>
      <c r="G660" s="47">
        <v>0</v>
      </c>
      <c r="H660" s="47">
        <v>0</v>
      </c>
    </row>
    <row r="661" spans="1:8">
      <c r="A661" s="8" t="s">
        <v>9</v>
      </c>
      <c r="B661" s="9" t="s">
        <v>24</v>
      </c>
      <c r="C661" s="13" t="s">
        <v>340</v>
      </c>
      <c r="D661" s="43" t="s">
        <v>339</v>
      </c>
      <c r="E661" s="20" t="s">
        <v>1280</v>
      </c>
      <c r="F661" s="47">
        <v>0</v>
      </c>
      <c r="G661" s="47">
        <v>0</v>
      </c>
      <c r="H661" s="47">
        <v>0</v>
      </c>
    </row>
    <row r="662" spans="1:8">
      <c r="A662" s="8" t="s">
        <v>9</v>
      </c>
      <c r="B662" s="9" t="s">
        <v>24</v>
      </c>
      <c r="C662" s="13" t="s">
        <v>340</v>
      </c>
      <c r="D662" s="43" t="s">
        <v>339</v>
      </c>
      <c r="E662" s="20" t="s">
        <v>1281</v>
      </c>
      <c r="F662" s="47">
        <v>0</v>
      </c>
      <c r="G662" s="47">
        <v>0</v>
      </c>
      <c r="H662" s="47">
        <v>0</v>
      </c>
    </row>
    <row r="663" spans="1:8">
      <c r="A663" s="8" t="s">
        <v>9</v>
      </c>
      <c r="B663" s="9" t="s">
        <v>24</v>
      </c>
      <c r="C663" s="13" t="s">
        <v>340</v>
      </c>
      <c r="D663" s="43" t="s">
        <v>339</v>
      </c>
      <c r="E663" s="20" t="s">
        <v>1282</v>
      </c>
      <c r="F663" s="47">
        <v>0</v>
      </c>
      <c r="G663" s="47">
        <v>0</v>
      </c>
      <c r="H663" s="47">
        <v>0</v>
      </c>
    </row>
    <row r="664" spans="1:8">
      <c r="A664" s="8" t="s">
        <v>9</v>
      </c>
      <c r="B664" s="9" t="s">
        <v>24</v>
      </c>
      <c r="C664" s="13" t="s">
        <v>340</v>
      </c>
      <c r="D664" s="43" t="s">
        <v>339</v>
      </c>
      <c r="E664" s="20" t="s">
        <v>1283</v>
      </c>
      <c r="F664" s="47">
        <v>0</v>
      </c>
      <c r="G664" s="47">
        <v>0</v>
      </c>
      <c r="H664" s="47">
        <v>0</v>
      </c>
    </row>
    <row r="665" spans="1:8">
      <c r="A665" s="8" t="s">
        <v>9</v>
      </c>
      <c r="B665" s="9" t="s">
        <v>24</v>
      </c>
      <c r="C665" s="13" t="s">
        <v>340</v>
      </c>
      <c r="D665" s="43" t="s">
        <v>339</v>
      </c>
      <c r="E665" s="20" t="s">
        <v>1284</v>
      </c>
      <c r="F665" s="47">
        <v>0</v>
      </c>
      <c r="G665" s="47">
        <v>0</v>
      </c>
      <c r="H665" s="47">
        <v>0</v>
      </c>
    </row>
    <row r="666" spans="1:8">
      <c r="A666" s="8" t="s">
        <v>9</v>
      </c>
      <c r="B666" s="9" t="s">
        <v>24</v>
      </c>
      <c r="C666" s="13" t="s">
        <v>340</v>
      </c>
      <c r="D666" s="43" t="s">
        <v>339</v>
      </c>
      <c r="E666" s="20" t="s">
        <v>1285</v>
      </c>
      <c r="F666" s="47">
        <v>0</v>
      </c>
      <c r="G666" s="47">
        <v>0</v>
      </c>
      <c r="H666" s="47">
        <v>0</v>
      </c>
    </row>
    <row r="667" spans="1:8">
      <c r="A667" s="8" t="s">
        <v>9</v>
      </c>
      <c r="B667" s="9" t="s">
        <v>24</v>
      </c>
      <c r="C667" s="13" t="s">
        <v>340</v>
      </c>
      <c r="D667" s="43" t="s">
        <v>339</v>
      </c>
      <c r="E667" s="20" t="s">
        <v>1286</v>
      </c>
      <c r="F667" s="47">
        <v>0</v>
      </c>
      <c r="G667" s="47">
        <v>0</v>
      </c>
      <c r="H667" s="47">
        <v>0</v>
      </c>
    </row>
    <row r="668" spans="1:8">
      <c r="A668" s="8" t="s">
        <v>9</v>
      </c>
      <c r="B668" s="9" t="s">
        <v>24</v>
      </c>
      <c r="C668" s="13" t="s">
        <v>340</v>
      </c>
      <c r="D668" s="43" t="s">
        <v>339</v>
      </c>
      <c r="E668" s="20" t="s">
        <v>1287</v>
      </c>
      <c r="F668" s="47">
        <v>0</v>
      </c>
      <c r="G668" s="47">
        <v>0</v>
      </c>
      <c r="H668" s="47">
        <v>0</v>
      </c>
    </row>
    <row r="669" spans="1:8">
      <c r="A669" s="8" t="s">
        <v>9</v>
      </c>
      <c r="B669" s="9" t="s">
        <v>24</v>
      </c>
      <c r="C669" s="13" t="s">
        <v>340</v>
      </c>
      <c r="D669" s="43" t="s">
        <v>339</v>
      </c>
      <c r="E669" s="20" t="s">
        <v>1288</v>
      </c>
      <c r="F669" s="47">
        <v>0</v>
      </c>
      <c r="G669" s="47">
        <v>0</v>
      </c>
      <c r="H669" s="47">
        <v>0</v>
      </c>
    </row>
    <row r="670" spans="1:8">
      <c r="A670" s="8" t="s">
        <v>9</v>
      </c>
      <c r="B670" s="9" t="s">
        <v>24</v>
      </c>
      <c r="C670" s="13" t="s">
        <v>340</v>
      </c>
      <c r="D670" s="43" t="s">
        <v>339</v>
      </c>
      <c r="E670" s="20" t="s">
        <v>1289</v>
      </c>
      <c r="F670" s="47">
        <v>0</v>
      </c>
      <c r="G670" s="47">
        <v>0</v>
      </c>
      <c r="H670" s="47">
        <v>0</v>
      </c>
    </row>
    <row r="671" spans="1:8">
      <c r="A671" s="8" t="s">
        <v>9</v>
      </c>
      <c r="B671" s="9" t="s">
        <v>24</v>
      </c>
      <c r="C671" s="13" t="s">
        <v>340</v>
      </c>
      <c r="D671" s="43" t="s">
        <v>339</v>
      </c>
      <c r="E671" s="20" t="s">
        <v>1290</v>
      </c>
      <c r="F671" s="47">
        <v>0</v>
      </c>
      <c r="G671" s="47">
        <v>0</v>
      </c>
      <c r="H671" s="47">
        <v>0</v>
      </c>
    </row>
    <row r="672" spans="1:8">
      <c r="A672" s="8" t="s">
        <v>9</v>
      </c>
      <c r="B672" s="9" t="s">
        <v>24</v>
      </c>
      <c r="C672" s="13" t="s">
        <v>340</v>
      </c>
      <c r="D672" s="43" t="s">
        <v>339</v>
      </c>
      <c r="E672" s="20" t="s">
        <v>1291</v>
      </c>
      <c r="F672" s="47">
        <v>0</v>
      </c>
      <c r="G672" s="47">
        <v>0</v>
      </c>
      <c r="H672" s="47">
        <v>0</v>
      </c>
    </row>
    <row r="673" spans="1:8">
      <c r="A673" s="8" t="s">
        <v>9</v>
      </c>
      <c r="B673" s="9" t="s">
        <v>24</v>
      </c>
      <c r="C673" s="13" t="s">
        <v>340</v>
      </c>
      <c r="D673" s="43" t="s">
        <v>339</v>
      </c>
      <c r="E673" s="20" t="s">
        <v>1292</v>
      </c>
      <c r="F673" s="47">
        <v>0</v>
      </c>
      <c r="G673" s="47">
        <v>0</v>
      </c>
      <c r="H673" s="47">
        <v>0</v>
      </c>
    </row>
    <row r="674" spans="1:8">
      <c r="A674" s="8" t="s">
        <v>9</v>
      </c>
      <c r="B674" s="9" t="s">
        <v>24</v>
      </c>
      <c r="C674" s="13" t="s">
        <v>340</v>
      </c>
      <c r="D674" s="43" t="s">
        <v>339</v>
      </c>
      <c r="E674" s="20" t="s">
        <v>1293</v>
      </c>
      <c r="F674" s="47">
        <v>0</v>
      </c>
      <c r="G674" s="47">
        <v>0</v>
      </c>
      <c r="H674" s="47">
        <v>0</v>
      </c>
    </row>
    <row r="675" spans="1:8">
      <c r="A675" s="8" t="s">
        <v>9</v>
      </c>
      <c r="B675" s="9" t="s">
        <v>24</v>
      </c>
      <c r="C675" s="13" t="s">
        <v>340</v>
      </c>
      <c r="D675" s="43" t="s">
        <v>339</v>
      </c>
      <c r="E675" s="20" t="s">
        <v>1294</v>
      </c>
      <c r="F675" s="47">
        <v>0</v>
      </c>
      <c r="G675" s="47">
        <v>0</v>
      </c>
      <c r="H675" s="47">
        <v>0</v>
      </c>
    </row>
    <row r="676" spans="1:8">
      <c r="A676" s="8" t="s">
        <v>9</v>
      </c>
      <c r="B676" s="13" t="s">
        <v>24</v>
      </c>
      <c r="C676" s="13" t="s">
        <v>380</v>
      </c>
      <c r="D676" s="43" t="s">
        <v>379</v>
      </c>
      <c r="E676" s="20" t="s">
        <v>1295</v>
      </c>
      <c r="F676" s="47">
        <v>2</v>
      </c>
      <c r="G676" s="47">
        <v>29700</v>
      </c>
      <c r="H676" s="47">
        <v>5820</v>
      </c>
    </row>
    <row r="677" spans="1:8">
      <c r="A677" s="8" t="s">
        <v>9</v>
      </c>
      <c r="B677" s="13" t="s">
        <v>24</v>
      </c>
      <c r="C677" s="13" t="s">
        <v>380</v>
      </c>
      <c r="D677" s="43" t="s">
        <v>379</v>
      </c>
      <c r="E677" s="20" t="s">
        <v>1296</v>
      </c>
      <c r="F677" s="47">
        <v>4</v>
      </c>
      <c r="G677" s="47">
        <v>81600</v>
      </c>
      <c r="H677" s="47">
        <v>16030</v>
      </c>
    </row>
    <row r="678" spans="1:8">
      <c r="A678" s="8" t="s">
        <v>9</v>
      </c>
      <c r="B678" s="13" t="s">
        <v>24</v>
      </c>
      <c r="C678" s="13" t="s">
        <v>380</v>
      </c>
      <c r="D678" s="43" t="s">
        <v>379</v>
      </c>
      <c r="E678" s="20" t="s">
        <v>1297</v>
      </c>
      <c r="F678" s="47">
        <v>0</v>
      </c>
      <c r="G678" s="47">
        <v>0</v>
      </c>
      <c r="H678" s="47">
        <v>0</v>
      </c>
    </row>
    <row r="679" spans="1:8">
      <c r="A679" s="8" t="s">
        <v>9</v>
      </c>
      <c r="B679" s="13" t="s">
        <v>24</v>
      </c>
      <c r="C679" s="13" t="s">
        <v>380</v>
      </c>
      <c r="D679" s="43" t="s">
        <v>379</v>
      </c>
      <c r="E679" s="20" t="s">
        <v>1298</v>
      </c>
      <c r="F679" s="47">
        <v>0</v>
      </c>
      <c r="G679" s="47">
        <v>0</v>
      </c>
      <c r="H679" s="47">
        <v>0</v>
      </c>
    </row>
    <row r="680" spans="1:8">
      <c r="A680" s="8" t="s">
        <v>9</v>
      </c>
      <c r="B680" s="13" t="s">
        <v>24</v>
      </c>
      <c r="C680" s="13" t="s">
        <v>380</v>
      </c>
      <c r="D680" s="43" t="s">
        <v>379</v>
      </c>
      <c r="E680" s="20" t="s">
        <v>1299</v>
      </c>
      <c r="F680" s="47">
        <v>1</v>
      </c>
      <c r="G680" s="47">
        <v>49900</v>
      </c>
      <c r="H680" s="47">
        <v>9480</v>
      </c>
    </row>
    <row r="681" spans="1:8">
      <c r="A681" s="8" t="s">
        <v>9</v>
      </c>
      <c r="B681" s="13" t="s">
        <v>24</v>
      </c>
      <c r="C681" s="13" t="s">
        <v>380</v>
      </c>
      <c r="D681" s="43" t="s">
        <v>379</v>
      </c>
      <c r="E681" s="20" t="s">
        <v>1300</v>
      </c>
      <c r="F681" s="47">
        <v>5</v>
      </c>
      <c r="G681" s="47">
        <v>122500</v>
      </c>
      <c r="H681" s="47">
        <v>23270</v>
      </c>
    </row>
    <row r="682" spans="1:8">
      <c r="A682" s="8" t="s">
        <v>9</v>
      </c>
      <c r="B682" s="13" t="s">
        <v>24</v>
      </c>
      <c r="C682" s="13" t="s">
        <v>380</v>
      </c>
      <c r="D682" s="43" t="s">
        <v>379</v>
      </c>
      <c r="E682" s="20" t="s">
        <v>1301</v>
      </c>
      <c r="F682" s="47">
        <v>15</v>
      </c>
      <c r="G682" s="47">
        <v>669300</v>
      </c>
      <c r="H682" s="47">
        <v>116830</v>
      </c>
    </row>
    <row r="683" spans="1:8">
      <c r="A683" s="8" t="s">
        <v>9</v>
      </c>
      <c r="B683" s="9" t="s">
        <v>22</v>
      </c>
      <c r="C683" s="13" t="s">
        <v>116</v>
      </c>
      <c r="D683" s="43" t="s">
        <v>115</v>
      </c>
      <c r="E683" s="20" t="s">
        <v>1302</v>
      </c>
      <c r="F683" s="47">
        <v>1</v>
      </c>
      <c r="G683" s="47">
        <v>8300</v>
      </c>
      <c r="H683" s="47">
        <v>1540</v>
      </c>
    </row>
    <row r="684" spans="1:8">
      <c r="A684" s="8" t="s">
        <v>9</v>
      </c>
      <c r="B684" s="9" t="s">
        <v>23</v>
      </c>
      <c r="C684" s="13" t="s">
        <v>268</v>
      </c>
      <c r="D684" s="43" t="s">
        <v>267</v>
      </c>
      <c r="E684" s="20" t="s">
        <v>1303</v>
      </c>
      <c r="F684" s="47">
        <v>1310</v>
      </c>
      <c r="G684" s="47">
        <v>35409000</v>
      </c>
      <c r="H684" s="47">
        <v>4691220</v>
      </c>
    </row>
    <row r="685" spans="1:8">
      <c r="A685" s="8" t="s">
        <v>9</v>
      </c>
      <c r="B685" s="9" t="s">
        <v>23</v>
      </c>
      <c r="C685" s="13" t="s">
        <v>268</v>
      </c>
      <c r="D685" s="43" t="s">
        <v>267</v>
      </c>
      <c r="E685" s="20" t="s">
        <v>1304</v>
      </c>
      <c r="F685" s="47">
        <v>22</v>
      </c>
      <c r="G685" s="47">
        <v>493000</v>
      </c>
      <c r="H685" s="47">
        <v>65540</v>
      </c>
    </row>
    <row r="686" spans="1:8">
      <c r="A686" s="8" t="s">
        <v>9</v>
      </c>
      <c r="B686" s="9" t="s">
        <v>23</v>
      </c>
      <c r="C686" s="13" t="s">
        <v>268</v>
      </c>
      <c r="D686" s="43" t="s">
        <v>267</v>
      </c>
      <c r="E686" s="20" t="s">
        <v>1305</v>
      </c>
      <c r="F686" s="47">
        <v>6</v>
      </c>
      <c r="G686" s="47">
        <v>223320</v>
      </c>
      <c r="H686" s="47">
        <v>29700</v>
      </c>
    </row>
    <row r="687" spans="1:8">
      <c r="A687" s="8" t="s">
        <v>9</v>
      </c>
      <c r="B687" s="9" t="s">
        <v>23</v>
      </c>
      <c r="C687" s="13" t="s">
        <v>268</v>
      </c>
      <c r="D687" s="43" t="s">
        <v>267</v>
      </c>
      <c r="E687" s="20" t="s">
        <v>1306</v>
      </c>
      <c r="F687" s="47">
        <v>0</v>
      </c>
      <c r="G687" s="47">
        <v>0</v>
      </c>
      <c r="H687" s="47">
        <v>0</v>
      </c>
    </row>
    <row r="688" spans="1:8">
      <c r="A688" s="8" t="s">
        <v>9</v>
      </c>
      <c r="B688" s="9" t="s">
        <v>23</v>
      </c>
      <c r="C688" s="13" t="s">
        <v>268</v>
      </c>
      <c r="D688" s="43" t="s">
        <v>267</v>
      </c>
      <c r="E688" s="20" t="s">
        <v>1307</v>
      </c>
      <c r="F688" s="47">
        <v>0</v>
      </c>
      <c r="G688" s="47">
        <v>0</v>
      </c>
      <c r="H688" s="47">
        <v>0</v>
      </c>
    </row>
    <row r="689" spans="1:8">
      <c r="A689" s="8" t="s">
        <v>9</v>
      </c>
      <c r="B689" s="9" t="s">
        <v>23</v>
      </c>
      <c r="C689" s="13" t="s">
        <v>268</v>
      </c>
      <c r="D689" s="43" t="s">
        <v>267</v>
      </c>
      <c r="E689" s="20" t="s">
        <v>1308</v>
      </c>
      <c r="F689" s="47">
        <v>2</v>
      </c>
      <c r="G689" s="47">
        <v>0</v>
      </c>
      <c r="H689" s="47">
        <v>0</v>
      </c>
    </row>
    <row r="690" spans="1:8">
      <c r="A690" s="8" t="s">
        <v>9</v>
      </c>
      <c r="B690" s="9" t="s">
        <v>23</v>
      </c>
      <c r="C690" s="13" t="s">
        <v>268</v>
      </c>
      <c r="D690" s="43" t="s">
        <v>267</v>
      </c>
      <c r="E690" s="20" t="s">
        <v>1309</v>
      </c>
      <c r="F690" s="47">
        <v>0</v>
      </c>
      <c r="G690" s="47">
        <v>0</v>
      </c>
      <c r="H690" s="47">
        <v>0</v>
      </c>
    </row>
    <row r="691" spans="1:8">
      <c r="A691" s="8" t="s">
        <v>9</v>
      </c>
      <c r="B691" s="9" t="s">
        <v>23</v>
      </c>
      <c r="C691" s="13" t="s">
        <v>268</v>
      </c>
      <c r="D691" s="43" t="s">
        <v>267</v>
      </c>
      <c r="E691" s="20" t="s">
        <v>1310</v>
      </c>
      <c r="F691" s="47">
        <v>11</v>
      </c>
      <c r="G691" s="47">
        <v>132600</v>
      </c>
      <c r="H691" s="47">
        <v>18360</v>
      </c>
    </row>
    <row r="692" spans="1:8">
      <c r="A692" s="8" t="s">
        <v>9</v>
      </c>
      <c r="B692" s="9" t="s">
        <v>24</v>
      </c>
      <c r="C692" s="13" t="s">
        <v>130</v>
      </c>
      <c r="D692" s="43" t="s">
        <v>129</v>
      </c>
      <c r="E692" s="20" t="s">
        <v>1311</v>
      </c>
      <c r="F692" s="47">
        <v>73</v>
      </c>
      <c r="G692" s="47">
        <v>2552440</v>
      </c>
      <c r="H692" s="47">
        <v>410540</v>
      </c>
    </row>
    <row r="693" spans="1:8">
      <c r="A693" s="8" t="s">
        <v>9</v>
      </c>
      <c r="B693" s="9" t="s">
        <v>24</v>
      </c>
      <c r="C693" s="13" t="s">
        <v>162</v>
      </c>
      <c r="D693" s="43" t="s">
        <v>161</v>
      </c>
      <c r="E693" s="20" t="s">
        <v>1312</v>
      </c>
      <c r="F693" s="47">
        <v>936</v>
      </c>
      <c r="G693" s="47">
        <v>47358000</v>
      </c>
      <c r="H693" s="47">
        <v>5003480</v>
      </c>
    </row>
    <row r="694" spans="1:8">
      <c r="A694" s="8" t="s">
        <v>9</v>
      </c>
      <c r="B694" s="9" t="s">
        <v>22</v>
      </c>
      <c r="C694" s="13" t="s">
        <v>154</v>
      </c>
      <c r="D694" s="43" t="s">
        <v>153</v>
      </c>
      <c r="E694" s="20" t="s">
        <v>1313</v>
      </c>
      <c r="F694" s="47">
        <v>3</v>
      </c>
      <c r="G694" s="47">
        <v>143700</v>
      </c>
      <c r="H694" s="47">
        <v>27460</v>
      </c>
    </row>
    <row r="695" spans="1:8">
      <c r="A695" s="8" t="s">
        <v>9</v>
      </c>
      <c r="B695" s="9" t="s">
        <v>22</v>
      </c>
      <c r="C695" s="13" t="s">
        <v>154</v>
      </c>
      <c r="D695" s="43" t="s">
        <v>153</v>
      </c>
      <c r="E695" s="20" t="s">
        <v>1314</v>
      </c>
      <c r="F695" s="47">
        <v>0</v>
      </c>
      <c r="G695" s="47">
        <v>0</v>
      </c>
      <c r="H695" s="47">
        <v>0</v>
      </c>
    </row>
    <row r="696" spans="1:8">
      <c r="A696" s="8" t="s">
        <v>9</v>
      </c>
      <c r="B696" s="13" t="s">
        <v>24</v>
      </c>
      <c r="C696" s="13" t="s">
        <v>462</v>
      </c>
      <c r="D696" s="43" t="s">
        <v>461</v>
      </c>
      <c r="E696" s="20" t="s">
        <v>1315</v>
      </c>
      <c r="F696" s="47">
        <v>450</v>
      </c>
      <c r="G696" s="47">
        <v>11934000</v>
      </c>
      <c r="H696" s="47">
        <v>2267640</v>
      </c>
    </row>
    <row r="697" spans="1:8">
      <c r="A697" s="8" t="s">
        <v>9</v>
      </c>
      <c r="B697" s="13" t="s">
        <v>24</v>
      </c>
      <c r="C697" s="13" t="s">
        <v>462</v>
      </c>
      <c r="D697" s="43" t="s">
        <v>461</v>
      </c>
      <c r="E697" s="20" t="s">
        <v>1316</v>
      </c>
      <c r="F697" s="47">
        <v>3</v>
      </c>
      <c r="G697" s="47">
        <v>32400</v>
      </c>
      <c r="H697" s="47">
        <v>6150</v>
      </c>
    </row>
    <row r="698" spans="1:8">
      <c r="A698" s="8" t="s">
        <v>9</v>
      </c>
      <c r="B698" s="13" t="s">
        <v>24</v>
      </c>
      <c r="C698" s="13" t="s">
        <v>462</v>
      </c>
      <c r="D698" s="43" t="s">
        <v>461</v>
      </c>
      <c r="E698" s="20" t="s">
        <v>1317</v>
      </c>
      <c r="F698" s="47">
        <v>15</v>
      </c>
      <c r="G698" s="47">
        <v>292000</v>
      </c>
      <c r="H698" s="47">
        <v>56910</v>
      </c>
    </row>
    <row r="699" spans="1:8">
      <c r="A699" s="8" t="s">
        <v>9</v>
      </c>
      <c r="B699" s="9" t="s">
        <v>22</v>
      </c>
      <c r="C699" s="13" t="s">
        <v>462</v>
      </c>
      <c r="D699" s="43" t="s">
        <v>461</v>
      </c>
      <c r="E699" s="20" t="s">
        <v>1318</v>
      </c>
      <c r="F699" s="47">
        <v>10</v>
      </c>
      <c r="G699" s="47">
        <v>340400</v>
      </c>
      <c r="H699" s="47">
        <v>60620</v>
      </c>
    </row>
    <row r="700" spans="1:8">
      <c r="A700" s="8" t="s">
        <v>9</v>
      </c>
      <c r="B700" s="9" t="s">
        <v>22</v>
      </c>
      <c r="C700" s="13" t="s">
        <v>462</v>
      </c>
      <c r="D700" s="43" t="s">
        <v>461</v>
      </c>
      <c r="E700" s="20" t="s">
        <v>1319</v>
      </c>
      <c r="F700" s="47">
        <v>1</v>
      </c>
      <c r="G700" s="47">
        <v>25600</v>
      </c>
      <c r="H700" s="47">
        <v>5020</v>
      </c>
    </row>
    <row r="701" spans="1:8">
      <c r="A701" s="8" t="s">
        <v>9</v>
      </c>
      <c r="B701" s="13" t="s">
        <v>24</v>
      </c>
      <c r="C701" s="13" t="s">
        <v>462</v>
      </c>
      <c r="D701" s="43" t="s">
        <v>461</v>
      </c>
      <c r="E701" s="20" t="s">
        <v>1320</v>
      </c>
      <c r="F701" s="47">
        <v>0</v>
      </c>
      <c r="G701" s="47">
        <v>0</v>
      </c>
      <c r="H701" s="47">
        <v>0</v>
      </c>
    </row>
    <row r="702" spans="1:8">
      <c r="A702" s="8" t="s">
        <v>9</v>
      </c>
      <c r="B702" s="13" t="s">
        <v>24</v>
      </c>
      <c r="C702" s="13" t="s">
        <v>462</v>
      </c>
      <c r="D702" s="43" t="s">
        <v>461</v>
      </c>
      <c r="E702" s="20" t="s">
        <v>1321</v>
      </c>
      <c r="F702" s="47">
        <v>0</v>
      </c>
      <c r="G702" s="47">
        <v>0</v>
      </c>
      <c r="H702" s="47">
        <v>0</v>
      </c>
    </row>
    <row r="703" spans="1:8">
      <c r="A703" s="8" t="s">
        <v>9</v>
      </c>
      <c r="B703" s="9" t="s">
        <v>24</v>
      </c>
      <c r="C703" s="13" t="s">
        <v>462</v>
      </c>
      <c r="D703" s="43" t="s">
        <v>461</v>
      </c>
      <c r="E703" s="20" t="s">
        <v>1322</v>
      </c>
      <c r="F703" s="47">
        <v>0</v>
      </c>
      <c r="G703" s="47">
        <v>0</v>
      </c>
      <c r="H703" s="47">
        <v>0</v>
      </c>
    </row>
    <row r="704" spans="1:8">
      <c r="A704" s="8" t="s">
        <v>9</v>
      </c>
      <c r="B704" s="13" t="s">
        <v>24</v>
      </c>
      <c r="C704" s="13" t="s">
        <v>462</v>
      </c>
      <c r="D704" s="43" t="s">
        <v>461</v>
      </c>
      <c r="E704" s="20" t="s">
        <v>1323</v>
      </c>
      <c r="F704" s="47">
        <v>3</v>
      </c>
      <c r="G704" s="47">
        <v>90600</v>
      </c>
      <c r="H704" s="47">
        <v>15740</v>
      </c>
    </row>
    <row r="705" spans="1:8">
      <c r="A705" s="8" t="s">
        <v>9</v>
      </c>
      <c r="B705" s="13" t="s">
        <v>24</v>
      </c>
      <c r="C705" s="13" t="s">
        <v>462</v>
      </c>
      <c r="D705" s="43" t="s">
        <v>461</v>
      </c>
      <c r="E705" s="20" t="s">
        <v>1324</v>
      </c>
      <c r="F705" s="47">
        <v>0</v>
      </c>
      <c r="G705" s="47">
        <v>0</v>
      </c>
      <c r="H705" s="47">
        <v>0</v>
      </c>
    </row>
    <row r="706" spans="1:8">
      <c r="A706" s="8" t="s">
        <v>9</v>
      </c>
      <c r="B706" s="9" t="s">
        <v>24</v>
      </c>
      <c r="C706" s="13" t="s">
        <v>1325</v>
      </c>
      <c r="D706" s="43" t="s">
        <v>231</v>
      </c>
      <c r="E706" s="20" t="s">
        <v>1326</v>
      </c>
      <c r="F706" s="47">
        <v>48</v>
      </c>
      <c r="G706" s="47">
        <v>1345900</v>
      </c>
      <c r="H706" s="47">
        <v>186620</v>
      </c>
    </row>
    <row r="707" spans="1:8">
      <c r="A707" s="22" t="s">
        <v>10</v>
      </c>
      <c r="B707" s="23" t="s">
        <v>22</v>
      </c>
      <c r="C707" s="23" t="s">
        <v>144</v>
      </c>
      <c r="D707" s="43" t="s">
        <v>143</v>
      </c>
      <c r="E707" s="22" t="s">
        <v>1327</v>
      </c>
      <c r="F707" s="48">
        <v>527</v>
      </c>
      <c r="G707" s="48">
        <v>26978500</v>
      </c>
      <c r="H707" s="48">
        <v>4508743</v>
      </c>
    </row>
    <row r="708" spans="1:8">
      <c r="A708" s="8" t="s">
        <v>10</v>
      </c>
      <c r="B708" s="9" t="s">
        <v>22</v>
      </c>
      <c r="C708" s="9" t="s">
        <v>452</v>
      </c>
      <c r="D708" s="43" t="s">
        <v>451</v>
      </c>
      <c r="E708" s="8" t="s">
        <v>1328</v>
      </c>
      <c r="F708" s="47">
        <v>100</v>
      </c>
      <c r="G708" s="47">
        <v>4189500</v>
      </c>
      <c r="H708" s="47">
        <v>698614</v>
      </c>
    </row>
    <row r="709" spans="1:8">
      <c r="A709" s="8" t="s">
        <v>10</v>
      </c>
      <c r="B709" s="9" t="s">
        <v>22</v>
      </c>
      <c r="C709" s="9" t="s">
        <v>146</v>
      </c>
      <c r="D709" s="43" t="s">
        <v>145</v>
      </c>
      <c r="E709" s="8" t="s">
        <v>1329</v>
      </c>
      <c r="F709" s="47">
        <v>205</v>
      </c>
      <c r="G709" s="47">
        <v>4601100</v>
      </c>
      <c r="H709" s="47">
        <v>521871</v>
      </c>
    </row>
    <row r="710" spans="1:8">
      <c r="A710" s="8" t="s">
        <v>10</v>
      </c>
      <c r="B710" s="9" t="s">
        <v>22</v>
      </c>
      <c r="C710" s="9" t="s">
        <v>312</v>
      </c>
      <c r="D710" s="43" t="s">
        <v>311</v>
      </c>
      <c r="E710" s="8" t="s">
        <v>1330</v>
      </c>
      <c r="F710" s="47">
        <v>43</v>
      </c>
      <c r="G710" s="47">
        <v>1422700</v>
      </c>
      <c r="H710" s="47">
        <v>220460</v>
      </c>
    </row>
    <row r="711" spans="1:8">
      <c r="A711" s="8" t="s">
        <v>10</v>
      </c>
      <c r="B711" s="9" t="s">
        <v>22</v>
      </c>
      <c r="C711" s="9" t="s">
        <v>358</v>
      </c>
      <c r="D711" s="43" t="s">
        <v>357</v>
      </c>
      <c r="E711" s="8" t="s">
        <v>1331</v>
      </c>
      <c r="F711" s="47">
        <v>97</v>
      </c>
      <c r="G711" s="47">
        <v>1018300</v>
      </c>
      <c r="H711" s="47">
        <v>92982</v>
      </c>
    </row>
    <row r="712" spans="1:8">
      <c r="A712" s="8" t="s">
        <v>10</v>
      </c>
      <c r="B712" s="9" t="s">
        <v>22</v>
      </c>
      <c r="C712" s="9" t="s">
        <v>312</v>
      </c>
      <c r="D712" s="43" t="s">
        <v>311</v>
      </c>
      <c r="E712" s="8" t="s">
        <v>1332</v>
      </c>
      <c r="F712" s="47">
        <v>47</v>
      </c>
      <c r="G712" s="47">
        <v>997200</v>
      </c>
      <c r="H712" s="47">
        <v>90627</v>
      </c>
    </row>
    <row r="713" spans="1:8">
      <c r="A713" s="8" t="s">
        <v>10</v>
      </c>
      <c r="B713" s="9" t="s">
        <v>22</v>
      </c>
      <c r="C713" s="9" t="s">
        <v>312</v>
      </c>
      <c r="D713" s="43" t="s">
        <v>311</v>
      </c>
      <c r="E713" s="8" t="s">
        <v>1333</v>
      </c>
      <c r="F713" s="47">
        <v>19</v>
      </c>
      <c r="G713" s="47">
        <v>653100</v>
      </c>
      <c r="H713" s="47">
        <v>87338</v>
      </c>
    </row>
    <row r="714" spans="1:8">
      <c r="A714" s="8" t="s">
        <v>10</v>
      </c>
      <c r="B714" s="9" t="s">
        <v>22</v>
      </c>
      <c r="C714" s="9" t="s">
        <v>144</v>
      </c>
      <c r="D714" s="43" t="s">
        <v>143</v>
      </c>
      <c r="E714" s="8" t="s">
        <v>1334</v>
      </c>
      <c r="F714" s="47">
        <v>10</v>
      </c>
      <c r="G714" s="47">
        <v>528000</v>
      </c>
      <c r="H714" s="47">
        <v>77530</v>
      </c>
    </row>
    <row r="715" spans="1:8">
      <c r="A715" s="8" t="s">
        <v>10</v>
      </c>
      <c r="B715" s="9" t="s">
        <v>22</v>
      </c>
      <c r="C715" s="9" t="s">
        <v>144</v>
      </c>
      <c r="D715" s="43" t="s">
        <v>143</v>
      </c>
      <c r="E715" s="8" t="s">
        <v>1335</v>
      </c>
      <c r="F715" s="47">
        <v>21</v>
      </c>
      <c r="G715" s="47">
        <v>525000</v>
      </c>
      <c r="H715" s="47">
        <v>70000</v>
      </c>
    </row>
    <row r="716" spans="1:8">
      <c r="A716" s="8" t="s">
        <v>10</v>
      </c>
      <c r="B716" s="9" t="s">
        <v>24</v>
      </c>
      <c r="C716" s="9" t="s">
        <v>496</v>
      </c>
      <c r="D716" s="43" t="s">
        <v>495</v>
      </c>
      <c r="E716" s="8" t="s">
        <v>1336</v>
      </c>
      <c r="F716" s="47">
        <v>10</v>
      </c>
      <c r="G716" s="47">
        <v>361000</v>
      </c>
      <c r="H716" s="47">
        <v>58240</v>
      </c>
    </row>
    <row r="717" spans="1:8">
      <c r="A717" s="8" t="s">
        <v>10</v>
      </c>
      <c r="B717" s="9" t="s">
        <v>24</v>
      </c>
      <c r="C717" s="9" t="s">
        <v>496</v>
      </c>
      <c r="D717" s="43" t="s">
        <v>495</v>
      </c>
      <c r="E717" s="8" t="s">
        <v>1337</v>
      </c>
      <c r="F717" s="47">
        <v>11</v>
      </c>
      <c r="G717" s="47">
        <v>388900</v>
      </c>
      <c r="H717" s="47">
        <v>57740</v>
      </c>
    </row>
    <row r="718" spans="1:8">
      <c r="A718" s="8" t="s">
        <v>10</v>
      </c>
      <c r="B718" s="9" t="s">
        <v>24</v>
      </c>
      <c r="C718" s="9" t="s">
        <v>496</v>
      </c>
      <c r="D718" s="43" t="s">
        <v>495</v>
      </c>
      <c r="E718" s="8" t="s">
        <v>1338</v>
      </c>
      <c r="F718" s="47">
        <v>5</v>
      </c>
      <c r="G718" s="47">
        <v>349500</v>
      </c>
      <c r="H718" s="47">
        <v>50000</v>
      </c>
    </row>
    <row r="719" spans="1:8">
      <c r="A719" s="8" t="s">
        <v>10</v>
      </c>
      <c r="B719" s="9" t="s">
        <v>24</v>
      </c>
      <c r="C719" s="9" t="s">
        <v>294</v>
      </c>
      <c r="D719" s="43" t="s">
        <v>293</v>
      </c>
      <c r="E719" s="8" t="s">
        <v>1339</v>
      </c>
      <c r="F719" s="47">
        <v>27</v>
      </c>
      <c r="G719" s="47">
        <v>403000</v>
      </c>
      <c r="H719" s="47">
        <v>41300</v>
      </c>
    </row>
    <row r="720" spans="1:8">
      <c r="A720" s="8" t="s">
        <v>10</v>
      </c>
      <c r="B720" s="9" t="s">
        <v>24</v>
      </c>
      <c r="C720" s="9" t="s">
        <v>424</v>
      </c>
      <c r="D720" s="43" t="s">
        <v>423</v>
      </c>
      <c r="E720" s="8" t="s">
        <v>1340</v>
      </c>
      <c r="F720" s="47">
        <v>8</v>
      </c>
      <c r="G720" s="47">
        <v>321000</v>
      </c>
      <c r="H720" s="47">
        <v>37740</v>
      </c>
    </row>
    <row r="721" spans="1:8">
      <c r="A721" s="8" t="s">
        <v>10</v>
      </c>
      <c r="B721" s="9" t="s">
        <v>24</v>
      </c>
      <c r="C721" s="9" t="s">
        <v>496</v>
      </c>
      <c r="D721" s="43" t="s">
        <v>495</v>
      </c>
      <c r="E721" s="8" t="s">
        <v>1341</v>
      </c>
      <c r="F721" s="47">
        <v>10</v>
      </c>
      <c r="G721" s="47">
        <v>354600</v>
      </c>
      <c r="H721" s="47">
        <v>37260</v>
      </c>
    </row>
    <row r="722" spans="1:8">
      <c r="A722" s="8" t="s">
        <v>10</v>
      </c>
      <c r="B722" s="9" t="s">
        <v>22</v>
      </c>
      <c r="C722" s="9" t="s">
        <v>600</v>
      </c>
      <c r="D722" s="43" t="s">
        <v>599</v>
      </c>
      <c r="E722" s="8" t="s">
        <v>1342</v>
      </c>
      <c r="F722" s="47">
        <v>12</v>
      </c>
      <c r="G722" s="47">
        <v>221000</v>
      </c>
      <c r="H722" s="47">
        <v>35900</v>
      </c>
    </row>
    <row r="723" spans="1:8">
      <c r="A723" s="8" t="s">
        <v>10</v>
      </c>
      <c r="B723" s="9" t="s">
        <v>22</v>
      </c>
      <c r="C723" s="9" t="s">
        <v>144</v>
      </c>
      <c r="D723" s="43" t="s">
        <v>143</v>
      </c>
      <c r="E723" s="8" t="s">
        <v>1343</v>
      </c>
      <c r="F723" s="47">
        <v>4</v>
      </c>
      <c r="G723" s="47">
        <v>226400</v>
      </c>
      <c r="H723" s="47">
        <v>33709</v>
      </c>
    </row>
    <row r="724" spans="1:8">
      <c r="A724" s="8" t="s">
        <v>10</v>
      </c>
      <c r="B724" s="9" t="s">
        <v>24</v>
      </c>
      <c r="C724" s="9" t="s">
        <v>496</v>
      </c>
      <c r="D724" s="43" t="s">
        <v>495</v>
      </c>
      <c r="E724" s="8" t="s">
        <v>1344</v>
      </c>
      <c r="F724" s="47">
        <v>6</v>
      </c>
      <c r="G724" s="47">
        <v>211400</v>
      </c>
      <c r="H724" s="47">
        <v>27901</v>
      </c>
    </row>
    <row r="725" spans="1:8">
      <c r="A725" s="8" t="s">
        <v>10</v>
      </c>
      <c r="B725" s="9" t="s">
        <v>24</v>
      </c>
      <c r="C725" s="9" t="s">
        <v>184</v>
      </c>
      <c r="D725" s="43" t="s">
        <v>183</v>
      </c>
      <c r="E725" s="8" t="s">
        <v>1345</v>
      </c>
      <c r="F725" s="47">
        <v>15</v>
      </c>
      <c r="G725" s="47">
        <v>264000</v>
      </c>
      <c r="H725" s="47">
        <v>27600</v>
      </c>
    </row>
    <row r="726" spans="1:8">
      <c r="A726" s="8" t="s">
        <v>10</v>
      </c>
      <c r="B726" s="9" t="s">
        <v>22</v>
      </c>
      <c r="C726" s="9" t="s">
        <v>314</v>
      </c>
      <c r="D726" s="43" t="s">
        <v>313</v>
      </c>
      <c r="E726" s="8" t="s">
        <v>1346</v>
      </c>
      <c r="F726" s="47">
        <v>16</v>
      </c>
      <c r="G726" s="47">
        <v>205400</v>
      </c>
      <c r="H726" s="47">
        <v>26060</v>
      </c>
    </row>
    <row r="727" spans="1:8">
      <c r="A727" s="8" t="s">
        <v>10</v>
      </c>
      <c r="B727" s="9" t="s">
        <v>24</v>
      </c>
      <c r="C727" s="9" t="s">
        <v>496</v>
      </c>
      <c r="D727" s="43" t="s">
        <v>495</v>
      </c>
      <c r="E727" s="8" t="s">
        <v>1347</v>
      </c>
      <c r="F727" s="47">
        <v>7</v>
      </c>
      <c r="G727" s="47">
        <v>178500</v>
      </c>
      <c r="H727" s="47">
        <v>25500</v>
      </c>
    </row>
    <row r="728" spans="1:8">
      <c r="A728" s="8" t="s">
        <v>10</v>
      </c>
      <c r="B728" s="9" t="s">
        <v>22</v>
      </c>
      <c r="C728" s="9" t="s">
        <v>240</v>
      </c>
      <c r="D728" s="43" t="s">
        <v>239</v>
      </c>
      <c r="E728" s="8" t="s">
        <v>1348</v>
      </c>
      <c r="F728" s="47">
        <v>4</v>
      </c>
      <c r="G728" s="47">
        <v>93200</v>
      </c>
      <c r="H728" s="47">
        <v>18640</v>
      </c>
    </row>
    <row r="729" spans="1:8">
      <c r="A729" s="8" t="s">
        <v>10</v>
      </c>
      <c r="B729" s="9" t="s">
        <v>24</v>
      </c>
      <c r="C729" s="9" t="s">
        <v>294</v>
      </c>
      <c r="D729" s="43" t="s">
        <v>293</v>
      </c>
      <c r="E729" s="8" t="s">
        <v>1349</v>
      </c>
      <c r="F729" s="47">
        <v>7</v>
      </c>
      <c r="G729" s="47">
        <v>104000</v>
      </c>
      <c r="H729" s="47">
        <v>18200</v>
      </c>
    </row>
    <row r="730" spans="1:8">
      <c r="A730" s="8" t="s">
        <v>10</v>
      </c>
      <c r="B730" s="9" t="s">
        <v>22</v>
      </c>
      <c r="C730" s="9" t="s">
        <v>330</v>
      </c>
      <c r="D730" s="43" t="s">
        <v>329</v>
      </c>
      <c r="E730" s="8" t="s">
        <v>1350</v>
      </c>
      <c r="F730" s="47">
        <v>7</v>
      </c>
      <c r="G730" s="47">
        <v>175000</v>
      </c>
      <c r="H730" s="47">
        <v>17800</v>
      </c>
    </row>
    <row r="731" spans="1:8">
      <c r="A731" s="8" t="s">
        <v>10</v>
      </c>
      <c r="B731" s="9" t="s">
        <v>22</v>
      </c>
      <c r="C731" s="9" t="s">
        <v>378</v>
      </c>
      <c r="D731" s="43" t="s">
        <v>377</v>
      </c>
      <c r="E731" s="8" t="s">
        <v>1351</v>
      </c>
      <c r="F731" s="47">
        <v>10</v>
      </c>
      <c r="G731" s="47">
        <v>150000</v>
      </c>
      <c r="H731" s="47">
        <v>15400</v>
      </c>
    </row>
    <row r="732" spans="1:8">
      <c r="A732" s="8" t="s">
        <v>10</v>
      </c>
      <c r="B732" s="9" t="s">
        <v>22</v>
      </c>
      <c r="C732" s="9" t="s">
        <v>600</v>
      </c>
      <c r="D732" s="43" t="s">
        <v>599</v>
      </c>
      <c r="E732" s="8" t="s">
        <v>1352</v>
      </c>
      <c r="F732" s="47">
        <v>2</v>
      </c>
      <c r="G732" s="47">
        <v>105000</v>
      </c>
      <c r="H732" s="47">
        <v>15000</v>
      </c>
    </row>
    <row r="733" spans="1:8">
      <c r="A733" s="8" t="s">
        <v>10</v>
      </c>
      <c r="B733" s="9" t="s">
        <v>24</v>
      </c>
      <c r="C733" s="9" t="s">
        <v>460</v>
      </c>
      <c r="D733" s="43" t="s">
        <v>459</v>
      </c>
      <c r="E733" s="8" t="s">
        <v>1353</v>
      </c>
      <c r="F733" s="47">
        <v>3</v>
      </c>
      <c r="G733" s="47">
        <v>69700</v>
      </c>
      <c r="H733" s="47">
        <v>13899</v>
      </c>
    </row>
    <row r="734" spans="1:8">
      <c r="A734" s="8" t="s">
        <v>10</v>
      </c>
      <c r="B734" s="9" t="s">
        <v>24</v>
      </c>
      <c r="C734" s="9" t="s">
        <v>294</v>
      </c>
      <c r="D734" s="43" t="s">
        <v>293</v>
      </c>
      <c r="E734" s="8" t="s">
        <v>1354</v>
      </c>
      <c r="F734" s="47">
        <v>5</v>
      </c>
      <c r="G734" s="47">
        <v>78000</v>
      </c>
      <c r="H734" s="47">
        <v>13000</v>
      </c>
    </row>
    <row r="735" spans="1:8">
      <c r="A735" s="8" t="s">
        <v>10</v>
      </c>
      <c r="B735" s="9" t="s">
        <v>24</v>
      </c>
      <c r="C735" s="9" t="s">
        <v>460</v>
      </c>
      <c r="D735" s="43" t="s">
        <v>459</v>
      </c>
      <c r="E735" s="8" t="s">
        <v>1355</v>
      </c>
      <c r="F735" s="47">
        <v>2</v>
      </c>
      <c r="G735" s="47">
        <v>60800</v>
      </c>
      <c r="H735" s="47">
        <v>12160</v>
      </c>
    </row>
    <row r="736" spans="1:8">
      <c r="A736" s="8" t="s">
        <v>10</v>
      </c>
      <c r="B736" s="9" t="s">
        <v>22</v>
      </c>
      <c r="C736" s="9" t="s">
        <v>314</v>
      </c>
      <c r="D736" s="43" t="s">
        <v>313</v>
      </c>
      <c r="E736" s="8" t="s">
        <v>1356</v>
      </c>
      <c r="F736" s="47">
        <v>6</v>
      </c>
      <c r="G736" s="47">
        <v>142800</v>
      </c>
      <c r="H736" s="47">
        <v>11152</v>
      </c>
    </row>
    <row r="737" spans="1:8">
      <c r="A737" s="8" t="s">
        <v>10</v>
      </c>
      <c r="B737" s="9" t="s">
        <v>24</v>
      </c>
      <c r="C737" s="9" t="s">
        <v>496</v>
      </c>
      <c r="D737" s="43" t="s">
        <v>495</v>
      </c>
      <c r="E737" s="8" t="s">
        <v>1357</v>
      </c>
      <c r="F737" s="47">
        <v>1</v>
      </c>
      <c r="G737" s="47">
        <v>58900</v>
      </c>
      <c r="H737" s="47">
        <v>10000</v>
      </c>
    </row>
    <row r="738" spans="1:8">
      <c r="A738" s="8" t="s">
        <v>10</v>
      </c>
      <c r="B738" s="9" t="s">
        <v>22</v>
      </c>
      <c r="C738" s="9" t="s">
        <v>144</v>
      </c>
      <c r="D738" s="43" t="s">
        <v>143</v>
      </c>
      <c r="E738" s="8" t="s">
        <v>1358</v>
      </c>
      <c r="F738" s="47">
        <v>1</v>
      </c>
      <c r="G738" s="47">
        <v>56600</v>
      </c>
      <c r="H738" s="47">
        <v>10000</v>
      </c>
    </row>
    <row r="739" spans="1:8">
      <c r="A739" s="8" t="s">
        <v>10</v>
      </c>
      <c r="B739" s="9" t="s">
        <v>24</v>
      </c>
      <c r="C739" s="9" t="s">
        <v>496</v>
      </c>
      <c r="D739" s="43" t="s">
        <v>495</v>
      </c>
      <c r="E739" s="8" t="s">
        <v>1359</v>
      </c>
      <c r="F739" s="47">
        <v>1</v>
      </c>
      <c r="G739" s="47">
        <v>47900</v>
      </c>
      <c r="H739" s="47">
        <v>9580</v>
      </c>
    </row>
    <row r="740" spans="1:8">
      <c r="A740" s="8" t="s">
        <v>10</v>
      </c>
      <c r="B740" s="9" t="s">
        <v>24</v>
      </c>
      <c r="C740" s="9" t="s">
        <v>496</v>
      </c>
      <c r="D740" s="43" t="s">
        <v>495</v>
      </c>
      <c r="E740" s="8" t="s">
        <v>1360</v>
      </c>
      <c r="F740" s="47">
        <v>3</v>
      </c>
      <c r="G740" s="47">
        <v>70500</v>
      </c>
      <c r="H740" s="47">
        <v>9193</v>
      </c>
    </row>
    <row r="741" spans="1:8">
      <c r="A741" s="8" t="s">
        <v>10</v>
      </c>
      <c r="B741" s="9" t="s">
        <v>24</v>
      </c>
      <c r="C741" s="9" t="s">
        <v>496</v>
      </c>
      <c r="D741" s="43" t="s">
        <v>495</v>
      </c>
      <c r="E741" s="8" t="s">
        <v>1361</v>
      </c>
      <c r="F741" s="47">
        <v>1</v>
      </c>
      <c r="G741" s="47">
        <v>42900</v>
      </c>
      <c r="H741" s="47">
        <v>8580</v>
      </c>
    </row>
    <row r="742" spans="1:8">
      <c r="A742" s="8" t="s">
        <v>10</v>
      </c>
      <c r="B742" s="9" t="s">
        <v>24</v>
      </c>
      <c r="C742" s="9" t="s">
        <v>496</v>
      </c>
      <c r="D742" s="43" t="s">
        <v>495</v>
      </c>
      <c r="E742" s="8" t="s">
        <v>1362</v>
      </c>
      <c r="F742" s="47">
        <v>1</v>
      </c>
      <c r="G742" s="47">
        <v>40900</v>
      </c>
      <c r="H742" s="47">
        <v>8180</v>
      </c>
    </row>
    <row r="743" spans="1:8">
      <c r="A743" s="8" t="s">
        <v>10</v>
      </c>
      <c r="B743" s="9" t="s">
        <v>24</v>
      </c>
      <c r="C743" s="9" t="s">
        <v>536</v>
      </c>
      <c r="D743" s="43" t="s">
        <v>535</v>
      </c>
      <c r="E743" s="8" t="s">
        <v>1363</v>
      </c>
      <c r="F743" s="47">
        <v>7</v>
      </c>
      <c r="G743" s="47">
        <v>54700</v>
      </c>
      <c r="H743" s="47">
        <v>7928</v>
      </c>
    </row>
    <row r="744" spans="1:8">
      <c r="A744" s="8" t="s">
        <v>10</v>
      </c>
      <c r="B744" s="9" t="s">
        <v>24</v>
      </c>
      <c r="C744" s="9" t="s">
        <v>460</v>
      </c>
      <c r="D744" s="43" t="s">
        <v>459</v>
      </c>
      <c r="E744" s="8" t="s">
        <v>1364</v>
      </c>
      <c r="F744" s="47">
        <v>4</v>
      </c>
      <c r="G744" s="47">
        <v>68600</v>
      </c>
      <c r="H744" s="47">
        <v>7840</v>
      </c>
    </row>
    <row r="745" spans="1:8">
      <c r="A745" s="8" t="s">
        <v>10</v>
      </c>
      <c r="B745" s="9" t="s">
        <v>24</v>
      </c>
      <c r="C745" s="9" t="s">
        <v>294</v>
      </c>
      <c r="D745" s="43" t="s">
        <v>293</v>
      </c>
      <c r="E745" s="8" t="s">
        <v>1365</v>
      </c>
      <c r="F745" s="47">
        <v>3</v>
      </c>
      <c r="G745" s="47">
        <v>65000</v>
      </c>
      <c r="H745" s="47">
        <v>7800</v>
      </c>
    </row>
    <row r="746" spans="1:8">
      <c r="A746" s="8" t="s">
        <v>10</v>
      </c>
      <c r="B746" s="9" t="s">
        <v>24</v>
      </c>
      <c r="C746" s="9" t="s">
        <v>460</v>
      </c>
      <c r="D746" s="43" t="s">
        <v>459</v>
      </c>
      <c r="E746" s="8" t="s">
        <v>1366</v>
      </c>
      <c r="F746" s="47">
        <v>4</v>
      </c>
      <c r="G746" s="47">
        <v>98200</v>
      </c>
      <c r="H746" s="47">
        <v>7526</v>
      </c>
    </row>
    <row r="747" spans="1:8">
      <c r="A747" s="8" t="s">
        <v>10</v>
      </c>
      <c r="B747" s="9" t="s">
        <v>24</v>
      </c>
      <c r="C747" s="9" t="s">
        <v>270</v>
      </c>
      <c r="D747" s="43" t="s">
        <v>269</v>
      </c>
      <c r="E747" s="8" t="s">
        <v>1367</v>
      </c>
      <c r="F747" s="47">
        <v>3</v>
      </c>
      <c r="G747" s="47">
        <v>82500</v>
      </c>
      <c r="H747" s="47">
        <v>5500</v>
      </c>
    </row>
    <row r="748" spans="1:8">
      <c r="A748" s="8" t="s">
        <v>10</v>
      </c>
      <c r="B748" s="9" t="s">
        <v>24</v>
      </c>
      <c r="C748" s="9" t="s">
        <v>460</v>
      </c>
      <c r="D748" s="43" t="s">
        <v>459</v>
      </c>
      <c r="E748" s="8" t="s">
        <v>1368</v>
      </c>
      <c r="F748" s="47">
        <v>2</v>
      </c>
      <c r="G748" s="47">
        <v>25600</v>
      </c>
      <c r="H748" s="47">
        <v>5120</v>
      </c>
    </row>
    <row r="749" spans="1:8">
      <c r="A749" s="8" t="s">
        <v>10</v>
      </c>
      <c r="B749" s="9" t="s">
        <v>22</v>
      </c>
      <c r="C749" s="9" t="s">
        <v>314</v>
      </c>
      <c r="D749" s="43" t="s">
        <v>313</v>
      </c>
      <c r="E749" s="8" t="s">
        <v>1369</v>
      </c>
      <c r="F749" s="47">
        <v>2</v>
      </c>
      <c r="G749" s="47">
        <v>25800</v>
      </c>
      <c r="H749" s="47">
        <v>4987</v>
      </c>
    </row>
    <row r="750" spans="1:8">
      <c r="A750" s="8" t="s">
        <v>10</v>
      </c>
      <c r="B750" s="9" t="s">
        <v>24</v>
      </c>
      <c r="C750" s="9" t="s">
        <v>460</v>
      </c>
      <c r="D750" s="43" t="s">
        <v>459</v>
      </c>
      <c r="E750" s="8" t="s">
        <v>1370</v>
      </c>
      <c r="F750" s="47">
        <v>2</v>
      </c>
      <c r="G750" s="47">
        <v>33600</v>
      </c>
      <c r="H750" s="47">
        <v>4160</v>
      </c>
    </row>
    <row r="751" spans="1:8">
      <c r="A751" s="8" t="s">
        <v>10</v>
      </c>
      <c r="B751" s="9" t="s">
        <v>24</v>
      </c>
      <c r="C751" s="9" t="s">
        <v>270</v>
      </c>
      <c r="D751" s="43" t="s">
        <v>269</v>
      </c>
      <c r="E751" s="8" t="s">
        <v>1371</v>
      </c>
      <c r="F751" s="47">
        <v>1</v>
      </c>
      <c r="G751" s="47">
        <v>19900</v>
      </c>
      <c r="H751" s="47">
        <v>3980</v>
      </c>
    </row>
    <row r="752" spans="1:8">
      <c r="A752" s="8" t="s">
        <v>10</v>
      </c>
      <c r="B752" s="9" t="s">
        <v>24</v>
      </c>
      <c r="C752" s="9" t="s">
        <v>460</v>
      </c>
      <c r="D752" s="43" t="s">
        <v>459</v>
      </c>
      <c r="E752" s="8" t="s">
        <v>1372</v>
      </c>
      <c r="F752" s="47">
        <v>2</v>
      </c>
      <c r="G752" s="47">
        <v>35800</v>
      </c>
      <c r="H752" s="47">
        <v>3580</v>
      </c>
    </row>
    <row r="753" spans="1:8">
      <c r="A753" s="8" t="s">
        <v>10</v>
      </c>
      <c r="B753" s="9" t="s">
        <v>24</v>
      </c>
      <c r="C753" s="9" t="s">
        <v>270</v>
      </c>
      <c r="D753" s="43" t="s">
        <v>269</v>
      </c>
      <c r="E753" s="8" t="s">
        <v>1373</v>
      </c>
      <c r="F753" s="47">
        <v>1</v>
      </c>
      <c r="G753" s="47">
        <v>16000</v>
      </c>
      <c r="H753" s="47">
        <v>3200</v>
      </c>
    </row>
    <row r="754" spans="1:8">
      <c r="A754" s="8" t="s">
        <v>10</v>
      </c>
      <c r="B754" s="9" t="s">
        <v>24</v>
      </c>
      <c r="C754" s="9" t="s">
        <v>460</v>
      </c>
      <c r="D754" s="43" t="s">
        <v>459</v>
      </c>
      <c r="E754" s="8" t="s">
        <v>1374</v>
      </c>
      <c r="F754" s="47">
        <v>1</v>
      </c>
      <c r="G754" s="47">
        <v>15900</v>
      </c>
      <c r="H754" s="47">
        <v>3180</v>
      </c>
    </row>
    <row r="755" spans="1:8">
      <c r="A755" s="8" t="s">
        <v>10</v>
      </c>
      <c r="B755" s="9" t="s">
        <v>24</v>
      </c>
      <c r="C755" s="9" t="s">
        <v>460</v>
      </c>
      <c r="D755" s="43" t="s">
        <v>459</v>
      </c>
      <c r="E755" s="8" t="s">
        <v>1375</v>
      </c>
      <c r="F755" s="47">
        <v>1</v>
      </c>
      <c r="G755" s="47">
        <v>15700</v>
      </c>
      <c r="H755" s="47">
        <v>3140</v>
      </c>
    </row>
    <row r="756" spans="1:8">
      <c r="A756" s="8" t="s">
        <v>10</v>
      </c>
      <c r="B756" s="9" t="s">
        <v>24</v>
      </c>
      <c r="C756" s="9" t="s">
        <v>270</v>
      </c>
      <c r="D756" s="43" t="s">
        <v>269</v>
      </c>
      <c r="E756" s="8" t="s">
        <v>1376</v>
      </c>
      <c r="F756" s="47">
        <v>1</v>
      </c>
      <c r="G756" s="47">
        <v>15500</v>
      </c>
      <c r="H756" s="47">
        <v>3100</v>
      </c>
    </row>
    <row r="757" spans="1:8">
      <c r="A757" s="8" t="s">
        <v>10</v>
      </c>
      <c r="B757" s="9" t="s">
        <v>24</v>
      </c>
      <c r="C757" s="9" t="s">
        <v>460</v>
      </c>
      <c r="D757" s="43" t="s">
        <v>459</v>
      </c>
      <c r="E757" s="8" t="s">
        <v>1377</v>
      </c>
      <c r="F757" s="47">
        <v>2</v>
      </c>
      <c r="G757" s="47">
        <v>31000</v>
      </c>
      <c r="H757" s="47">
        <v>3100</v>
      </c>
    </row>
    <row r="758" spans="1:8">
      <c r="A758" s="8" t="s">
        <v>10</v>
      </c>
      <c r="B758" s="9" t="s">
        <v>24</v>
      </c>
      <c r="C758" s="9" t="s">
        <v>294</v>
      </c>
      <c r="D758" s="43" t="s">
        <v>293</v>
      </c>
      <c r="E758" s="8" t="s">
        <v>1378</v>
      </c>
      <c r="F758" s="47">
        <v>2</v>
      </c>
      <c r="G758" s="47">
        <v>26000</v>
      </c>
      <c r="H758" s="47">
        <v>2600</v>
      </c>
    </row>
    <row r="759" spans="1:8">
      <c r="A759" s="8" t="s">
        <v>10</v>
      </c>
      <c r="B759" s="9" t="s">
        <v>24</v>
      </c>
      <c r="C759" s="9" t="s">
        <v>460</v>
      </c>
      <c r="D759" s="43" t="s">
        <v>459</v>
      </c>
      <c r="E759" s="8" t="s">
        <v>1379</v>
      </c>
      <c r="F759" s="47">
        <v>1</v>
      </c>
      <c r="G759" s="47">
        <v>12500</v>
      </c>
      <c r="H759" s="47">
        <v>2500</v>
      </c>
    </row>
    <row r="760" spans="1:8">
      <c r="A760" s="8" t="s">
        <v>10</v>
      </c>
      <c r="B760" s="9" t="s">
        <v>22</v>
      </c>
      <c r="C760" s="9" t="s">
        <v>314</v>
      </c>
      <c r="D760" s="43" t="s">
        <v>313</v>
      </c>
      <c r="E760" s="8" t="s">
        <v>1380</v>
      </c>
      <c r="F760" s="47">
        <v>2</v>
      </c>
      <c r="G760" s="47">
        <v>23800</v>
      </c>
      <c r="H760" s="47">
        <v>2380</v>
      </c>
    </row>
    <row r="761" spans="1:8">
      <c r="A761" s="8" t="s">
        <v>10</v>
      </c>
      <c r="B761" s="9" t="s">
        <v>22</v>
      </c>
      <c r="C761" s="9" t="s">
        <v>314</v>
      </c>
      <c r="D761" s="43" t="s">
        <v>313</v>
      </c>
      <c r="E761" s="8" t="s">
        <v>1381</v>
      </c>
      <c r="F761" s="47">
        <v>1</v>
      </c>
      <c r="G761" s="47">
        <v>10800</v>
      </c>
      <c r="H761" s="47">
        <v>2160</v>
      </c>
    </row>
    <row r="762" spans="1:8">
      <c r="A762" s="8" t="s">
        <v>8</v>
      </c>
      <c r="B762" s="9" t="s">
        <v>24</v>
      </c>
      <c r="C762" s="9" t="s">
        <v>64</v>
      </c>
      <c r="D762" s="43" t="s">
        <v>63</v>
      </c>
      <c r="E762" s="8" t="s">
        <v>1382</v>
      </c>
      <c r="F762" s="49">
        <v>92</v>
      </c>
      <c r="G762" s="49">
        <v>1980500</v>
      </c>
      <c r="H762" s="49">
        <v>58200</v>
      </c>
    </row>
    <row r="763" spans="1:8">
      <c r="A763" s="8" t="s">
        <v>8</v>
      </c>
      <c r="B763" s="9" t="s">
        <v>24</v>
      </c>
      <c r="C763" s="9" t="s">
        <v>80</v>
      </c>
      <c r="D763" s="43" t="s">
        <v>79</v>
      </c>
      <c r="E763" s="8" t="s">
        <v>1383</v>
      </c>
      <c r="F763" s="49">
        <v>4</v>
      </c>
      <c r="G763" s="49">
        <v>187600</v>
      </c>
      <c r="H763" s="49">
        <v>0</v>
      </c>
    </row>
    <row r="764" spans="1:8">
      <c r="A764" s="8" t="s">
        <v>8</v>
      </c>
      <c r="B764" s="69" t="s">
        <v>24</v>
      </c>
      <c r="C764" s="9" t="s">
        <v>440</v>
      </c>
      <c r="D764" s="43" t="s">
        <v>439</v>
      </c>
      <c r="E764" s="8" t="s">
        <v>1384</v>
      </c>
      <c r="F764" s="49">
        <v>14133</v>
      </c>
      <c r="G764" s="49">
        <v>183257920</v>
      </c>
      <c r="H764" s="49">
        <v>6140240</v>
      </c>
    </row>
    <row r="765" spans="1:8">
      <c r="A765" s="8" t="s">
        <v>8</v>
      </c>
      <c r="B765" s="9" t="s">
        <v>22</v>
      </c>
      <c r="C765" s="9" t="s">
        <v>1385</v>
      </c>
      <c r="D765" s="43" t="s">
        <v>175</v>
      </c>
      <c r="E765" s="8" t="s">
        <v>1386</v>
      </c>
      <c r="F765" s="49">
        <v>1</v>
      </c>
      <c r="G765" s="49">
        <v>27000</v>
      </c>
      <c r="H765" s="49">
        <v>0</v>
      </c>
    </row>
    <row r="766" spans="1:8">
      <c r="A766" s="8" t="s">
        <v>8</v>
      </c>
      <c r="B766" s="9" t="s">
        <v>22</v>
      </c>
      <c r="C766" s="9" t="s">
        <v>1385</v>
      </c>
      <c r="D766" s="43" t="s">
        <v>175</v>
      </c>
      <c r="E766" s="8" t="s">
        <v>1387</v>
      </c>
      <c r="F766" s="49">
        <v>2</v>
      </c>
      <c r="G766" s="49">
        <v>23400</v>
      </c>
      <c r="H766" s="49">
        <v>0</v>
      </c>
    </row>
    <row r="767" spans="1:8">
      <c r="A767" s="8" t="s">
        <v>8</v>
      </c>
      <c r="B767" s="9" t="s">
        <v>22</v>
      </c>
      <c r="C767" s="9" t="s">
        <v>344</v>
      </c>
      <c r="D767" s="43" t="s">
        <v>343</v>
      </c>
      <c r="E767" s="8" t="s">
        <v>1388</v>
      </c>
      <c r="F767" s="49">
        <v>2223</v>
      </c>
      <c r="G767" s="49">
        <v>51796200</v>
      </c>
      <c r="H767" s="49">
        <v>4893300</v>
      </c>
    </row>
    <row r="768" spans="1:8">
      <c r="A768" s="8" t="s">
        <v>8</v>
      </c>
      <c r="B768" s="9" t="s">
        <v>23</v>
      </c>
      <c r="C768" s="9" t="s">
        <v>344</v>
      </c>
      <c r="D768" s="43" t="s">
        <v>343</v>
      </c>
      <c r="E768" s="8" t="s">
        <v>1389</v>
      </c>
      <c r="F768" s="49">
        <v>3</v>
      </c>
      <c r="G768" s="49">
        <v>44700</v>
      </c>
      <c r="H768" s="49">
        <v>0</v>
      </c>
    </row>
    <row r="769" spans="1:8">
      <c r="A769" s="8" t="s">
        <v>8</v>
      </c>
      <c r="B769" s="9" t="s">
        <v>23</v>
      </c>
      <c r="C769" s="9" t="s">
        <v>344</v>
      </c>
      <c r="D769" s="43" t="s">
        <v>343</v>
      </c>
      <c r="E769" s="8" t="s">
        <v>1390</v>
      </c>
      <c r="F769" s="49">
        <v>86</v>
      </c>
      <c r="G769" s="49">
        <v>1486000</v>
      </c>
      <c r="H769" s="49">
        <v>134180</v>
      </c>
    </row>
    <row r="770" spans="1:8">
      <c r="A770" s="8" t="s">
        <v>8</v>
      </c>
      <c r="B770" s="9" t="s">
        <v>23</v>
      </c>
      <c r="C770" s="9" t="s">
        <v>344</v>
      </c>
      <c r="D770" s="43" t="s">
        <v>343</v>
      </c>
      <c r="E770" s="8" t="s">
        <v>1391</v>
      </c>
      <c r="F770" s="49">
        <v>6</v>
      </c>
      <c r="G770" s="49">
        <v>89400</v>
      </c>
      <c r="H770" s="49">
        <v>8940</v>
      </c>
    </row>
    <row r="771" spans="1:8">
      <c r="A771" s="8" t="s">
        <v>8</v>
      </c>
      <c r="B771" s="9" t="s">
        <v>23</v>
      </c>
      <c r="C771" s="9" t="s">
        <v>344</v>
      </c>
      <c r="D771" s="43" t="s">
        <v>343</v>
      </c>
      <c r="E771" s="8" t="s">
        <v>1392</v>
      </c>
      <c r="F771" s="49">
        <v>5</v>
      </c>
      <c r="G771" s="49">
        <v>94500</v>
      </c>
      <c r="H771" s="49">
        <v>7560</v>
      </c>
    </row>
    <row r="772" spans="1:8">
      <c r="A772" s="8" t="s">
        <v>8</v>
      </c>
      <c r="B772" s="9" t="s">
        <v>23</v>
      </c>
      <c r="C772" s="9" t="s">
        <v>344</v>
      </c>
      <c r="D772" s="43" t="s">
        <v>343</v>
      </c>
      <c r="E772" s="8" t="s">
        <v>1393</v>
      </c>
      <c r="F772" s="49">
        <v>2</v>
      </c>
      <c r="G772" s="49">
        <v>65000</v>
      </c>
      <c r="H772" s="49">
        <v>6500</v>
      </c>
    </row>
    <row r="773" spans="1:8">
      <c r="A773" s="8" t="s">
        <v>8</v>
      </c>
      <c r="B773" s="9" t="s">
        <v>23</v>
      </c>
      <c r="C773" s="9" t="s">
        <v>344</v>
      </c>
      <c r="D773" s="43" t="s">
        <v>343</v>
      </c>
      <c r="E773" s="8" t="s">
        <v>1394</v>
      </c>
      <c r="F773" s="49">
        <v>9</v>
      </c>
      <c r="G773" s="49">
        <v>134100</v>
      </c>
      <c r="H773" s="49">
        <v>11920</v>
      </c>
    </row>
    <row r="774" spans="1:8">
      <c r="A774" s="8" t="s">
        <v>8</v>
      </c>
      <c r="B774" s="69" t="s">
        <v>22</v>
      </c>
      <c r="C774" s="9" t="s">
        <v>348</v>
      </c>
      <c r="D774" s="43" t="s">
        <v>347</v>
      </c>
      <c r="E774" s="8" t="s">
        <v>1395</v>
      </c>
      <c r="F774" s="49">
        <v>0</v>
      </c>
      <c r="G774" s="49">
        <v>0</v>
      </c>
      <c r="H774" s="49">
        <v>0</v>
      </c>
    </row>
    <row r="775" spans="1:8">
      <c r="A775" s="8" t="s">
        <v>8</v>
      </c>
      <c r="B775" s="9" t="s">
        <v>22</v>
      </c>
      <c r="C775" s="9" t="s">
        <v>348</v>
      </c>
      <c r="D775" s="43" t="s">
        <v>347</v>
      </c>
      <c r="E775" s="8" t="s">
        <v>1396</v>
      </c>
      <c r="F775" s="49">
        <v>0</v>
      </c>
      <c r="G775" s="49">
        <v>0</v>
      </c>
      <c r="H775" s="49">
        <v>0</v>
      </c>
    </row>
    <row r="776" spans="1:8">
      <c r="A776" s="8" t="s">
        <v>8</v>
      </c>
      <c r="B776" s="9" t="s">
        <v>22</v>
      </c>
      <c r="C776" s="9" t="s">
        <v>348</v>
      </c>
      <c r="D776" s="43" t="s">
        <v>347</v>
      </c>
      <c r="E776" s="8" t="s">
        <v>1397</v>
      </c>
      <c r="F776" s="49">
        <v>0</v>
      </c>
      <c r="G776" s="49">
        <v>0</v>
      </c>
      <c r="H776" s="49">
        <v>0</v>
      </c>
    </row>
    <row r="777" spans="1:8">
      <c r="A777" s="8" t="s">
        <v>8</v>
      </c>
      <c r="B777" s="69" t="s">
        <v>23</v>
      </c>
      <c r="C777" s="9" t="s">
        <v>222</v>
      </c>
      <c r="D777" s="43" t="s">
        <v>221</v>
      </c>
      <c r="E777" s="8" t="s">
        <v>1398</v>
      </c>
      <c r="F777" s="49">
        <v>986</v>
      </c>
      <c r="G777" s="49">
        <v>26523400</v>
      </c>
      <c r="H777" s="49">
        <v>2009080</v>
      </c>
    </row>
    <row r="778" spans="1:8">
      <c r="A778" s="8" t="s">
        <v>8</v>
      </c>
      <c r="B778" s="9" t="s">
        <v>23</v>
      </c>
      <c r="C778" s="9" t="s">
        <v>222</v>
      </c>
      <c r="D778" s="43" t="s">
        <v>221</v>
      </c>
      <c r="E778" s="8" t="s">
        <v>1399</v>
      </c>
      <c r="F778" s="49">
        <v>2</v>
      </c>
      <c r="G778" s="49">
        <v>73800</v>
      </c>
      <c r="H778" s="49">
        <v>0</v>
      </c>
    </row>
    <row r="779" spans="1:8">
      <c r="A779" s="8" t="s">
        <v>8</v>
      </c>
      <c r="B779" s="9" t="s">
        <v>22</v>
      </c>
      <c r="C779" s="9" t="s">
        <v>222</v>
      </c>
      <c r="D779" s="43" t="s">
        <v>221</v>
      </c>
      <c r="E779" s="8" t="s">
        <v>1400</v>
      </c>
      <c r="F779" s="49">
        <v>0</v>
      </c>
      <c r="G779" s="49">
        <v>0</v>
      </c>
      <c r="H779" s="49">
        <v>0</v>
      </c>
    </row>
    <row r="780" spans="1:8">
      <c r="A780" s="8" t="s">
        <v>8</v>
      </c>
      <c r="B780" s="9" t="s">
        <v>22</v>
      </c>
      <c r="C780" s="9" t="s">
        <v>222</v>
      </c>
      <c r="D780" s="43" t="s">
        <v>221</v>
      </c>
      <c r="E780" s="8" t="s">
        <v>1401</v>
      </c>
      <c r="F780" s="49">
        <v>0</v>
      </c>
      <c r="G780" s="49">
        <v>0</v>
      </c>
      <c r="H780" s="49">
        <v>0</v>
      </c>
    </row>
    <row r="781" spans="1:8">
      <c r="A781" s="8" t="s">
        <v>8</v>
      </c>
      <c r="B781" s="9" t="s">
        <v>22</v>
      </c>
      <c r="C781" s="9" t="s">
        <v>222</v>
      </c>
      <c r="D781" s="43" t="s">
        <v>221</v>
      </c>
      <c r="E781" s="8" t="s">
        <v>1402</v>
      </c>
      <c r="F781" s="49">
        <v>1</v>
      </c>
      <c r="G781" s="49">
        <v>18900</v>
      </c>
      <c r="H781" s="49">
        <v>0</v>
      </c>
    </row>
    <row r="782" spans="1:8">
      <c r="A782" s="8" t="s">
        <v>8</v>
      </c>
      <c r="B782" s="9" t="s">
        <v>22</v>
      </c>
      <c r="C782" s="9" t="s">
        <v>222</v>
      </c>
      <c r="D782" s="43" t="s">
        <v>221</v>
      </c>
      <c r="E782" s="8" t="s">
        <v>1403</v>
      </c>
      <c r="F782" s="49">
        <v>0</v>
      </c>
      <c r="G782" s="49">
        <v>0</v>
      </c>
      <c r="H782" s="49">
        <v>0</v>
      </c>
    </row>
    <row r="783" spans="1:8">
      <c r="A783" s="8" t="s">
        <v>8</v>
      </c>
      <c r="B783" s="9" t="s">
        <v>22</v>
      </c>
      <c r="C783" s="9" t="s">
        <v>346</v>
      </c>
      <c r="D783" s="43" t="s">
        <v>345</v>
      </c>
      <c r="E783" s="8" t="s">
        <v>1404</v>
      </c>
      <c r="F783" s="49">
        <v>0</v>
      </c>
      <c r="G783" s="49">
        <v>0</v>
      </c>
      <c r="H783" s="49">
        <v>0</v>
      </c>
    </row>
    <row r="784" spans="1:8">
      <c r="A784" s="8" t="s">
        <v>8</v>
      </c>
      <c r="B784" s="9" t="s">
        <v>22</v>
      </c>
      <c r="C784" s="9" t="s">
        <v>346</v>
      </c>
      <c r="D784" s="43" t="s">
        <v>345</v>
      </c>
      <c r="E784" s="8" t="s">
        <v>1405</v>
      </c>
      <c r="F784" s="49">
        <v>0</v>
      </c>
      <c r="G784" s="49">
        <v>0</v>
      </c>
      <c r="H784" s="49">
        <v>0</v>
      </c>
    </row>
    <row r="785" spans="1:8">
      <c r="A785" s="8" t="s">
        <v>8</v>
      </c>
      <c r="B785" s="9" t="s">
        <v>22</v>
      </c>
      <c r="C785" s="9" t="s">
        <v>346</v>
      </c>
      <c r="D785" s="43" t="s">
        <v>345</v>
      </c>
      <c r="E785" s="8" t="s">
        <v>1406</v>
      </c>
      <c r="F785" s="49">
        <v>0</v>
      </c>
      <c r="G785" s="49">
        <v>0</v>
      </c>
      <c r="H785" s="49">
        <v>0</v>
      </c>
    </row>
    <row r="786" spans="1:8">
      <c r="A786" s="8" t="s">
        <v>8</v>
      </c>
      <c r="B786" s="9" t="s">
        <v>22</v>
      </c>
      <c r="C786" s="9" t="s">
        <v>346</v>
      </c>
      <c r="D786" s="43" t="s">
        <v>345</v>
      </c>
      <c r="E786" s="8" t="s">
        <v>1407</v>
      </c>
      <c r="F786" s="49">
        <v>0</v>
      </c>
      <c r="G786" s="49">
        <v>0</v>
      </c>
      <c r="H786" s="49">
        <v>0</v>
      </c>
    </row>
    <row r="787" spans="1:8">
      <c r="A787" s="8" t="s">
        <v>8</v>
      </c>
      <c r="B787" s="9" t="s">
        <v>22</v>
      </c>
      <c r="C787" s="9" t="s">
        <v>346</v>
      </c>
      <c r="D787" s="43" t="s">
        <v>345</v>
      </c>
      <c r="E787" s="8" t="s">
        <v>1408</v>
      </c>
      <c r="F787" s="49">
        <v>0</v>
      </c>
      <c r="G787" s="49">
        <v>0</v>
      </c>
      <c r="H787" s="49">
        <v>0</v>
      </c>
    </row>
    <row r="788" spans="1:8">
      <c r="A788" s="8" t="s">
        <v>8</v>
      </c>
      <c r="B788" s="9" t="s">
        <v>22</v>
      </c>
      <c r="C788" s="9" t="s">
        <v>346</v>
      </c>
      <c r="D788" s="43" t="s">
        <v>345</v>
      </c>
      <c r="E788" s="8" t="s">
        <v>1409</v>
      </c>
      <c r="F788" s="49">
        <v>0</v>
      </c>
      <c r="G788" s="49">
        <v>0</v>
      </c>
      <c r="H788" s="49">
        <v>0</v>
      </c>
    </row>
    <row r="789" spans="1:8">
      <c r="A789" s="8" t="s">
        <v>8</v>
      </c>
      <c r="B789" s="9" t="s">
        <v>22</v>
      </c>
      <c r="C789" s="9" t="s">
        <v>346</v>
      </c>
      <c r="D789" s="43" t="s">
        <v>345</v>
      </c>
      <c r="E789" s="8" t="s">
        <v>1410</v>
      </c>
      <c r="F789" s="49">
        <v>0</v>
      </c>
      <c r="G789" s="49">
        <v>0</v>
      </c>
      <c r="H789" s="49">
        <v>0</v>
      </c>
    </row>
    <row r="790" spans="1:8">
      <c r="A790" s="8" t="s">
        <v>8</v>
      </c>
      <c r="B790" s="9" t="s">
        <v>22</v>
      </c>
      <c r="C790" s="9" t="s">
        <v>346</v>
      </c>
      <c r="D790" s="43" t="s">
        <v>345</v>
      </c>
      <c r="E790" s="8" t="s">
        <v>1411</v>
      </c>
      <c r="F790" s="49">
        <v>0</v>
      </c>
      <c r="G790" s="49">
        <v>0</v>
      </c>
      <c r="H790" s="49">
        <v>0</v>
      </c>
    </row>
    <row r="791" spans="1:8">
      <c r="A791" s="8" t="s">
        <v>8</v>
      </c>
      <c r="B791" s="9" t="s">
        <v>22</v>
      </c>
      <c r="C791" s="9" t="s">
        <v>346</v>
      </c>
      <c r="D791" s="43" t="s">
        <v>345</v>
      </c>
      <c r="E791" s="8" t="s">
        <v>1412</v>
      </c>
      <c r="F791" s="49">
        <v>2</v>
      </c>
      <c r="G791" s="49">
        <v>74000</v>
      </c>
      <c r="H791" s="49">
        <v>7400</v>
      </c>
    </row>
    <row r="792" spans="1:8">
      <c r="A792" s="8" t="s">
        <v>8</v>
      </c>
      <c r="B792" s="9" t="s">
        <v>24</v>
      </c>
      <c r="C792" s="9" t="s">
        <v>346</v>
      </c>
      <c r="D792" s="43" t="s">
        <v>345</v>
      </c>
      <c r="E792" s="8" t="s">
        <v>1412</v>
      </c>
      <c r="F792" s="49">
        <v>0</v>
      </c>
      <c r="G792" s="49">
        <v>0</v>
      </c>
      <c r="H792" s="49">
        <v>0</v>
      </c>
    </row>
    <row r="793" spans="1:8">
      <c r="A793" s="8" t="s">
        <v>8</v>
      </c>
      <c r="B793" s="9" t="s">
        <v>24</v>
      </c>
      <c r="C793" s="9" t="s">
        <v>346</v>
      </c>
      <c r="D793" s="43" t="s">
        <v>345</v>
      </c>
      <c r="E793" s="8" t="s">
        <v>1413</v>
      </c>
      <c r="F793" s="49">
        <v>0</v>
      </c>
      <c r="G793" s="49">
        <v>0</v>
      </c>
      <c r="H793" s="49">
        <v>0</v>
      </c>
    </row>
    <row r="794" spans="1:8">
      <c r="A794" s="8" t="s">
        <v>8</v>
      </c>
      <c r="B794" s="9" t="s">
        <v>24</v>
      </c>
      <c r="C794" s="9" t="s">
        <v>346</v>
      </c>
      <c r="D794" s="43" t="s">
        <v>345</v>
      </c>
      <c r="E794" s="8" t="s">
        <v>1414</v>
      </c>
      <c r="F794" s="49">
        <v>2</v>
      </c>
      <c r="G794" s="49">
        <v>64000</v>
      </c>
      <c r="H794" s="49">
        <v>6400</v>
      </c>
    </row>
    <row r="795" spans="1:8">
      <c r="A795" s="8" t="s">
        <v>8</v>
      </c>
      <c r="B795" s="9" t="s">
        <v>24</v>
      </c>
      <c r="C795" s="9" t="s">
        <v>392</v>
      </c>
      <c r="D795" s="43" t="s">
        <v>391</v>
      </c>
      <c r="E795" s="8" t="s">
        <v>1415</v>
      </c>
      <c r="F795" s="49">
        <v>9</v>
      </c>
      <c r="G795" s="49">
        <v>384300</v>
      </c>
      <c r="H795" s="49">
        <v>16680</v>
      </c>
    </row>
    <row r="796" spans="1:8">
      <c r="A796" s="8" t="s">
        <v>8</v>
      </c>
      <c r="B796" s="9" t="s">
        <v>22</v>
      </c>
      <c r="C796" s="9" t="s">
        <v>1416</v>
      </c>
      <c r="D796" s="43" t="s">
        <v>401</v>
      </c>
      <c r="E796" s="8" t="s">
        <v>1417</v>
      </c>
      <c r="F796" s="49">
        <v>459</v>
      </c>
      <c r="G796" s="49">
        <v>10648800</v>
      </c>
      <c r="H796" s="49">
        <v>983680</v>
      </c>
    </row>
    <row r="797" spans="1:8">
      <c r="A797" s="8" t="s">
        <v>8</v>
      </c>
      <c r="B797" s="9" t="s">
        <v>22</v>
      </c>
      <c r="C797" s="9" t="s">
        <v>474</v>
      </c>
      <c r="D797" s="43" t="s">
        <v>473</v>
      </c>
      <c r="E797" s="8" t="s">
        <v>1418</v>
      </c>
      <c r="F797" s="49">
        <v>9</v>
      </c>
      <c r="G797" s="49">
        <v>180900</v>
      </c>
      <c r="H797" s="49">
        <v>0</v>
      </c>
    </row>
    <row r="798" spans="1:8">
      <c r="A798" s="8" t="s">
        <v>8</v>
      </c>
      <c r="B798" s="9" t="s">
        <v>22</v>
      </c>
      <c r="C798" s="9" t="s">
        <v>474</v>
      </c>
      <c r="D798" s="43" t="s">
        <v>473</v>
      </c>
      <c r="E798" s="8" t="s">
        <v>1419</v>
      </c>
      <c r="F798" s="49">
        <v>1275</v>
      </c>
      <c r="G798" s="49">
        <v>54267700</v>
      </c>
      <c r="H798" s="49">
        <v>4836400</v>
      </c>
    </row>
    <row r="799" spans="1:8">
      <c r="A799" s="8" t="s">
        <v>8</v>
      </c>
      <c r="B799" s="9" t="s">
        <v>22</v>
      </c>
      <c r="C799" s="9" t="s">
        <v>474</v>
      </c>
      <c r="D799" s="43" t="s">
        <v>473</v>
      </c>
      <c r="E799" s="8" t="s">
        <v>1420</v>
      </c>
      <c r="F799" s="49">
        <v>5</v>
      </c>
      <c r="G799" s="49">
        <v>398000</v>
      </c>
      <c r="H799" s="49">
        <v>0</v>
      </c>
    </row>
    <row r="800" spans="1:8">
      <c r="A800" s="8" t="s">
        <v>8</v>
      </c>
      <c r="B800" s="9" t="s">
        <v>22</v>
      </c>
      <c r="C800" s="9" t="s">
        <v>474</v>
      </c>
      <c r="D800" s="43" t="s">
        <v>473</v>
      </c>
      <c r="E800" s="8" t="s">
        <v>1421</v>
      </c>
      <c r="F800" s="49">
        <v>0</v>
      </c>
      <c r="G800" s="49">
        <v>0</v>
      </c>
      <c r="H800" s="49">
        <v>0</v>
      </c>
    </row>
    <row r="801" spans="1:8">
      <c r="A801" s="8" t="s">
        <v>8</v>
      </c>
      <c r="B801" s="9" t="s">
        <v>22</v>
      </c>
      <c r="C801" s="9" t="s">
        <v>474</v>
      </c>
      <c r="D801" s="43" t="s">
        <v>473</v>
      </c>
      <c r="E801" s="8" t="s">
        <v>1422</v>
      </c>
      <c r="F801" s="49">
        <v>3</v>
      </c>
      <c r="G801" s="49">
        <v>73900</v>
      </c>
      <c r="H801" s="49">
        <v>0</v>
      </c>
    </row>
    <row r="802" spans="1:8">
      <c r="A802" s="8" t="s">
        <v>8</v>
      </c>
      <c r="B802" s="9" t="s">
        <v>22</v>
      </c>
      <c r="C802" s="9" t="s">
        <v>474</v>
      </c>
      <c r="D802" s="43" t="s">
        <v>473</v>
      </c>
      <c r="E802" s="8" t="s">
        <v>1423</v>
      </c>
      <c r="F802" s="49">
        <v>26</v>
      </c>
      <c r="G802" s="49">
        <v>1129600</v>
      </c>
      <c r="H802" s="49">
        <v>0</v>
      </c>
    </row>
    <row r="803" spans="1:8">
      <c r="A803" s="8" t="s">
        <v>8</v>
      </c>
      <c r="B803" s="9" t="s">
        <v>22</v>
      </c>
      <c r="C803" s="9" t="s">
        <v>474</v>
      </c>
      <c r="D803" s="43" t="s">
        <v>473</v>
      </c>
      <c r="E803" s="8" t="s">
        <v>1424</v>
      </c>
      <c r="F803" s="49">
        <v>2</v>
      </c>
      <c r="G803" s="49">
        <v>169000</v>
      </c>
      <c r="H803" s="49">
        <v>0</v>
      </c>
    </row>
    <row r="804" spans="1:8">
      <c r="A804" s="8" t="s">
        <v>8</v>
      </c>
      <c r="B804" s="9" t="s">
        <v>22</v>
      </c>
      <c r="C804" s="9" t="s">
        <v>474</v>
      </c>
      <c r="D804" s="43" t="s">
        <v>473</v>
      </c>
      <c r="E804" s="8" t="s">
        <v>1425</v>
      </c>
      <c r="F804" s="49">
        <v>10</v>
      </c>
      <c r="G804" s="49">
        <v>215000</v>
      </c>
      <c r="H804" s="49">
        <v>0</v>
      </c>
    </row>
    <row r="805" spans="1:8">
      <c r="A805" s="8" t="s">
        <v>8</v>
      </c>
      <c r="B805" s="9" t="s">
        <v>22</v>
      </c>
      <c r="C805" s="9" t="s">
        <v>474</v>
      </c>
      <c r="D805" s="43" t="s">
        <v>473</v>
      </c>
      <c r="E805" s="8" t="s">
        <v>1426</v>
      </c>
      <c r="F805" s="49">
        <v>3</v>
      </c>
      <c r="G805" s="49">
        <v>138700</v>
      </c>
      <c r="H805" s="49">
        <v>0</v>
      </c>
    </row>
    <row r="806" spans="1:8">
      <c r="A806" s="8" t="s">
        <v>8</v>
      </c>
      <c r="B806" s="9" t="s">
        <v>22</v>
      </c>
      <c r="C806" s="9" t="s">
        <v>474</v>
      </c>
      <c r="D806" s="43" t="s">
        <v>473</v>
      </c>
      <c r="E806" s="8" t="s">
        <v>1427</v>
      </c>
      <c r="F806" s="49">
        <v>1</v>
      </c>
      <c r="G806" s="49">
        <v>85000</v>
      </c>
      <c r="H806" s="49">
        <v>0</v>
      </c>
    </row>
    <row r="807" spans="1:8">
      <c r="A807" s="8" t="s">
        <v>8</v>
      </c>
      <c r="B807" s="69" t="s">
        <v>24</v>
      </c>
      <c r="C807" s="9" t="s">
        <v>200</v>
      </c>
      <c r="D807" s="43" t="s">
        <v>199</v>
      </c>
      <c r="E807" s="8" t="s">
        <v>1428</v>
      </c>
      <c r="F807" s="49">
        <v>420</v>
      </c>
      <c r="G807" s="49">
        <v>21896800</v>
      </c>
      <c r="H807" s="49">
        <v>1570000</v>
      </c>
    </row>
    <row r="808" spans="1:8">
      <c r="A808" s="8" t="s">
        <v>8</v>
      </c>
      <c r="B808" s="69" t="s">
        <v>24</v>
      </c>
      <c r="C808" s="9" t="s">
        <v>200</v>
      </c>
      <c r="D808" s="43" t="s">
        <v>199</v>
      </c>
      <c r="E808" s="8" t="s">
        <v>1429</v>
      </c>
      <c r="F808" s="49">
        <v>60</v>
      </c>
      <c r="G808" s="49">
        <v>1951400</v>
      </c>
      <c r="H808" s="49">
        <v>6400</v>
      </c>
    </row>
    <row r="809" spans="1:8">
      <c r="A809" s="8" t="s">
        <v>8</v>
      </c>
      <c r="B809" s="69" t="s">
        <v>24</v>
      </c>
      <c r="C809" s="9" t="s">
        <v>200</v>
      </c>
      <c r="D809" s="43" t="s">
        <v>199</v>
      </c>
      <c r="E809" s="8" t="s">
        <v>1430</v>
      </c>
      <c r="F809" s="49">
        <v>11</v>
      </c>
      <c r="G809" s="49">
        <v>266200</v>
      </c>
      <c r="H809" s="49">
        <v>9680</v>
      </c>
    </row>
    <row r="810" spans="1:8">
      <c r="A810" s="8" t="s">
        <v>8</v>
      </c>
      <c r="B810" s="69" t="s">
        <v>24</v>
      </c>
      <c r="C810" s="9" t="s">
        <v>200</v>
      </c>
      <c r="D810" s="43" t="s">
        <v>199</v>
      </c>
      <c r="E810" s="8" t="s">
        <v>1431</v>
      </c>
      <c r="F810" s="49">
        <v>31</v>
      </c>
      <c r="G810" s="49">
        <v>1329900</v>
      </c>
      <c r="H810" s="49">
        <v>25740</v>
      </c>
    </row>
    <row r="811" spans="1:8">
      <c r="A811" s="8" t="s">
        <v>8</v>
      </c>
      <c r="B811" s="69" t="s">
        <v>24</v>
      </c>
      <c r="C811" s="9" t="s">
        <v>200</v>
      </c>
      <c r="D811" s="43" t="s">
        <v>199</v>
      </c>
      <c r="E811" s="8" t="s">
        <v>1432</v>
      </c>
      <c r="F811" s="49">
        <v>103</v>
      </c>
      <c r="G811" s="49">
        <v>2298100</v>
      </c>
      <c r="H811" s="49">
        <v>47300</v>
      </c>
    </row>
    <row r="812" spans="1:8">
      <c r="A812" s="8" t="s">
        <v>8</v>
      </c>
      <c r="B812" s="69" t="s">
        <v>24</v>
      </c>
      <c r="C812" s="9" t="s">
        <v>200</v>
      </c>
      <c r="D812" s="43" t="s">
        <v>199</v>
      </c>
      <c r="E812" s="8" t="s">
        <v>1433</v>
      </c>
      <c r="F812" s="49">
        <v>6</v>
      </c>
      <c r="G812" s="49">
        <v>120400</v>
      </c>
      <c r="H812" s="49">
        <v>8400</v>
      </c>
    </row>
    <row r="813" spans="1:8">
      <c r="A813" s="8" t="s">
        <v>8</v>
      </c>
      <c r="B813" s="69" t="s">
        <v>24</v>
      </c>
      <c r="C813" s="9" t="s">
        <v>200</v>
      </c>
      <c r="D813" s="43" t="s">
        <v>199</v>
      </c>
      <c r="E813" s="8" t="s">
        <v>1434</v>
      </c>
      <c r="F813" s="49">
        <v>0</v>
      </c>
      <c r="G813" s="49">
        <v>0</v>
      </c>
      <c r="H813" s="49">
        <v>0</v>
      </c>
    </row>
    <row r="814" spans="1:8">
      <c r="A814" s="8" t="s">
        <v>8</v>
      </c>
      <c r="B814" s="69" t="s">
        <v>24</v>
      </c>
      <c r="C814" s="9" t="s">
        <v>200</v>
      </c>
      <c r="D814" s="43" t="s">
        <v>199</v>
      </c>
      <c r="E814" s="8" t="s">
        <v>1435</v>
      </c>
      <c r="F814" s="49">
        <v>1</v>
      </c>
      <c r="G814" s="49">
        <v>35200</v>
      </c>
      <c r="H814" s="49">
        <v>0</v>
      </c>
    </row>
    <row r="815" spans="1:8">
      <c r="A815" s="8" t="s">
        <v>8</v>
      </c>
      <c r="B815" s="69" t="s">
        <v>24</v>
      </c>
      <c r="C815" s="9" t="s">
        <v>200</v>
      </c>
      <c r="D815" s="43" t="s">
        <v>199</v>
      </c>
      <c r="E815" s="8" t="s">
        <v>1436</v>
      </c>
      <c r="F815" s="49">
        <v>1</v>
      </c>
      <c r="G815" s="49">
        <v>26400</v>
      </c>
      <c r="H815" s="49">
        <v>0</v>
      </c>
    </row>
    <row r="816" spans="1:8">
      <c r="A816" s="8" t="s">
        <v>8</v>
      </c>
      <c r="B816" s="9" t="s">
        <v>22</v>
      </c>
      <c r="C816" s="9" t="s">
        <v>442</v>
      </c>
      <c r="D816" s="43" t="s">
        <v>441</v>
      </c>
      <c r="E816" s="8" t="s">
        <v>1437</v>
      </c>
      <c r="F816" s="49">
        <v>0</v>
      </c>
      <c r="G816" s="49">
        <v>0</v>
      </c>
      <c r="H816" s="49">
        <v>0</v>
      </c>
    </row>
    <row r="817" spans="1:8">
      <c r="A817" s="8" t="s">
        <v>8</v>
      </c>
      <c r="B817" s="9" t="s">
        <v>22</v>
      </c>
      <c r="C817" s="9" t="s">
        <v>442</v>
      </c>
      <c r="D817" s="43" t="s">
        <v>441</v>
      </c>
      <c r="E817" s="8" t="s">
        <v>1438</v>
      </c>
      <c r="F817" s="49">
        <v>9</v>
      </c>
      <c r="G817" s="49">
        <v>684000</v>
      </c>
      <c r="H817" s="49">
        <v>0</v>
      </c>
    </row>
    <row r="818" spans="1:8">
      <c r="A818" s="8" t="s">
        <v>8</v>
      </c>
      <c r="B818" s="9" t="s">
        <v>22</v>
      </c>
      <c r="C818" s="9" t="s">
        <v>442</v>
      </c>
      <c r="D818" s="43" t="s">
        <v>441</v>
      </c>
      <c r="E818" s="8" t="s">
        <v>1439</v>
      </c>
      <c r="F818" s="49">
        <v>44</v>
      </c>
      <c r="G818" s="49">
        <v>3339600</v>
      </c>
      <c r="H818" s="49">
        <v>30000</v>
      </c>
    </row>
    <row r="819" spans="1:8">
      <c r="A819" s="8" t="s">
        <v>8</v>
      </c>
      <c r="B819" s="9" t="s">
        <v>22</v>
      </c>
      <c r="C819" s="9" t="s">
        <v>442</v>
      </c>
      <c r="D819" s="43" t="s">
        <v>441</v>
      </c>
      <c r="E819" s="8" t="s">
        <v>1440</v>
      </c>
      <c r="F819" s="49">
        <v>922</v>
      </c>
      <c r="G819" s="49">
        <v>36884000</v>
      </c>
      <c r="H819" s="49">
        <v>3074000</v>
      </c>
    </row>
    <row r="820" spans="1:8">
      <c r="A820" s="8" t="s">
        <v>8</v>
      </c>
      <c r="B820" s="9" t="s">
        <v>22</v>
      </c>
      <c r="C820" s="9" t="s">
        <v>442</v>
      </c>
      <c r="D820" s="43" t="s">
        <v>441</v>
      </c>
      <c r="E820" s="8" t="s">
        <v>1441</v>
      </c>
      <c r="F820" s="49">
        <v>15</v>
      </c>
      <c r="G820" s="49">
        <v>595500</v>
      </c>
      <c r="H820" s="49">
        <v>23820</v>
      </c>
    </row>
    <row r="821" spans="1:8">
      <c r="A821" s="8" t="s">
        <v>8</v>
      </c>
      <c r="B821" s="9" t="s">
        <v>22</v>
      </c>
      <c r="C821" s="9" t="s">
        <v>442</v>
      </c>
      <c r="D821" s="43" t="s">
        <v>441</v>
      </c>
      <c r="E821" s="8" t="s">
        <v>1442</v>
      </c>
      <c r="F821" s="49">
        <v>2</v>
      </c>
      <c r="G821" s="49">
        <v>149200</v>
      </c>
      <c r="H821" s="49">
        <v>0</v>
      </c>
    </row>
    <row r="822" spans="1:8">
      <c r="A822" s="8" t="s">
        <v>8</v>
      </c>
      <c r="B822" s="9" t="s">
        <v>22</v>
      </c>
      <c r="C822" s="9" t="s">
        <v>442</v>
      </c>
      <c r="D822" s="43" t="s">
        <v>441</v>
      </c>
      <c r="E822" s="8" t="s">
        <v>1443</v>
      </c>
      <c r="F822" s="49">
        <v>350</v>
      </c>
      <c r="G822" s="49">
        <v>26704100</v>
      </c>
      <c r="H822" s="49">
        <v>1590000</v>
      </c>
    </row>
    <row r="823" spans="1:8">
      <c r="A823" s="8" t="s">
        <v>8</v>
      </c>
      <c r="B823" s="9" t="s">
        <v>22</v>
      </c>
      <c r="C823" s="9" t="s">
        <v>442</v>
      </c>
      <c r="D823" s="43" t="s">
        <v>441</v>
      </c>
      <c r="E823" s="8" t="s">
        <v>1444</v>
      </c>
      <c r="F823" s="49">
        <v>4</v>
      </c>
      <c r="G823" s="49">
        <v>279200</v>
      </c>
      <c r="H823" s="49">
        <v>0</v>
      </c>
    </row>
    <row r="824" spans="1:8">
      <c r="A824" s="8" t="s">
        <v>8</v>
      </c>
      <c r="B824" s="9" t="s">
        <v>22</v>
      </c>
      <c r="C824" s="9" t="s">
        <v>442</v>
      </c>
      <c r="D824" s="43" t="s">
        <v>441</v>
      </c>
      <c r="E824" s="8" t="s">
        <v>1445</v>
      </c>
      <c r="F824" s="49">
        <v>7</v>
      </c>
      <c r="G824" s="49">
        <v>488600</v>
      </c>
      <c r="H824" s="49">
        <v>0</v>
      </c>
    </row>
    <row r="825" spans="1:8">
      <c r="A825" s="8" t="s">
        <v>8</v>
      </c>
      <c r="B825" s="9" t="s">
        <v>22</v>
      </c>
      <c r="C825" s="9" t="s">
        <v>442</v>
      </c>
      <c r="D825" s="43" t="s">
        <v>441</v>
      </c>
      <c r="E825" s="8" t="s">
        <v>1446</v>
      </c>
      <c r="F825" s="49">
        <v>43</v>
      </c>
      <c r="G825" s="49">
        <v>1591000</v>
      </c>
      <c r="H825" s="49">
        <v>148000</v>
      </c>
    </row>
    <row r="826" spans="1:8">
      <c r="A826" s="8" t="s">
        <v>8</v>
      </c>
      <c r="B826" s="9" t="s">
        <v>22</v>
      </c>
      <c r="C826" s="9" t="s">
        <v>442</v>
      </c>
      <c r="D826" s="43" t="s">
        <v>441</v>
      </c>
      <c r="E826" s="8" t="s">
        <v>1447</v>
      </c>
      <c r="F826" s="49">
        <v>0</v>
      </c>
      <c r="G826" s="49">
        <v>0</v>
      </c>
      <c r="H826" s="49">
        <v>0</v>
      </c>
    </row>
    <row r="827" spans="1:8">
      <c r="A827" s="8" t="s">
        <v>8</v>
      </c>
      <c r="B827" s="9" t="s">
        <v>22</v>
      </c>
      <c r="C827" s="9" t="s">
        <v>442</v>
      </c>
      <c r="D827" s="43" t="s">
        <v>441</v>
      </c>
      <c r="E827" s="8" t="s">
        <v>1448</v>
      </c>
      <c r="F827" s="49">
        <v>20</v>
      </c>
      <c r="G827" s="49">
        <v>1420000</v>
      </c>
      <c r="H827" s="49">
        <v>90000</v>
      </c>
    </row>
    <row r="828" spans="1:8">
      <c r="A828" s="8" t="s">
        <v>8</v>
      </c>
      <c r="B828" s="9" t="s">
        <v>22</v>
      </c>
      <c r="C828" s="9" t="s">
        <v>442</v>
      </c>
      <c r="D828" s="43" t="s">
        <v>441</v>
      </c>
      <c r="E828" s="8" t="s">
        <v>1449</v>
      </c>
      <c r="F828" s="49">
        <v>6</v>
      </c>
      <c r="G828" s="49">
        <v>412800</v>
      </c>
      <c r="H828" s="49">
        <v>10000</v>
      </c>
    </row>
    <row r="829" spans="1:8">
      <c r="A829" s="8" t="s">
        <v>8</v>
      </c>
      <c r="B829" s="9" t="s">
        <v>22</v>
      </c>
      <c r="C829" s="9" t="s">
        <v>132</v>
      </c>
      <c r="D829" s="43" t="s">
        <v>131</v>
      </c>
      <c r="E829" s="8" t="s">
        <v>1450</v>
      </c>
      <c r="F829" s="49">
        <v>7</v>
      </c>
      <c r="G829" s="49">
        <v>624900</v>
      </c>
      <c r="H829" s="49">
        <v>30000</v>
      </c>
    </row>
    <row r="830" spans="1:8">
      <c r="A830" s="8" t="s">
        <v>8</v>
      </c>
      <c r="B830" s="9" t="s">
        <v>22</v>
      </c>
      <c r="C830" s="9" t="s">
        <v>132</v>
      </c>
      <c r="D830" s="43" t="s">
        <v>131</v>
      </c>
      <c r="E830" s="8" t="s">
        <v>1451</v>
      </c>
      <c r="F830" s="49">
        <v>0</v>
      </c>
      <c r="G830" s="49">
        <v>0</v>
      </c>
      <c r="H830" s="49">
        <v>0</v>
      </c>
    </row>
    <row r="831" spans="1:8">
      <c r="A831" s="8" t="s">
        <v>8</v>
      </c>
      <c r="B831" s="9" t="s">
        <v>22</v>
      </c>
      <c r="C831" s="9" t="s">
        <v>132</v>
      </c>
      <c r="D831" s="43" t="s">
        <v>131</v>
      </c>
      <c r="E831" s="8" t="s">
        <v>1452</v>
      </c>
      <c r="F831" s="49">
        <v>6</v>
      </c>
      <c r="G831" s="49">
        <v>275000</v>
      </c>
      <c r="H831" s="49">
        <v>18080</v>
      </c>
    </row>
    <row r="832" spans="1:8">
      <c r="A832" s="8" t="s">
        <v>8</v>
      </c>
      <c r="B832" s="9" t="s">
        <v>22</v>
      </c>
      <c r="C832" s="9" t="s">
        <v>132</v>
      </c>
      <c r="D832" s="43" t="s">
        <v>131</v>
      </c>
      <c r="E832" s="8" t="s">
        <v>1453</v>
      </c>
      <c r="F832" s="49">
        <v>0</v>
      </c>
      <c r="G832" s="49">
        <v>0</v>
      </c>
      <c r="H832" s="49">
        <v>0</v>
      </c>
    </row>
    <row r="833" spans="1:8">
      <c r="A833" s="8" t="s">
        <v>8</v>
      </c>
      <c r="B833" s="9" t="s">
        <v>22</v>
      </c>
      <c r="C833" s="9" t="s">
        <v>132</v>
      </c>
      <c r="D833" s="43" t="s">
        <v>131</v>
      </c>
      <c r="E833" s="8" t="s">
        <v>1454</v>
      </c>
      <c r="F833" s="49">
        <v>0</v>
      </c>
      <c r="G833" s="49">
        <v>0</v>
      </c>
      <c r="H833" s="49">
        <v>0</v>
      </c>
    </row>
    <row r="834" spans="1:8">
      <c r="A834" s="8" t="s">
        <v>8</v>
      </c>
      <c r="B834" s="9" t="s">
        <v>22</v>
      </c>
      <c r="C834" s="9" t="s">
        <v>132</v>
      </c>
      <c r="D834" s="43" t="s">
        <v>131</v>
      </c>
      <c r="E834" s="8" t="s">
        <v>1455</v>
      </c>
      <c r="F834" s="49">
        <v>1</v>
      </c>
      <c r="G834" s="49">
        <v>57300</v>
      </c>
      <c r="H834" s="49">
        <v>0</v>
      </c>
    </row>
    <row r="835" spans="1:8">
      <c r="A835" s="8" t="s">
        <v>8</v>
      </c>
      <c r="B835" s="9" t="s">
        <v>22</v>
      </c>
      <c r="C835" s="9" t="s">
        <v>132</v>
      </c>
      <c r="D835" s="43" t="s">
        <v>131</v>
      </c>
      <c r="E835" s="8" t="s">
        <v>1456</v>
      </c>
      <c r="F835" s="49">
        <v>0</v>
      </c>
      <c r="G835" s="49">
        <v>0</v>
      </c>
      <c r="H835" s="49">
        <v>0</v>
      </c>
    </row>
    <row r="836" spans="1:8">
      <c r="A836" s="8" t="s">
        <v>8</v>
      </c>
      <c r="B836" s="9" t="s">
        <v>22</v>
      </c>
      <c r="C836" s="9" t="s">
        <v>132</v>
      </c>
      <c r="D836" s="43" t="s">
        <v>131</v>
      </c>
      <c r="E836" s="8" t="s">
        <v>1457</v>
      </c>
      <c r="F836" s="49">
        <v>6</v>
      </c>
      <c r="G836" s="49">
        <v>225600</v>
      </c>
      <c r="H836" s="49">
        <v>22560</v>
      </c>
    </row>
    <row r="837" spans="1:8">
      <c r="A837" s="8" t="s">
        <v>8</v>
      </c>
      <c r="B837" s="9" t="s">
        <v>22</v>
      </c>
      <c r="C837" s="9" t="s">
        <v>132</v>
      </c>
      <c r="D837" s="43" t="s">
        <v>131</v>
      </c>
      <c r="E837" s="8" t="s">
        <v>1458</v>
      </c>
      <c r="F837" s="49">
        <v>286</v>
      </c>
      <c r="G837" s="49">
        <v>20430200</v>
      </c>
      <c r="H837" s="49">
        <v>1420000</v>
      </c>
    </row>
    <row r="838" spans="1:8">
      <c r="A838" s="8" t="s">
        <v>8</v>
      </c>
      <c r="B838" s="9" t="s">
        <v>22</v>
      </c>
      <c r="C838" s="9" t="s">
        <v>522</v>
      </c>
      <c r="D838" s="43" t="s">
        <v>521</v>
      </c>
      <c r="E838" s="8" t="s">
        <v>1459</v>
      </c>
      <c r="F838" s="49">
        <v>351</v>
      </c>
      <c r="G838" s="49">
        <v>6401260</v>
      </c>
      <c r="H838" s="49">
        <v>580800</v>
      </c>
    </row>
    <row r="839" spans="1:8">
      <c r="A839" s="8" t="s">
        <v>8</v>
      </c>
      <c r="B839" s="9" t="s">
        <v>22</v>
      </c>
      <c r="C839" s="9" t="s">
        <v>522</v>
      </c>
      <c r="D839" s="43" t="s">
        <v>521</v>
      </c>
      <c r="E839" s="8" t="s">
        <v>1459</v>
      </c>
      <c r="F839" s="49">
        <v>6</v>
      </c>
      <c r="G839" s="49">
        <v>100640</v>
      </c>
      <c r="H839" s="49">
        <v>10060</v>
      </c>
    </row>
    <row r="840" spans="1:8">
      <c r="A840" s="8" t="s">
        <v>8</v>
      </c>
      <c r="B840" s="9" t="s">
        <v>22</v>
      </c>
      <c r="C840" s="9" t="s">
        <v>522</v>
      </c>
      <c r="D840" s="43" t="s">
        <v>521</v>
      </c>
      <c r="E840" s="8" t="s">
        <v>1460</v>
      </c>
      <c r="F840" s="49">
        <v>0</v>
      </c>
      <c r="G840" s="49">
        <v>0</v>
      </c>
      <c r="H840" s="49">
        <v>0</v>
      </c>
    </row>
    <row r="841" spans="1:8">
      <c r="A841" s="8" t="s">
        <v>8</v>
      </c>
      <c r="B841" s="9" t="s">
        <v>22</v>
      </c>
      <c r="C841" s="9" t="s">
        <v>430</v>
      </c>
      <c r="D841" s="43" t="s">
        <v>429</v>
      </c>
      <c r="E841" s="8" t="s">
        <v>1461</v>
      </c>
      <c r="F841" s="49">
        <v>40</v>
      </c>
      <c r="G841" s="49">
        <v>694400</v>
      </c>
      <c r="H841" s="49">
        <v>3470</v>
      </c>
    </row>
    <row r="842" spans="1:8">
      <c r="A842" s="8" t="s">
        <v>8</v>
      </c>
      <c r="B842" s="69" t="s">
        <v>24</v>
      </c>
      <c r="C842" s="9" t="s">
        <v>430</v>
      </c>
      <c r="D842" s="43" t="s">
        <v>429</v>
      </c>
      <c r="E842" s="8" t="s">
        <v>1462</v>
      </c>
      <c r="F842" s="49">
        <v>4</v>
      </c>
      <c r="G842" s="49">
        <v>95200</v>
      </c>
      <c r="H842" s="49">
        <v>4760</v>
      </c>
    </row>
    <row r="843" spans="1:8">
      <c r="A843" s="8" t="s">
        <v>8</v>
      </c>
      <c r="B843" s="9" t="s">
        <v>24</v>
      </c>
      <c r="C843" s="9" t="s">
        <v>430</v>
      </c>
      <c r="D843" s="43" t="s">
        <v>429</v>
      </c>
      <c r="E843" s="8" t="s">
        <v>1463</v>
      </c>
      <c r="F843" s="49">
        <v>0</v>
      </c>
      <c r="G843" s="49">
        <v>0</v>
      </c>
      <c r="H843" s="49">
        <v>0</v>
      </c>
    </row>
    <row r="844" spans="1:8">
      <c r="A844" s="8" t="s">
        <v>8</v>
      </c>
      <c r="B844" s="69" t="s">
        <v>22</v>
      </c>
      <c r="C844" s="9" t="s">
        <v>430</v>
      </c>
      <c r="D844" s="43" t="s">
        <v>429</v>
      </c>
      <c r="E844" s="8" t="s">
        <v>1464</v>
      </c>
      <c r="F844" s="49">
        <v>12</v>
      </c>
      <c r="G844" s="49">
        <v>382920</v>
      </c>
      <c r="H844" s="49">
        <v>19140</v>
      </c>
    </row>
    <row r="845" spans="1:8">
      <c r="A845" s="8" t="s">
        <v>8</v>
      </c>
      <c r="B845" s="9" t="s">
        <v>22</v>
      </c>
      <c r="C845" s="9" t="s">
        <v>430</v>
      </c>
      <c r="D845" s="43" t="s">
        <v>429</v>
      </c>
      <c r="E845" s="8" t="s">
        <v>1465</v>
      </c>
      <c r="F845" s="49">
        <v>0</v>
      </c>
      <c r="G845" s="49">
        <v>0</v>
      </c>
      <c r="H845" s="49">
        <v>0</v>
      </c>
    </row>
    <row r="846" spans="1:8">
      <c r="A846" s="8" t="s">
        <v>8</v>
      </c>
      <c r="B846" s="9" t="s">
        <v>22</v>
      </c>
      <c r="C846" s="9" t="s">
        <v>430</v>
      </c>
      <c r="D846" s="43" t="s">
        <v>429</v>
      </c>
      <c r="E846" s="8" t="s">
        <v>1466</v>
      </c>
      <c r="F846" s="49">
        <v>16</v>
      </c>
      <c r="G846" s="49">
        <v>508960</v>
      </c>
      <c r="H846" s="49">
        <v>6360</v>
      </c>
    </row>
    <row r="847" spans="1:8">
      <c r="A847" s="8" t="s">
        <v>8</v>
      </c>
      <c r="B847" s="9" t="s">
        <v>22</v>
      </c>
      <c r="C847" s="9" t="s">
        <v>430</v>
      </c>
      <c r="D847" s="43" t="s">
        <v>429</v>
      </c>
      <c r="E847" s="8" t="s">
        <v>1467</v>
      </c>
      <c r="F847" s="49">
        <v>12</v>
      </c>
      <c r="G847" s="49">
        <v>357600</v>
      </c>
      <c r="H847" s="49">
        <v>27880</v>
      </c>
    </row>
    <row r="848" spans="1:8">
      <c r="A848" s="8" t="s">
        <v>8</v>
      </c>
      <c r="B848" s="9" t="s">
        <v>22</v>
      </c>
      <c r="C848" s="9" t="s">
        <v>430</v>
      </c>
      <c r="D848" s="43" t="s">
        <v>429</v>
      </c>
      <c r="E848" s="8" t="s">
        <v>1468</v>
      </c>
      <c r="F848" s="49">
        <v>2</v>
      </c>
      <c r="G848" s="49">
        <v>37000</v>
      </c>
      <c r="H848" s="49">
        <v>0</v>
      </c>
    </row>
    <row r="849" spans="1:8">
      <c r="A849" s="8" t="s">
        <v>8</v>
      </c>
      <c r="B849" s="9" t="s">
        <v>22</v>
      </c>
      <c r="C849" s="9" t="s">
        <v>430</v>
      </c>
      <c r="D849" s="43" t="s">
        <v>429</v>
      </c>
      <c r="E849" s="8" t="s">
        <v>1469</v>
      </c>
      <c r="F849" s="49">
        <v>6</v>
      </c>
      <c r="G849" s="49">
        <v>262800</v>
      </c>
      <c r="H849" s="49">
        <v>0</v>
      </c>
    </row>
    <row r="850" spans="1:8">
      <c r="A850" s="8" t="s">
        <v>8</v>
      </c>
      <c r="B850" s="9" t="s">
        <v>22</v>
      </c>
      <c r="C850" s="9" t="s">
        <v>430</v>
      </c>
      <c r="D850" s="43" t="s">
        <v>429</v>
      </c>
      <c r="E850" s="8" t="s">
        <v>1470</v>
      </c>
      <c r="F850" s="49">
        <v>0</v>
      </c>
      <c r="G850" s="49">
        <v>0</v>
      </c>
      <c r="H850" s="49">
        <v>0</v>
      </c>
    </row>
    <row r="851" spans="1:8">
      <c r="A851" s="8" t="s">
        <v>8</v>
      </c>
      <c r="B851" s="9" t="s">
        <v>22</v>
      </c>
      <c r="C851" s="9" t="s">
        <v>430</v>
      </c>
      <c r="D851" s="43" t="s">
        <v>429</v>
      </c>
      <c r="E851" s="8" t="s">
        <v>1471</v>
      </c>
      <c r="F851" s="49">
        <v>7</v>
      </c>
      <c r="G851" s="49">
        <v>107940</v>
      </c>
      <c r="H851" s="49">
        <v>6160</v>
      </c>
    </row>
    <row r="852" spans="1:8">
      <c r="A852" s="8" t="s">
        <v>8</v>
      </c>
      <c r="B852" s="9" t="s">
        <v>22</v>
      </c>
      <c r="C852" s="9" t="s">
        <v>430</v>
      </c>
      <c r="D852" s="43" t="s">
        <v>429</v>
      </c>
      <c r="E852" s="8" t="s">
        <v>1472</v>
      </c>
      <c r="F852" s="49">
        <v>0</v>
      </c>
      <c r="G852" s="49">
        <v>0</v>
      </c>
      <c r="H852" s="49">
        <v>0</v>
      </c>
    </row>
    <row r="853" spans="1:8">
      <c r="A853" s="8" t="s">
        <v>8</v>
      </c>
      <c r="B853" s="9" t="s">
        <v>22</v>
      </c>
      <c r="C853" s="9" t="s">
        <v>430</v>
      </c>
      <c r="D853" s="43" t="s">
        <v>429</v>
      </c>
      <c r="E853" s="8" t="s">
        <v>1473</v>
      </c>
      <c r="F853" s="49">
        <v>0</v>
      </c>
      <c r="G853" s="49">
        <v>0</v>
      </c>
      <c r="H853" s="49">
        <v>0</v>
      </c>
    </row>
    <row r="854" spans="1:8">
      <c r="A854" s="8" t="s">
        <v>8</v>
      </c>
      <c r="B854" s="9" t="s">
        <v>22</v>
      </c>
      <c r="C854" s="9" t="s">
        <v>430</v>
      </c>
      <c r="D854" s="43" t="s">
        <v>429</v>
      </c>
      <c r="E854" s="8" t="s">
        <v>1474</v>
      </c>
      <c r="F854" s="49">
        <v>0</v>
      </c>
      <c r="G854" s="49">
        <v>0</v>
      </c>
      <c r="H854" s="49">
        <v>0</v>
      </c>
    </row>
    <row r="855" spans="1:8">
      <c r="A855" s="8" t="s">
        <v>8</v>
      </c>
      <c r="B855" s="9" t="s">
        <v>22</v>
      </c>
      <c r="C855" s="9" t="s">
        <v>430</v>
      </c>
      <c r="D855" s="43" t="s">
        <v>429</v>
      </c>
      <c r="E855" s="8" t="s">
        <v>1475</v>
      </c>
      <c r="F855" s="49">
        <v>0</v>
      </c>
      <c r="G855" s="49">
        <v>0</v>
      </c>
      <c r="H855" s="49">
        <v>0</v>
      </c>
    </row>
    <row r="856" spans="1:8">
      <c r="A856" s="8" t="s">
        <v>8</v>
      </c>
      <c r="B856" s="9" t="s">
        <v>22</v>
      </c>
      <c r="C856" s="9" t="s">
        <v>430</v>
      </c>
      <c r="D856" s="43" t="s">
        <v>429</v>
      </c>
      <c r="E856" s="8" t="s">
        <v>1476</v>
      </c>
      <c r="F856" s="49">
        <v>0</v>
      </c>
      <c r="G856" s="49">
        <v>0</v>
      </c>
      <c r="H856" s="49">
        <v>0</v>
      </c>
    </row>
    <row r="857" spans="1:8">
      <c r="A857" s="8" t="s">
        <v>8</v>
      </c>
      <c r="B857" s="9" t="s">
        <v>22</v>
      </c>
      <c r="C857" s="9" t="s">
        <v>430</v>
      </c>
      <c r="D857" s="43" t="s">
        <v>429</v>
      </c>
      <c r="E857" s="8" t="s">
        <v>1477</v>
      </c>
      <c r="F857" s="49">
        <v>0</v>
      </c>
      <c r="G857" s="49">
        <v>0</v>
      </c>
      <c r="H857" s="49">
        <v>0</v>
      </c>
    </row>
    <row r="858" spans="1:8">
      <c r="A858" s="8" t="s">
        <v>8</v>
      </c>
      <c r="B858" s="9" t="s">
        <v>22</v>
      </c>
      <c r="C858" s="9" t="s">
        <v>430</v>
      </c>
      <c r="D858" s="43" t="s">
        <v>429</v>
      </c>
      <c r="E858" s="8" t="s">
        <v>1478</v>
      </c>
      <c r="F858" s="49">
        <v>0</v>
      </c>
      <c r="G858" s="49">
        <v>0</v>
      </c>
      <c r="H858" s="49">
        <v>0</v>
      </c>
    </row>
    <row r="859" spans="1:8">
      <c r="A859" s="8" t="s">
        <v>8</v>
      </c>
      <c r="B859" s="9" t="s">
        <v>24</v>
      </c>
      <c r="C859" s="9" t="s">
        <v>430</v>
      </c>
      <c r="D859" s="43" t="s">
        <v>429</v>
      </c>
      <c r="E859" s="8" t="s">
        <v>1479</v>
      </c>
      <c r="F859" s="49">
        <v>0</v>
      </c>
      <c r="G859" s="49">
        <v>0</v>
      </c>
      <c r="H859" s="49">
        <v>0</v>
      </c>
    </row>
    <row r="860" spans="1:8">
      <c r="A860" s="8" t="s">
        <v>8</v>
      </c>
      <c r="B860" s="9" t="s">
        <v>22</v>
      </c>
      <c r="C860" s="9" t="s">
        <v>430</v>
      </c>
      <c r="D860" s="43" t="s">
        <v>429</v>
      </c>
      <c r="E860" s="8" t="s">
        <v>1480</v>
      </c>
      <c r="F860" s="49">
        <v>0</v>
      </c>
      <c r="G860" s="49">
        <v>0</v>
      </c>
      <c r="H860" s="49">
        <v>0</v>
      </c>
    </row>
    <row r="861" spans="1:8">
      <c r="A861" s="8" t="s">
        <v>8</v>
      </c>
      <c r="B861" s="9" t="s">
        <v>22</v>
      </c>
      <c r="C861" s="9" t="s">
        <v>430</v>
      </c>
      <c r="D861" s="43" t="s">
        <v>429</v>
      </c>
      <c r="E861" s="8" t="s">
        <v>1481</v>
      </c>
      <c r="F861" s="49">
        <v>0</v>
      </c>
      <c r="G861" s="49">
        <v>0</v>
      </c>
      <c r="H861" s="49">
        <v>0</v>
      </c>
    </row>
    <row r="862" spans="1:8">
      <c r="A862" s="8" t="s">
        <v>8</v>
      </c>
      <c r="B862" s="9" t="s">
        <v>22</v>
      </c>
      <c r="C862" s="9" t="s">
        <v>430</v>
      </c>
      <c r="D862" s="43" t="s">
        <v>429</v>
      </c>
      <c r="E862" s="8" t="s">
        <v>1482</v>
      </c>
      <c r="F862" s="49">
        <v>0</v>
      </c>
      <c r="G862" s="49">
        <v>0</v>
      </c>
      <c r="H862" s="49">
        <v>0</v>
      </c>
    </row>
    <row r="863" spans="1:8">
      <c r="A863" s="8" t="s">
        <v>8</v>
      </c>
      <c r="B863" s="9" t="s">
        <v>22</v>
      </c>
      <c r="C863" s="9" t="s">
        <v>430</v>
      </c>
      <c r="D863" s="43" t="s">
        <v>429</v>
      </c>
      <c r="E863" s="8" t="s">
        <v>1483</v>
      </c>
      <c r="F863" s="49">
        <v>0</v>
      </c>
      <c r="G863" s="49">
        <v>0</v>
      </c>
      <c r="H863" s="49">
        <v>0</v>
      </c>
    </row>
    <row r="864" spans="1:8">
      <c r="A864" s="8" t="s">
        <v>8</v>
      </c>
      <c r="B864" s="9" t="s">
        <v>22</v>
      </c>
      <c r="C864" s="9" t="s">
        <v>430</v>
      </c>
      <c r="D864" s="43" t="s">
        <v>429</v>
      </c>
      <c r="E864" s="8" t="s">
        <v>1484</v>
      </c>
      <c r="F864" s="49">
        <v>0</v>
      </c>
      <c r="G864" s="49">
        <v>0</v>
      </c>
      <c r="H864" s="49">
        <v>0</v>
      </c>
    </row>
    <row r="865" spans="1:8">
      <c r="A865" s="8" t="s">
        <v>8</v>
      </c>
      <c r="B865" s="9" t="s">
        <v>22</v>
      </c>
      <c r="C865" s="9" t="s">
        <v>430</v>
      </c>
      <c r="D865" s="43" t="s">
        <v>429</v>
      </c>
      <c r="E865" s="8" t="s">
        <v>1485</v>
      </c>
      <c r="F865" s="49">
        <v>0</v>
      </c>
      <c r="G865" s="49">
        <v>0</v>
      </c>
      <c r="H865" s="49">
        <v>0</v>
      </c>
    </row>
    <row r="866" spans="1:8">
      <c r="A866" s="8" t="s">
        <v>8</v>
      </c>
      <c r="B866" s="9" t="s">
        <v>22</v>
      </c>
      <c r="C866" s="9" t="s">
        <v>430</v>
      </c>
      <c r="D866" s="43" t="s">
        <v>429</v>
      </c>
      <c r="E866" s="8" t="s">
        <v>1486</v>
      </c>
      <c r="F866" s="49">
        <v>0</v>
      </c>
      <c r="G866" s="49">
        <v>0</v>
      </c>
      <c r="H866" s="49">
        <v>0</v>
      </c>
    </row>
    <row r="867" spans="1:8">
      <c r="A867" s="8" t="s">
        <v>8</v>
      </c>
      <c r="B867" s="9" t="s">
        <v>22</v>
      </c>
      <c r="C867" s="9" t="s">
        <v>430</v>
      </c>
      <c r="D867" s="43" t="s">
        <v>429</v>
      </c>
      <c r="E867" s="8" t="s">
        <v>1487</v>
      </c>
      <c r="F867" s="49">
        <v>0</v>
      </c>
      <c r="G867" s="49">
        <v>0</v>
      </c>
      <c r="H867" s="49">
        <v>0</v>
      </c>
    </row>
    <row r="868" spans="1:8">
      <c r="A868" s="8" t="s">
        <v>8</v>
      </c>
      <c r="B868" s="9" t="s">
        <v>22</v>
      </c>
      <c r="C868" s="9" t="s">
        <v>430</v>
      </c>
      <c r="D868" s="43" t="s">
        <v>429</v>
      </c>
      <c r="E868" s="8" t="s">
        <v>1488</v>
      </c>
      <c r="F868" s="49">
        <v>0</v>
      </c>
      <c r="G868" s="49">
        <v>0</v>
      </c>
      <c r="H868" s="49">
        <v>0</v>
      </c>
    </row>
    <row r="869" spans="1:8">
      <c r="A869" s="8" t="s">
        <v>8</v>
      </c>
      <c r="B869" s="9" t="s">
        <v>22</v>
      </c>
      <c r="C869" s="9" t="s">
        <v>430</v>
      </c>
      <c r="D869" s="43" t="s">
        <v>429</v>
      </c>
      <c r="E869" s="8" t="s">
        <v>1489</v>
      </c>
      <c r="F869" s="49">
        <v>0</v>
      </c>
      <c r="G869" s="49">
        <v>0</v>
      </c>
      <c r="H869" s="49">
        <v>0</v>
      </c>
    </row>
    <row r="870" spans="1:8">
      <c r="A870" s="8" t="s">
        <v>8</v>
      </c>
      <c r="B870" s="9" t="s">
        <v>22</v>
      </c>
      <c r="C870" s="9" t="s">
        <v>430</v>
      </c>
      <c r="D870" s="43" t="s">
        <v>429</v>
      </c>
      <c r="E870" s="8" t="s">
        <v>1490</v>
      </c>
      <c r="F870" s="49">
        <v>0</v>
      </c>
      <c r="G870" s="49">
        <v>0</v>
      </c>
      <c r="H870" s="49">
        <v>0</v>
      </c>
    </row>
    <row r="871" spans="1:8">
      <c r="A871" s="8" t="s">
        <v>8</v>
      </c>
      <c r="B871" s="69" t="s">
        <v>24</v>
      </c>
      <c r="C871" s="9" t="s">
        <v>1491</v>
      </c>
      <c r="D871" s="43" t="s">
        <v>111</v>
      </c>
      <c r="E871" s="8" t="s">
        <v>1492</v>
      </c>
      <c r="F871" s="49">
        <v>164</v>
      </c>
      <c r="G871" s="49">
        <v>5395600</v>
      </c>
      <c r="H871" s="49">
        <v>144760</v>
      </c>
    </row>
    <row r="872" spans="1:8">
      <c r="A872" s="8" t="s">
        <v>8</v>
      </c>
      <c r="B872" s="9" t="s">
        <v>24</v>
      </c>
      <c r="C872" s="9" t="s">
        <v>1491</v>
      </c>
      <c r="D872" s="43" t="s">
        <v>111</v>
      </c>
      <c r="E872" s="8" t="s">
        <v>1493</v>
      </c>
      <c r="F872" s="49">
        <v>55</v>
      </c>
      <c r="G872" s="49">
        <v>1644500</v>
      </c>
      <c r="H872" s="49">
        <v>39900</v>
      </c>
    </row>
    <row r="873" spans="1:8">
      <c r="A873" s="8" t="s">
        <v>8</v>
      </c>
      <c r="B873" s="9" t="s">
        <v>24</v>
      </c>
      <c r="C873" s="9" t="s">
        <v>1491</v>
      </c>
      <c r="D873" s="43" t="s">
        <v>111</v>
      </c>
      <c r="E873" s="8" t="s">
        <v>1494</v>
      </c>
      <c r="F873" s="49">
        <v>41</v>
      </c>
      <c r="G873" s="49">
        <v>979900</v>
      </c>
      <c r="H873" s="49">
        <v>43020</v>
      </c>
    </row>
    <row r="874" spans="1:8">
      <c r="A874" s="8" t="s">
        <v>8</v>
      </c>
      <c r="B874" s="9" t="s">
        <v>24</v>
      </c>
      <c r="C874" s="9" t="s">
        <v>1491</v>
      </c>
      <c r="D874" s="43" t="s">
        <v>111</v>
      </c>
      <c r="E874" s="8" t="s">
        <v>1495</v>
      </c>
      <c r="F874" s="49">
        <v>39</v>
      </c>
      <c r="G874" s="49">
        <v>1595100</v>
      </c>
      <c r="H874" s="49">
        <v>98160</v>
      </c>
    </row>
    <row r="875" spans="1:8">
      <c r="A875" s="8" t="s">
        <v>8</v>
      </c>
      <c r="B875" s="9" t="s">
        <v>24</v>
      </c>
      <c r="C875" s="9" t="s">
        <v>1491</v>
      </c>
      <c r="D875" s="43" t="s">
        <v>111</v>
      </c>
      <c r="E875" s="8" t="s">
        <v>1496</v>
      </c>
      <c r="F875" s="49">
        <v>133</v>
      </c>
      <c r="G875" s="49">
        <v>3665300</v>
      </c>
      <c r="H875" s="49">
        <v>204380</v>
      </c>
    </row>
    <row r="876" spans="1:8">
      <c r="A876" s="8" t="s">
        <v>8</v>
      </c>
      <c r="B876" s="9" t="s">
        <v>24</v>
      </c>
      <c r="C876" s="9" t="s">
        <v>1491</v>
      </c>
      <c r="D876" s="43" t="s">
        <v>111</v>
      </c>
      <c r="E876" s="8" t="s">
        <v>1497</v>
      </c>
      <c r="F876" s="49">
        <v>33</v>
      </c>
      <c r="G876" s="49">
        <v>683100</v>
      </c>
      <c r="H876" s="49">
        <v>16560</v>
      </c>
    </row>
    <row r="877" spans="1:8">
      <c r="A877" s="8" t="s">
        <v>8</v>
      </c>
      <c r="B877" s="9" t="s">
        <v>24</v>
      </c>
      <c r="C877" s="9" t="s">
        <v>1491</v>
      </c>
      <c r="D877" s="43" t="s">
        <v>111</v>
      </c>
      <c r="E877" s="8" t="s">
        <v>1498</v>
      </c>
      <c r="F877" s="49">
        <v>14</v>
      </c>
      <c r="G877" s="49">
        <v>432600</v>
      </c>
      <c r="H877" s="49">
        <v>6180</v>
      </c>
    </row>
    <row r="878" spans="1:8">
      <c r="A878" s="8" t="s">
        <v>8</v>
      </c>
      <c r="B878" s="9" t="s">
        <v>24</v>
      </c>
      <c r="C878" s="9" t="s">
        <v>1491</v>
      </c>
      <c r="D878" s="43" t="s">
        <v>111</v>
      </c>
      <c r="E878" s="8" t="s">
        <v>1499</v>
      </c>
      <c r="F878" s="49">
        <v>10</v>
      </c>
      <c r="G878" s="49">
        <v>318000</v>
      </c>
      <c r="H878" s="49">
        <v>12360</v>
      </c>
    </row>
    <row r="879" spans="1:8">
      <c r="A879" s="8" t="s">
        <v>8</v>
      </c>
      <c r="B879" s="9" t="s">
        <v>24</v>
      </c>
      <c r="C879" s="9" t="s">
        <v>1491</v>
      </c>
      <c r="D879" s="43" t="s">
        <v>111</v>
      </c>
      <c r="E879" s="8" t="s">
        <v>1500</v>
      </c>
      <c r="F879" s="49">
        <v>0</v>
      </c>
      <c r="G879" s="49">
        <v>0</v>
      </c>
      <c r="H879" s="49">
        <v>0</v>
      </c>
    </row>
    <row r="880" spans="1:8">
      <c r="A880" s="8" t="s">
        <v>8</v>
      </c>
      <c r="B880" s="9" t="s">
        <v>24</v>
      </c>
      <c r="C880" s="9" t="s">
        <v>1491</v>
      </c>
      <c r="D880" s="43" t="s">
        <v>111</v>
      </c>
      <c r="E880" s="8" t="s">
        <v>1501</v>
      </c>
      <c r="F880" s="49">
        <v>0</v>
      </c>
      <c r="G880" s="49">
        <v>0</v>
      </c>
      <c r="H880" s="49">
        <v>0</v>
      </c>
    </row>
    <row r="881" spans="1:8">
      <c r="A881" s="8" t="s">
        <v>8</v>
      </c>
      <c r="B881" s="9" t="s">
        <v>24</v>
      </c>
      <c r="C881" s="9" t="s">
        <v>1491</v>
      </c>
      <c r="D881" s="43" t="s">
        <v>111</v>
      </c>
      <c r="E881" s="8" t="s">
        <v>1502</v>
      </c>
      <c r="F881" s="49">
        <v>22</v>
      </c>
      <c r="G881" s="49">
        <v>360800</v>
      </c>
      <c r="H881" s="49">
        <v>13120</v>
      </c>
    </row>
    <row r="882" spans="1:8">
      <c r="A882" s="8" t="s">
        <v>8</v>
      </c>
      <c r="B882" s="69" t="s">
        <v>24</v>
      </c>
      <c r="C882" s="9" t="s">
        <v>1491</v>
      </c>
      <c r="D882" s="43" t="s">
        <v>111</v>
      </c>
      <c r="E882" s="8" t="s">
        <v>1503</v>
      </c>
      <c r="F882" s="49">
        <v>1</v>
      </c>
      <c r="G882" s="49">
        <v>94700</v>
      </c>
      <c r="H882" s="49">
        <v>0</v>
      </c>
    </row>
    <row r="883" spans="1:8">
      <c r="A883" s="8" t="s">
        <v>8</v>
      </c>
      <c r="B883" s="9" t="s">
        <v>24</v>
      </c>
      <c r="C883" s="9" t="s">
        <v>1491</v>
      </c>
      <c r="D883" s="43" t="s">
        <v>111</v>
      </c>
      <c r="E883" s="8" t="s">
        <v>1504</v>
      </c>
      <c r="F883" s="49">
        <v>4</v>
      </c>
      <c r="G883" s="49">
        <v>91600</v>
      </c>
      <c r="H883" s="49">
        <v>0</v>
      </c>
    </row>
    <row r="884" spans="1:8">
      <c r="A884" s="8" t="s">
        <v>8</v>
      </c>
      <c r="B884" s="9" t="s">
        <v>24</v>
      </c>
      <c r="C884" s="9" t="s">
        <v>1491</v>
      </c>
      <c r="D884" s="43" t="s">
        <v>111</v>
      </c>
      <c r="E884" s="8" t="s">
        <v>1505</v>
      </c>
      <c r="F884" s="49">
        <v>3</v>
      </c>
      <c r="G884" s="49">
        <v>98700</v>
      </c>
      <c r="H884" s="49">
        <v>0</v>
      </c>
    </row>
    <row r="885" spans="1:8">
      <c r="A885" s="8" t="s">
        <v>8</v>
      </c>
      <c r="B885" s="9" t="s">
        <v>24</v>
      </c>
      <c r="C885" s="9" t="s">
        <v>1491</v>
      </c>
      <c r="D885" s="43" t="s">
        <v>111</v>
      </c>
      <c r="E885" s="8" t="s">
        <v>1506</v>
      </c>
      <c r="F885" s="49">
        <v>0</v>
      </c>
      <c r="G885" s="49">
        <v>0</v>
      </c>
      <c r="H885" s="49">
        <v>0</v>
      </c>
    </row>
    <row r="886" spans="1:8">
      <c r="A886" s="8" t="s">
        <v>8</v>
      </c>
      <c r="B886" s="9" t="s">
        <v>24</v>
      </c>
      <c r="C886" s="9" t="s">
        <v>1491</v>
      </c>
      <c r="D886" s="43" t="s">
        <v>111</v>
      </c>
      <c r="E886" s="8" t="s">
        <v>1507</v>
      </c>
      <c r="F886" s="49">
        <v>1</v>
      </c>
      <c r="G886" s="49">
        <v>21900</v>
      </c>
      <c r="H886" s="49">
        <v>0</v>
      </c>
    </row>
    <row r="887" spans="1:8">
      <c r="A887" s="8" t="s">
        <v>8</v>
      </c>
      <c r="B887" s="9" t="s">
        <v>24</v>
      </c>
      <c r="C887" s="9" t="s">
        <v>1491</v>
      </c>
      <c r="D887" s="43" t="s">
        <v>111</v>
      </c>
      <c r="E887" s="8" t="s">
        <v>1508</v>
      </c>
      <c r="F887" s="49">
        <v>6</v>
      </c>
      <c r="G887" s="49">
        <v>173400</v>
      </c>
      <c r="H887" s="49">
        <v>5780</v>
      </c>
    </row>
    <row r="888" spans="1:8">
      <c r="A888" s="8" t="s">
        <v>8</v>
      </c>
      <c r="B888" s="9" t="s">
        <v>24</v>
      </c>
      <c r="C888" s="9" t="s">
        <v>1491</v>
      </c>
      <c r="D888" s="43" t="s">
        <v>111</v>
      </c>
      <c r="E888" s="8" t="s">
        <v>1509</v>
      </c>
      <c r="F888" s="49">
        <v>1</v>
      </c>
      <c r="G888" s="49">
        <v>13900</v>
      </c>
      <c r="H888" s="49">
        <v>0</v>
      </c>
    </row>
    <row r="889" spans="1:8">
      <c r="A889" s="8" t="s">
        <v>8</v>
      </c>
      <c r="B889" s="9" t="s">
        <v>24</v>
      </c>
      <c r="C889" s="9" t="s">
        <v>1491</v>
      </c>
      <c r="D889" s="43" t="s">
        <v>111</v>
      </c>
      <c r="E889" s="8" t="s">
        <v>1510</v>
      </c>
      <c r="F889" s="49">
        <v>10</v>
      </c>
      <c r="G889" s="49">
        <v>189000</v>
      </c>
      <c r="H889" s="49">
        <v>7560</v>
      </c>
    </row>
    <row r="890" spans="1:8">
      <c r="A890" s="8" t="s">
        <v>8</v>
      </c>
      <c r="B890" s="9" t="s">
        <v>24</v>
      </c>
      <c r="C890" s="9" t="s">
        <v>1491</v>
      </c>
      <c r="D890" s="43" t="s">
        <v>111</v>
      </c>
      <c r="E890" s="8" t="s">
        <v>1511</v>
      </c>
      <c r="F890" s="49">
        <v>1</v>
      </c>
      <c r="G890" s="49">
        <v>13900</v>
      </c>
      <c r="H890" s="49">
        <v>0</v>
      </c>
    </row>
    <row r="891" spans="1:8">
      <c r="A891" s="8" t="s">
        <v>8</v>
      </c>
      <c r="B891" s="69" t="s">
        <v>24</v>
      </c>
      <c r="C891" s="9" t="s">
        <v>1491</v>
      </c>
      <c r="D891" s="43" t="s">
        <v>111</v>
      </c>
      <c r="E891" s="8" t="s">
        <v>1512</v>
      </c>
      <c r="F891" s="49">
        <v>0</v>
      </c>
      <c r="G891" s="49">
        <v>0</v>
      </c>
      <c r="H891" s="49">
        <v>0</v>
      </c>
    </row>
    <row r="892" spans="1:8">
      <c r="A892" s="8" t="s">
        <v>8</v>
      </c>
      <c r="B892" s="9" t="s">
        <v>24</v>
      </c>
      <c r="C892" s="9" t="s">
        <v>1491</v>
      </c>
      <c r="D892" s="43" t="s">
        <v>111</v>
      </c>
      <c r="E892" s="8" t="s">
        <v>1513</v>
      </c>
      <c r="F892" s="49">
        <v>0</v>
      </c>
      <c r="G892" s="49">
        <v>0</v>
      </c>
      <c r="H892" s="49">
        <v>0</v>
      </c>
    </row>
    <row r="893" spans="1:8">
      <c r="A893" s="8" t="s">
        <v>8</v>
      </c>
      <c r="B893" s="9" t="s">
        <v>24</v>
      </c>
      <c r="C893" s="9" t="s">
        <v>1491</v>
      </c>
      <c r="D893" s="43" t="s">
        <v>111</v>
      </c>
      <c r="E893" s="8" t="s">
        <v>1514</v>
      </c>
      <c r="F893" s="49">
        <v>0</v>
      </c>
      <c r="G893" s="49">
        <v>0</v>
      </c>
      <c r="H893" s="49">
        <v>0</v>
      </c>
    </row>
    <row r="894" spans="1:8">
      <c r="A894" s="8" t="s">
        <v>8</v>
      </c>
      <c r="B894" s="9" t="s">
        <v>24</v>
      </c>
      <c r="C894" s="9" t="s">
        <v>1491</v>
      </c>
      <c r="D894" s="43" t="s">
        <v>111</v>
      </c>
      <c r="E894" s="8" t="s">
        <v>1515</v>
      </c>
      <c r="F894" s="49">
        <v>0</v>
      </c>
      <c r="G894" s="49">
        <v>0</v>
      </c>
      <c r="H894" s="49">
        <v>0</v>
      </c>
    </row>
    <row r="895" spans="1:8">
      <c r="A895" s="8" t="s">
        <v>8</v>
      </c>
      <c r="B895" s="9" t="s">
        <v>24</v>
      </c>
      <c r="C895" s="9" t="s">
        <v>272</v>
      </c>
      <c r="D895" s="43" t="s">
        <v>271</v>
      </c>
      <c r="E895" s="8" t="s">
        <v>1516</v>
      </c>
      <c r="F895" s="49">
        <v>220</v>
      </c>
      <c r="G895" s="49">
        <v>6556000</v>
      </c>
      <c r="H895" s="49">
        <v>242440</v>
      </c>
    </row>
    <row r="896" spans="1:8">
      <c r="A896" s="8" t="s">
        <v>8</v>
      </c>
      <c r="B896" s="9" t="s">
        <v>24</v>
      </c>
      <c r="C896" s="9" t="s">
        <v>272</v>
      </c>
      <c r="D896" s="43" t="s">
        <v>271</v>
      </c>
      <c r="E896" s="8" t="s">
        <v>1517</v>
      </c>
      <c r="F896" s="49">
        <v>7</v>
      </c>
      <c r="G896" s="49">
        <v>313600</v>
      </c>
      <c r="H896" s="49">
        <v>8960</v>
      </c>
    </row>
    <row r="897" spans="1:8">
      <c r="A897" s="8" t="s">
        <v>8</v>
      </c>
      <c r="B897" s="9" t="s">
        <v>24</v>
      </c>
      <c r="C897" s="9" t="s">
        <v>272</v>
      </c>
      <c r="D897" s="43" t="s">
        <v>271</v>
      </c>
      <c r="E897" s="8" t="s">
        <v>1518</v>
      </c>
      <c r="F897" s="49">
        <v>0</v>
      </c>
      <c r="G897" s="49">
        <v>0</v>
      </c>
      <c r="H897" s="49">
        <v>0</v>
      </c>
    </row>
    <row r="898" spans="1:8">
      <c r="A898" s="8" t="s">
        <v>8</v>
      </c>
      <c r="B898" s="9" t="s">
        <v>24</v>
      </c>
      <c r="C898" s="9" t="s">
        <v>272</v>
      </c>
      <c r="D898" s="43" t="s">
        <v>271</v>
      </c>
      <c r="E898" s="8" t="s">
        <v>1519</v>
      </c>
      <c r="F898" s="49">
        <v>2</v>
      </c>
      <c r="G898" s="49">
        <v>70000</v>
      </c>
      <c r="H898" s="49">
        <v>0</v>
      </c>
    </row>
    <row r="899" spans="1:8">
      <c r="A899" s="8" t="s">
        <v>8</v>
      </c>
      <c r="B899" s="9" t="s">
        <v>24</v>
      </c>
      <c r="C899" s="9" t="s">
        <v>272</v>
      </c>
      <c r="D899" s="43" t="s">
        <v>271</v>
      </c>
      <c r="E899" s="8" t="s">
        <v>1520</v>
      </c>
      <c r="F899" s="49">
        <v>7</v>
      </c>
      <c r="G899" s="49">
        <v>313600</v>
      </c>
      <c r="H899" s="49">
        <v>8960</v>
      </c>
    </row>
    <row r="900" spans="1:8">
      <c r="A900" s="8" t="s">
        <v>8</v>
      </c>
      <c r="B900" s="9" t="s">
        <v>24</v>
      </c>
      <c r="C900" s="9" t="s">
        <v>272</v>
      </c>
      <c r="D900" s="43" t="s">
        <v>271</v>
      </c>
      <c r="E900" s="8" t="s">
        <v>1521</v>
      </c>
      <c r="F900" s="49">
        <v>1</v>
      </c>
      <c r="G900" s="49">
        <v>26800</v>
      </c>
      <c r="H900" s="49">
        <v>0</v>
      </c>
    </row>
    <row r="901" spans="1:8">
      <c r="A901" s="8" t="s">
        <v>8</v>
      </c>
      <c r="B901" s="9" t="s">
        <v>24</v>
      </c>
      <c r="C901" s="9" t="s">
        <v>272</v>
      </c>
      <c r="D901" s="43" t="s">
        <v>271</v>
      </c>
      <c r="E901" s="8" t="s">
        <v>1522</v>
      </c>
      <c r="F901" s="49">
        <v>0</v>
      </c>
      <c r="G901" s="49">
        <v>0</v>
      </c>
      <c r="H901" s="49">
        <v>0</v>
      </c>
    </row>
    <row r="902" spans="1:8">
      <c r="A902" s="8" t="s">
        <v>8</v>
      </c>
      <c r="B902" s="9" t="s">
        <v>24</v>
      </c>
      <c r="C902" s="9" t="s">
        <v>272</v>
      </c>
      <c r="D902" s="43" t="s">
        <v>271</v>
      </c>
      <c r="E902" s="8" t="s">
        <v>1523</v>
      </c>
      <c r="F902" s="49">
        <v>0</v>
      </c>
      <c r="G902" s="49">
        <v>0</v>
      </c>
      <c r="H902" s="49">
        <v>0</v>
      </c>
    </row>
    <row r="903" spans="1:8">
      <c r="A903" s="8" t="s">
        <v>8</v>
      </c>
      <c r="B903" s="9" t="s">
        <v>24</v>
      </c>
      <c r="C903" s="9" t="s">
        <v>272</v>
      </c>
      <c r="D903" s="43" t="s">
        <v>271</v>
      </c>
      <c r="E903" s="8" t="s">
        <v>1524</v>
      </c>
      <c r="F903" s="49">
        <v>11</v>
      </c>
      <c r="G903" s="49">
        <v>382800</v>
      </c>
      <c r="H903" s="49">
        <v>20880</v>
      </c>
    </row>
    <row r="904" spans="1:8">
      <c r="A904" s="8" t="s">
        <v>8</v>
      </c>
      <c r="B904" s="9" t="s">
        <v>24</v>
      </c>
      <c r="C904" s="9" t="s">
        <v>272</v>
      </c>
      <c r="D904" s="43" t="s">
        <v>271</v>
      </c>
      <c r="E904" s="8" t="s">
        <v>1525</v>
      </c>
      <c r="F904" s="49">
        <v>32</v>
      </c>
      <c r="G904" s="49">
        <v>857600</v>
      </c>
      <c r="H904" s="49">
        <v>0</v>
      </c>
    </row>
    <row r="905" spans="1:8">
      <c r="A905" s="8" t="s">
        <v>8</v>
      </c>
      <c r="B905" s="9" t="s">
        <v>24</v>
      </c>
      <c r="C905" s="9" t="s">
        <v>408</v>
      </c>
      <c r="D905" s="43" t="s">
        <v>407</v>
      </c>
      <c r="E905" s="8" t="s">
        <v>1526</v>
      </c>
      <c r="F905" s="49">
        <v>17</v>
      </c>
      <c r="G905" s="49">
        <v>306000</v>
      </c>
      <c r="H905" s="49">
        <v>10000</v>
      </c>
    </row>
    <row r="906" spans="1:8">
      <c r="A906" s="8" t="s">
        <v>8</v>
      </c>
      <c r="B906" s="9" t="s">
        <v>24</v>
      </c>
      <c r="C906" s="9" t="s">
        <v>408</v>
      </c>
      <c r="D906" s="43" t="s">
        <v>407</v>
      </c>
      <c r="E906" s="8" t="s">
        <v>1527</v>
      </c>
      <c r="F906" s="49">
        <v>0</v>
      </c>
      <c r="G906" s="49">
        <v>0</v>
      </c>
      <c r="H906" s="49">
        <v>0</v>
      </c>
    </row>
    <row r="907" spans="1:8">
      <c r="A907" s="8" t="s">
        <v>8</v>
      </c>
      <c r="B907" s="9" t="s">
        <v>24</v>
      </c>
      <c r="C907" s="9" t="s">
        <v>408</v>
      </c>
      <c r="D907" s="43" t="s">
        <v>407</v>
      </c>
      <c r="E907" s="8" t="s">
        <v>1528</v>
      </c>
      <c r="F907" s="49">
        <v>0</v>
      </c>
      <c r="G907" s="49">
        <v>0</v>
      </c>
      <c r="H907" s="49">
        <v>0</v>
      </c>
    </row>
    <row r="908" spans="1:8">
      <c r="A908" s="8" t="s">
        <v>8</v>
      </c>
      <c r="B908" s="9" t="s">
        <v>24</v>
      </c>
      <c r="C908" s="9" t="s">
        <v>408</v>
      </c>
      <c r="D908" s="43" t="s">
        <v>407</v>
      </c>
      <c r="E908" s="8" t="s">
        <v>1529</v>
      </c>
      <c r="F908" s="49">
        <v>0</v>
      </c>
      <c r="G908" s="49">
        <v>0</v>
      </c>
      <c r="H908" s="49">
        <v>0</v>
      </c>
    </row>
    <row r="909" spans="1:8">
      <c r="A909" s="8" t="s">
        <v>8</v>
      </c>
      <c r="B909" s="9" t="s">
        <v>24</v>
      </c>
      <c r="C909" s="9" t="s">
        <v>408</v>
      </c>
      <c r="D909" s="43" t="s">
        <v>407</v>
      </c>
      <c r="E909" s="8" t="s">
        <v>1530</v>
      </c>
      <c r="F909" s="49">
        <v>0</v>
      </c>
      <c r="G909" s="49">
        <v>0</v>
      </c>
      <c r="H909" s="49">
        <v>0</v>
      </c>
    </row>
    <row r="910" spans="1:8">
      <c r="A910" s="8" t="s">
        <v>8</v>
      </c>
      <c r="B910" s="9" t="s">
        <v>24</v>
      </c>
      <c r="C910" s="9" t="s">
        <v>408</v>
      </c>
      <c r="D910" s="43" t="s">
        <v>407</v>
      </c>
      <c r="E910" s="8" t="s">
        <v>1531</v>
      </c>
      <c r="F910" s="49">
        <v>0</v>
      </c>
      <c r="G910" s="49">
        <v>0</v>
      </c>
      <c r="H910" s="49">
        <v>0</v>
      </c>
    </row>
    <row r="911" spans="1:8">
      <c r="A911" s="8" t="s">
        <v>8</v>
      </c>
      <c r="B911" s="9" t="s">
        <v>24</v>
      </c>
      <c r="C911" s="9" t="s">
        <v>408</v>
      </c>
      <c r="D911" s="43" t="s">
        <v>407</v>
      </c>
      <c r="E911" s="8" t="s">
        <v>1532</v>
      </c>
      <c r="F911" s="49">
        <v>65</v>
      </c>
      <c r="G911" s="49">
        <v>195000</v>
      </c>
      <c r="H911" s="49">
        <v>10000</v>
      </c>
    </row>
    <row r="912" spans="1:8">
      <c r="A912" s="8" t="s">
        <v>8</v>
      </c>
      <c r="B912" s="9" t="s">
        <v>24</v>
      </c>
      <c r="C912" s="9" t="s">
        <v>408</v>
      </c>
      <c r="D912" s="43" t="s">
        <v>407</v>
      </c>
      <c r="E912" s="8" t="s">
        <v>1533</v>
      </c>
      <c r="F912" s="49">
        <v>0</v>
      </c>
      <c r="G912" s="49">
        <v>0</v>
      </c>
      <c r="H912" s="49">
        <v>0</v>
      </c>
    </row>
    <row r="913" spans="1:8">
      <c r="A913" s="8" t="s">
        <v>8</v>
      </c>
      <c r="B913" s="9" t="s">
        <v>22</v>
      </c>
      <c r="C913" s="9" t="s">
        <v>408</v>
      </c>
      <c r="D913" s="43" t="s">
        <v>407</v>
      </c>
      <c r="E913" s="8" t="s">
        <v>1534</v>
      </c>
      <c r="F913" s="49">
        <v>0</v>
      </c>
      <c r="G913" s="49">
        <v>0</v>
      </c>
      <c r="H913" s="49">
        <v>0</v>
      </c>
    </row>
    <row r="914" spans="1:8">
      <c r="A914" s="8" t="s">
        <v>8</v>
      </c>
      <c r="B914" s="9" t="s">
        <v>24</v>
      </c>
      <c r="C914" s="9" t="s">
        <v>408</v>
      </c>
      <c r="D914" s="43" t="s">
        <v>407</v>
      </c>
      <c r="E914" s="8" t="s">
        <v>1535</v>
      </c>
      <c r="F914" s="49">
        <v>0</v>
      </c>
      <c r="G914" s="49">
        <v>0</v>
      </c>
      <c r="H914" s="49">
        <v>0</v>
      </c>
    </row>
    <row r="915" spans="1:8">
      <c r="A915" s="8" t="s">
        <v>8</v>
      </c>
      <c r="B915" s="9" t="s">
        <v>24</v>
      </c>
      <c r="C915" s="9" t="s">
        <v>138</v>
      </c>
      <c r="D915" s="43" t="s">
        <v>137</v>
      </c>
      <c r="E915" s="8" t="s">
        <v>1536</v>
      </c>
      <c r="F915" s="49">
        <v>50</v>
      </c>
      <c r="G915" s="49">
        <v>1480400</v>
      </c>
      <c r="H915" s="49">
        <v>132640</v>
      </c>
    </row>
    <row r="916" spans="1:8">
      <c r="A916" s="8" t="s">
        <v>8</v>
      </c>
      <c r="B916" s="9" t="s">
        <v>24</v>
      </c>
      <c r="C916" s="9" t="s">
        <v>138</v>
      </c>
      <c r="D916" s="43" t="s">
        <v>137</v>
      </c>
      <c r="E916" s="8" t="s">
        <v>1537</v>
      </c>
      <c r="F916" s="49">
        <v>0</v>
      </c>
      <c r="G916" s="49">
        <v>0</v>
      </c>
      <c r="H916" s="49">
        <v>0</v>
      </c>
    </row>
    <row r="917" spans="1:8">
      <c r="A917" s="8" t="s">
        <v>8</v>
      </c>
      <c r="B917" s="9" t="s">
        <v>24</v>
      </c>
      <c r="C917" s="9" t="s">
        <v>138</v>
      </c>
      <c r="D917" s="43" t="s">
        <v>137</v>
      </c>
      <c r="E917" s="8" t="s">
        <v>1537</v>
      </c>
      <c r="F917" s="49">
        <v>1</v>
      </c>
      <c r="G917" s="49">
        <v>60000</v>
      </c>
      <c r="H917" s="49">
        <v>0</v>
      </c>
    </row>
    <row r="918" spans="1:8">
      <c r="A918" s="8" t="s">
        <v>8</v>
      </c>
      <c r="B918" s="9" t="s">
        <v>24</v>
      </c>
      <c r="C918" s="9" t="s">
        <v>138</v>
      </c>
      <c r="D918" s="43" t="s">
        <v>137</v>
      </c>
      <c r="E918" s="8" t="s">
        <v>1538</v>
      </c>
      <c r="F918" s="49">
        <v>2</v>
      </c>
      <c r="G918" s="49">
        <v>66000</v>
      </c>
      <c r="H918" s="49">
        <v>0</v>
      </c>
    </row>
    <row r="919" spans="1:8">
      <c r="A919" s="8" t="s">
        <v>8</v>
      </c>
      <c r="B919" s="9" t="s">
        <v>22</v>
      </c>
      <c r="C919" s="9" t="s">
        <v>138</v>
      </c>
      <c r="D919" s="43" t="s">
        <v>137</v>
      </c>
      <c r="E919" s="8" t="s">
        <v>1539</v>
      </c>
      <c r="F919" s="49">
        <v>0</v>
      </c>
      <c r="G919" s="49">
        <v>0</v>
      </c>
      <c r="H919" s="49">
        <v>0</v>
      </c>
    </row>
    <row r="920" spans="1:8">
      <c r="A920" s="8" t="s">
        <v>8</v>
      </c>
      <c r="B920" s="9" t="s">
        <v>24</v>
      </c>
      <c r="C920" s="9" t="s">
        <v>138</v>
      </c>
      <c r="D920" s="43" t="s">
        <v>137</v>
      </c>
      <c r="E920" s="8" t="s">
        <v>1539</v>
      </c>
      <c r="F920" s="49">
        <v>0</v>
      </c>
      <c r="G920" s="49">
        <v>0</v>
      </c>
      <c r="H920" s="49">
        <v>0</v>
      </c>
    </row>
    <row r="921" spans="1:8">
      <c r="A921" s="8" t="s">
        <v>8</v>
      </c>
      <c r="B921" s="9" t="s">
        <v>24</v>
      </c>
      <c r="C921" s="9" t="s">
        <v>138</v>
      </c>
      <c r="D921" s="43" t="s">
        <v>137</v>
      </c>
      <c r="E921" s="8" t="s">
        <v>1540</v>
      </c>
      <c r="F921" s="49">
        <v>0</v>
      </c>
      <c r="G921" s="49">
        <v>0</v>
      </c>
      <c r="H921" s="49">
        <v>0</v>
      </c>
    </row>
    <row r="922" spans="1:8">
      <c r="A922" s="8" t="s">
        <v>8</v>
      </c>
      <c r="B922" s="9" t="s">
        <v>24</v>
      </c>
      <c r="C922" s="9" t="s">
        <v>138</v>
      </c>
      <c r="D922" s="43" t="s">
        <v>137</v>
      </c>
      <c r="E922" s="8" t="s">
        <v>1541</v>
      </c>
      <c r="F922" s="49">
        <v>0</v>
      </c>
      <c r="G922" s="49">
        <v>0</v>
      </c>
      <c r="H922" s="49">
        <v>0</v>
      </c>
    </row>
    <row r="923" spans="1:8">
      <c r="A923" s="8" t="s">
        <v>8</v>
      </c>
      <c r="B923" s="9" t="s">
        <v>24</v>
      </c>
      <c r="C923" s="9" t="s">
        <v>138</v>
      </c>
      <c r="D923" s="43" t="s">
        <v>137</v>
      </c>
      <c r="E923" s="8" t="s">
        <v>1542</v>
      </c>
      <c r="F923" s="49">
        <v>0</v>
      </c>
      <c r="G923" s="49">
        <v>0</v>
      </c>
      <c r="H923" s="49">
        <v>0</v>
      </c>
    </row>
    <row r="924" spans="1:8">
      <c r="A924" s="8" t="s">
        <v>8</v>
      </c>
      <c r="B924" s="9" t="s">
        <v>24</v>
      </c>
      <c r="C924" s="9" t="s">
        <v>250</v>
      </c>
      <c r="D924" s="43" t="s">
        <v>249</v>
      </c>
      <c r="E924" s="8" t="s">
        <v>1543</v>
      </c>
      <c r="F924" s="49">
        <v>0</v>
      </c>
      <c r="G924" s="49">
        <v>0</v>
      </c>
      <c r="H924" s="49">
        <v>0</v>
      </c>
    </row>
    <row r="925" spans="1:8">
      <c r="A925" s="8" t="s">
        <v>8</v>
      </c>
      <c r="B925" s="9" t="s">
        <v>24</v>
      </c>
      <c r="C925" s="9" t="s">
        <v>250</v>
      </c>
      <c r="D925" s="43" t="s">
        <v>249</v>
      </c>
      <c r="E925" s="8" t="s">
        <v>1544</v>
      </c>
      <c r="F925" s="49">
        <v>35</v>
      </c>
      <c r="G925" s="49">
        <v>694600</v>
      </c>
      <c r="H925" s="49">
        <v>0</v>
      </c>
    </row>
    <row r="926" spans="1:8">
      <c r="A926" s="8" t="s">
        <v>8</v>
      </c>
      <c r="B926" s="9" t="s">
        <v>22</v>
      </c>
      <c r="C926" s="9" t="s">
        <v>230</v>
      </c>
      <c r="D926" s="43" t="s">
        <v>229</v>
      </c>
      <c r="E926" s="8" t="s">
        <v>1545</v>
      </c>
      <c r="F926" s="49">
        <v>100</v>
      </c>
      <c r="G926" s="49">
        <v>1200200</v>
      </c>
      <c r="H926" s="49">
        <v>2700</v>
      </c>
    </row>
    <row r="927" spans="1:8">
      <c r="A927" s="8" t="s">
        <v>8</v>
      </c>
      <c r="B927" s="9" t="s">
        <v>22</v>
      </c>
      <c r="C927" s="9" t="s">
        <v>1546</v>
      </c>
      <c r="D927" s="43" t="s">
        <v>397</v>
      </c>
      <c r="E927" s="8" t="s">
        <v>1547</v>
      </c>
      <c r="F927" s="49">
        <v>16</v>
      </c>
      <c r="G927" s="49">
        <v>488000</v>
      </c>
      <c r="H927" s="49">
        <v>0</v>
      </c>
    </row>
    <row r="928" spans="1:8">
      <c r="A928" s="8" t="s">
        <v>8</v>
      </c>
      <c r="B928" s="9" t="s">
        <v>22</v>
      </c>
      <c r="C928" s="9" t="s">
        <v>1546</v>
      </c>
      <c r="D928" s="43" t="s">
        <v>397</v>
      </c>
      <c r="E928" s="8" t="s">
        <v>1548</v>
      </c>
      <c r="F928" s="49">
        <v>9</v>
      </c>
      <c r="G928" s="49">
        <v>232200</v>
      </c>
      <c r="H928" s="49">
        <v>0</v>
      </c>
    </row>
    <row r="929" spans="1:8">
      <c r="A929" s="8" t="s">
        <v>8</v>
      </c>
      <c r="B929" s="9" t="s">
        <v>22</v>
      </c>
      <c r="C929" s="9" t="s">
        <v>1546</v>
      </c>
      <c r="D929" s="43" t="s">
        <v>397</v>
      </c>
      <c r="E929" s="8" t="s">
        <v>1549</v>
      </c>
      <c r="F929" s="49">
        <v>2944</v>
      </c>
      <c r="G929" s="49">
        <v>61617200</v>
      </c>
      <c r="H929" s="49">
        <v>3306380</v>
      </c>
    </row>
    <row r="930" spans="1:8">
      <c r="A930" s="8" t="s">
        <v>8</v>
      </c>
      <c r="B930" s="9" t="s">
        <v>22</v>
      </c>
      <c r="C930" s="9" t="s">
        <v>1546</v>
      </c>
      <c r="D930" s="43" t="s">
        <v>397</v>
      </c>
      <c r="E930" s="8" t="s">
        <v>1550</v>
      </c>
      <c r="F930" s="49">
        <v>9</v>
      </c>
      <c r="G930" s="49">
        <v>272500</v>
      </c>
      <c r="H930" s="49">
        <v>0</v>
      </c>
    </row>
    <row r="931" spans="1:8">
      <c r="A931" s="8" t="s">
        <v>8</v>
      </c>
      <c r="B931" s="9" t="s">
        <v>22</v>
      </c>
      <c r="C931" s="9" t="s">
        <v>1546</v>
      </c>
      <c r="D931" s="43" t="s">
        <v>397</v>
      </c>
      <c r="E931" s="8" t="s">
        <v>1551</v>
      </c>
      <c r="F931" s="49">
        <v>7</v>
      </c>
      <c r="G931" s="49">
        <v>232300</v>
      </c>
      <c r="H931" s="49">
        <v>0</v>
      </c>
    </row>
    <row r="932" spans="1:8">
      <c r="A932" s="8" t="s">
        <v>8</v>
      </c>
      <c r="B932" s="9" t="s">
        <v>22</v>
      </c>
      <c r="C932" s="9" t="s">
        <v>1546</v>
      </c>
      <c r="D932" s="43" t="s">
        <v>397</v>
      </c>
      <c r="E932" s="8" t="s">
        <v>1552</v>
      </c>
      <c r="F932" s="49">
        <v>1</v>
      </c>
      <c r="G932" s="49">
        <v>37500</v>
      </c>
      <c r="H932" s="49">
        <v>0</v>
      </c>
    </row>
    <row r="933" spans="1:8">
      <c r="A933" s="8" t="s">
        <v>8</v>
      </c>
      <c r="B933" s="9" t="s">
        <v>22</v>
      </c>
      <c r="C933" s="9" t="s">
        <v>1546</v>
      </c>
      <c r="D933" s="43" t="s">
        <v>397</v>
      </c>
      <c r="E933" s="8" t="s">
        <v>1553</v>
      </c>
      <c r="F933" s="49">
        <v>1191</v>
      </c>
      <c r="G933" s="49">
        <v>28044100</v>
      </c>
      <c r="H933" s="49">
        <v>1560400</v>
      </c>
    </row>
    <row r="934" spans="1:8">
      <c r="A934" s="8" t="s">
        <v>8</v>
      </c>
      <c r="B934" s="9" t="s">
        <v>22</v>
      </c>
      <c r="C934" s="9" t="s">
        <v>1546</v>
      </c>
      <c r="D934" s="43" t="s">
        <v>397</v>
      </c>
      <c r="E934" s="8" t="s">
        <v>1554</v>
      </c>
      <c r="F934" s="49">
        <v>0</v>
      </c>
      <c r="G934" s="49">
        <v>0</v>
      </c>
      <c r="H934" s="49">
        <v>0</v>
      </c>
    </row>
    <row r="935" spans="1:8">
      <c r="A935" s="8" t="s">
        <v>8</v>
      </c>
      <c r="B935" s="9" t="s">
        <v>22</v>
      </c>
      <c r="C935" s="9" t="s">
        <v>1546</v>
      </c>
      <c r="D935" s="43" t="s">
        <v>397</v>
      </c>
      <c r="E935" s="8" t="s">
        <v>1555</v>
      </c>
      <c r="F935" s="49">
        <v>9</v>
      </c>
      <c r="G935" s="49">
        <v>319300</v>
      </c>
      <c r="H935" s="49">
        <v>0</v>
      </c>
    </row>
    <row r="936" spans="1:8">
      <c r="A936" s="8" t="s">
        <v>8</v>
      </c>
      <c r="B936" s="9" t="s">
        <v>22</v>
      </c>
      <c r="C936" s="9" t="s">
        <v>262</v>
      </c>
      <c r="D936" s="43" t="s">
        <v>261</v>
      </c>
      <c r="E936" s="8" t="s">
        <v>1556</v>
      </c>
      <c r="F936" s="49">
        <v>1299</v>
      </c>
      <c r="G936" s="49">
        <v>13170260</v>
      </c>
      <c r="H936" s="49">
        <v>1064450</v>
      </c>
    </row>
    <row r="937" spans="1:8">
      <c r="A937" s="8" t="s">
        <v>8</v>
      </c>
      <c r="B937" s="69" t="s">
        <v>24</v>
      </c>
      <c r="C937" s="9" t="s">
        <v>454</v>
      </c>
      <c r="D937" s="43" t="s">
        <v>453</v>
      </c>
      <c r="E937" s="8" t="s">
        <v>1557</v>
      </c>
      <c r="F937" s="49">
        <v>2</v>
      </c>
      <c r="G937" s="49">
        <v>52000</v>
      </c>
      <c r="H937" s="49">
        <v>5200</v>
      </c>
    </row>
    <row r="938" spans="1:8">
      <c r="A938" s="8" t="s">
        <v>8</v>
      </c>
      <c r="B938" s="9" t="s">
        <v>24</v>
      </c>
      <c r="C938" s="9" t="s">
        <v>458</v>
      </c>
      <c r="D938" s="43" t="s">
        <v>457</v>
      </c>
      <c r="E938" s="8" t="s">
        <v>1558</v>
      </c>
      <c r="F938" s="49">
        <v>22</v>
      </c>
      <c r="G938" s="49">
        <v>371800</v>
      </c>
      <c r="H938" s="49">
        <v>0</v>
      </c>
    </row>
    <row r="939" spans="1:8">
      <c r="A939" s="8" t="s">
        <v>8</v>
      </c>
      <c r="B939" s="9" t="s">
        <v>22</v>
      </c>
      <c r="C939" s="9" t="s">
        <v>458</v>
      </c>
      <c r="D939" s="43" t="s">
        <v>457</v>
      </c>
      <c r="E939" s="8" t="s">
        <v>1559</v>
      </c>
      <c r="F939" s="49">
        <v>64</v>
      </c>
      <c r="G939" s="49">
        <v>1209600</v>
      </c>
      <c r="H939" s="49">
        <v>0</v>
      </c>
    </row>
    <row r="940" spans="1:8">
      <c r="A940" s="8" t="s">
        <v>8</v>
      </c>
      <c r="B940" s="9" t="s">
        <v>22</v>
      </c>
      <c r="C940" s="9" t="s">
        <v>458</v>
      </c>
      <c r="D940" s="43" t="s">
        <v>457</v>
      </c>
      <c r="E940" s="8" t="s">
        <v>1560</v>
      </c>
      <c r="F940" s="49">
        <v>5</v>
      </c>
      <c r="G940" s="49">
        <v>194500</v>
      </c>
      <c r="H940" s="49">
        <v>0</v>
      </c>
    </row>
    <row r="941" spans="1:8">
      <c r="A941" s="8" t="s">
        <v>8</v>
      </c>
      <c r="B941" s="9" t="s">
        <v>22</v>
      </c>
      <c r="C941" s="9" t="s">
        <v>458</v>
      </c>
      <c r="D941" s="43" t="s">
        <v>457</v>
      </c>
      <c r="E941" s="8" t="s">
        <v>1561</v>
      </c>
      <c r="F941" s="49">
        <v>3</v>
      </c>
      <c r="G941" s="49">
        <v>59700</v>
      </c>
      <c r="H941" s="49">
        <v>0</v>
      </c>
    </row>
    <row r="942" spans="1:8">
      <c r="A942" s="8" t="s">
        <v>8</v>
      </c>
      <c r="B942" s="9" t="s">
        <v>22</v>
      </c>
      <c r="C942" s="9" t="s">
        <v>458</v>
      </c>
      <c r="D942" s="43" t="s">
        <v>457</v>
      </c>
      <c r="E942" s="8" t="s">
        <v>1562</v>
      </c>
      <c r="F942" s="49">
        <v>1</v>
      </c>
      <c r="G942" s="49">
        <v>19900</v>
      </c>
      <c r="H942" s="49">
        <v>0</v>
      </c>
    </row>
    <row r="943" spans="1:8">
      <c r="A943" s="8" t="s">
        <v>8</v>
      </c>
      <c r="B943" s="9" t="s">
        <v>22</v>
      </c>
      <c r="C943" s="9" t="s">
        <v>458</v>
      </c>
      <c r="D943" s="43" t="s">
        <v>457</v>
      </c>
      <c r="E943" s="8" t="s">
        <v>1563</v>
      </c>
      <c r="F943" s="49">
        <v>37</v>
      </c>
      <c r="G943" s="49">
        <v>625300</v>
      </c>
      <c r="H943" s="49">
        <v>0</v>
      </c>
    </row>
    <row r="944" spans="1:8">
      <c r="A944" s="8" t="s">
        <v>8</v>
      </c>
      <c r="B944" s="9" t="s">
        <v>22</v>
      </c>
      <c r="C944" s="9" t="s">
        <v>458</v>
      </c>
      <c r="D944" s="43" t="s">
        <v>457</v>
      </c>
      <c r="E944" s="8" t="s">
        <v>1564</v>
      </c>
      <c r="F944" s="49">
        <v>2</v>
      </c>
      <c r="G944" s="49">
        <v>39800</v>
      </c>
      <c r="H944" s="49">
        <v>0</v>
      </c>
    </row>
    <row r="945" spans="1:8">
      <c r="A945" s="8" t="s">
        <v>8</v>
      </c>
      <c r="B945" s="9" t="s">
        <v>22</v>
      </c>
      <c r="C945" s="9" t="s">
        <v>458</v>
      </c>
      <c r="D945" s="43" t="s">
        <v>457</v>
      </c>
      <c r="E945" s="8" t="s">
        <v>1565</v>
      </c>
      <c r="F945" s="49">
        <v>1</v>
      </c>
      <c r="G945" s="49">
        <v>12900</v>
      </c>
      <c r="H945" s="49">
        <v>0</v>
      </c>
    </row>
    <row r="946" spans="1:8">
      <c r="A946" s="8" t="s">
        <v>8</v>
      </c>
      <c r="B946" s="9" t="s">
        <v>22</v>
      </c>
      <c r="C946" s="9" t="s">
        <v>458</v>
      </c>
      <c r="D946" s="43" t="s">
        <v>457</v>
      </c>
      <c r="E946" s="8" t="s">
        <v>1566</v>
      </c>
      <c r="F946" s="49">
        <v>0</v>
      </c>
      <c r="G946" s="49">
        <v>0</v>
      </c>
      <c r="H946" s="49">
        <v>0</v>
      </c>
    </row>
    <row r="947" spans="1:8">
      <c r="A947" s="8" t="s">
        <v>8</v>
      </c>
      <c r="B947" s="9" t="s">
        <v>22</v>
      </c>
      <c r="C947" s="9" t="s">
        <v>458</v>
      </c>
      <c r="D947" s="43" t="s">
        <v>457</v>
      </c>
      <c r="E947" s="8" t="s">
        <v>1567</v>
      </c>
      <c r="F947" s="49">
        <v>409</v>
      </c>
      <c r="G947" s="49">
        <v>6503100</v>
      </c>
      <c r="H947" s="49">
        <v>0</v>
      </c>
    </row>
    <row r="948" spans="1:8">
      <c r="A948" s="8" t="s">
        <v>8</v>
      </c>
      <c r="B948" s="9" t="s">
        <v>22</v>
      </c>
      <c r="C948" s="9" t="s">
        <v>458</v>
      </c>
      <c r="D948" s="43" t="s">
        <v>457</v>
      </c>
      <c r="E948" s="8" t="s">
        <v>1568</v>
      </c>
      <c r="F948" s="49">
        <v>0</v>
      </c>
      <c r="G948" s="49">
        <v>0</v>
      </c>
      <c r="H948" s="49">
        <v>0</v>
      </c>
    </row>
    <row r="949" spans="1:8">
      <c r="A949" s="8" t="s">
        <v>8</v>
      </c>
      <c r="B949" s="9" t="s">
        <v>22</v>
      </c>
      <c r="C949" s="9" t="s">
        <v>458</v>
      </c>
      <c r="D949" s="43" t="s">
        <v>457</v>
      </c>
      <c r="E949" s="8" t="s">
        <v>1569</v>
      </c>
      <c r="F949" s="49">
        <v>0</v>
      </c>
      <c r="G949" s="49">
        <v>0</v>
      </c>
      <c r="H949" s="49">
        <v>0</v>
      </c>
    </row>
    <row r="950" spans="1:8">
      <c r="A950" s="8" t="s">
        <v>8</v>
      </c>
      <c r="B950" s="9" t="s">
        <v>22</v>
      </c>
      <c r="C950" s="9" t="s">
        <v>458</v>
      </c>
      <c r="D950" s="43" t="s">
        <v>457</v>
      </c>
      <c r="E950" s="8" t="s">
        <v>1570</v>
      </c>
      <c r="F950" s="49">
        <v>0</v>
      </c>
      <c r="G950" s="49">
        <v>0</v>
      </c>
      <c r="H950" s="49">
        <v>0</v>
      </c>
    </row>
    <row r="951" spans="1:8">
      <c r="A951" s="8" t="s">
        <v>8</v>
      </c>
      <c r="B951" s="9" t="s">
        <v>22</v>
      </c>
      <c r="C951" s="9" t="s">
        <v>458</v>
      </c>
      <c r="D951" s="43" t="s">
        <v>457</v>
      </c>
      <c r="E951" s="8" t="s">
        <v>1571</v>
      </c>
      <c r="F951" s="49">
        <v>0</v>
      </c>
      <c r="G951" s="49">
        <v>0</v>
      </c>
      <c r="H951" s="49">
        <v>0</v>
      </c>
    </row>
    <row r="952" spans="1:8">
      <c r="A952" s="8" t="s">
        <v>8</v>
      </c>
      <c r="B952" s="9" t="s">
        <v>22</v>
      </c>
      <c r="C952" s="9" t="s">
        <v>458</v>
      </c>
      <c r="D952" s="43" t="s">
        <v>457</v>
      </c>
      <c r="E952" s="8" t="s">
        <v>1572</v>
      </c>
      <c r="F952" s="49">
        <v>202</v>
      </c>
      <c r="G952" s="49">
        <v>3211800</v>
      </c>
      <c r="H952" s="49">
        <v>0</v>
      </c>
    </row>
    <row r="953" spans="1:8">
      <c r="A953" s="8" t="s">
        <v>8</v>
      </c>
      <c r="B953" s="9" t="s">
        <v>22</v>
      </c>
      <c r="C953" s="9" t="s">
        <v>458</v>
      </c>
      <c r="D953" s="43" t="s">
        <v>457</v>
      </c>
      <c r="E953" s="8" t="s">
        <v>1573</v>
      </c>
      <c r="F953" s="49">
        <v>40</v>
      </c>
      <c r="G953" s="49">
        <v>482000</v>
      </c>
      <c r="H953" s="49">
        <v>0</v>
      </c>
    </row>
    <row r="954" spans="1:8">
      <c r="A954" s="8" t="s">
        <v>8</v>
      </c>
      <c r="B954" s="9" t="s">
        <v>22</v>
      </c>
      <c r="C954" s="9" t="s">
        <v>458</v>
      </c>
      <c r="D954" s="43" t="s">
        <v>457</v>
      </c>
      <c r="E954" s="8" t="s">
        <v>1574</v>
      </c>
      <c r="F954" s="49">
        <v>1</v>
      </c>
      <c r="G954" s="49">
        <v>37900</v>
      </c>
      <c r="H954" s="49">
        <v>0</v>
      </c>
    </row>
    <row r="955" spans="1:8">
      <c r="A955" s="8" t="s">
        <v>8</v>
      </c>
      <c r="B955" s="9" t="s">
        <v>22</v>
      </c>
      <c r="C955" s="9" t="s">
        <v>458</v>
      </c>
      <c r="D955" s="43" t="s">
        <v>457</v>
      </c>
      <c r="E955" s="8" t="s">
        <v>1575</v>
      </c>
      <c r="F955" s="49">
        <v>2</v>
      </c>
      <c r="G955" s="49">
        <v>71800</v>
      </c>
      <c r="H955" s="49">
        <v>0</v>
      </c>
    </row>
    <row r="956" spans="1:8">
      <c r="A956" s="8" t="s">
        <v>8</v>
      </c>
      <c r="B956" s="9" t="s">
        <v>22</v>
      </c>
      <c r="C956" s="9" t="s">
        <v>458</v>
      </c>
      <c r="D956" s="43" t="s">
        <v>457</v>
      </c>
      <c r="E956" s="8" t="s">
        <v>1576</v>
      </c>
      <c r="F956" s="49">
        <v>1</v>
      </c>
      <c r="G956" s="49">
        <v>22900</v>
      </c>
      <c r="H956" s="49">
        <v>0</v>
      </c>
    </row>
    <row r="957" spans="1:8">
      <c r="A957" s="8" t="s">
        <v>8</v>
      </c>
      <c r="B957" s="9" t="s">
        <v>22</v>
      </c>
      <c r="C957" s="9" t="s">
        <v>458</v>
      </c>
      <c r="D957" s="43" t="s">
        <v>457</v>
      </c>
      <c r="E957" s="8" t="s">
        <v>1563</v>
      </c>
      <c r="F957" s="49">
        <v>4</v>
      </c>
      <c r="G957" s="49">
        <v>79600</v>
      </c>
      <c r="H957" s="49">
        <v>0</v>
      </c>
    </row>
    <row r="958" spans="1:8">
      <c r="A958" s="8" t="s">
        <v>8</v>
      </c>
      <c r="B958" s="9" t="s">
        <v>22</v>
      </c>
      <c r="C958" s="9" t="s">
        <v>458</v>
      </c>
      <c r="D958" s="43" t="s">
        <v>457</v>
      </c>
      <c r="E958" s="8" t="s">
        <v>1577</v>
      </c>
      <c r="F958" s="49">
        <v>95</v>
      </c>
      <c r="G958" s="49">
        <v>1805000</v>
      </c>
      <c r="H958" s="49">
        <v>0</v>
      </c>
    </row>
    <row r="959" spans="1:8">
      <c r="A959" s="8" t="s">
        <v>8</v>
      </c>
      <c r="B959" s="69" t="s">
        <v>23</v>
      </c>
      <c r="C959" s="9" t="s">
        <v>150</v>
      </c>
      <c r="D959" s="43" t="s">
        <v>149</v>
      </c>
      <c r="E959" s="8" t="s">
        <v>1578</v>
      </c>
      <c r="F959" s="49">
        <v>3</v>
      </c>
      <c r="G959" s="49">
        <v>80700</v>
      </c>
      <c r="H959" s="49">
        <v>4570</v>
      </c>
    </row>
    <row r="960" spans="1:8">
      <c r="A960" s="8" t="s">
        <v>8</v>
      </c>
      <c r="B960" s="9" t="s">
        <v>23</v>
      </c>
      <c r="C960" s="9" t="s">
        <v>504</v>
      </c>
      <c r="D960" s="43" t="s">
        <v>503</v>
      </c>
      <c r="E960" s="8" t="s">
        <v>1579</v>
      </c>
      <c r="F960" s="49">
        <v>0</v>
      </c>
      <c r="G960" s="49">
        <v>0</v>
      </c>
      <c r="H960" s="49">
        <v>0</v>
      </c>
    </row>
    <row r="961" spans="1:8">
      <c r="A961" s="8" t="s">
        <v>8</v>
      </c>
      <c r="B961" s="9" t="s">
        <v>22</v>
      </c>
      <c r="C961" s="9" t="s">
        <v>504</v>
      </c>
      <c r="D961" s="43" t="s">
        <v>503</v>
      </c>
      <c r="E961" s="8" t="s">
        <v>1580</v>
      </c>
      <c r="F961" s="49">
        <v>0</v>
      </c>
      <c r="G961" s="49">
        <v>0</v>
      </c>
      <c r="H961" s="49">
        <v>0</v>
      </c>
    </row>
    <row r="962" spans="1:8">
      <c r="A962" s="8" t="s">
        <v>8</v>
      </c>
      <c r="B962" s="9" t="s">
        <v>22</v>
      </c>
      <c r="C962" s="9" t="s">
        <v>504</v>
      </c>
      <c r="D962" s="43" t="s">
        <v>503</v>
      </c>
      <c r="E962" s="8" t="s">
        <v>1581</v>
      </c>
      <c r="F962" s="49">
        <v>0</v>
      </c>
      <c r="G962" s="49">
        <v>0</v>
      </c>
      <c r="H962" s="49">
        <v>0</v>
      </c>
    </row>
    <row r="963" spans="1:8">
      <c r="A963" s="8" t="s">
        <v>8</v>
      </c>
      <c r="B963" s="9" t="s">
        <v>22</v>
      </c>
      <c r="C963" s="9" t="s">
        <v>504</v>
      </c>
      <c r="D963" s="43" t="s">
        <v>503</v>
      </c>
      <c r="E963" s="8" t="s">
        <v>1582</v>
      </c>
      <c r="F963" s="49">
        <v>0</v>
      </c>
      <c r="G963" s="49">
        <v>0</v>
      </c>
      <c r="H963" s="49">
        <v>0</v>
      </c>
    </row>
    <row r="964" spans="1:8">
      <c r="A964" s="8" t="s">
        <v>8</v>
      </c>
      <c r="B964" s="9" t="s">
        <v>24</v>
      </c>
      <c r="C964" s="9" t="s">
        <v>504</v>
      </c>
      <c r="D964" s="43" t="s">
        <v>503</v>
      </c>
      <c r="E964" s="8" t="s">
        <v>1583</v>
      </c>
      <c r="F964" s="49">
        <v>0</v>
      </c>
      <c r="G964" s="49">
        <v>0</v>
      </c>
      <c r="H964" s="49">
        <v>0</v>
      </c>
    </row>
    <row r="965" spans="1:8">
      <c r="A965" s="8" t="s">
        <v>8</v>
      </c>
      <c r="B965" s="9" t="s">
        <v>24</v>
      </c>
      <c r="C965" s="9" t="s">
        <v>470</v>
      </c>
      <c r="D965" s="43" t="s">
        <v>469</v>
      </c>
      <c r="E965" s="8" t="s">
        <v>1584</v>
      </c>
      <c r="F965" s="49">
        <v>4</v>
      </c>
      <c r="G965" s="49">
        <v>100000</v>
      </c>
      <c r="H965" s="49">
        <v>0</v>
      </c>
    </row>
    <row r="966" spans="1:8">
      <c r="A966" s="8" t="s">
        <v>8</v>
      </c>
      <c r="B966" s="9" t="s">
        <v>22</v>
      </c>
      <c r="C966" s="9" t="s">
        <v>470</v>
      </c>
      <c r="D966" s="43" t="s">
        <v>469</v>
      </c>
      <c r="E966" s="8" t="s">
        <v>1585</v>
      </c>
      <c r="F966" s="49">
        <v>8</v>
      </c>
      <c r="G966" s="49">
        <v>120000</v>
      </c>
      <c r="H966" s="49">
        <v>4740</v>
      </c>
    </row>
    <row r="967" spans="1:8">
      <c r="A967" s="8" t="s">
        <v>8</v>
      </c>
      <c r="B967" s="69" t="s">
        <v>24</v>
      </c>
      <c r="C967" s="9" t="s">
        <v>192</v>
      </c>
      <c r="D967" s="43" t="s">
        <v>191</v>
      </c>
      <c r="E967" s="8" t="s">
        <v>1586</v>
      </c>
      <c r="F967" s="49">
        <v>5</v>
      </c>
      <c r="G967" s="49">
        <v>142500</v>
      </c>
      <c r="H967" s="49">
        <v>10000</v>
      </c>
    </row>
    <row r="968" spans="1:8">
      <c r="A968" s="8" t="s">
        <v>8</v>
      </c>
      <c r="B968" s="9" t="s">
        <v>24</v>
      </c>
      <c r="C968" s="9" t="s">
        <v>192</v>
      </c>
      <c r="D968" s="43" t="s">
        <v>191</v>
      </c>
      <c r="E968" s="8" t="s">
        <v>1587</v>
      </c>
      <c r="F968" s="49">
        <v>0</v>
      </c>
      <c r="G968" s="49">
        <v>0</v>
      </c>
      <c r="H968" s="49">
        <v>0</v>
      </c>
    </row>
    <row r="969" spans="1:8">
      <c r="A969" s="8" t="s">
        <v>8</v>
      </c>
      <c r="B969" s="9" t="s">
        <v>24</v>
      </c>
      <c r="C969" s="9" t="s">
        <v>192</v>
      </c>
      <c r="D969" s="43" t="s">
        <v>191</v>
      </c>
      <c r="E969" s="8" t="s">
        <v>1588</v>
      </c>
      <c r="F969" s="49">
        <v>0</v>
      </c>
      <c r="G969" s="49">
        <v>0</v>
      </c>
      <c r="H969" s="49">
        <v>0</v>
      </c>
    </row>
    <row r="970" spans="1:8">
      <c r="A970" s="8" t="s">
        <v>8</v>
      </c>
      <c r="B970" s="9" t="s">
        <v>24</v>
      </c>
      <c r="C970" s="9" t="s">
        <v>192</v>
      </c>
      <c r="D970" s="43" t="s">
        <v>191</v>
      </c>
      <c r="E970" s="8" t="s">
        <v>1589</v>
      </c>
      <c r="F970" s="49">
        <v>0</v>
      </c>
      <c r="G970" s="49">
        <v>0</v>
      </c>
      <c r="H970" s="49">
        <v>0</v>
      </c>
    </row>
    <row r="971" spans="1:8">
      <c r="A971" s="8" t="s">
        <v>8</v>
      </c>
      <c r="B971" s="9" t="s">
        <v>24</v>
      </c>
      <c r="C971" s="9" t="s">
        <v>192</v>
      </c>
      <c r="D971" s="43" t="s">
        <v>191</v>
      </c>
      <c r="E971" s="8" t="s">
        <v>1590</v>
      </c>
      <c r="F971" s="49">
        <v>0</v>
      </c>
      <c r="G971" s="49">
        <v>0</v>
      </c>
      <c r="H971" s="49">
        <v>0</v>
      </c>
    </row>
    <row r="972" spans="1:8">
      <c r="A972" s="8" t="s">
        <v>8</v>
      </c>
      <c r="B972" s="9" t="s">
        <v>24</v>
      </c>
      <c r="C972" s="9" t="s">
        <v>192</v>
      </c>
      <c r="D972" s="43" t="s">
        <v>191</v>
      </c>
      <c r="E972" s="8" t="s">
        <v>1591</v>
      </c>
      <c r="F972" s="49">
        <v>103</v>
      </c>
      <c r="G972" s="49">
        <v>1534700</v>
      </c>
      <c r="H972" s="49">
        <v>47260</v>
      </c>
    </row>
    <row r="973" spans="1:8">
      <c r="A973" s="8" t="s">
        <v>8</v>
      </c>
      <c r="B973" s="9" t="s">
        <v>24</v>
      </c>
      <c r="C973" s="9" t="s">
        <v>192</v>
      </c>
      <c r="D973" s="43" t="s">
        <v>191</v>
      </c>
      <c r="E973" s="8" t="s">
        <v>1592</v>
      </c>
      <c r="F973" s="49">
        <v>0</v>
      </c>
      <c r="G973" s="49">
        <v>0</v>
      </c>
      <c r="H973" s="49">
        <v>0</v>
      </c>
    </row>
    <row r="974" spans="1:8">
      <c r="A974" s="8" t="s">
        <v>8</v>
      </c>
      <c r="B974" s="9" t="s">
        <v>24</v>
      </c>
      <c r="C974" s="9" t="s">
        <v>192</v>
      </c>
      <c r="D974" s="43" t="s">
        <v>191</v>
      </c>
      <c r="E974" s="8" t="s">
        <v>1593</v>
      </c>
      <c r="F974" s="49">
        <v>0</v>
      </c>
      <c r="G974" s="49">
        <v>0</v>
      </c>
      <c r="H974" s="49">
        <v>0</v>
      </c>
    </row>
    <row r="975" spans="1:8">
      <c r="A975" s="8" t="s">
        <v>8</v>
      </c>
      <c r="B975" s="9" t="s">
        <v>24</v>
      </c>
      <c r="C975" s="9" t="s">
        <v>192</v>
      </c>
      <c r="D975" s="43" t="s">
        <v>191</v>
      </c>
      <c r="E975" s="8" t="s">
        <v>1594</v>
      </c>
      <c r="F975" s="49">
        <v>0</v>
      </c>
      <c r="G975" s="49">
        <v>0</v>
      </c>
      <c r="H975" s="49">
        <v>0</v>
      </c>
    </row>
    <row r="976" spans="1:8">
      <c r="A976" s="8" t="s">
        <v>8</v>
      </c>
      <c r="B976" s="9" t="s">
        <v>24</v>
      </c>
      <c r="C976" s="9" t="s">
        <v>192</v>
      </c>
      <c r="D976" s="43" t="s">
        <v>191</v>
      </c>
      <c r="E976" s="8" t="s">
        <v>1595</v>
      </c>
      <c r="F976" s="49">
        <v>0</v>
      </c>
      <c r="G976" s="49">
        <v>0</v>
      </c>
      <c r="H976" s="49">
        <v>0</v>
      </c>
    </row>
    <row r="977" spans="1:8">
      <c r="A977" s="8" t="s">
        <v>8</v>
      </c>
      <c r="B977" s="9" t="s">
        <v>24</v>
      </c>
      <c r="C977" s="9" t="s">
        <v>192</v>
      </c>
      <c r="D977" s="43" t="s">
        <v>191</v>
      </c>
      <c r="E977" s="8" t="s">
        <v>1596</v>
      </c>
      <c r="F977" s="49">
        <v>0</v>
      </c>
      <c r="G977" s="49">
        <v>0</v>
      </c>
      <c r="H977" s="49">
        <v>0</v>
      </c>
    </row>
    <row r="978" spans="1:8">
      <c r="A978" s="8" t="s">
        <v>8</v>
      </c>
      <c r="B978" s="9" t="s">
        <v>24</v>
      </c>
      <c r="C978" s="9" t="s">
        <v>94</v>
      </c>
      <c r="D978" s="43" t="s">
        <v>93</v>
      </c>
      <c r="E978" s="8" t="s">
        <v>1597</v>
      </c>
      <c r="F978" s="49">
        <v>0</v>
      </c>
      <c r="G978" s="49">
        <v>0</v>
      </c>
      <c r="H978" s="49">
        <v>0</v>
      </c>
    </row>
    <row r="979" spans="1:8">
      <c r="A979" s="8" t="s">
        <v>8</v>
      </c>
      <c r="B979" s="9" t="s">
        <v>22</v>
      </c>
      <c r="C979" s="9" t="s">
        <v>94</v>
      </c>
      <c r="D979" s="43" t="s">
        <v>93</v>
      </c>
      <c r="E979" s="8" t="s">
        <v>1598</v>
      </c>
      <c r="F979" s="49">
        <v>0</v>
      </c>
      <c r="G979" s="49">
        <v>0</v>
      </c>
      <c r="H979" s="49">
        <v>0</v>
      </c>
    </row>
    <row r="980" spans="1:8">
      <c r="A980" s="8" t="s">
        <v>8</v>
      </c>
      <c r="B980" s="9" t="s">
        <v>22</v>
      </c>
      <c r="C980" s="9" t="s">
        <v>94</v>
      </c>
      <c r="D980" s="43" t="s">
        <v>93</v>
      </c>
      <c r="E980" s="8" t="s">
        <v>1599</v>
      </c>
      <c r="F980" s="49">
        <v>0</v>
      </c>
      <c r="G980" s="49">
        <v>0</v>
      </c>
      <c r="H980" s="49">
        <v>0</v>
      </c>
    </row>
    <row r="981" spans="1:8">
      <c r="A981" s="8" t="s">
        <v>8</v>
      </c>
      <c r="B981" s="9" t="s">
        <v>22</v>
      </c>
      <c r="C981" s="9" t="s">
        <v>94</v>
      </c>
      <c r="D981" s="43" t="s">
        <v>93</v>
      </c>
      <c r="E981" s="8" t="s">
        <v>1600</v>
      </c>
      <c r="F981" s="49">
        <v>0</v>
      </c>
      <c r="G981" s="49">
        <v>0</v>
      </c>
      <c r="H981" s="49">
        <v>0</v>
      </c>
    </row>
    <row r="982" spans="1:8">
      <c r="A982" s="8" t="s">
        <v>8</v>
      </c>
      <c r="B982" s="69" t="s">
        <v>24</v>
      </c>
      <c r="C982" s="9" t="s">
        <v>562</v>
      </c>
      <c r="D982" s="43" t="s">
        <v>561</v>
      </c>
      <c r="E982" s="8" t="s">
        <v>1601</v>
      </c>
      <c r="F982" s="49">
        <v>0</v>
      </c>
      <c r="G982" s="49">
        <v>0</v>
      </c>
      <c r="H982" s="49">
        <v>0</v>
      </c>
    </row>
    <row r="983" spans="1:8">
      <c r="A983" s="8" t="s">
        <v>8</v>
      </c>
      <c r="B983" s="9" t="s">
        <v>24</v>
      </c>
      <c r="C983" s="9" t="s">
        <v>562</v>
      </c>
      <c r="D983" s="43" t="s">
        <v>561</v>
      </c>
      <c r="E983" s="8" t="s">
        <v>1602</v>
      </c>
      <c r="F983" s="49">
        <v>1</v>
      </c>
      <c r="G983" s="49">
        <v>26900</v>
      </c>
      <c r="H983" s="49">
        <v>0</v>
      </c>
    </row>
    <row r="984" spans="1:8">
      <c r="A984" s="8" t="s">
        <v>8</v>
      </c>
      <c r="B984" s="9" t="s">
        <v>24</v>
      </c>
      <c r="C984" s="9" t="s">
        <v>562</v>
      </c>
      <c r="D984" s="43" t="s">
        <v>561</v>
      </c>
      <c r="E984" s="8" t="s">
        <v>1603</v>
      </c>
      <c r="F984" s="49">
        <v>17</v>
      </c>
      <c r="G984" s="49">
        <v>651300</v>
      </c>
      <c r="H984" s="49">
        <v>32140</v>
      </c>
    </row>
    <row r="985" spans="1:8">
      <c r="A985" s="8" t="s">
        <v>8</v>
      </c>
      <c r="B985" s="9" t="s">
        <v>24</v>
      </c>
      <c r="C985" s="9" t="s">
        <v>562</v>
      </c>
      <c r="D985" s="43" t="s">
        <v>561</v>
      </c>
      <c r="E985" s="8" t="s">
        <v>1604</v>
      </c>
      <c r="F985" s="49">
        <v>9</v>
      </c>
      <c r="G985" s="49">
        <v>398800</v>
      </c>
      <c r="H985" s="49">
        <v>0</v>
      </c>
    </row>
    <row r="986" spans="1:8">
      <c r="A986" s="8" t="s">
        <v>8</v>
      </c>
      <c r="B986" s="9" t="s">
        <v>24</v>
      </c>
      <c r="C986" s="9" t="s">
        <v>562</v>
      </c>
      <c r="D986" s="43" t="s">
        <v>561</v>
      </c>
      <c r="E986" s="8" t="s">
        <v>1605</v>
      </c>
      <c r="F986" s="49">
        <v>0</v>
      </c>
      <c r="G986" s="49">
        <v>0</v>
      </c>
      <c r="H986" s="49">
        <v>0</v>
      </c>
    </row>
    <row r="987" spans="1:8">
      <c r="A987" s="8" t="s">
        <v>8</v>
      </c>
      <c r="B987" s="9" t="s">
        <v>24</v>
      </c>
      <c r="C987" s="9" t="s">
        <v>562</v>
      </c>
      <c r="D987" s="43" t="s">
        <v>561</v>
      </c>
      <c r="E987" s="8" t="s">
        <v>1606</v>
      </c>
      <c r="F987" s="49">
        <v>0</v>
      </c>
      <c r="G987" s="49">
        <v>0</v>
      </c>
      <c r="H987" s="49">
        <v>0</v>
      </c>
    </row>
    <row r="988" spans="1:8">
      <c r="A988" s="8" t="s">
        <v>8</v>
      </c>
      <c r="B988" s="9" t="s">
        <v>24</v>
      </c>
      <c r="C988" s="9" t="s">
        <v>562</v>
      </c>
      <c r="D988" s="43" t="s">
        <v>561</v>
      </c>
      <c r="E988" s="8" t="s">
        <v>1607</v>
      </c>
      <c r="F988" s="49">
        <v>0</v>
      </c>
      <c r="G988" s="49">
        <v>0</v>
      </c>
      <c r="H988" s="49">
        <v>0</v>
      </c>
    </row>
    <row r="989" spans="1:8">
      <c r="A989" s="8" t="s">
        <v>8</v>
      </c>
      <c r="B989" s="9" t="s">
        <v>24</v>
      </c>
      <c r="C989" s="9" t="s">
        <v>562</v>
      </c>
      <c r="D989" s="43" t="s">
        <v>561</v>
      </c>
      <c r="E989" s="8" t="s">
        <v>1608</v>
      </c>
      <c r="F989" s="49">
        <v>0</v>
      </c>
      <c r="G989" s="49">
        <v>0</v>
      </c>
      <c r="H989" s="49">
        <v>0</v>
      </c>
    </row>
    <row r="990" spans="1:8">
      <c r="A990" s="8" t="s">
        <v>8</v>
      </c>
      <c r="B990" s="9" t="s">
        <v>24</v>
      </c>
      <c r="C990" s="9" t="s">
        <v>562</v>
      </c>
      <c r="D990" s="43" t="s">
        <v>561</v>
      </c>
      <c r="E990" s="8" t="s">
        <v>1609</v>
      </c>
      <c r="F990" s="49">
        <v>0</v>
      </c>
      <c r="G990" s="49">
        <v>0</v>
      </c>
      <c r="H990" s="49">
        <v>0</v>
      </c>
    </row>
    <row r="991" spans="1:8">
      <c r="A991" s="8" t="s">
        <v>8</v>
      </c>
      <c r="B991" s="9" t="s">
        <v>24</v>
      </c>
      <c r="C991" s="9" t="s">
        <v>562</v>
      </c>
      <c r="D991" s="43" t="s">
        <v>561</v>
      </c>
      <c r="E991" s="8" t="s">
        <v>1610</v>
      </c>
      <c r="F991" s="49">
        <v>1</v>
      </c>
      <c r="G991" s="49">
        <v>49900</v>
      </c>
      <c r="H991" s="49">
        <v>0</v>
      </c>
    </row>
    <row r="992" spans="1:8">
      <c r="A992" s="8" t="s">
        <v>8</v>
      </c>
      <c r="B992" s="9" t="s">
        <v>24</v>
      </c>
      <c r="C992" s="9" t="s">
        <v>562</v>
      </c>
      <c r="D992" s="43" t="s">
        <v>561</v>
      </c>
      <c r="E992" s="8" t="s">
        <v>1611</v>
      </c>
      <c r="F992" s="49">
        <v>0</v>
      </c>
      <c r="G992" s="49">
        <v>0</v>
      </c>
      <c r="H992" s="49">
        <v>0</v>
      </c>
    </row>
    <row r="993" spans="1:8">
      <c r="A993" s="8" t="s">
        <v>8</v>
      </c>
      <c r="B993" s="9" t="s">
        <v>24</v>
      </c>
      <c r="C993" s="9" t="s">
        <v>562</v>
      </c>
      <c r="D993" s="43" t="s">
        <v>561</v>
      </c>
      <c r="E993" s="8" t="s">
        <v>1612</v>
      </c>
      <c r="F993" s="49">
        <v>0</v>
      </c>
      <c r="G993" s="49">
        <v>0</v>
      </c>
      <c r="H993" s="49">
        <v>0</v>
      </c>
    </row>
    <row r="994" spans="1:8">
      <c r="A994" s="8" t="s">
        <v>8</v>
      </c>
      <c r="B994" s="9" t="s">
        <v>24</v>
      </c>
      <c r="C994" s="9" t="s">
        <v>562</v>
      </c>
      <c r="D994" s="43" t="s">
        <v>561</v>
      </c>
      <c r="E994" s="8" t="s">
        <v>1613</v>
      </c>
      <c r="F994" s="49">
        <v>0</v>
      </c>
      <c r="G994" s="49">
        <v>0</v>
      </c>
      <c r="H994" s="49">
        <v>0</v>
      </c>
    </row>
    <row r="995" spans="1:8">
      <c r="A995" s="8" t="s">
        <v>8</v>
      </c>
      <c r="B995" s="9" t="s">
        <v>24</v>
      </c>
      <c r="C995" s="9" t="s">
        <v>562</v>
      </c>
      <c r="D995" s="43" t="s">
        <v>561</v>
      </c>
      <c r="E995" s="8" t="s">
        <v>1614</v>
      </c>
      <c r="F995" s="49">
        <v>0</v>
      </c>
      <c r="G995" s="49">
        <v>0</v>
      </c>
      <c r="H995" s="49">
        <v>0</v>
      </c>
    </row>
    <row r="996" spans="1:8">
      <c r="A996" s="8" t="s">
        <v>8</v>
      </c>
      <c r="B996" s="9" t="s">
        <v>24</v>
      </c>
      <c r="C996" s="9" t="s">
        <v>562</v>
      </c>
      <c r="D996" s="43" t="s">
        <v>561</v>
      </c>
      <c r="E996" s="8" t="s">
        <v>1615</v>
      </c>
      <c r="F996" s="49">
        <v>7</v>
      </c>
      <c r="G996" s="49">
        <v>125500</v>
      </c>
      <c r="H996" s="49">
        <v>3500</v>
      </c>
    </row>
    <row r="997" spans="1:8">
      <c r="A997" s="8" t="s">
        <v>8</v>
      </c>
      <c r="B997" s="9" t="s">
        <v>24</v>
      </c>
      <c r="C997" s="9" t="s">
        <v>562</v>
      </c>
      <c r="D997" s="43" t="s">
        <v>561</v>
      </c>
      <c r="E997" s="8" t="s">
        <v>1616</v>
      </c>
      <c r="F997" s="49">
        <v>8</v>
      </c>
      <c r="G997" s="49">
        <v>223200</v>
      </c>
      <c r="H997" s="49">
        <v>5380</v>
      </c>
    </row>
    <row r="998" spans="1:8">
      <c r="A998" s="8" t="s">
        <v>8</v>
      </c>
      <c r="B998" s="9" t="s">
        <v>24</v>
      </c>
      <c r="C998" s="9" t="s">
        <v>562</v>
      </c>
      <c r="D998" s="43" t="s">
        <v>561</v>
      </c>
      <c r="E998" s="8" t="s">
        <v>1617</v>
      </c>
      <c r="F998" s="49">
        <v>26</v>
      </c>
      <c r="G998" s="49">
        <v>1031400</v>
      </c>
      <c r="H998" s="49">
        <v>0</v>
      </c>
    </row>
    <row r="999" spans="1:8">
      <c r="A999" s="8" t="s">
        <v>8</v>
      </c>
      <c r="B999" s="9" t="s">
        <v>24</v>
      </c>
      <c r="C999" s="9" t="s">
        <v>562</v>
      </c>
      <c r="D999" s="43" t="s">
        <v>561</v>
      </c>
      <c r="E999" s="8" t="s">
        <v>1618</v>
      </c>
      <c r="F999" s="49">
        <v>242</v>
      </c>
      <c r="G999" s="49">
        <v>11349800</v>
      </c>
      <c r="H999" s="49">
        <v>697380</v>
      </c>
    </row>
    <row r="1000" spans="1:8">
      <c r="A1000" s="8" t="s">
        <v>8</v>
      </c>
      <c r="B1000" s="9" t="s">
        <v>24</v>
      </c>
      <c r="C1000" s="9" t="s">
        <v>562</v>
      </c>
      <c r="D1000" s="43" t="s">
        <v>561</v>
      </c>
      <c r="E1000" s="8" t="s">
        <v>1619</v>
      </c>
      <c r="F1000" s="49">
        <v>1</v>
      </c>
      <c r="G1000" s="49">
        <v>38900</v>
      </c>
      <c r="H1000" s="49">
        <v>0</v>
      </c>
    </row>
    <row r="1001" spans="1:8">
      <c r="A1001" s="8" t="s">
        <v>8</v>
      </c>
      <c r="B1001" s="9" t="s">
        <v>24</v>
      </c>
      <c r="C1001" s="9" t="s">
        <v>1620</v>
      </c>
      <c r="D1001" s="43" t="s">
        <v>323</v>
      </c>
      <c r="E1001" s="8" t="s">
        <v>1621</v>
      </c>
      <c r="F1001" s="49">
        <v>4114</v>
      </c>
      <c r="G1001" s="49">
        <v>61928280</v>
      </c>
      <c r="H1001" s="49">
        <v>4994140</v>
      </c>
    </row>
    <row r="1002" spans="1:8">
      <c r="A1002" s="8" t="s">
        <v>8</v>
      </c>
      <c r="B1002" s="69" t="s">
        <v>24</v>
      </c>
      <c r="C1002" s="9" t="s">
        <v>1622</v>
      </c>
      <c r="D1002" s="43" t="s">
        <v>563</v>
      </c>
      <c r="E1002" s="8" t="s">
        <v>1623</v>
      </c>
      <c r="F1002" s="49">
        <v>13</v>
      </c>
      <c r="G1002" s="49">
        <v>142870</v>
      </c>
      <c r="H1002" s="49">
        <v>0</v>
      </c>
    </row>
    <row r="1003" spans="1:8">
      <c r="A1003" s="8" t="s">
        <v>8</v>
      </c>
      <c r="B1003" s="69" t="s">
        <v>24</v>
      </c>
      <c r="C1003" s="9" t="s">
        <v>1624</v>
      </c>
      <c r="D1003" s="43" t="s">
        <v>413</v>
      </c>
      <c r="E1003" s="8" t="s">
        <v>1625</v>
      </c>
      <c r="F1003" s="49">
        <v>959</v>
      </c>
      <c r="G1003" s="49">
        <v>15399380</v>
      </c>
      <c r="H1003" s="49">
        <v>0</v>
      </c>
    </row>
    <row r="1004" spans="1:8">
      <c r="A1004" s="8" t="s">
        <v>8</v>
      </c>
      <c r="B1004" s="9" t="s">
        <v>22</v>
      </c>
      <c r="C1004" s="9" t="s">
        <v>222</v>
      </c>
      <c r="D1004" s="43" t="s">
        <v>221</v>
      </c>
      <c r="E1004" s="8" t="s">
        <v>1626</v>
      </c>
      <c r="F1004" s="49">
        <v>0</v>
      </c>
      <c r="G1004" s="49">
        <v>0</v>
      </c>
      <c r="H1004" s="49">
        <v>0</v>
      </c>
    </row>
    <row r="1005" spans="1:8">
      <c r="A1005" s="8" t="s">
        <v>8</v>
      </c>
      <c r="B1005" s="9" t="s">
        <v>22</v>
      </c>
      <c r="C1005" s="9" t="s">
        <v>222</v>
      </c>
      <c r="D1005" s="43" t="s">
        <v>221</v>
      </c>
      <c r="E1005" s="8" t="s">
        <v>1627</v>
      </c>
      <c r="F1005" s="49">
        <v>0</v>
      </c>
      <c r="G1005" s="49">
        <v>0</v>
      </c>
      <c r="H1005" s="49">
        <v>0</v>
      </c>
    </row>
    <row r="1006" spans="1:8">
      <c r="A1006" s="8" t="s">
        <v>8</v>
      </c>
      <c r="B1006" s="9" t="s">
        <v>22</v>
      </c>
      <c r="C1006" s="9" t="s">
        <v>222</v>
      </c>
      <c r="D1006" s="43" t="s">
        <v>221</v>
      </c>
      <c r="E1006" s="8" t="s">
        <v>1628</v>
      </c>
      <c r="F1006" s="49">
        <v>0</v>
      </c>
      <c r="G1006" s="49">
        <v>0</v>
      </c>
      <c r="H1006" s="49">
        <v>0</v>
      </c>
    </row>
    <row r="1007" spans="1:8">
      <c r="A1007" s="8" t="s">
        <v>8</v>
      </c>
      <c r="B1007" s="69" t="s">
        <v>24</v>
      </c>
      <c r="C1007" s="9" t="s">
        <v>392</v>
      </c>
      <c r="D1007" s="43" t="s">
        <v>391</v>
      </c>
      <c r="E1007" s="8" t="s">
        <v>1629</v>
      </c>
      <c r="F1007" s="49">
        <v>136</v>
      </c>
      <c r="G1007" s="49">
        <v>5908800</v>
      </c>
      <c r="H1007" s="49">
        <v>0</v>
      </c>
    </row>
    <row r="1008" spans="1:8">
      <c r="A1008" s="8" t="s">
        <v>8</v>
      </c>
      <c r="B1008" s="69" t="s">
        <v>24</v>
      </c>
      <c r="C1008" s="9" t="s">
        <v>454</v>
      </c>
      <c r="D1008" s="43" t="s">
        <v>453</v>
      </c>
      <c r="E1008" s="8" t="s">
        <v>1630</v>
      </c>
      <c r="F1008" s="49">
        <v>0</v>
      </c>
      <c r="G1008" s="49">
        <v>0</v>
      </c>
      <c r="H1008" s="49">
        <v>0</v>
      </c>
    </row>
    <row r="1009" spans="1:8">
      <c r="A1009" s="8" t="s">
        <v>8</v>
      </c>
      <c r="B1009" s="69" t="s">
        <v>24</v>
      </c>
      <c r="C1009" s="9" t="s">
        <v>454</v>
      </c>
      <c r="D1009" s="43" t="s">
        <v>453</v>
      </c>
      <c r="E1009" s="8" t="s">
        <v>1631</v>
      </c>
      <c r="F1009" s="49">
        <v>0</v>
      </c>
      <c r="G1009" s="49">
        <v>0</v>
      </c>
      <c r="H1009" s="49">
        <v>0</v>
      </c>
    </row>
    <row r="1010" spans="1:8">
      <c r="A1010" s="8" t="s">
        <v>8</v>
      </c>
      <c r="B1010" s="9" t="s">
        <v>22</v>
      </c>
      <c r="C1010" s="9" t="s">
        <v>170</v>
      </c>
      <c r="D1010" s="43" t="s">
        <v>169</v>
      </c>
      <c r="E1010" s="8" t="s">
        <v>1632</v>
      </c>
      <c r="F1010" s="49">
        <v>14</v>
      </c>
      <c r="G1010" s="49">
        <v>197000</v>
      </c>
      <c r="H1010" s="49">
        <v>0</v>
      </c>
    </row>
    <row r="1011" spans="1:8">
      <c r="A1011" s="8" t="s">
        <v>8</v>
      </c>
      <c r="B1011" s="9" t="s">
        <v>22</v>
      </c>
      <c r="C1011" s="9" t="s">
        <v>504</v>
      </c>
      <c r="D1011" s="43" t="s">
        <v>503</v>
      </c>
      <c r="E1011" s="8" t="s">
        <v>1579</v>
      </c>
      <c r="F1011" s="49">
        <v>0</v>
      </c>
      <c r="G1011" s="49">
        <v>0</v>
      </c>
      <c r="H1011" s="49">
        <v>0</v>
      </c>
    </row>
    <row r="1012" spans="1:8">
      <c r="A1012" s="8" t="s">
        <v>8</v>
      </c>
      <c r="B1012" s="9" t="s">
        <v>22</v>
      </c>
      <c r="C1012" s="9" t="s">
        <v>504</v>
      </c>
      <c r="D1012" s="43" t="s">
        <v>503</v>
      </c>
      <c r="E1012" s="8" t="s">
        <v>1582</v>
      </c>
      <c r="F1012" s="49">
        <v>12</v>
      </c>
      <c r="G1012" s="49">
        <v>240000</v>
      </c>
      <c r="H1012" s="49">
        <v>0</v>
      </c>
    </row>
    <row r="1013" spans="1:8">
      <c r="A1013" s="8" t="s">
        <v>8</v>
      </c>
      <c r="B1013" s="9" t="s">
        <v>22</v>
      </c>
      <c r="C1013" s="9" t="s">
        <v>504</v>
      </c>
      <c r="D1013" s="43" t="s">
        <v>503</v>
      </c>
      <c r="E1013" s="8" t="s">
        <v>1583</v>
      </c>
      <c r="F1013" s="49">
        <v>3</v>
      </c>
      <c r="G1013" s="49">
        <v>54000</v>
      </c>
      <c r="H1013" s="49">
        <v>0</v>
      </c>
    </row>
    <row r="1014" spans="1:8">
      <c r="A1014" s="8" t="s">
        <v>8</v>
      </c>
      <c r="B1014" s="9" t="s">
        <v>22</v>
      </c>
      <c r="C1014" s="9" t="s">
        <v>230</v>
      </c>
      <c r="D1014" s="43" t="s">
        <v>229</v>
      </c>
      <c r="E1014" s="8" t="s">
        <v>1633</v>
      </c>
      <c r="F1014" s="49">
        <v>3307</v>
      </c>
      <c r="G1014" s="49">
        <v>58411500</v>
      </c>
      <c r="H1014" s="49">
        <v>5725400</v>
      </c>
    </row>
    <row r="1015" spans="1:8">
      <c r="A1015" s="8" t="s">
        <v>8</v>
      </c>
      <c r="B1015" s="9" t="s">
        <v>22</v>
      </c>
      <c r="C1015" s="9" t="s">
        <v>230</v>
      </c>
      <c r="D1015" s="43" t="s">
        <v>229</v>
      </c>
      <c r="E1015" s="8" t="s">
        <v>1634</v>
      </c>
      <c r="F1015" s="49">
        <v>0</v>
      </c>
      <c r="G1015" s="49">
        <v>0</v>
      </c>
      <c r="H1015" s="49">
        <v>0</v>
      </c>
    </row>
    <row r="1016" spans="1:8">
      <c r="A1016" s="8" t="s">
        <v>8</v>
      </c>
      <c r="B1016" s="9" t="s">
        <v>22</v>
      </c>
      <c r="C1016" s="9" t="s">
        <v>230</v>
      </c>
      <c r="D1016" s="43" t="s">
        <v>229</v>
      </c>
      <c r="E1016" s="8" t="s">
        <v>1635</v>
      </c>
      <c r="F1016" s="49">
        <v>0</v>
      </c>
      <c r="G1016" s="49">
        <v>0</v>
      </c>
      <c r="H1016" s="49">
        <v>0</v>
      </c>
    </row>
    <row r="1017" spans="1:8">
      <c r="A1017" s="8" t="s">
        <v>8</v>
      </c>
      <c r="B1017" s="9" t="s">
        <v>22</v>
      </c>
      <c r="C1017" s="9" t="s">
        <v>230</v>
      </c>
      <c r="D1017" s="43" t="s">
        <v>229</v>
      </c>
      <c r="E1017" s="8" t="s">
        <v>1636</v>
      </c>
      <c r="F1017" s="49">
        <v>1</v>
      </c>
      <c r="G1017" s="49">
        <v>28900</v>
      </c>
      <c r="H1017" s="49">
        <v>0</v>
      </c>
    </row>
    <row r="1018" spans="1:8">
      <c r="A1018" s="13" t="s">
        <v>8</v>
      </c>
      <c r="B1018" s="9" t="s">
        <v>22</v>
      </c>
      <c r="C1018" s="13" t="s">
        <v>230</v>
      </c>
      <c r="D1018" s="43" t="s">
        <v>229</v>
      </c>
      <c r="E1018" s="13" t="s">
        <v>1637</v>
      </c>
      <c r="F1018" s="50">
        <v>0</v>
      </c>
      <c r="G1018" s="50">
        <v>0</v>
      </c>
      <c r="H1018" s="50">
        <v>0</v>
      </c>
    </row>
    <row r="1019" spans="1:8">
      <c r="A1019" s="13" t="s">
        <v>8</v>
      </c>
      <c r="B1019" s="13" t="s">
        <v>22</v>
      </c>
      <c r="C1019" s="13" t="s">
        <v>230</v>
      </c>
      <c r="D1019" s="43" t="s">
        <v>229</v>
      </c>
      <c r="E1019" s="13" t="s">
        <v>1638</v>
      </c>
      <c r="F1019" s="50">
        <v>4</v>
      </c>
      <c r="G1019" s="50">
        <v>63100</v>
      </c>
      <c r="H1019" s="50">
        <v>0</v>
      </c>
    </row>
    <row r="1020" spans="1:8">
      <c r="A1020" s="33" t="s">
        <v>11</v>
      </c>
      <c r="B1020" s="34" t="s">
        <v>24</v>
      </c>
      <c r="C1020" s="34" t="s">
        <v>382</v>
      </c>
      <c r="D1020" s="45" t="s">
        <v>381</v>
      </c>
      <c r="E1020" s="35" t="s">
        <v>1639</v>
      </c>
      <c r="F1020" s="46">
        <v>544</v>
      </c>
      <c r="G1020" s="46">
        <v>6484676</v>
      </c>
      <c r="H1020" s="46">
        <v>279860</v>
      </c>
    </row>
    <row r="1021" spans="1:8">
      <c r="A1021" s="33" t="s">
        <v>11</v>
      </c>
      <c r="B1021" s="34" t="s">
        <v>24</v>
      </c>
      <c r="C1021" s="34" t="s">
        <v>382</v>
      </c>
      <c r="D1021" s="45" t="s">
        <v>381</v>
      </c>
      <c r="E1021" s="35" t="s">
        <v>1640</v>
      </c>
      <c r="F1021" s="47">
        <v>5370</v>
      </c>
      <c r="G1021" s="47">
        <v>81070478</v>
      </c>
      <c r="H1021" s="47">
        <v>2555860</v>
      </c>
    </row>
    <row r="1022" spans="1:8">
      <c r="A1022" s="33" t="s">
        <v>11</v>
      </c>
      <c r="B1022" s="34" t="s">
        <v>24</v>
      </c>
      <c r="C1022" s="34" t="s">
        <v>382</v>
      </c>
      <c r="D1022" s="45" t="s">
        <v>381</v>
      </c>
      <c r="E1022" s="35" t="s">
        <v>1641</v>
      </c>
      <c r="F1022" s="47">
        <v>77</v>
      </c>
      <c r="G1022" s="47">
        <v>1502873</v>
      </c>
      <c r="H1022" s="47">
        <v>68700</v>
      </c>
    </row>
    <row r="1023" spans="1:8">
      <c r="A1023" s="33" t="s">
        <v>11</v>
      </c>
      <c r="B1023" s="34" t="s">
        <v>24</v>
      </c>
      <c r="C1023" s="34" t="s">
        <v>382</v>
      </c>
      <c r="D1023" s="45" t="s">
        <v>381</v>
      </c>
      <c r="E1023" s="35" t="s">
        <v>1642</v>
      </c>
      <c r="F1023" s="47">
        <v>3421</v>
      </c>
      <c r="G1023" s="47">
        <v>47457092</v>
      </c>
      <c r="H1023" s="47">
        <v>1809940</v>
      </c>
    </row>
    <row r="1024" spans="1:8">
      <c r="A1024" s="33" t="s">
        <v>11</v>
      </c>
      <c r="B1024" s="34" t="s">
        <v>24</v>
      </c>
      <c r="C1024" s="34" t="s">
        <v>382</v>
      </c>
      <c r="D1024" s="45" t="s">
        <v>381</v>
      </c>
      <c r="E1024" s="35" t="s">
        <v>1643</v>
      </c>
      <c r="F1024" s="47">
        <v>143</v>
      </c>
      <c r="G1024" s="47">
        <v>3098369</v>
      </c>
      <c r="H1024" s="47">
        <v>148520</v>
      </c>
    </row>
    <row r="1025" spans="1:8">
      <c r="A1025" s="33" t="s">
        <v>11</v>
      </c>
      <c r="B1025" s="34" t="s">
        <v>24</v>
      </c>
      <c r="C1025" s="34" t="s">
        <v>382</v>
      </c>
      <c r="D1025" s="45" t="s">
        <v>381</v>
      </c>
      <c r="E1025" s="35" t="s">
        <v>1644</v>
      </c>
      <c r="F1025" s="47">
        <v>75</v>
      </c>
      <c r="G1025" s="47">
        <v>977563</v>
      </c>
      <c r="H1025" s="47">
        <v>55600</v>
      </c>
    </row>
    <row r="1026" spans="1:8">
      <c r="A1026" s="33" t="s">
        <v>11</v>
      </c>
      <c r="B1026" s="34" t="s">
        <v>24</v>
      </c>
      <c r="C1026" s="34" t="s">
        <v>382</v>
      </c>
      <c r="D1026" s="45" t="s">
        <v>381</v>
      </c>
      <c r="E1026" s="35" t="s">
        <v>1645</v>
      </c>
      <c r="F1026" s="47">
        <v>43</v>
      </c>
      <c r="G1026" s="47">
        <v>610866</v>
      </c>
      <c r="H1026" s="47">
        <v>18880</v>
      </c>
    </row>
    <row r="1027" spans="1:8">
      <c r="A1027" s="33" t="s">
        <v>11</v>
      </c>
      <c r="B1027" s="34" t="s">
        <v>24</v>
      </c>
      <c r="C1027" s="34" t="s">
        <v>382</v>
      </c>
      <c r="D1027" s="45" t="s">
        <v>381</v>
      </c>
      <c r="E1027" s="35" t="s">
        <v>1646</v>
      </c>
      <c r="F1027" s="47">
        <v>152</v>
      </c>
      <c r="G1027" s="47">
        <v>2120797</v>
      </c>
      <c r="H1027" s="47">
        <v>95360</v>
      </c>
    </row>
    <row r="1028" spans="1:8">
      <c r="A1028" s="33" t="s">
        <v>11</v>
      </c>
      <c r="B1028" s="34" t="s">
        <v>24</v>
      </c>
      <c r="C1028" s="34" t="s">
        <v>382</v>
      </c>
      <c r="D1028" s="45" t="s">
        <v>381</v>
      </c>
      <c r="E1028" s="35" t="s">
        <v>1647</v>
      </c>
      <c r="F1028" s="47">
        <v>263</v>
      </c>
      <c r="G1028" s="47">
        <v>4011094</v>
      </c>
      <c r="H1028" s="47">
        <v>253180</v>
      </c>
    </row>
    <row r="1029" spans="1:8">
      <c r="A1029" s="33" t="s">
        <v>11</v>
      </c>
      <c r="B1029" s="34" t="s">
        <v>24</v>
      </c>
      <c r="C1029" s="34" t="s">
        <v>382</v>
      </c>
      <c r="D1029" s="45" t="s">
        <v>381</v>
      </c>
      <c r="E1029" s="35" t="s">
        <v>1648</v>
      </c>
      <c r="F1029" s="47">
        <v>319</v>
      </c>
      <c r="G1029" s="47">
        <v>5153063</v>
      </c>
      <c r="H1029" s="47">
        <v>276140</v>
      </c>
    </row>
    <row r="1030" spans="1:8">
      <c r="A1030" s="33" t="s">
        <v>11</v>
      </c>
      <c r="B1030" s="34" t="s">
        <v>24</v>
      </c>
      <c r="C1030" s="34" t="s">
        <v>382</v>
      </c>
      <c r="D1030" s="45" t="s">
        <v>381</v>
      </c>
      <c r="E1030" s="35" t="s">
        <v>1649</v>
      </c>
      <c r="F1030" s="47">
        <v>182</v>
      </c>
      <c r="G1030" s="47">
        <v>3963699</v>
      </c>
      <c r="H1030" s="47">
        <v>285660</v>
      </c>
    </row>
    <row r="1031" spans="1:8">
      <c r="A1031" s="33" t="s">
        <v>11</v>
      </c>
      <c r="B1031" s="34" t="s">
        <v>24</v>
      </c>
      <c r="C1031" s="34" t="s">
        <v>384</v>
      </c>
      <c r="D1031" s="45" t="s">
        <v>383</v>
      </c>
      <c r="E1031" s="35" t="s">
        <v>1650</v>
      </c>
      <c r="F1031" s="47">
        <v>12</v>
      </c>
      <c r="G1031" s="47">
        <v>152081</v>
      </c>
      <c r="H1031" s="47">
        <v>5560</v>
      </c>
    </row>
    <row r="1032" spans="1:8">
      <c r="A1032" s="33" t="s">
        <v>11</v>
      </c>
      <c r="B1032" s="34" t="s">
        <v>24</v>
      </c>
      <c r="C1032" s="34" t="s">
        <v>384</v>
      </c>
      <c r="D1032" s="45" t="s">
        <v>383</v>
      </c>
      <c r="E1032" s="35" t="s">
        <v>1651</v>
      </c>
      <c r="F1032" s="47">
        <v>38</v>
      </c>
      <c r="G1032" s="47">
        <v>503603</v>
      </c>
      <c r="H1032" s="47">
        <v>37360</v>
      </c>
    </row>
    <row r="1033" spans="1:8">
      <c r="A1033" s="33" t="s">
        <v>11</v>
      </c>
      <c r="B1033" s="34" t="s">
        <v>24</v>
      </c>
      <c r="C1033" s="34" t="s">
        <v>384</v>
      </c>
      <c r="D1033" s="45" t="s">
        <v>383</v>
      </c>
      <c r="E1033" s="35" t="s">
        <v>1652</v>
      </c>
      <c r="F1033" s="47">
        <v>229</v>
      </c>
      <c r="G1033" s="47">
        <v>4625326</v>
      </c>
      <c r="H1033" s="47">
        <v>428380</v>
      </c>
    </row>
    <row r="1034" spans="1:8">
      <c r="A1034" s="33" t="s">
        <v>11</v>
      </c>
      <c r="B1034" s="34" t="s">
        <v>24</v>
      </c>
      <c r="C1034" s="34" t="s">
        <v>384</v>
      </c>
      <c r="D1034" s="45" t="s">
        <v>383</v>
      </c>
      <c r="E1034" s="35" t="s">
        <v>1653</v>
      </c>
      <c r="F1034" s="47">
        <v>35</v>
      </c>
      <c r="G1034" s="47">
        <v>327609</v>
      </c>
      <c r="H1034" s="47">
        <v>13860</v>
      </c>
    </row>
    <row r="1035" spans="1:8">
      <c r="A1035" s="33" t="s">
        <v>11</v>
      </c>
      <c r="B1035" s="34" t="s">
        <v>24</v>
      </c>
      <c r="C1035" s="34" t="s">
        <v>384</v>
      </c>
      <c r="D1035" s="45" t="s">
        <v>383</v>
      </c>
      <c r="E1035" s="35" t="s">
        <v>1654</v>
      </c>
      <c r="F1035" s="47">
        <v>466</v>
      </c>
      <c r="G1035" s="47">
        <v>6617220</v>
      </c>
      <c r="H1035" s="47">
        <v>451000</v>
      </c>
    </row>
    <row r="1036" spans="1:8">
      <c r="A1036" s="33" t="s">
        <v>11</v>
      </c>
      <c r="B1036" s="34" t="s">
        <v>24</v>
      </c>
      <c r="C1036" s="34" t="s">
        <v>384</v>
      </c>
      <c r="D1036" s="45" t="s">
        <v>383</v>
      </c>
      <c r="E1036" s="35" t="s">
        <v>1655</v>
      </c>
      <c r="F1036" s="47">
        <v>412</v>
      </c>
      <c r="G1036" s="47">
        <v>9050962</v>
      </c>
      <c r="H1036" s="47">
        <v>659820</v>
      </c>
    </row>
    <row r="1037" spans="1:8">
      <c r="A1037" s="33" t="s">
        <v>11</v>
      </c>
      <c r="B1037" s="34" t="s">
        <v>24</v>
      </c>
      <c r="C1037" s="34" t="s">
        <v>384</v>
      </c>
      <c r="D1037" s="45" t="s">
        <v>383</v>
      </c>
      <c r="E1037" s="35" t="s">
        <v>1656</v>
      </c>
      <c r="F1037" s="47">
        <v>104</v>
      </c>
      <c r="G1037" s="47">
        <v>1635999</v>
      </c>
      <c r="H1037" s="47">
        <v>148040</v>
      </c>
    </row>
    <row r="1038" spans="1:8">
      <c r="A1038" s="33" t="s">
        <v>11</v>
      </c>
      <c r="B1038" s="34" t="s">
        <v>24</v>
      </c>
      <c r="C1038" s="34" t="s">
        <v>384</v>
      </c>
      <c r="D1038" s="45" t="s">
        <v>383</v>
      </c>
      <c r="E1038" s="35" t="s">
        <v>1657</v>
      </c>
      <c r="F1038" s="47">
        <v>58</v>
      </c>
      <c r="G1038" s="47">
        <v>921152</v>
      </c>
      <c r="H1038" s="47">
        <v>51000</v>
      </c>
    </row>
    <row r="1039" spans="1:8">
      <c r="A1039" s="33" t="s">
        <v>11</v>
      </c>
      <c r="B1039" s="34" t="s">
        <v>24</v>
      </c>
      <c r="C1039" s="34" t="s">
        <v>384</v>
      </c>
      <c r="D1039" s="45" t="s">
        <v>383</v>
      </c>
      <c r="E1039" s="35" t="s">
        <v>1658</v>
      </c>
      <c r="F1039" s="47">
        <v>9</v>
      </c>
      <c r="G1039" s="47">
        <v>153760</v>
      </c>
      <c r="H1039" s="47">
        <v>12340</v>
      </c>
    </row>
    <row r="1040" spans="1:8">
      <c r="A1040" s="33" t="s">
        <v>11</v>
      </c>
      <c r="B1040" s="34" t="s">
        <v>24</v>
      </c>
      <c r="C1040" s="34" t="s">
        <v>384</v>
      </c>
      <c r="D1040" s="45" t="s">
        <v>383</v>
      </c>
      <c r="E1040" s="35" t="s">
        <v>1659</v>
      </c>
      <c r="F1040" s="47">
        <v>108</v>
      </c>
      <c r="G1040" s="47">
        <v>1679101</v>
      </c>
      <c r="H1040" s="47">
        <v>100400</v>
      </c>
    </row>
    <row r="1041" spans="1:8">
      <c r="A1041" s="33" t="s">
        <v>11</v>
      </c>
      <c r="B1041" s="34" t="s">
        <v>22</v>
      </c>
      <c r="C1041" s="34" t="s">
        <v>1660</v>
      </c>
      <c r="D1041" s="45" t="s">
        <v>315</v>
      </c>
      <c r="E1041" s="35" t="s">
        <v>1661</v>
      </c>
      <c r="F1041" s="47">
        <v>728</v>
      </c>
      <c r="G1041" s="47">
        <v>10463170</v>
      </c>
      <c r="H1041" s="47">
        <v>990900</v>
      </c>
    </row>
    <row r="1042" spans="1:8">
      <c r="A1042" s="33" t="s">
        <v>11</v>
      </c>
      <c r="B1042" s="34" t="s">
        <v>22</v>
      </c>
      <c r="C1042" s="34" t="s">
        <v>1660</v>
      </c>
      <c r="D1042" s="45" t="s">
        <v>315</v>
      </c>
      <c r="E1042" s="35" t="s">
        <v>1662</v>
      </c>
      <c r="F1042" s="47">
        <v>111</v>
      </c>
      <c r="G1042" s="47">
        <v>2162755</v>
      </c>
      <c r="H1042" s="47">
        <v>298160</v>
      </c>
    </row>
    <row r="1043" spans="1:8">
      <c r="A1043" s="33" t="s">
        <v>11</v>
      </c>
      <c r="B1043" s="34" t="s">
        <v>22</v>
      </c>
      <c r="C1043" s="34" t="s">
        <v>1660</v>
      </c>
      <c r="D1043" s="45" t="s">
        <v>315</v>
      </c>
      <c r="E1043" s="35" t="s">
        <v>1663</v>
      </c>
      <c r="F1043" s="47">
        <v>1206</v>
      </c>
      <c r="G1043" s="47">
        <v>20595558</v>
      </c>
      <c r="H1043" s="47">
        <v>1732340</v>
      </c>
    </row>
    <row r="1044" spans="1:8">
      <c r="A1044" s="33" t="s">
        <v>11</v>
      </c>
      <c r="B1044" s="34" t="s">
        <v>22</v>
      </c>
      <c r="C1044" s="34" t="s">
        <v>1660</v>
      </c>
      <c r="D1044" s="45" t="s">
        <v>315</v>
      </c>
      <c r="E1044" s="35" t="s">
        <v>1664</v>
      </c>
      <c r="F1044" s="47">
        <v>184</v>
      </c>
      <c r="G1044" s="47">
        <v>2591998</v>
      </c>
      <c r="H1044" s="47">
        <v>254700</v>
      </c>
    </row>
    <row r="1045" spans="1:8">
      <c r="A1045" s="33" t="s">
        <v>11</v>
      </c>
      <c r="B1045" s="34" t="s">
        <v>22</v>
      </c>
      <c r="C1045" s="34" t="s">
        <v>1660</v>
      </c>
      <c r="D1045" s="45" t="s">
        <v>315</v>
      </c>
      <c r="E1045" s="35" t="s">
        <v>1665</v>
      </c>
      <c r="F1045" s="47">
        <v>146</v>
      </c>
      <c r="G1045" s="47">
        <v>2355569</v>
      </c>
      <c r="H1045" s="47">
        <v>294000</v>
      </c>
    </row>
    <row r="1046" spans="1:8">
      <c r="A1046" s="33" t="s">
        <v>11</v>
      </c>
      <c r="B1046" s="34" t="s">
        <v>22</v>
      </c>
      <c r="C1046" s="34" t="s">
        <v>156</v>
      </c>
      <c r="D1046" s="45" t="s">
        <v>155</v>
      </c>
      <c r="E1046" s="35" t="s">
        <v>1666</v>
      </c>
      <c r="F1046" s="47">
        <v>119</v>
      </c>
      <c r="G1046" s="47">
        <v>1134714</v>
      </c>
      <c r="H1046" s="47">
        <v>42580</v>
      </c>
    </row>
    <row r="1047" spans="1:8">
      <c r="A1047" s="33" t="s">
        <v>11</v>
      </c>
      <c r="B1047" s="33" t="s">
        <v>22</v>
      </c>
      <c r="C1047" s="33" t="s">
        <v>366</v>
      </c>
      <c r="D1047" s="45" t="s">
        <v>365</v>
      </c>
      <c r="E1047" s="35" t="s">
        <v>1667</v>
      </c>
      <c r="F1047" s="47">
        <v>3</v>
      </c>
      <c r="G1047" s="47">
        <v>134400</v>
      </c>
      <c r="H1047" s="47">
        <v>5600</v>
      </c>
    </row>
    <row r="1048" spans="1:8">
      <c r="A1048" s="33" t="s">
        <v>11</v>
      </c>
      <c r="B1048" s="33" t="s">
        <v>22</v>
      </c>
      <c r="C1048" s="33" t="s">
        <v>76</v>
      </c>
      <c r="D1048" s="45" t="s">
        <v>75</v>
      </c>
      <c r="E1048" s="35" t="s">
        <v>1668</v>
      </c>
      <c r="F1048" s="47">
        <v>122</v>
      </c>
      <c r="G1048" s="47">
        <v>1749656</v>
      </c>
      <c r="H1048" s="47">
        <v>113680</v>
      </c>
    </row>
    <row r="1049" spans="1:8">
      <c r="A1049" s="13" t="s">
        <v>12</v>
      </c>
      <c r="B1049" s="16" t="s">
        <v>22</v>
      </c>
      <c r="C1049" s="16" t="s">
        <v>552</v>
      </c>
      <c r="D1049" s="43" t="s">
        <v>551</v>
      </c>
      <c r="E1049" s="21" t="s">
        <v>1669</v>
      </c>
      <c r="F1049" s="51">
        <v>5903</v>
      </c>
      <c r="G1049" s="51">
        <v>77819260</v>
      </c>
      <c r="H1049" s="51">
        <v>740624</v>
      </c>
    </row>
    <row r="1050" spans="1:8">
      <c r="A1050" s="13" t="s">
        <v>12</v>
      </c>
      <c r="B1050" s="16" t="s">
        <v>22</v>
      </c>
      <c r="C1050" s="16" t="s">
        <v>552</v>
      </c>
      <c r="D1050" s="43" t="s">
        <v>551</v>
      </c>
      <c r="E1050" s="21" t="s">
        <v>1670</v>
      </c>
      <c r="F1050" s="51">
        <v>522</v>
      </c>
      <c r="G1050" s="51">
        <v>9828240</v>
      </c>
      <c r="H1050" s="51">
        <v>119391</v>
      </c>
    </row>
    <row r="1051" spans="1:8">
      <c r="A1051" s="13" t="s">
        <v>12</v>
      </c>
      <c r="B1051" s="16" t="s">
        <v>22</v>
      </c>
      <c r="C1051" s="16" t="s">
        <v>552</v>
      </c>
      <c r="D1051" s="43" t="s">
        <v>551</v>
      </c>
      <c r="E1051" s="21" t="s">
        <v>1671</v>
      </c>
      <c r="F1051" s="51">
        <v>1521</v>
      </c>
      <c r="G1051" s="51">
        <v>25508640</v>
      </c>
      <c r="H1051" s="51">
        <v>444860</v>
      </c>
    </row>
    <row r="1052" spans="1:8">
      <c r="A1052" s="13" t="s">
        <v>12</v>
      </c>
      <c r="B1052" s="16" t="s">
        <v>24</v>
      </c>
      <c r="C1052" s="16" t="s">
        <v>390</v>
      </c>
      <c r="D1052" s="43" t="s">
        <v>389</v>
      </c>
      <c r="E1052" s="21" t="s">
        <v>1672</v>
      </c>
      <c r="F1052" s="51">
        <v>21</v>
      </c>
      <c r="G1052" s="51">
        <v>262500</v>
      </c>
      <c r="H1052" s="51">
        <v>17500</v>
      </c>
    </row>
    <row r="1053" spans="1:8">
      <c r="A1053" s="13" t="s">
        <v>12</v>
      </c>
      <c r="B1053" s="13" t="s">
        <v>24</v>
      </c>
      <c r="C1053" s="13" t="s">
        <v>390</v>
      </c>
      <c r="D1053" s="43" t="s">
        <v>389</v>
      </c>
      <c r="E1053" s="21" t="s">
        <v>1673</v>
      </c>
      <c r="F1053" s="51">
        <v>7</v>
      </c>
      <c r="G1053" s="51">
        <v>99400</v>
      </c>
      <c r="H1053" s="51">
        <v>8520</v>
      </c>
    </row>
    <row r="1054" spans="1:8">
      <c r="A1054" s="13" t="s">
        <v>12</v>
      </c>
      <c r="B1054" s="16" t="s">
        <v>24</v>
      </c>
      <c r="C1054" s="16" t="s">
        <v>436</v>
      </c>
      <c r="D1054" s="43" t="s">
        <v>435</v>
      </c>
      <c r="E1054" s="21" t="s">
        <v>1674</v>
      </c>
      <c r="F1054" s="51">
        <v>5837</v>
      </c>
      <c r="G1054" s="51">
        <v>34325560</v>
      </c>
      <c r="H1054" s="51">
        <v>399180</v>
      </c>
    </row>
    <row r="1055" spans="1:8">
      <c r="A1055" s="13" t="s">
        <v>12</v>
      </c>
      <c r="B1055" s="16" t="s">
        <v>24</v>
      </c>
      <c r="C1055" s="16" t="s">
        <v>436</v>
      </c>
      <c r="D1055" s="43" t="s">
        <v>435</v>
      </c>
      <c r="E1055" s="21" t="s">
        <v>1675</v>
      </c>
      <c r="F1055" s="51">
        <v>5846</v>
      </c>
      <c r="G1055" s="51">
        <v>27226600</v>
      </c>
      <c r="H1055" s="51">
        <v>313340</v>
      </c>
    </row>
    <row r="1056" spans="1:8">
      <c r="A1056" s="13" t="s">
        <v>12</v>
      </c>
      <c r="B1056" s="16" t="s">
        <v>24</v>
      </c>
      <c r="C1056" s="16" t="s">
        <v>436</v>
      </c>
      <c r="D1056" s="43" t="s">
        <v>435</v>
      </c>
      <c r="E1056" s="21" t="s">
        <v>1676</v>
      </c>
      <c r="F1056" s="51">
        <v>5454</v>
      </c>
      <c r="G1056" s="51">
        <v>21972200</v>
      </c>
      <c r="H1056" s="51">
        <v>331740</v>
      </c>
    </row>
    <row r="1057" spans="1:8">
      <c r="A1057" s="13" t="s">
        <v>12</v>
      </c>
      <c r="B1057" s="16" t="s">
        <v>24</v>
      </c>
      <c r="C1057" s="16" t="s">
        <v>436</v>
      </c>
      <c r="D1057" s="43" t="s">
        <v>435</v>
      </c>
      <c r="E1057" s="21" t="s">
        <v>1677</v>
      </c>
      <c r="F1057" s="51">
        <v>1392</v>
      </c>
      <c r="G1057" s="51">
        <v>3062400</v>
      </c>
      <c r="H1057" s="51">
        <v>25080</v>
      </c>
    </row>
    <row r="1058" spans="1:8">
      <c r="A1058" s="13" t="s">
        <v>12</v>
      </c>
      <c r="B1058" s="16" t="s">
        <v>24</v>
      </c>
      <c r="C1058" s="16" t="s">
        <v>436</v>
      </c>
      <c r="D1058" s="43" t="s">
        <v>435</v>
      </c>
      <c r="E1058" s="21" t="s">
        <v>1678</v>
      </c>
      <c r="F1058" s="51">
        <v>298</v>
      </c>
      <c r="G1058" s="51">
        <v>1420500</v>
      </c>
      <c r="H1058" s="51">
        <v>15680</v>
      </c>
    </row>
    <row r="1059" spans="1:8">
      <c r="A1059" s="13" t="s">
        <v>12</v>
      </c>
      <c r="B1059" s="16" t="s">
        <v>24</v>
      </c>
      <c r="C1059" s="16" t="s">
        <v>436</v>
      </c>
      <c r="D1059" s="43" t="s">
        <v>435</v>
      </c>
      <c r="E1059" s="21" t="s">
        <v>1679</v>
      </c>
      <c r="F1059" s="51">
        <v>266</v>
      </c>
      <c r="G1059" s="51">
        <v>1246400</v>
      </c>
      <c r="H1059" s="51">
        <v>11760</v>
      </c>
    </row>
    <row r="1060" spans="1:8">
      <c r="A1060" s="13" t="s">
        <v>12</v>
      </c>
      <c r="B1060" s="16" t="s">
        <v>24</v>
      </c>
      <c r="C1060" s="16" t="s">
        <v>1680</v>
      </c>
      <c r="D1060" s="43" t="s">
        <v>367</v>
      </c>
      <c r="E1060" s="21" t="s">
        <v>1681</v>
      </c>
      <c r="F1060" s="51">
        <v>2079</v>
      </c>
      <c r="G1060" s="51">
        <v>20305100</v>
      </c>
      <c r="H1060" s="51">
        <v>422200</v>
      </c>
    </row>
    <row r="1061" spans="1:8">
      <c r="A1061" s="13" t="s">
        <v>12</v>
      </c>
      <c r="B1061" s="16" t="s">
        <v>24</v>
      </c>
      <c r="C1061" s="16" t="s">
        <v>1680</v>
      </c>
      <c r="D1061" s="43" t="s">
        <v>367</v>
      </c>
      <c r="E1061" s="21" t="s">
        <v>1682</v>
      </c>
      <c r="F1061" s="51">
        <v>1409</v>
      </c>
      <c r="G1061" s="51">
        <v>16019900</v>
      </c>
      <c r="H1061" s="51">
        <v>171780</v>
      </c>
    </row>
    <row r="1062" spans="1:8">
      <c r="A1062" s="13" t="s">
        <v>12</v>
      </c>
      <c r="B1062" s="16" t="s">
        <v>24</v>
      </c>
      <c r="C1062" s="16" t="s">
        <v>1680</v>
      </c>
      <c r="D1062" s="43" t="s">
        <v>367</v>
      </c>
      <c r="E1062" s="21" t="s">
        <v>1683</v>
      </c>
      <c r="F1062" s="51">
        <v>1124</v>
      </c>
      <c r="G1062" s="51">
        <v>10928700</v>
      </c>
      <c r="H1062" s="51">
        <v>440620</v>
      </c>
    </row>
    <row r="1063" spans="1:8">
      <c r="A1063" s="13" t="s">
        <v>12</v>
      </c>
      <c r="B1063" s="16" t="s">
        <v>24</v>
      </c>
      <c r="C1063" s="16" t="s">
        <v>1680</v>
      </c>
      <c r="D1063" s="43" t="s">
        <v>367</v>
      </c>
      <c r="E1063" s="21" t="s">
        <v>1684</v>
      </c>
      <c r="F1063" s="51">
        <v>397</v>
      </c>
      <c r="G1063" s="51">
        <v>6922200</v>
      </c>
      <c r="H1063" s="51">
        <v>118020</v>
      </c>
    </row>
    <row r="1064" spans="1:8">
      <c r="A1064" s="13" t="s">
        <v>12</v>
      </c>
      <c r="B1064" s="16" t="s">
        <v>22</v>
      </c>
      <c r="C1064" s="16" t="s">
        <v>520</v>
      </c>
      <c r="D1064" s="43" t="s">
        <v>519</v>
      </c>
      <c r="E1064" s="21" t="s">
        <v>1685</v>
      </c>
      <c r="F1064" s="51">
        <v>1500</v>
      </c>
      <c r="G1064" s="51">
        <v>8087000</v>
      </c>
      <c r="H1064" s="51">
        <v>440251</v>
      </c>
    </row>
    <row r="1065" spans="1:8">
      <c r="A1065" s="13" t="s">
        <v>12</v>
      </c>
      <c r="B1065" s="16" t="s">
        <v>24</v>
      </c>
      <c r="C1065" s="16" t="s">
        <v>450</v>
      </c>
      <c r="D1065" s="43" t="s">
        <v>449</v>
      </c>
      <c r="E1065" s="21" t="s">
        <v>1686</v>
      </c>
      <c r="F1065" s="51">
        <v>6</v>
      </c>
      <c r="G1065" s="51">
        <v>234000</v>
      </c>
      <c r="H1065" s="51">
        <v>7222</v>
      </c>
    </row>
    <row r="1066" spans="1:8">
      <c r="A1066" s="13" t="s">
        <v>12</v>
      </c>
      <c r="B1066" s="16" t="s">
        <v>24</v>
      </c>
      <c r="C1066" s="16" t="s">
        <v>450</v>
      </c>
      <c r="D1066" s="43" t="s">
        <v>449</v>
      </c>
      <c r="E1066" s="21" t="s">
        <v>1687</v>
      </c>
      <c r="F1066" s="51">
        <v>13</v>
      </c>
      <c r="G1066" s="51">
        <v>247000</v>
      </c>
      <c r="H1066" s="51">
        <v>15200</v>
      </c>
    </row>
    <row r="1067" spans="1:8">
      <c r="A1067" s="13" t="s">
        <v>12</v>
      </c>
      <c r="B1067" s="16" t="s">
        <v>24</v>
      </c>
      <c r="C1067" s="16" t="s">
        <v>450</v>
      </c>
      <c r="D1067" s="43" t="s">
        <v>449</v>
      </c>
      <c r="E1067" s="21" t="s">
        <v>1688</v>
      </c>
      <c r="F1067" s="51">
        <v>5</v>
      </c>
      <c r="G1067" s="51">
        <v>55000</v>
      </c>
      <c r="H1067" s="51">
        <v>2200</v>
      </c>
    </row>
    <row r="1068" spans="1:8">
      <c r="A1068" s="13" t="s">
        <v>12</v>
      </c>
      <c r="B1068" s="16" t="s">
        <v>24</v>
      </c>
      <c r="C1068" s="16" t="s">
        <v>450</v>
      </c>
      <c r="D1068" s="43" t="s">
        <v>449</v>
      </c>
      <c r="E1068" s="21" t="s">
        <v>1689</v>
      </c>
      <c r="F1068" s="51">
        <v>5</v>
      </c>
      <c r="G1068" s="51">
        <v>22500</v>
      </c>
      <c r="H1068" s="51">
        <v>4500</v>
      </c>
    </row>
    <row r="1069" spans="1:8">
      <c r="A1069" s="13" t="s">
        <v>12</v>
      </c>
      <c r="B1069" s="16" t="s">
        <v>24</v>
      </c>
      <c r="C1069" s="16" t="s">
        <v>450</v>
      </c>
      <c r="D1069" s="43" t="s">
        <v>449</v>
      </c>
      <c r="E1069" s="21" t="s">
        <v>1690</v>
      </c>
      <c r="F1069" s="51">
        <v>3</v>
      </c>
      <c r="G1069" s="51">
        <v>37500</v>
      </c>
      <c r="H1069" s="51">
        <v>7500</v>
      </c>
    </row>
    <row r="1070" spans="1:8">
      <c r="A1070" s="13" t="s">
        <v>12</v>
      </c>
      <c r="B1070" s="16" t="s">
        <v>24</v>
      </c>
      <c r="C1070" s="16" t="s">
        <v>450</v>
      </c>
      <c r="D1070" s="43" t="s">
        <v>449</v>
      </c>
      <c r="E1070" s="21" t="s">
        <v>1691</v>
      </c>
      <c r="F1070" s="51">
        <v>0</v>
      </c>
      <c r="G1070" s="51">
        <v>0</v>
      </c>
      <c r="H1070" s="51">
        <v>0</v>
      </c>
    </row>
    <row r="1071" spans="1:8">
      <c r="A1071" s="13" t="s">
        <v>12</v>
      </c>
      <c r="B1071" s="16" t="s">
        <v>24</v>
      </c>
      <c r="C1071" s="16" t="s">
        <v>450</v>
      </c>
      <c r="D1071" s="43" t="s">
        <v>449</v>
      </c>
      <c r="E1071" s="21" t="s">
        <v>1692</v>
      </c>
      <c r="F1071" s="51">
        <v>4</v>
      </c>
      <c r="G1071" s="51">
        <v>22000</v>
      </c>
      <c r="H1071" s="51">
        <v>2200</v>
      </c>
    </row>
    <row r="1072" spans="1:8">
      <c r="A1072" s="13" t="s">
        <v>12</v>
      </c>
      <c r="B1072" s="16" t="s">
        <v>24</v>
      </c>
      <c r="C1072" s="16" t="s">
        <v>450</v>
      </c>
      <c r="D1072" s="43" t="s">
        <v>449</v>
      </c>
      <c r="E1072" s="21" t="s">
        <v>1693</v>
      </c>
      <c r="F1072" s="51">
        <v>7</v>
      </c>
      <c r="G1072" s="51">
        <v>80500</v>
      </c>
      <c r="H1072" s="51">
        <v>4600</v>
      </c>
    </row>
    <row r="1073" spans="1:8">
      <c r="A1073" s="13" t="s">
        <v>12</v>
      </c>
      <c r="B1073" s="16" t="s">
        <v>24</v>
      </c>
      <c r="C1073" s="16" t="s">
        <v>450</v>
      </c>
      <c r="D1073" s="43" t="s">
        <v>449</v>
      </c>
      <c r="E1073" s="21" t="s">
        <v>1694</v>
      </c>
      <c r="F1073" s="51">
        <v>6</v>
      </c>
      <c r="G1073" s="51">
        <v>120000</v>
      </c>
      <c r="H1073" s="51">
        <v>18289</v>
      </c>
    </row>
    <row r="1074" spans="1:8">
      <c r="A1074" s="13" t="s">
        <v>12</v>
      </c>
      <c r="B1074" s="16" t="s">
        <v>24</v>
      </c>
      <c r="C1074" s="16" t="s">
        <v>450</v>
      </c>
      <c r="D1074" s="43" t="s">
        <v>449</v>
      </c>
      <c r="E1074" s="21" t="s">
        <v>1695</v>
      </c>
      <c r="F1074" s="51">
        <v>3</v>
      </c>
      <c r="G1074" s="51">
        <v>45000</v>
      </c>
      <c r="H1074" s="51">
        <v>8778</v>
      </c>
    </row>
    <row r="1075" spans="1:8">
      <c r="A1075" s="13" t="s">
        <v>12</v>
      </c>
      <c r="B1075" s="16" t="s">
        <v>22</v>
      </c>
      <c r="C1075" s="16" t="s">
        <v>280</v>
      </c>
      <c r="D1075" s="43" t="s">
        <v>279</v>
      </c>
      <c r="E1075" s="21" t="s">
        <v>1696</v>
      </c>
      <c r="F1075" s="51">
        <v>7</v>
      </c>
      <c r="G1075" s="51">
        <v>111300</v>
      </c>
      <c r="H1075" s="51">
        <v>12720</v>
      </c>
    </row>
    <row r="1076" spans="1:8">
      <c r="A1076" s="13" t="s">
        <v>12</v>
      </c>
      <c r="B1076" s="16" t="s">
        <v>22</v>
      </c>
      <c r="C1076" s="16" t="s">
        <v>280</v>
      </c>
      <c r="D1076" s="43" t="s">
        <v>279</v>
      </c>
      <c r="E1076" s="21" t="s">
        <v>1697</v>
      </c>
      <c r="F1076" s="51">
        <v>3</v>
      </c>
      <c r="G1076" s="51">
        <v>53700</v>
      </c>
      <c r="H1076" s="51">
        <v>10740</v>
      </c>
    </row>
    <row r="1077" spans="1:8">
      <c r="A1077" s="13" t="s">
        <v>12</v>
      </c>
      <c r="B1077" s="13" t="s">
        <v>23</v>
      </c>
      <c r="C1077" s="16" t="s">
        <v>280</v>
      </c>
      <c r="D1077" s="43" t="s">
        <v>279</v>
      </c>
      <c r="E1077" s="21" t="s">
        <v>1698</v>
      </c>
      <c r="F1077" s="51">
        <v>4</v>
      </c>
      <c r="G1077" s="51">
        <v>127200</v>
      </c>
      <c r="H1077" s="51">
        <v>19080</v>
      </c>
    </row>
    <row r="1078" spans="1:8">
      <c r="A1078" s="13" t="s">
        <v>12</v>
      </c>
      <c r="B1078" s="13" t="s">
        <v>23</v>
      </c>
      <c r="C1078" s="16" t="s">
        <v>280</v>
      </c>
      <c r="D1078" s="43" t="s">
        <v>279</v>
      </c>
      <c r="E1078" s="21" t="s">
        <v>1699</v>
      </c>
      <c r="F1078" s="51">
        <v>1</v>
      </c>
      <c r="G1078" s="51">
        <v>29800</v>
      </c>
      <c r="H1078" s="51">
        <v>5960</v>
      </c>
    </row>
    <row r="1079" spans="1:8">
      <c r="A1079" s="13" t="s">
        <v>12</v>
      </c>
      <c r="B1079" s="13" t="s">
        <v>23</v>
      </c>
      <c r="C1079" s="16" t="s">
        <v>280</v>
      </c>
      <c r="D1079" s="43" t="s">
        <v>279</v>
      </c>
      <c r="E1079" s="21" t="s">
        <v>1700</v>
      </c>
      <c r="F1079" s="51">
        <v>1</v>
      </c>
      <c r="G1079" s="51">
        <v>28800</v>
      </c>
      <c r="H1079" s="51">
        <v>5760</v>
      </c>
    </row>
    <row r="1080" spans="1:8">
      <c r="A1080" s="13" t="s">
        <v>12</v>
      </c>
      <c r="B1080" s="13" t="s">
        <v>23</v>
      </c>
      <c r="C1080" s="16" t="s">
        <v>280</v>
      </c>
      <c r="D1080" s="43" t="s">
        <v>279</v>
      </c>
      <c r="E1080" s="21" t="s">
        <v>1701</v>
      </c>
      <c r="F1080" s="51">
        <v>0</v>
      </c>
      <c r="G1080" s="51">
        <v>0</v>
      </c>
      <c r="H1080" s="51">
        <v>0</v>
      </c>
    </row>
    <row r="1081" spans="1:8">
      <c r="A1081" s="13" t="s">
        <v>12</v>
      </c>
      <c r="B1081" s="13" t="s">
        <v>22</v>
      </c>
      <c r="C1081" s="13" t="s">
        <v>286</v>
      </c>
      <c r="D1081" s="43" t="s">
        <v>285</v>
      </c>
      <c r="E1081" s="21" t="s">
        <v>1702</v>
      </c>
      <c r="F1081" s="51">
        <v>1936</v>
      </c>
      <c r="G1081" s="51">
        <v>2552130</v>
      </c>
      <c r="H1081" s="51">
        <v>69160</v>
      </c>
    </row>
    <row r="1082" spans="1:8">
      <c r="A1082" s="13" t="s">
        <v>12</v>
      </c>
      <c r="B1082" s="13" t="s">
        <v>22</v>
      </c>
      <c r="C1082" s="13" t="s">
        <v>286</v>
      </c>
      <c r="D1082" s="43" t="s">
        <v>285</v>
      </c>
      <c r="E1082" s="21" t="s">
        <v>1703</v>
      </c>
      <c r="F1082" s="51">
        <v>4810</v>
      </c>
      <c r="G1082" s="51">
        <v>18847240</v>
      </c>
      <c r="H1082" s="51">
        <v>446260</v>
      </c>
    </row>
    <row r="1083" spans="1:8">
      <c r="A1083" s="13" t="s">
        <v>12</v>
      </c>
      <c r="B1083" s="13" t="s">
        <v>22</v>
      </c>
      <c r="C1083" s="13" t="s">
        <v>286</v>
      </c>
      <c r="D1083" s="43" t="s">
        <v>285</v>
      </c>
      <c r="E1083" s="21" t="s">
        <v>1704</v>
      </c>
      <c r="F1083" s="51">
        <v>4329</v>
      </c>
      <c r="G1083" s="51">
        <v>6150010</v>
      </c>
      <c r="H1083" s="51">
        <v>163936</v>
      </c>
    </row>
    <row r="1084" spans="1:8">
      <c r="A1084" s="13" t="s">
        <v>12</v>
      </c>
      <c r="B1084" s="13" t="s">
        <v>22</v>
      </c>
      <c r="C1084" s="13" t="s">
        <v>286</v>
      </c>
      <c r="D1084" s="43" t="s">
        <v>285</v>
      </c>
      <c r="E1084" s="21" t="s">
        <v>1705</v>
      </c>
      <c r="F1084" s="51">
        <v>2965</v>
      </c>
      <c r="G1084" s="51">
        <v>14227200</v>
      </c>
      <c r="H1084" s="51">
        <v>706400</v>
      </c>
    </row>
    <row r="1085" spans="1:8">
      <c r="A1085" s="13" t="s">
        <v>12</v>
      </c>
      <c r="B1085" s="13" t="s">
        <v>22</v>
      </c>
      <c r="C1085" s="13" t="s">
        <v>286</v>
      </c>
      <c r="D1085" s="43" t="s">
        <v>285</v>
      </c>
      <c r="E1085" s="21" t="s">
        <v>1706</v>
      </c>
      <c r="F1085" s="51">
        <v>0</v>
      </c>
      <c r="G1085" s="51">
        <v>0</v>
      </c>
      <c r="H1085" s="51">
        <v>0</v>
      </c>
    </row>
    <row r="1086" spans="1:8">
      <c r="A1086" s="13" t="s">
        <v>12</v>
      </c>
      <c r="B1086" s="13" t="s">
        <v>22</v>
      </c>
      <c r="C1086" s="13" t="s">
        <v>286</v>
      </c>
      <c r="D1086" s="43" t="s">
        <v>285</v>
      </c>
      <c r="E1086" s="21" t="s">
        <v>1707</v>
      </c>
      <c r="F1086" s="51">
        <v>0</v>
      </c>
      <c r="G1086" s="51">
        <v>0</v>
      </c>
      <c r="H1086" s="51">
        <v>0</v>
      </c>
    </row>
    <row r="1087" spans="1:8">
      <c r="A1087" s="13" t="s">
        <v>12</v>
      </c>
      <c r="B1087" s="13" t="s">
        <v>22</v>
      </c>
      <c r="C1087" s="13" t="s">
        <v>286</v>
      </c>
      <c r="D1087" s="43" t="s">
        <v>285</v>
      </c>
      <c r="E1087" s="21" t="s">
        <v>1708</v>
      </c>
      <c r="F1087" s="51">
        <v>2669</v>
      </c>
      <c r="G1087" s="51">
        <v>5447750</v>
      </c>
      <c r="H1087" s="51">
        <v>151460</v>
      </c>
    </row>
    <row r="1088" spans="1:8">
      <c r="A1088" s="13" t="s">
        <v>12</v>
      </c>
      <c r="B1088" s="13" t="s">
        <v>22</v>
      </c>
      <c r="C1088" s="13" t="s">
        <v>286</v>
      </c>
      <c r="D1088" s="43" t="s">
        <v>285</v>
      </c>
      <c r="E1088" s="21" t="s">
        <v>1709</v>
      </c>
      <c r="F1088" s="51">
        <v>646</v>
      </c>
      <c r="G1088" s="51">
        <v>3030160</v>
      </c>
      <c r="H1088" s="51">
        <v>126064</v>
      </c>
    </row>
    <row r="1089" spans="1:8">
      <c r="A1089" s="13" t="s">
        <v>12</v>
      </c>
      <c r="B1089" s="13" t="s">
        <v>22</v>
      </c>
      <c r="C1089" s="13" t="s">
        <v>286</v>
      </c>
      <c r="D1089" s="43" t="s">
        <v>285</v>
      </c>
      <c r="E1089" s="21" t="s">
        <v>1710</v>
      </c>
      <c r="F1089" s="51">
        <v>1329</v>
      </c>
      <c r="G1089" s="51">
        <v>5323500</v>
      </c>
      <c r="H1089" s="51">
        <v>160566</v>
      </c>
    </row>
    <row r="1090" spans="1:8">
      <c r="A1090" s="13" t="s">
        <v>12</v>
      </c>
      <c r="B1090" s="13" t="s">
        <v>22</v>
      </c>
      <c r="C1090" s="13" t="s">
        <v>286</v>
      </c>
      <c r="D1090" s="43" t="s">
        <v>285</v>
      </c>
      <c r="E1090" s="21" t="s">
        <v>1711</v>
      </c>
      <c r="F1090" s="51">
        <v>0</v>
      </c>
      <c r="G1090" s="51">
        <v>0</v>
      </c>
      <c r="H1090" s="51">
        <v>0</v>
      </c>
    </row>
    <row r="1091" spans="1:8">
      <c r="A1091" s="13" t="s">
        <v>12</v>
      </c>
      <c r="B1091" s="13" t="s">
        <v>22</v>
      </c>
      <c r="C1091" s="13" t="s">
        <v>286</v>
      </c>
      <c r="D1091" s="43" t="s">
        <v>285</v>
      </c>
      <c r="E1091" s="21" t="s">
        <v>1712</v>
      </c>
      <c r="F1091" s="51">
        <v>0</v>
      </c>
      <c r="G1091" s="51">
        <v>0</v>
      </c>
      <c r="H1091" s="51">
        <v>0</v>
      </c>
    </row>
    <row r="1092" spans="1:8">
      <c r="A1092" s="13" t="s">
        <v>12</v>
      </c>
      <c r="B1092" s="13" t="s">
        <v>22</v>
      </c>
      <c r="C1092" s="13" t="s">
        <v>286</v>
      </c>
      <c r="D1092" s="43" t="s">
        <v>285</v>
      </c>
      <c r="E1092" s="70" t="s">
        <v>1713</v>
      </c>
      <c r="F1092" s="51">
        <v>869</v>
      </c>
      <c r="G1092" s="51">
        <v>1962520</v>
      </c>
      <c r="H1092" s="51">
        <v>0</v>
      </c>
    </row>
    <row r="1093" spans="1:8">
      <c r="A1093" s="13" t="s">
        <v>12</v>
      </c>
      <c r="B1093" s="13" t="s">
        <v>22</v>
      </c>
      <c r="C1093" s="13" t="s">
        <v>286</v>
      </c>
      <c r="D1093" s="43" t="s">
        <v>285</v>
      </c>
      <c r="E1093" s="70" t="s">
        <v>1714</v>
      </c>
      <c r="F1093" s="51">
        <v>749</v>
      </c>
      <c r="G1093" s="51">
        <v>1460550</v>
      </c>
      <c r="H1093" s="51">
        <v>0</v>
      </c>
    </row>
    <row r="1094" spans="1:8">
      <c r="A1094" s="13" t="s">
        <v>12</v>
      </c>
      <c r="B1094" s="13" t="s">
        <v>22</v>
      </c>
      <c r="C1094" s="13" t="s">
        <v>286</v>
      </c>
      <c r="D1094" s="43" t="s">
        <v>285</v>
      </c>
      <c r="E1094" s="70" t="s">
        <v>1715</v>
      </c>
      <c r="F1094" s="51">
        <v>10011</v>
      </c>
      <c r="G1094" s="51">
        <v>27383530</v>
      </c>
      <c r="H1094" s="51">
        <v>0</v>
      </c>
    </row>
    <row r="1095" spans="1:8">
      <c r="A1095" s="13" t="s">
        <v>12</v>
      </c>
      <c r="B1095" s="13" t="s">
        <v>22</v>
      </c>
      <c r="C1095" s="13" t="s">
        <v>286</v>
      </c>
      <c r="D1095" s="43" t="s">
        <v>285</v>
      </c>
      <c r="E1095" s="70" t="s">
        <v>1716</v>
      </c>
      <c r="F1095" s="51">
        <v>0</v>
      </c>
      <c r="G1095" s="51">
        <v>0</v>
      </c>
      <c r="H1095" s="51">
        <v>0</v>
      </c>
    </row>
    <row r="1096" spans="1:8">
      <c r="A1096" s="13" t="s">
        <v>12</v>
      </c>
      <c r="B1096" s="13" t="s">
        <v>22</v>
      </c>
      <c r="C1096" s="13" t="s">
        <v>286</v>
      </c>
      <c r="D1096" s="43" t="s">
        <v>285</v>
      </c>
      <c r="E1096" s="70" t="s">
        <v>1717</v>
      </c>
      <c r="F1096" s="51">
        <v>2527</v>
      </c>
      <c r="G1096" s="51">
        <v>4025790</v>
      </c>
      <c r="H1096" s="51">
        <v>0</v>
      </c>
    </row>
    <row r="1097" spans="1:8">
      <c r="A1097" s="13" t="s">
        <v>12</v>
      </c>
      <c r="B1097" s="13" t="s">
        <v>22</v>
      </c>
      <c r="C1097" s="13" t="s">
        <v>286</v>
      </c>
      <c r="D1097" s="43" t="s">
        <v>285</v>
      </c>
      <c r="E1097" s="70" t="s">
        <v>1718</v>
      </c>
      <c r="F1097" s="51">
        <v>0</v>
      </c>
      <c r="G1097" s="51">
        <v>0</v>
      </c>
      <c r="H1097" s="51">
        <v>0</v>
      </c>
    </row>
    <row r="1098" spans="1:8">
      <c r="A1098" s="13" t="s">
        <v>12</v>
      </c>
      <c r="B1098" s="13" t="s">
        <v>22</v>
      </c>
      <c r="C1098" s="13" t="s">
        <v>1719</v>
      </c>
      <c r="D1098" s="43" t="s">
        <v>203</v>
      </c>
      <c r="E1098" s="70" t="s">
        <v>1720</v>
      </c>
      <c r="F1098" s="51">
        <v>11658</v>
      </c>
      <c r="G1098" s="51">
        <v>20598730</v>
      </c>
      <c r="H1098" s="51">
        <v>137841</v>
      </c>
    </row>
    <row r="1099" spans="1:8">
      <c r="A1099" s="13" t="s">
        <v>12</v>
      </c>
      <c r="B1099" s="13" t="s">
        <v>22</v>
      </c>
      <c r="C1099" s="13" t="s">
        <v>1719</v>
      </c>
      <c r="D1099" s="43" t="s">
        <v>203</v>
      </c>
      <c r="E1099" s="70" t="s">
        <v>1721</v>
      </c>
      <c r="F1099" s="51">
        <v>2243</v>
      </c>
      <c r="G1099" s="51">
        <v>7808340</v>
      </c>
      <c r="H1099" s="51">
        <v>91872</v>
      </c>
    </row>
    <row r="1100" spans="1:8">
      <c r="A1100" s="13" t="s">
        <v>12</v>
      </c>
      <c r="B1100" s="13" t="s">
        <v>22</v>
      </c>
      <c r="C1100" s="13" t="s">
        <v>1719</v>
      </c>
      <c r="D1100" s="43" t="s">
        <v>203</v>
      </c>
      <c r="E1100" s="70" t="s">
        <v>1722</v>
      </c>
      <c r="F1100" s="51">
        <v>2820</v>
      </c>
      <c r="G1100" s="51">
        <v>3964250</v>
      </c>
      <c r="H1100" s="51">
        <v>52800</v>
      </c>
    </row>
    <row r="1101" spans="1:8">
      <c r="A1101" s="13" t="s">
        <v>12</v>
      </c>
      <c r="B1101" s="13" t="s">
        <v>22</v>
      </c>
      <c r="C1101" s="13" t="s">
        <v>1719</v>
      </c>
      <c r="D1101" s="43" t="s">
        <v>203</v>
      </c>
      <c r="E1101" s="70" t="s">
        <v>1723</v>
      </c>
      <c r="F1101" s="51">
        <v>2498</v>
      </c>
      <c r="G1101" s="51">
        <v>3517710</v>
      </c>
      <c r="H1101" s="51">
        <v>41526</v>
      </c>
    </row>
    <row r="1102" spans="1:8">
      <c r="A1102" s="13" t="s">
        <v>12</v>
      </c>
      <c r="B1102" s="13" t="s">
        <v>22</v>
      </c>
      <c r="C1102" s="13" t="s">
        <v>1719</v>
      </c>
      <c r="D1102" s="43" t="s">
        <v>203</v>
      </c>
      <c r="E1102" s="70" t="s">
        <v>1724</v>
      </c>
      <c r="F1102" s="51">
        <v>2597</v>
      </c>
      <c r="G1102" s="51">
        <v>4848340</v>
      </c>
      <c r="H1102" s="51">
        <v>57678</v>
      </c>
    </row>
    <row r="1103" spans="1:8">
      <c r="A1103" s="13" t="s">
        <v>12</v>
      </c>
      <c r="B1103" s="13" t="s">
        <v>22</v>
      </c>
      <c r="C1103" s="13" t="s">
        <v>1719</v>
      </c>
      <c r="D1103" s="43" t="s">
        <v>203</v>
      </c>
      <c r="E1103" s="70" t="s">
        <v>1725</v>
      </c>
      <c r="F1103" s="51">
        <v>4666</v>
      </c>
      <c r="G1103" s="51">
        <v>11966100</v>
      </c>
      <c r="H1103" s="51">
        <v>90354</v>
      </c>
    </row>
    <row r="1104" spans="1:8">
      <c r="A1104" s="13" t="s">
        <v>12</v>
      </c>
      <c r="B1104" s="13" t="s">
        <v>22</v>
      </c>
      <c r="C1104" s="13" t="s">
        <v>1719</v>
      </c>
      <c r="D1104" s="43" t="s">
        <v>203</v>
      </c>
      <c r="E1104" s="70" t="s">
        <v>1726</v>
      </c>
      <c r="F1104" s="51">
        <v>3965</v>
      </c>
      <c r="G1104" s="51">
        <v>11013690</v>
      </c>
      <c r="H1104" s="51">
        <v>72632</v>
      </c>
    </row>
    <row r="1105" spans="1:8">
      <c r="A1105" s="13" t="s">
        <v>12</v>
      </c>
      <c r="B1105" s="13" t="s">
        <v>22</v>
      </c>
      <c r="C1105" s="13" t="s">
        <v>1719</v>
      </c>
      <c r="D1105" s="43" t="s">
        <v>203</v>
      </c>
      <c r="E1105" s="70" t="s">
        <v>1727</v>
      </c>
      <c r="F1105" s="51">
        <v>889</v>
      </c>
      <c r="G1105" s="51">
        <v>2216530</v>
      </c>
      <c r="H1105" s="51">
        <v>12450</v>
      </c>
    </row>
    <row r="1106" spans="1:8">
      <c r="A1106" s="13" t="s">
        <v>12</v>
      </c>
      <c r="B1106" s="13" t="s">
        <v>22</v>
      </c>
      <c r="C1106" s="13" t="s">
        <v>1719</v>
      </c>
      <c r="D1106" s="43" t="s">
        <v>203</v>
      </c>
      <c r="E1106" s="70" t="s">
        <v>1728</v>
      </c>
      <c r="F1106" s="51">
        <v>1260</v>
      </c>
      <c r="G1106" s="51">
        <v>3170490</v>
      </c>
      <c r="H1106" s="51">
        <v>27120</v>
      </c>
    </row>
    <row r="1107" spans="1:8">
      <c r="A1107" s="13" t="s">
        <v>12</v>
      </c>
      <c r="B1107" s="13" t="s">
        <v>22</v>
      </c>
      <c r="C1107" s="13" t="s">
        <v>1719</v>
      </c>
      <c r="D1107" s="43" t="s">
        <v>203</v>
      </c>
      <c r="E1107" s="70" t="s">
        <v>1729</v>
      </c>
      <c r="F1107" s="51">
        <v>889</v>
      </c>
      <c r="G1107" s="51">
        <v>2162630</v>
      </c>
      <c r="H1107" s="51">
        <v>9570</v>
      </c>
    </row>
    <row r="1108" spans="1:8">
      <c r="A1108" s="13" t="s">
        <v>12</v>
      </c>
      <c r="B1108" s="13" t="s">
        <v>22</v>
      </c>
      <c r="C1108" s="13" t="s">
        <v>1719</v>
      </c>
      <c r="D1108" s="43" t="s">
        <v>203</v>
      </c>
      <c r="E1108" s="70" t="s">
        <v>1730</v>
      </c>
      <c r="F1108" s="51">
        <v>1142</v>
      </c>
      <c r="G1108" s="51">
        <v>2883900</v>
      </c>
      <c r="H1108" s="51">
        <v>25204</v>
      </c>
    </row>
    <row r="1109" spans="1:8">
      <c r="A1109" s="13" t="s">
        <v>12</v>
      </c>
      <c r="B1109" s="13" t="s">
        <v>22</v>
      </c>
      <c r="C1109" s="13" t="s">
        <v>1719</v>
      </c>
      <c r="D1109" s="43" t="s">
        <v>203</v>
      </c>
      <c r="E1109" s="70" t="s">
        <v>1731</v>
      </c>
      <c r="F1109" s="51">
        <v>2347</v>
      </c>
      <c r="G1109" s="51">
        <v>5953810</v>
      </c>
      <c r="H1109" s="51">
        <v>44702</v>
      </c>
    </row>
    <row r="1110" spans="1:8">
      <c r="A1110" s="13" t="s">
        <v>12</v>
      </c>
      <c r="B1110" s="13" t="s">
        <v>22</v>
      </c>
      <c r="C1110" s="13" t="s">
        <v>1719</v>
      </c>
      <c r="D1110" s="43" t="s">
        <v>203</v>
      </c>
      <c r="E1110" s="70" t="s">
        <v>1732</v>
      </c>
      <c r="F1110" s="51">
        <v>5009</v>
      </c>
      <c r="G1110" s="51">
        <v>14007690</v>
      </c>
      <c r="H1110" s="51">
        <v>101626</v>
      </c>
    </row>
    <row r="1111" spans="1:8">
      <c r="A1111" s="13" t="s">
        <v>12</v>
      </c>
      <c r="B1111" s="13" t="s">
        <v>22</v>
      </c>
      <c r="C1111" s="13" t="s">
        <v>1719</v>
      </c>
      <c r="D1111" s="43" t="s">
        <v>203</v>
      </c>
      <c r="E1111" s="70" t="s">
        <v>1733</v>
      </c>
      <c r="F1111" s="51">
        <v>8592</v>
      </c>
      <c r="G1111" s="51">
        <v>9555860</v>
      </c>
      <c r="H1111" s="51">
        <v>96180</v>
      </c>
    </row>
    <row r="1112" spans="1:8">
      <c r="A1112" s="13" t="s">
        <v>12</v>
      </c>
      <c r="B1112" s="13" t="s">
        <v>24</v>
      </c>
      <c r="C1112" s="13" t="s">
        <v>1734</v>
      </c>
      <c r="D1112" s="43" t="s">
        <v>577</v>
      </c>
      <c r="E1112" s="70" t="s">
        <v>1735</v>
      </c>
      <c r="F1112" s="51">
        <v>75</v>
      </c>
      <c r="G1112" s="51">
        <v>1155000</v>
      </c>
      <c r="H1112" s="52">
        <f>21560+58520</f>
        <v>80080</v>
      </c>
    </row>
    <row r="1113" spans="1:8">
      <c r="A1113" s="13" t="s">
        <v>12</v>
      </c>
      <c r="B1113" s="13" t="s">
        <v>24</v>
      </c>
      <c r="C1113" s="13" t="s">
        <v>1734</v>
      </c>
      <c r="D1113" s="43" t="s">
        <v>577</v>
      </c>
      <c r="E1113" s="70" t="s">
        <v>1736</v>
      </c>
      <c r="F1113" s="51">
        <v>1</v>
      </c>
      <c r="G1113" s="51">
        <v>14940</v>
      </c>
      <c r="H1113" s="51">
        <v>0</v>
      </c>
    </row>
    <row r="1114" spans="1:8">
      <c r="A1114" s="13" t="s">
        <v>12</v>
      </c>
      <c r="B1114" s="13" t="s">
        <v>24</v>
      </c>
      <c r="C1114" s="13" t="s">
        <v>1734</v>
      </c>
      <c r="D1114" s="43" t="s">
        <v>577</v>
      </c>
      <c r="E1114" s="70" t="s">
        <v>1737</v>
      </c>
      <c r="F1114" s="51">
        <v>0</v>
      </c>
      <c r="G1114" s="51">
        <v>0</v>
      </c>
      <c r="H1114" s="51">
        <v>0</v>
      </c>
    </row>
    <row r="1115" spans="1:8">
      <c r="A1115" s="13" t="s">
        <v>12</v>
      </c>
      <c r="B1115" s="13" t="s">
        <v>24</v>
      </c>
      <c r="C1115" s="13" t="s">
        <v>1734</v>
      </c>
      <c r="D1115" s="43" t="s">
        <v>577</v>
      </c>
      <c r="E1115" s="70" t="s">
        <v>1738</v>
      </c>
      <c r="F1115" s="51">
        <v>0</v>
      </c>
      <c r="G1115" s="51">
        <v>0</v>
      </c>
      <c r="H1115" s="51">
        <v>0</v>
      </c>
    </row>
    <row r="1116" spans="1:8">
      <c r="A1116" s="13" t="s">
        <v>12</v>
      </c>
      <c r="B1116" s="13" t="s">
        <v>24</v>
      </c>
      <c r="C1116" s="13" t="s">
        <v>1734</v>
      </c>
      <c r="D1116" s="43" t="s">
        <v>577</v>
      </c>
      <c r="E1116" s="70" t="s">
        <v>1739</v>
      </c>
      <c r="F1116" s="51">
        <v>0</v>
      </c>
      <c r="G1116" s="51">
        <v>0</v>
      </c>
      <c r="H1116" s="51">
        <v>0</v>
      </c>
    </row>
    <row r="1117" spans="1:8">
      <c r="A1117" s="13" t="s">
        <v>12</v>
      </c>
      <c r="B1117" s="13" t="s">
        <v>24</v>
      </c>
      <c r="C1117" s="13" t="s">
        <v>1740</v>
      </c>
      <c r="D1117" s="43" t="s">
        <v>583</v>
      </c>
      <c r="E1117" s="70" t="s">
        <v>1741</v>
      </c>
      <c r="F1117" s="51">
        <v>1</v>
      </c>
      <c r="G1117" s="51">
        <v>12900</v>
      </c>
      <c r="H1117" s="52">
        <f>0+2580</f>
        <v>2580</v>
      </c>
    </row>
    <row r="1118" spans="1:8">
      <c r="A1118" s="13" t="s">
        <v>12</v>
      </c>
      <c r="B1118" s="13" t="s">
        <v>24</v>
      </c>
      <c r="C1118" s="13" t="s">
        <v>1740</v>
      </c>
      <c r="D1118" s="43" t="s">
        <v>583</v>
      </c>
      <c r="E1118" s="70" t="s">
        <v>1742</v>
      </c>
      <c r="F1118" s="51">
        <v>4</v>
      </c>
      <c r="G1118" s="51">
        <v>51600</v>
      </c>
      <c r="H1118" s="52">
        <v>2580</v>
      </c>
    </row>
    <row r="1119" spans="1:8">
      <c r="A1119" s="13" t="s">
        <v>12</v>
      </c>
      <c r="B1119" s="13" t="s">
        <v>24</v>
      </c>
      <c r="C1119" s="13" t="s">
        <v>1740</v>
      </c>
      <c r="D1119" s="43" t="s">
        <v>583</v>
      </c>
      <c r="E1119" s="70" t="s">
        <v>1743</v>
      </c>
      <c r="F1119" s="51">
        <v>207</v>
      </c>
      <c r="G1119" s="51">
        <v>2691000</v>
      </c>
      <c r="H1119" s="52">
        <f>20800+261258</f>
        <v>282058</v>
      </c>
    </row>
    <row r="1120" spans="1:8">
      <c r="A1120" s="13" t="s">
        <v>12</v>
      </c>
      <c r="B1120" s="13" t="s">
        <v>24</v>
      </c>
      <c r="C1120" s="13" t="s">
        <v>1740</v>
      </c>
      <c r="D1120" s="43" t="s">
        <v>583</v>
      </c>
      <c r="E1120" s="70" t="s">
        <v>1744</v>
      </c>
      <c r="F1120" s="51">
        <v>0</v>
      </c>
      <c r="G1120" s="51">
        <v>0</v>
      </c>
      <c r="H1120" s="51">
        <v>0</v>
      </c>
    </row>
    <row r="1121" spans="1:8">
      <c r="A1121" s="13" t="s">
        <v>12</v>
      </c>
      <c r="B1121" s="13" t="s">
        <v>24</v>
      </c>
      <c r="C1121" s="13" t="s">
        <v>1740</v>
      </c>
      <c r="D1121" s="43" t="s">
        <v>583</v>
      </c>
      <c r="E1121" s="70" t="s">
        <v>1745</v>
      </c>
      <c r="F1121" s="51">
        <v>0</v>
      </c>
      <c r="G1121" s="51">
        <v>0</v>
      </c>
      <c r="H1121" s="51">
        <v>0</v>
      </c>
    </row>
    <row r="1122" spans="1:8">
      <c r="A1122" s="13" t="s">
        <v>12</v>
      </c>
      <c r="B1122" s="13" t="s">
        <v>24</v>
      </c>
      <c r="C1122" s="13" t="s">
        <v>1740</v>
      </c>
      <c r="D1122" s="43" t="s">
        <v>583</v>
      </c>
      <c r="E1122" s="70" t="s">
        <v>1746</v>
      </c>
      <c r="F1122" s="51">
        <v>1</v>
      </c>
      <c r="G1122" s="51">
        <v>6700</v>
      </c>
      <c r="H1122" s="52">
        <f>0+1340</f>
        <v>1340</v>
      </c>
    </row>
    <row r="1123" spans="1:8">
      <c r="A1123" s="13" t="s">
        <v>12</v>
      </c>
      <c r="B1123" s="13" t="s">
        <v>24</v>
      </c>
      <c r="C1123" s="13" t="s">
        <v>1740</v>
      </c>
      <c r="D1123" s="43" t="s">
        <v>583</v>
      </c>
      <c r="E1123" s="70" t="s">
        <v>1747</v>
      </c>
      <c r="F1123" s="51">
        <v>0</v>
      </c>
      <c r="G1123" s="51">
        <v>0</v>
      </c>
      <c r="H1123" s="51">
        <v>0</v>
      </c>
    </row>
    <row r="1124" spans="1:8">
      <c r="A1124" s="13" t="s">
        <v>12</v>
      </c>
      <c r="B1124" s="13" t="s">
        <v>24</v>
      </c>
      <c r="C1124" s="13" t="s">
        <v>1740</v>
      </c>
      <c r="D1124" s="43" t="s">
        <v>583</v>
      </c>
      <c r="E1124" s="70" t="s">
        <v>1748</v>
      </c>
      <c r="F1124" s="51">
        <v>175</v>
      </c>
      <c r="G1124" s="51">
        <v>2222500</v>
      </c>
      <c r="H1124" s="52">
        <f>35400+83682</f>
        <v>119082</v>
      </c>
    </row>
    <row r="1125" spans="1:8">
      <c r="A1125" s="13" t="s">
        <v>12</v>
      </c>
      <c r="B1125" s="13" t="s">
        <v>24</v>
      </c>
      <c r="C1125" s="13" t="s">
        <v>1740</v>
      </c>
      <c r="D1125" s="43" t="s">
        <v>583</v>
      </c>
      <c r="E1125" s="70" t="s">
        <v>1749</v>
      </c>
      <c r="F1125" s="51">
        <v>0</v>
      </c>
      <c r="G1125" s="51">
        <v>0</v>
      </c>
      <c r="H1125" s="51">
        <v>0</v>
      </c>
    </row>
    <row r="1126" spans="1:8">
      <c r="A1126" s="13" t="s">
        <v>12</v>
      </c>
      <c r="B1126" s="13" t="s">
        <v>24</v>
      </c>
      <c r="C1126" s="13" t="s">
        <v>1740</v>
      </c>
      <c r="D1126" s="43" t="s">
        <v>583</v>
      </c>
      <c r="E1126" s="70" t="s">
        <v>1750</v>
      </c>
      <c r="F1126" s="51">
        <v>0</v>
      </c>
      <c r="G1126" s="51">
        <v>0</v>
      </c>
      <c r="H1126" s="51">
        <v>0</v>
      </c>
    </row>
    <row r="1127" spans="1:8">
      <c r="A1127" s="13" t="s">
        <v>12</v>
      </c>
      <c r="B1127" s="13" t="s">
        <v>24</v>
      </c>
      <c r="C1127" s="13" t="s">
        <v>1751</v>
      </c>
      <c r="D1127" s="43" t="s">
        <v>581</v>
      </c>
      <c r="E1127" s="70" t="s">
        <v>1752</v>
      </c>
      <c r="F1127" s="51">
        <v>1224</v>
      </c>
      <c r="G1127" s="51">
        <v>3690000</v>
      </c>
      <c r="H1127" s="52">
        <f>51200+123409</f>
        <v>174609</v>
      </c>
    </row>
    <row r="1128" spans="1:8">
      <c r="A1128" s="13" t="s">
        <v>12</v>
      </c>
      <c r="B1128" s="13" t="s">
        <v>24</v>
      </c>
      <c r="C1128" s="13" t="s">
        <v>1751</v>
      </c>
      <c r="D1128" s="43" t="s">
        <v>581</v>
      </c>
      <c r="E1128" s="70" t="s">
        <v>1753</v>
      </c>
      <c r="F1128" s="51">
        <v>1727</v>
      </c>
      <c r="G1128" s="51">
        <v>13470600</v>
      </c>
      <c r="H1128" s="52">
        <f>182520+588631</f>
        <v>771151</v>
      </c>
    </row>
    <row r="1129" spans="1:8">
      <c r="A1129" s="13" t="s">
        <v>12</v>
      </c>
      <c r="B1129" s="13" t="s">
        <v>24</v>
      </c>
      <c r="C1129" s="13" t="s">
        <v>1751</v>
      </c>
      <c r="D1129" s="43" t="s">
        <v>581</v>
      </c>
      <c r="E1129" s="70" t="s">
        <v>1754</v>
      </c>
      <c r="F1129" s="51">
        <v>859</v>
      </c>
      <c r="G1129" s="51">
        <v>2914100</v>
      </c>
      <c r="H1129" s="52">
        <f>32440+66209</f>
        <v>98649</v>
      </c>
    </row>
    <row r="1130" spans="1:8">
      <c r="A1130" s="13" t="s">
        <v>12</v>
      </c>
      <c r="B1130" s="13" t="s">
        <v>22</v>
      </c>
      <c r="C1130" s="13" t="s">
        <v>428</v>
      </c>
      <c r="D1130" s="43" t="s">
        <v>427</v>
      </c>
      <c r="E1130" s="70" t="s">
        <v>1755</v>
      </c>
      <c r="F1130" s="51">
        <v>0</v>
      </c>
      <c r="G1130" s="51">
        <v>0</v>
      </c>
      <c r="H1130" s="51">
        <v>0</v>
      </c>
    </row>
    <row r="1131" spans="1:8">
      <c r="A1131" s="13" t="s">
        <v>12</v>
      </c>
      <c r="B1131" s="13" t="s">
        <v>22</v>
      </c>
      <c r="C1131" s="13" t="s">
        <v>428</v>
      </c>
      <c r="D1131" s="43" t="s">
        <v>427</v>
      </c>
      <c r="E1131" s="70" t="s">
        <v>1756</v>
      </c>
      <c r="F1131" s="51">
        <v>0</v>
      </c>
      <c r="G1131" s="51">
        <v>0</v>
      </c>
      <c r="H1131" s="51">
        <v>0</v>
      </c>
    </row>
    <row r="1132" spans="1:8">
      <c r="A1132" s="13" t="s">
        <v>12</v>
      </c>
      <c r="B1132" s="13" t="s">
        <v>22</v>
      </c>
      <c r="C1132" s="13" t="s">
        <v>428</v>
      </c>
      <c r="D1132" s="43" t="s">
        <v>427</v>
      </c>
      <c r="E1132" s="70" t="s">
        <v>1757</v>
      </c>
      <c r="F1132" s="51">
        <v>0</v>
      </c>
      <c r="G1132" s="51">
        <v>0</v>
      </c>
      <c r="H1132" s="51">
        <v>0</v>
      </c>
    </row>
    <row r="1133" spans="1:8">
      <c r="A1133" s="13" t="s">
        <v>12</v>
      </c>
      <c r="B1133" s="13" t="s">
        <v>22</v>
      </c>
      <c r="C1133" s="13" t="s">
        <v>428</v>
      </c>
      <c r="D1133" s="43" t="s">
        <v>427</v>
      </c>
      <c r="E1133" s="70" t="s">
        <v>1758</v>
      </c>
      <c r="F1133" s="51">
        <v>0</v>
      </c>
      <c r="G1133" s="51">
        <v>0</v>
      </c>
      <c r="H1133" s="51">
        <v>0</v>
      </c>
    </row>
    <row r="1134" spans="1:8">
      <c r="A1134" s="13" t="s">
        <v>12</v>
      </c>
      <c r="B1134" s="13" t="s">
        <v>22</v>
      </c>
      <c r="C1134" s="13" t="s">
        <v>428</v>
      </c>
      <c r="D1134" s="43" t="s">
        <v>427</v>
      </c>
      <c r="E1134" s="70" t="s">
        <v>1759</v>
      </c>
      <c r="F1134" s="51">
        <v>0</v>
      </c>
      <c r="G1134" s="51">
        <v>0</v>
      </c>
      <c r="H1134" s="51">
        <v>0</v>
      </c>
    </row>
    <row r="1135" spans="1:8">
      <c r="A1135" s="13" t="s">
        <v>12</v>
      </c>
      <c r="B1135" s="13" t="s">
        <v>22</v>
      </c>
      <c r="C1135" s="13" t="s">
        <v>428</v>
      </c>
      <c r="D1135" s="43" t="s">
        <v>427</v>
      </c>
      <c r="E1135" s="70" t="s">
        <v>1760</v>
      </c>
      <c r="F1135" s="51">
        <v>0</v>
      </c>
      <c r="G1135" s="51">
        <v>0</v>
      </c>
      <c r="H1135" s="51">
        <v>0</v>
      </c>
    </row>
  </sheetData>
  <autoFilter ref="A5:H5"/>
  <phoneticPr fontId="4" type="noConversion"/>
  <conditionalFormatting sqref="B1019">
    <cfRule type="duplicateValues" dxfId="5" priority="1"/>
  </conditionalFormatting>
  <conditionalFormatting sqref="C1018:C1019">
    <cfRule type="duplicateValues" dxfId="4" priority="6"/>
  </conditionalFormatting>
  <dataValidations count="1">
    <dataValidation type="list" allowBlank="1" showInputMessage="1" showErrorMessage="1" sqref="B6:B282 B285:B290 B294 B296:B297 B301 B304 B306:B308 B310:B311 B314:B315 B318:B319 B324:B327 B337 B340 B342:B350 B353 B356:B357 B361:B365 B367 B369 B371:B374 B377:B378 B382 B384:B387 B390 B392:B1135">
      <formula1>"농산물, 축산물, 가공식품"</formula1>
    </dataValidation>
  </dataValidations>
  <pageMargins left="0.70866141732283472" right="0.70866141732283472" top="0.74803149606299213" bottom="0.74803149606299213" header="0.31496062992125978" footer="0.31496062992125978"/>
  <pageSetup paperSize="9" scale="36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workbookViewId="0">
      <selection activeCell="A2" sqref="A2"/>
    </sheetView>
  </sheetViews>
  <sheetFormatPr defaultRowHeight="17.399999999999999"/>
  <cols>
    <col min="1" max="1" width="10.3984375" style="27" customWidth="1"/>
    <col min="2" max="2" width="8.19921875" style="36" customWidth="1"/>
    <col min="3" max="3" width="18.3984375" style="36" customWidth="1"/>
    <col min="4" max="4" width="34" style="27" bestFit="1" customWidth="1"/>
    <col min="5" max="5" width="13.09765625" style="36" customWidth="1"/>
    <col min="6" max="6" width="12.69921875" style="27" bestFit="1" customWidth="1"/>
    <col min="7" max="7" width="17.19921875" style="27" customWidth="1"/>
    <col min="8" max="8" width="12.69921875" style="27" customWidth="1"/>
    <col min="9" max="9" width="16.796875" style="36" bestFit="1" customWidth="1"/>
  </cols>
  <sheetData>
    <row r="1" spans="1:9">
      <c r="F1" s="28">
        <f>SUM(F3:F57)</f>
        <v>127651</v>
      </c>
      <c r="G1" s="28">
        <f>SUM(G3:G57)</f>
        <v>646574890</v>
      </c>
      <c r="H1" s="28">
        <f>SUM(H3:H57)</f>
        <v>20033931</v>
      </c>
      <c r="I1" s="73">
        <v>32</v>
      </c>
    </row>
    <row r="2" spans="1:9">
      <c r="A2" s="71" t="s">
        <v>34</v>
      </c>
      <c r="B2" s="71" t="s">
        <v>2</v>
      </c>
      <c r="C2" s="71" t="s">
        <v>35</v>
      </c>
      <c r="D2" s="71" t="s">
        <v>36</v>
      </c>
      <c r="E2" s="71" t="s">
        <v>37</v>
      </c>
      <c r="F2" s="72" t="s">
        <v>20</v>
      </c>
      <c r="G2" s="72" t="s">
        <v>18</v>
      </c>
      <c r="H2" s="72" t="s">
        <v>38</v>
      </c>
      <c r="I2" s="76" t="s">
        <v>2056</v>
      </c>
    </row>
    <row r="3" spans="1:9">
      <c r="A3" s="30">
        <v>1</v>
      </c>
      <c r="B3" s="30" t="s">
        <v>39</v>
      </c>
      <c r="C3" s="30" t="s">
        <v>1761</v>
      </c>
      <c r="D3" s="25" t="s">
        <v>1762</v>
      </c>
      <c r="E3" s="30" t="s">
        <v>12</v>
      </c>
      <c r="F3" s="29">
        <f>SUMIF(②유기농raw!$D$6:$D$180,$C3,②유기농raw!$F$6:$F$180)</f>
        <v>12517</v>
      </c>
      <c r="G3" s="29">
        <f>SUMIF(②유기농raw!$D$6:$D$180,$C3,②유기농raw!$G$6:$G$180)</f>
        <v>76900370</v>
      </c>
      <c r="H3" s="29">
        <f>SUMIF(②유기농raw!$D$6:$D$180,$C3,②유기농raw!$H$6:$H$180)</f>
        <v>1028586</v>
      </c>
      <c r="I3" s="30" t="s">
        <v>2059</v>
      </c>
    </row>
    <row r="4" spans="1:9">
      <c r="A4" s="30">
        <v>2</v>
      </c>
      <c r="B4" s="30" t="s">
        <v>39</v>
      </c>
      <c r="C4" s="30" t="s">
        <v>1763</v>
      </c>
      <c r="D4" s="25" t="s">
        <v>1764</v>
      </c>
      <c r="E4" s="30" t="s">
        <v>7</v>
      </c>
      <c r="F4" s="29">
        <f>SUMIF(②유기농raw!$D$6:$D$180,$C4,②유기농raw!$F$6:$F$180)</f>
        <v>175</v>
      </c>
      <c r="G4" s="29">
        <f>SUMIF(②유기농raw!$D$6:$D$180,$C4,②유기농raw!$G$6:$G$180)</f>
        <v>6094000</v>
      </c>
      <c r="H4" s="29">
        <f>SUMIF(②유기농raw!$D$6:$D$180,$C4,②유기농raw!$H$6:$H$180)</f>
        <v>886100</v>
      </c>
      <c r="I4" s="30" t="s">
        <v>2059</v>
      </c>
    </row>
    <row r="5" spans="1:9">
      <c r="A5" s="30">
        <v>3</v>
      </c>
      <c r="B5" s="30" t="s">
        <v>47</v>
      </c>
      <c r="C5" s="30" t="s">
        <v>1765</v>
      </c>
      <c r="D5" s="25" t="s">
        <v>1766</v>
      </c>
      <c r="E5" s="30" t="s">
        <v>12</v>
      </c>
      <c r="F5" s="29">
        <f>SUMIF(②유기농raw!$D$6:$D$180,$C5,②유기농raw!$F$6:$F$180)</f>
        <v>0</v>
      </c>
      <c r="G5" s="29">
        <f>SUMIF(②유기농raw!$D$6:$D$180,$C5,②유기농raw!$G$6:$G$180)</f>
        <v>0</v>
      </c>
      <c r="H5" s="29">
        <f>SUMIF(②유기농raw!$D$6:$D$180,$C5,②유기농raw!$H$6:$H$180)</f>
        <v>0</v>
      </c>
      <c r="I5" s="25"/>
    </row>
    <row r="6" spans="1:9">
      <c r="A6" s="30">
        <v>4</v>
      </c>
      <c r="B6" s="30" t="s">
        <v>47</v>
      </c>
      <c r="C6" s="30" t="s">
        <v>1767</v>
      </c>
      <c r="D6" s="25" t="s">
        <v>1768</v>
      </c>
      <c r="E6" s="30" t="s">
        <v>12</v>
      </c>
      <c r="F6" s="29">
        <f>SUMIF(②유기농raw!$D$6:$D$180,$C6,②유기농raw!$F$6:$F$180)</f>
        <v>0</v>
      </c>
      <c r="G6" s="29">
        <f>SUMIF(②유기농raw!$D$6:$D$180,$C6,②유기농raw!$G$6:$G$180)</f>
        <v>0</v>
      </c>
      <c r="H6" s="29">
        <f>SUMIF(②유기농raw!$D$6:$D$180,$C6,②유기농raw!$H$6:$H$180)</f>
        <v>0</v>
      </c>
      <c r="I6" s="25"/>
    </row>
    <row r="7" spans="1:9">
      <c r="A7" s="30">
        <v>5</v>
      </c>
      <c r="B7" s="30" t="s">
        <v>50</v>
      </c>
      <c r="C7" s="30" t="s">
        <v>1769</v>
      </c>
      <c r="D7" s="25" t="s">
        <v>1770</v>
      </c>
      <c r="E7" s="30" t="s">
        <v>12</v>
      </c>
      <c r="F7" s="29">
        <f>SUMIF(②유기농raw!$D$6:$D$180,$C7,②유기농raw!$F$6:$F$180)</f>
        <v>17</v>
      </c>
      <c r="G7" s="29">
        <f>SUMIF(②유기농raw!$D$6:$D$180,$C7,②유기농raw!$G$6:$G$180)</f>
        <v>657000</v>
      </c>
      <c r="H7" s="29">
        <f>SUMIF(②유기농raw!$D$6:$D$180,$C7,②유기농raw!$H$6:$H$180)</f>
        <v>0</v>
      </c>
      <c r="I7" s="30" t="s">
        <v>2059</v>
      </c>
    </row>
    <row r="8" spans="1:9">
      <c r="A8" s="30">
        <v>6</v>
      </c>
      <c r="B8" s="30" t="s">
        <v>39</v>
      </c>
      <c r="C8" s="30" t="s">
        <v>1771</v>
      </c>
      <c r="D8" s="25" t="s">
        <v>1772</v>
      </c>
      <c r="E8" s="30" t="s">
        <v>12</v>
      </c>
      <c r="F8" s="29">
        <f>SUMIF(②유기농raw!$D$6:$D$180,$C8,②유기농raw!$F$6:$F$180)</f>
        <v>0</v>
      </c>
      <c r="G8" s="29">
        <f>SUMIF(②유기농raw!$D$6:$D$180,$C8,②유기농raw!$G$6:$G$180)</f>
        <v>0</v>
      </c>
      <c r="H8" s="29">
        <f>SUMIF(②유기농raw!$D$6:$D$180,$C8,②유기농raw!$H$6:$H$180)</f>
        <v>0</v>
      </c>
      <c r="I8" s="25"/>
    </row>
    <row r="9" spans="1:9">
      <c r="A9" s="30">
        <v>7</v>
      </c>
      <c r="B9" s="30" t="s">
        <v>39</v>
      </c>
      <c r="C9" s="30" t="s">
        <v>1773</v>
      </c>
      <c r="D9" s="25" t="s">
        <v>1774</v>
      </c>
      <c r="E9" s="30" t="s">
        <v>7</v>
      </c>
      <c r="F9" s="29">
        <f>SUMIF(②유기농raw!$D$6:$D$180,$C9,②유기농raw!$F$6:$F$180)</f>
        <v>17</v>
      </c>
      <c r="G9" s="29">
        <f>SUMIF(②유기농raw!$D$6:$D$180,$C9,②유기농raw!$G$6:$G$180)</f>
        <v>565600</v>
      </c>
      <c r="H9" s="29">
        <f>SUMIF(②유기농raw!$D$6:$D$180,$C9,②유기농raw!$H$6:$H$180)</f>
        <v>92660</v>
      </c>
      <c r="I9" s="30" t="s">
        <v>2059</v>
      </c>
    </row>
    <row r="10" spans="1:9">
      <c r="A10" s="30">
        <v>8</v>
      </c>
      <c r="B10" s="30" t="s">
        <v>47</v>
      </c>
      <c r="C10" s="30" t="s">
        <v>1775</v>
      </c>
      <c r="D10" s="25" t="s">
        <v>1776</v>
      </c>
      <c r="E10" s="30" t="s">
        <v>7</v>
      </c>
      <c r="F10" s="29">
        <f>SUMIF(②유기농raw!$D$6:$D$180,$C10,②유기농raw!$F$6:$F$180)</f>
        <v>3</v>
      </c>
      <c r="G10" s="29">
        <f>SUMIF(②유기농raw!$D$6:$D$180,$C10,②유기농raw!$G$6:$G$180)</f>
        <v>69150</v>
      </c>
      <c r="H10" s="29">
        <f>SUMIF(②유기농raw!$D$6:$D$180,$C10,②유기농raw!$H$6:$H$180)</f>
        <v>11630</v>
      </c>
      <c r="I10" s="30" t="s">
        <v>2059</v>
      </c>
    </row>
    <row r="11" spans="1:9">
      <c r="A11" s="30">
        <v>9</v>
      </c>
      <c r="B11" s="30" t="s">
        <v>39</v>
      </c>
      <c r="C11" s="30" t="s">
        <v>1777</v>
      </c>
      <c r="D11" s="25" t="s">
        <v>1778</v>
      </c>
      <c r="E11" s="30" t="s">
        <v>12</v>
      </c>
      <c r="F11" s="29">
        <f>SUMIF(②유기농raw!$D$6:$D$180,$C11,②유기농raw!$F$6:$F$180)</f>
        <v>26</v>
      </c>
      <c r="G11" s="29">
        <f>SUMIF(②유기농raw!$D$6:$D$180,$C11,②유기농raw!$G$6:$G$180)</f>
        <v>456200</v>
      </c>
      <c r="H11" s="29">
        <f>SUMIF(②유기농raw!$D$6:$D$180,$C11,②유기농raw!$H$6:$H$180)</f>
        <v>57980</v>
      </c>
      <c r="I11" s="30" t="s">
        <v>2059</v>
      </c>
    </row>
    <row r="12" spans="1:9">
      <c r="A12" s="30">
        <v>10</v>
      </c>
      <c r="B12" s="30" t="s">
        <v>39</v>
      </c>
      <c r="C12" s="30" t="s">
        <v>1779</v>
      </c>
      <c r="D12" s="25" t="s">
        <v>1780</v>
      </c>
      <c r="E12" s="30" t="s">
        <v>7</v>
      </c>
      <c r="F12" s="29">
        <f>SUMIF(②유기농raw!$D$6:$D$180,$C12,②유기농raw!$F$6:$F$180)</f>
        <v>124</v>
      </c>
      <c r="G12" s="29">
        <f>SUMIF(②유기농raw!$D$6:$D$180,$C12,②유기농raw!$G$6:$G$180)</f>
        <v>4122700</v>
      </c>
      <c r="H12" s="29">
        <f>SUMIF(②유기농raw!$D$6:$D$180,$C12,②유기농raw!$H$6:$H$180)</f>
        <v>469620</v>
      </c>
      <c r="I12" s="30" t="s">
        <v>2059</v>
      </c>
    </row>
    <row r="13" spans="1:9">
      <c r="A13" s="30">
        <v>11</v>
      </c>
      <c r="B13" s="30" t="s">
        <v>39</v>
      </c>
      <c r="C13" s="30" t="s">
        <v>1781</v>
      </c>
      <c r="D13" s="25" t="s">
        <v>1782</v>
      </c>
      <c r="E13" s="30" t="s">
        <v>12</v>
      </c>
      <c r="F13" s="29">
        <f>SUMIF(②유기농raw!$D$6:$D$180,$C13,②유기농raw!$F$6:$F$180)</f>
        <v>0</v>
      </c>
      <c r="G13" s="29">
        <f>SUMIF(②유기농raw!$D$6:$D$180,$C13,②유기농raw!$G$6:$G$180)</f>
        <v>0</v>
      </c>
      <c r="H13" s="29">
        <f>SUMIF(②유기농raw!$D$6:$D$180,$C13,②유기농raw!$H$6:$H$180)</f>
        <v>0</v>
      </c>
      <c r="I13" s="25"/>
    </row>
    <row r="14" spans="1:9">
      <c r="A14" s="30">
        <v>12</v>
      </c>
      <c r="B14" s="30" t="s">
        <v>39</v>
      </c>
      <c r="C14" s="30" t="s">
        <v>1783</v>
      </c>
      <c r="D14" s="25" t="s">
        <v>1784</v>
      </c>
      <c r="E14" s="30" t="s">
        <v>12</v>
      </c>
      <c r="F14" s="29">
        <f>SUMIF(②유기농raw!$D$6:$D$180,$C14,②유기농raw!$F$6:$F$180)</f>
        <v>0</v>
      </c>
      <c r="G14" s="29">
        <f>SUMIF(②유기농raw!$D$6:$D$180,$C14,②유기농raw!$G$6:$G$180)</f>
        <v>0</v>
      </c>
      <c r="H14" s="29">
        <f>SUMIF(②유기농raw!$D$6:$D$180,$C14,②유기농raw!$H$6:$H$180)</f>
        <v>0</v>
      </c>
      <c r="I14" s="25"/>
    </row>
    <row r="15" spans="1:9">
      <c r="A15" s="30">
        <v>13</v>
      </c>
      <c r="B15" s="30" t="s">
        <v>39</v>
      </c>
      <c r="C15" s="30" t="s">
        <v>1785</v>
      </c>
      <c r="D15" s="25" t="s">
        <v>1786</v>
      </c>
      <c r="E15" s="30" t="s">
        <v>12</v>
      </c>
      <c r="F15" s="29">
        <f>SUMIF(②유기농raw!$D$6:$D$180,$C15,②유기농raw!$F$6:$F$180)</f>
        <v>0</v>
      </c>
      <c r="G15" s="29">
        <f>SUMIF(②유기농raw!$D$6:$D$180,$C15,②유기농raw!$G$6:$G$180)</f>
        <v>0</v>
      </c>
      <c r="H15" s="29">
        <f>SUMIF(②유기농raw!$D$6:$D$180,$C15,②유기농raw!$H$6:$H$180)</f>
        <v>0</v>
      </c>
      <c r="I15" s="25"/>
    </row>
    <row r="16" spans="1:9">
      <c r="A16" s="30">
        <v>14</v>
      </c>
      <c r="B16" s="30" t="s">
        <v>39</v>
      </c>
      <c r="C16" s="30" t="s">
        <v>1787</v>
      </c>
      <c r="D16" s="25" t="s">
        <v>1788</v>
      </c>
      <c r="E16" s="30" t="s">
        <v>12</v>
      </c>
      <c r="F16" s="29">
        <f>SUMIF(②유기농raw!$D$6:$D$180,$C16,②유기농raw!$F$6:$F$180)</f>
        <v>9330</v>
      </c>
      <c r="G16" s="29">
        <f>SUMIF(②유기농raw!$D$6:$D$180,$C16,②유기농raw!$G$6:$G$180)</f>
        <v>19696150</v>
      </c>
      <c r="H16" s="29">
        <f>SUMIF(②유기농raw!$D$6:$D$180,$C16,②유기농raw!$H$6:$H$180)</f>
        <v>1078686</v>
      </c>
      <c r="I16" s="30" t="s">
        <v>2059</v>
      </c>
    </row>
    <row r="17" spans="1:9">
      <c r="A17" s="30">
        <v>15</v>
      </c>
      <c r="B17" s="30" t="s">
        <v>39</v>
      </c>
      <c r="C17" s="30" t="s">
        <v>1789</v>
      </c>
      <c r="D17" s="25" t="s">
        <v>1790</v>
      </c>
      <c r="E17" s="30" t="s">
        <v>7</v>
      </c>
      <c r="F17" s="29">
        <f>SUMIF(②유기농raw!$D$6:$D$180,$C17,②유기농raw!$F$6:$F$180)</f>
        <v>268</v>
      </c>
      <c r="G17" s="29">
        <f>SUMIF(②유기농raw!$D$6:$D$180,$C17,②유기농raw!$G$6:$G$180)</f>
        <v>7562100</v>
      </c>
      <c r="H17" s="29">
        <f>SUMIF(②유기농raw!$D$6:$D$180,$C17,②유기농raw!$H$6:$H$180)</f>
        <v>880230</v>
      </c>
      <c r="I17" s="30" t="s">
        <v>2059</v>
      </c>
    </row>
    <row r="18" spans="1:9">
      <c r="A18" s="30">
        <v>16</v>
      </c>
      <c r="B18" s="30" t="s">
        <v>47</v>
      </c>
      <c r="C18" s="30" t="s">
        <v>1791</v>
      </c>
      <c r="D18" s="25" t="s">
        <v>1792</v>
      </c>
      <c r="E18" s="30" t="s">
        <v>12</v>
      </c>
      <c r="F18" s="29">
        <f>SUMIF(②유기농raw!$D$6:$D$180,$C18,②유기농raw!$F$6:$F$180)</f>
        <v>0</v>
      </c>
      <c r="G18" s="29">
        <f>SUMIF(②유기농raw!$D$6:$D$180,$C18,②유기농raw!$G$6:$G$180)</f>
        <v>0</v>
      </c>
      <c r="H18" s="29">
        <f>SUMIF(②유기농raw!$D$6:$D$180,$C18,②유기농raw!$H$6:$H$180)</f>
        <v>0</v>
      </c>
      <c r="I18" s="25"/>
    </row>
    <row r="19" spans="1:9">
      <c r="A19" s="30">
        <v>17</v>
      </c>
      <c r="B19" s="30" t="s">
        <v>50</v>
      </c>
      <c r="C19" s="30" t="s">
        <v>1793</v>
      </c>
      <c r="D19" s="25" t="s">
        <v>1794</v>
      </c>
      <c r="E19" s="30" t="s">
        <v>7</v>
      </c>
      <c r="F19" s="29">
        <f>SUMIF(②유기농raw!$D$6:$D$180,$C19,②유기농raw!$F$6:$F$180)</f>
        <v>113</v>
      </c>
      <c r="G19" s="29">
        <f>SUMIF(②유기농raw!$D$6:$D$180,$C19,②유기농raw!$G$6:$G$180)</f>
        <v>2551190</v>
      </c>
      <c r="H19" s="29">
        <f>SUMIF(②유기농raw!$D$6:$D$180,$C19,②유기농raw!$H$6:$H$180)</f>
        <v>315770</v>
      </c>
      <c r="I19" s="30" t="s">
        <v>2059</v>
      </c>
    </row>
    <row r="20" spans="1:9">
      <c r="A20" s="30">
        <v>18</v>
      </c>
      <c r="B20" s="30" t="s">
        <v>39</v>
      </c>
      <c r="C20" s="30" t="s">
        <v>1795</v>
      </c>
      <c r="D20" s="25" t="s">
        <v>1796</v>
      </c>
      <c r="E20" s="30" t="s">
        <v>7</v>
      </c>
      <c r="F20" s="29">
        <f>SUMIF(②유기농raw!$D$6:$D$180,$C20,②유기농raw!$F$6:$F$180)</f>
        <v>2203</v>
      </c>
      <c r="G20" s="29">
        <f>SUMIF(②유기농raw!$D$6:$D$180,$C20,②유기농raw!$G$6:$G$180)</f>
        <v>40996160</v>
      </c>
      <c r="H20" s="29">
        <f>SUMIF(②유기농raw!$D$6:$D$180,$C20,②유기농raw!$H$6:$H$180)</f>
        <v>4246920</v>
      </c>
      <c r="I20" s="30" t="s">
        <v>2059</v>
      </c>
    </row>
    <row r="21" spans="1:9">
      <c r="A21" s="30">
        <v>19</v>
      </c>
      <c r="B21" s="30" t="s">
        <v>47</v>
      </c>
      <c r="C21" s="30" t="s">
        <v>1797</v>
      </c>
      <c r="D21" s="25" t="s">
        <v>1798</v>
      </c>
      <c r="E21" s="30" t="s">
        <v>7</v>
      </c>
      <c r="F21" s="29">
        <f>SUMIF(②유기농raw!$D$6:$D$180,$C21,②유기농raw!$F$6:$F$180)</f>
        <v>0</v>
      </c>
      <c r="G21" s="29">
        <f>SUMIF(②유기농raw!$D$6:$D$180,$C21,②유기농raw!$G$6:$G$180)</f>
        <v>0</v>
      </c>
      <c r="H21" s="29">
        <f>SUMIF(②유기농raw!$D$6:$D$180,$C21,②유기농raw!$H$6:$H$180)</f>
        <v>0</v>
      </c>
      <c r="I21" s="25"/>
    </row>
    <row r="22" spans="1:9">
      <c r="A22" s="30">
        <v>20</v>
      </c>
      <c r="B22" s="30" t="s">
        <v>39</v>
      </c>
      <c r="C22" s="30" t="s">
        <v>1799</v>
      </c>
      <c r="D22" s="25" t="s">
        <v>1800</v>
      </c>
      <c r="E22" s="30" t="s">
        <v>12</v>
      </c>
      <c r="F22" s="29">
        <f>SUMIF(②유기농raw!$D$6:$D$180,$C22,②유기농raw!$F$6:$F$180)</f>
        <v>1858</v>
      </c>
      <c r="G22" s="29">
        <f>SUMIF(②유기농raw!$D$6:$D$180,$C22,②유기농raw!$G$6:$G$180)</f>
        <v>20363420</v>
      </c>
      <c r="H22" s="29">
        <f>SUMIF(②유기농raw!$D$6:$D$180,$C22,②유기농raw!$H$6:$H$180)</f>
        <v>1072130</v>
      </c>
      <c r="I22" s="30" t="s">
        <v>2059</v>
      </c>
    </row>
    <row r="23" spans="1:9">
      <c r="A23" s="30">
        <v>21</v>
      </c>
      <c r="B23" s="30" t="s">
        <v>39</v>
      </c>
      <c r="C23" s="30" t="s">
        <v>1801</v>
      </c>
      <c r="D23" s="25" t="s">
        <v>1802</v>
      </c>
      <c r="E23" s="30" t="s">
        <v>12</v>
      </c>
      <c r="F23" s="29">
        <f>SUMIF(②유기농raw!$D$6:$D$180,$C23,②유기농raw!$F$6:$F$180)</f>
        <v>656</v>
      </c>
      <c r="G23" s="29">
        <f>SUMIF(②유기농raw!$D$6:$D$180,$C23,②유기농raw!$G$6:$G$180)</f>
        <v>3066000</v>
      </c>
      <c r="H23" s="29">
        <f>SUMIF(②유기농raw!$D$6:$D$180,$C23,②유기농raw!$H$6:$H$180)</f>
        <v>0</v>
      </c>
      <c r="I23" s="30" t="s">
        <v>2059</v>
      </c>
    </row>
    <row r="24" spans="1:9">
      <c r="A24" s="30">
        <v>22</v>
      </c>
      <c r="B24" s="30" t="s">
        <v>39</v>
      </c>
      <c r="C24" s="30" t="s">
        <v>1803</v>
      </c>
      <c r="D24" s="25" t="s">
        <v>1804</v>
      </c>
      <c r="E24" s="30" t="s">
        <v>7</v>
      </c>
      <c r="F24" s="29">
        <f>SUMIF(②유기농raw!$D$6:$D$180,$C24,②유기농raw!$F$6:$F$180)</f>
        <v>173</v>
      </c>
      <c r="G24" s="29">
        <f>SUMIF(②유기농raw!$D$6:$D$180,$C24,②유기농raw!$G$6:$G$180)</f>
        <v>3416470</v>
      </c>
      <c r="H24" s="29">
        <f>SUMIF(②유기농raw!$D$6:$D$180,$C24,②유기농raw!$H$6:$H$180)</f>
        <v>365550</v>
      </c>
      <c r="I24" s="30" t="s">
        <v>2059</v>
      </c>
    </row>
    <row r="25" spans="1:9">
      <c r="A25" s="30">
        <v>23</v>
      </c>
      <c r="B25" s="30" t="s">
        <v>39</v>
      </c>
      <c r="C25" s="30" t="s">
        <v>1805</v>
      </c>
      <c r="D25" s="25" t="s">
        <v>1806</v>
      </c>
      <c r="E25" s="30" t="s">
        <v>12</v>
      </c>
      <c r="F25" s="29">
        <f>SUMIF(②유기농raw!$D$6:$D$180,$C25,②유기농raw!$F$6:$F$180)</f>
        <v>1434</v>
      </c>
      <c r="G25" s="29">
        <f>SUMIF(②유기농raw!$D$6:$D$180,$C25,②유기농raw!$G$6:$G$180)</f>
        <v>3330250</v>
      </c>
      <c r="H25" s="29">
        <f>SUMIF(②유기농raw!$D$6:$D$180,$C25,②유기농raw!$H$6:$H$180)</f>
        <v>260996</v>
      </c>
      <c r="I25" s="30" t="s">
        <v>2059</v>
      </c>
    </row>
    <row r="26" spans="1:9">
      <c r="A26" s="30">
        <v>24</v>
      </c>
      <c r="B26" s="30" t="s">
        <v>39</v>
      </c>
      <c r="C26" s="30" t="s">
        <v>1807</v>
      </c>
      <c r="D26" s="25" t="s">
        <v>1808</v>
      </c>
      <c r="E26" s="30" t="s">
        <v>12</v>
      </c>
      <c r="F26" s="29">
        <f>SUMIF(②유기농raw!$D$6:$D$180,$C26,②유기농raw!$F$6:$F$180)</f>
        <v>6303</v>
      </c>
      <c r="G26" s="29">
        <f>SUMIF(②유기농raw!$D$6:$D$180,$C26,②유기농raw!$G$6:$G$180)</f>
        <v>18345130</v>
      </c>
      <c r="H26" s="29">
        <f>SUMIF(②유기농raw!$D$6:$D$180,$C26,②유기농raw!$H$6:$H$180)</f>
        <v>1117281</v>
      </c>
      <c r="I26" s="30" t="s">
        <v>2059</v>
      </c>
    </row>
    <row r="27" spans="1:9">
      <c r="A27" s="30">
        <v>25</v>
      </c>
      <c r="B27" s="30" t="s">
        <v>39</v>
      </c>
      <c r="C27" s="30" t="s">
        <v>1809</v>
      </c>
      <c r="D27" s="25" t="s">
        <v>1810</v>
      </c>
      <c r="E27" s="30" t="s">
        <v>7</v>
      </c>
      <c r="F27" s="29">
        <f>SUMIF(②유기농raw!$D$6:$D$180,$C27,②유기농raw!$F$6:$F$180)</f>
        <v>58</v>
      </c>
      <c r="G27" s="29">
        <f>SUMIF(②유기농raw!$D$6:$D$180,$C27,②유기농raw!$G$6:$G$180)</f>
        <v>3304000</v>
      </c>
      <c r="H27" s="29">
        <f>SUMIF(②유기농raw!$D$6:$D$180,$C27,②유기농raw!$H$6:$H$180)</f>
        <v>550000</v>
      </c>
      <c r="I27" s="30" t="s">
        <v>2059</v>
      </c>
    </row>
    <row r="28" spans="1:9">
      <c r="A28" s="30">
        <v>26</v>
      </c>
      <c r="B28" s="30" t="s">
        <v>47</v>
      </c>
      <c r="C28" s="30" t="s">
        <v>1811</v>
      </c>
      <c r="D28" s="25" t="s">
        <v>1812</v>
      </c>
      <c r="E28" s="30" t="s">
        <v>7</v>
      </c>
      <c r="F28" s="29">
        <f>SUMIF(②유기농raw!$D$6:$D$180,$C28,②유기농raw!$F$6:$F$180)</f>
        <v>0</v>
      </c>
      <c r="G28" s="29">
        <f>SUMIF(②유기농raw!$D$6:$D$180,$C28,②유기농raw!$G$6:$G$180)</f>
        <v>0</v>
      </c>
      <c r="H28" s="29">
        <f>SUMIF(②유기농raw!$D$6:$D$180,$C28,②유기농raw!$H$6:$H$180)</f>
        <v>0</v>
      </c>
      <c r="I28" s="25"/>
    </row>
    <row r="29" spans="1:9">
      <c r="A29" s="30">
        <v>27</v>
      </c>
      <c r="B29" s="30" t="s">
        <v>50</v>
      </c>
      <c r="C29" s="30" t="s">
        <v>1813</v>
      </c>
      <c r="D29" s="25" t="s">
        <v>1814</v>
      </c>
      <c r="E29" s="30" t="s">
        <v>7</v>
      </c>
      <c r="F29" s="29">
        <f>SUMIF(②유기농raw!$D$6:$D$180,$C29,②유기농raw!$F$6:$F$180)</f>
        <v>245</v>
      </c>
      <c r="G29" s="29">
        <f>SUMIF(②유기농raw!$D$6:$D$180,$C29,②유기농raw!$G$6:$G$180)</f>
        <v>5724000</v>
      </c>
      <c r="H29" s="29">
        <f>SUMIF(②유기농raw!$D$6:$D$180,$C29,②유기농raw!$H$6:$H$180)</f>
        <v>0</v>
      </c>
      <c r="I29" s="30" t="s">
        <v>2059</v>
      </c>
    </row>
    <row r="30" spans="1:9">
      <c r="A30" s="30">
        <v>28</v>
      </c>
      <c r="B30" s="30" t="s">
        <v>39</v>
      </c>
      <c r="C30" s="30" t="s">
        <v>1815</v>
      </c>
      <c r="D30" s="25" t="s">
        <v>1816</v>
      </c>
      <c r="E30" s="30" t="s">
        <v>7</v>
      </c>
      <c r="F30" s="29">
        <f>SUMIF(②유기농raw!$D$6:$D$180,$C30,②유기농raw!$F$6:$F$180)</f>
        <v>0</v>
      </c>
      <c r="G30" s="29">
        <f>SUMIF(②유기농raw!$D$6:$D$180,$C30,②유기농raw!$G$6:$G$180)</f>
        <v>0</v>
      </c>
      <c r="H30" s="29">
        <f>SUMIF(②유기농raw!$D$6:$D$180,$C30,②유기농raw!$H$6:$H$180)</f>
        <v>0</v>
      </c>
      <c r="I30" s="25"/>
    </row>
    <row r="31" spans="1:9">
      <c r="A31" s="30">
        <v>29</v>
      </c>
      <c r="B31" s="30" t="s">
        <v>50</v>
      </c>
      <c r="C31" s="30" t="s">
        <v>1817</v>
      </c>
      <c r="D31" s="25" t="s">
        <v>1818</v>
      </c>
      <c r="E31" s="30" t="s">
        <v>12</v>
      </c>
      <c r="F31" s="29">
        <f>SUMIF(②유기농raw!$D$6:$D$180,$C31,②유기농raw!$F$6:$F$180)</f>
        <v>1</v>
      </c>
      <c r="G31" s="29">
        <f>SUMIF(②유기농raw!$D$6:$D$180,$C31,②유기농raw!$G$6:$G$180)</f>
        <v>18500</v>
      </c>
      <c r="H31" s="29">
        <f>SUMIF(②유기농raw!$D$6:$D$180,$C31,②유기농raw!$H$6:$H$180)</f>
        <v>3700</v>
      </c>
      <c r="I31" s="30" t="s">
        <v>2059</v>
      </c>
    </row>
    <row r="32" spans="1:9">
      <c r="A32" s="30">
        <v>30</v>
      </c>
      <c r="B32" s="30" t="s">
        <v>39</v>
      </c>
      <c r="C32" s="30" t="s">
        <v>1819</v>
      </c>
      <c r="D32" s="25" t="s">
        <v>1820</v>
      </c>
      <c r="E32" s="30" t="s">
        <v>12</v>
      </c>
      <c r="F32" s="29">
        <f>SUMIF(②유기농raw!$D$6:$D$180,$C32,②유기농raw!$F$6:$F$180)</f>
        <v>30</v>
      </c>
      <c r="G32" s="29">
        <f>SUMIF(②유기농raw!$D$6:$D$180,$C32,②유기농raw!$G$6:$G$180)</f>
        <v>450000</v>
      </c>
      <c r="H32" s="29">
        <f>SUMIF(②유기농raw!$D$6:$D$180,$C32,②유기농raw!$H$6:$H$180)</f>
        <v>90000</v>
      </c>
      <c r="I32" s="30" t="s">
        <v>2059</v>
      </c>
    </row>
    <row r="33" spans="1:9">
      <c r="A33" s="30">
        <v>31</v>
      </c>
      <c r="B33" s="30" t="s">
        <v>39</v>
      </c>
      <c r="C33" s="30" t="s">
        <v>1821</v>
      </c>
      <c r="D33" s="25" t="s">
        <v>1822</v>
      </c>
      <c r="E33" s="30" t="s">
        <v>12</v>
      </c>
      <c r="F33" s="29">
        <f>SUMIF(②유기농raw!$D$6:$D$180,$C33,②유기농raw!$F$6:$F$180)</f>
        <v>0</v>
      </c>
      <c r="G33" s="29">
        <f>SUMIF(②유기농raw!$D$6:$D$180,$C33,②유기농raw!$G$6:$G$180)</f>
        <v>0</v>
      </c>
      <c r="H33" s="29">
        <f>SUMIF(②유기농raw!$D$6:$D$180,$C33,②유기농raw!$H$6:$H$180)</f>
        <v>0</v>
      </c>
      <c r="I33" s="25"/>
    </row>
    <row r="34" spans="1:9">
      <c r="A34" s="30">
        <v>32</v>
      </c>
      <c r="B34" s="30" t="s">
        <v>39</v>
      </c>
      <c r="C34" s="30" t="s">
        <v>1823</v>
      </c>
      <c r="D34" s="25" t="s">
        <v>1824</v>
      </c>
      <c r="E34" s="30" t="s">
        <v>12</v>
      </c>
      <c r="F34" s="29">
        <f>SUMIF(②유기농raw!$D$6:$D$180,$C34,②유기농raw!$F$6:$F$180)</f>
        <v>73946</v>
      </c>
      <c r="G34" s="29">
        <f>SUMIF(②유기농raw!$D$6:$D$180,$C34,②유기농raw!$G$6:$G$180)</f>
        <v>55219530</v>
      </c>
      <c r="H34" s="29">
        <f>SUMIF(②유기농raw!$D$6:$D$180,$C34,②유기농raw!$H$6:$H$180)</f>
        <v>1006927</v>
      </c>
      <c r="I34" s="30" t="s">
        <v>2059</v>
      </c>
    </row>
    <row r="35" spans="1:9">
      <c r="A35" s="30">
        <v>33</v>
      </c>
      <c r="B35" s="30" t="s">
        <v>50</v>
      </c>
      <c r="C35" s="30" t="s">
        <v>1825</v>
      </c>
      <c r="D35" s="25" t="s">
        <v>1826</v>
      </c>
      <c r="E35" s="30" t="s">
        <v>7</v>
      </c>
      <c r="F35" s="29">
        <f>SUMIF(②유기농raw!$D$6:$D$180,$C35,②유기농raw!$F$6:$F$180)</f>
        <v>0</v>
      </c>
      <c r="G35" s="29">
        <f>SUMIF(②유기농raw!$D$6:$D$180,$C35,②유기농raw!$G$6:$G$180)</f>
        <v>0</v>
      </c>
      <c r="H35" s="29">
        <f>SUMIF(②유기농raw!$D$6:$D$180,$C35,②유기농raw!$H$6:$H$180)</f>
        <v>0</v>
      </c>
      <c r="I35" s="25"/>
    </row>
    <row r="36" spans="1:9">
      <c r="A36" s="30">
        <v>34</v>
      </c>
      <c r="B36" s="30" t="s">
        <v>39</v>
      </c>
      <c r="C36" s="30" t="s">
        <v>1827</v>
      </c>
      <c r="D36" s="25" t="s">
        <v>1828</v>
      </c>
      <c r="E36" s="30" t="s">
        <v>12</v>
      </c>
      <c r="F36" s="29">
        <f>SUMIF(②유기농raw!$D$6:$D$180,$C36,②유기농raw!$F$6:$F$180)</f>
        <v>6</v>
      </c>
      <c r="G36" s="29">
        <f>SUMIF(②유기농raw!$D$6:$D$180,$C36,②유기농raw!$G$6:$G$180)</f>
        <v>156000</v>
      </c>
      <c r="H36" s="29">
        <f>SUMIF(②유기농raw!$D$6:$D$180,$C36,②유기농raw!$H$6:$H$180)</f>
        <v>31200</v>
      </c>
      <c r="I36" s="30" t="s">
        <v>2059</v>
      </c>
    </row>
    <row r="37" spans="1:9">
      <c r="A37" s="30">
        <v>35</v>
      </c>
      <c r="B37" s="30" t="s">
        <v>50</v>
      </c>
      <c r="C37" s="30" t="s">
        <v>1829</v>
      </c>
      <c r="D37" s="25" t="s">
        <v>1830</v>
      </c>
      <c r="E37" s="30" t="s">
        <v>7</v>
      </c>
      <c r="F37" s="29">
        <f>SUMIF(②유기농raw!$D$6:$D$180,$C37,②유기농raw!$F$6:$F$180)</f>
        <v>0</v>
      </c>
      <c r="G37" s="29">
        <f>SUMIF(②유기농raw!$D$6:$D$180,$C37,②유기농raw!$G$6:$G$180)</f>
        <v>0</v>
      </c>
      <c r="H37" s="29">
        <f>SUMIF(②유기농raw!$D$6:$D$180,$C37,②유기농raw!$H$6:$H$180)</f>
        <v>0</v>
      </c>
      <c r="I37" s="25"/>
    </row>
    <row r="38" spans="1:9">
      <c r="A38" s="30">
        <v>36</v>
      </c>
      <c r="B38" s="30" t="s">
        <v>50</v>
      </c>
      <c r="C38" s="30" t="s">
        <v>1831</v>
      </c>
      <c r="D38" s="25" t="s">
        <v>1832</v>
      </c>
      <c r="E38" s="30" t="s">
        <v>12</v>
      </c>
      <c r="F38" s="29">
        <f>SUMIF(②유기농raw!$D$6:$D$180,$C38,②유기농raw!$F$6:$F$180)</f>
        <v>0</v>
      </c>
      <c r="G38" s="29">
        <f>SUMIF(②유기농raw!$D$6:$D$180,$C38,②유기농raw!$G$6:$G$180)</f>
        <v>0</v>
      </c>
      <c r="H38" s="29">
        <f>SUMIF(②유기농raw!$D$6:$D$180,$C38,②유기농raw!$H$6:$H$180)</f>
        <v>0</v>
      </c>
      <c r="I38" s="25"/>
    </row>
    <row r="39" spans="1:9">
      <c r="A39" s="30">
        <v>37</v>
      </c>
      <c r="B39" s="30" t="s">
        <v>39</v>
      </c>
      <c r="C39" s="30" t="s">
        <v>1833</v>
      </c>
      <c r="D39" s="25" t="s">
        <v>1834</v>
      </c>
      <c r="E39" s="30" t="s">
        <v>12</v>
      </c>
      <c r="F39" s="29">
        <f>SUMIF(②유기농raw!$D$6:$D$180,$C39,②유기농raw!$F$6:$F$180)</f>
        <v>11722</v>
      </c>
      <c r="G39" s="29">
        <f>SUMIF(②유기농raw!$D$6:$D$180,$C39,②유기농raw!$G$6:$G$180)</f>
        <v>310136400</v>
      </c>
      <c r="H39" s="29">
        <f>SUMIF(②유기농raw!$D$6:$D$180,$C39,②유기농raw!$H$6:$H$180)</f>
        <v>1185849</v>
      </c>
      <c r="I39" s="30" t="s">
        <v>2059</v>
      </c>
    </row>
    <row r="40" spans="1:9">
      <c r="A40" s="30">
        <v>38</v>
      </c>
      <c r="B40" s="30" t="s">
        <v>47</v>
      </c>
      <c r="C40" s="30" t="s">
        <v>1835</v>
      </c>
      <c r="D40" s="25" t="s">
        <v>1836</v>
      </c>
      <c r="E40" s="30" t="s">
        <v>12</v>
      </c>
      <c r="F40" s="29">
        <f>SUMIF(②유기농raw!$D$6:$D$180,$C40,②유기농raw!$F$6:$F$180)</f>
        <v>269</v>
      </c>
      <c r="G40" s="29">
        <f>SUMIF(②유기농raw!$D$6:$D$180,$C40,②유기농raw!$G$6:$G$180)</f>
        <v>6583300</v>
      </c>
      <c r="H40" s="29">
        <f>SUMIF(②유기농raw!$D$6:$D$180,$C40,②유기농raw!$H$6:$H$180)</f>
        <v>739046</v>
      </c>
      <c r="I40" s="30" t="s">
        <v>2059</v>
      </c>
    </row>
    <row r="41" spans="1:9">
      <c r="A41" s="30">
        <v>39</v>
      </c>
      <c r="B41" s="30" t="s">
        <v>50</v>
      </c>
      <c r="C41" s="30" t="s">
        <v>1837</v>
      </c>
      <c r="D41" s="25" t="s">
        <v>1838</v>
      </c>
      <c r="E41" s="30" t="s">
        <v>7</v>
      </c>
      <c r="F41" s="29">
        <f>SUMIF(②유기농raw!$D$6:$D$180,$C41,②유기농raw!$F$6:$F$180)</f>
        <v>77</v>
      </c>
      <c r="G41" s="29">
        <f>SUMIF(②유기농raw!$D$6:$D$180,$C41,②유기농raw!$G$6:$G$180)</f>
        <v>2099000</v>
      </c>
      <c r="H41" s="29">
        <f>SUMIF(②유기농raw!$D$6:$D$180,$C41,②유기농raw!$H$6:$H$180)</f>
        <v>261400</v>
      </c>
      <c r="I41" s="30" t="s">
        <v>2059</v>
      </c>
    </row>
    <row r="42" spans="1:9">
      <c r="A42" s="30">
        <v>40</v>
      </c>
      <c r="B42" s="30" t="s">
        <v>39</v>
      </c>
      <c r="C42" s="30" t="s">
        <v>1839</v>
      </c>
      <c r="D42" s="25" t="s">
        <v>1840</v>
      </c>
      <c r="E42" s="30" t="s">
        <v>12</v>
      </c>
      <c r="F42" s="29">
        <f>SUMIF(②유기농raw!$D$6:$D$180,$C42,②유기농raw!$F$6:$F$180)</f>
        <v>0</v>
      </c>
      <c r="G42" s="29">
        <f>SUMIF(②유기농raw!$D$6:$D$180,$C42,②유기농raw!$G$6:$G$180)</f>
        <v>0</v>
      </c>
      <c r="H42" s="29">
        <f>SUMIF(②유기농raw!$D$6:$D$180,$C42,②유기농raw!$H$6:$H$180)</f>
        <v>0</v>
      </c>
      <c r="I42" s="25"/>
    </row>
    <row r="43" spans="1:9">
      <c r="A43" s="30">
        <v>41</v>
      </c>
      <c r="B43" s="30" t="s">
        <v>39</v>
      </c>
      <c r="C43" s="30" t="s">
        <v>1841</v>
      </c>
      <c r="D43" s="25" t="s">
        <v>1842</v>
      </c>
      <c r="E43" s="30" t="s">
        <v>7</v>
      </c>
      <c r="F43" s="29">
        <f>SUMIF(②유기농raw!$D$6:$D$180,$C43,②유기농raw!$F$6:$F$180)</f>
        <v>88</v>
      </c>
      <c r="G43" s="29">
        <f>SUMIF(②유기농raw!$D$6:$D$180,$C43,②유기농raw!$G$6:$G$180)</f>
        <v>3335000</v>
      </c>
      <c r="H43" s="29">
        <f>SUMIF(②유기농raw!$D$6:$D$180,$C43,②유기농raw!$H$6:$H$180)</f>
        <v>0</v>
      </c>
      <c r="I43" s="30" t="s">
        <v>2059</v>
      </c>
    </row>
    <row r="44" spans="1:9">
      <c r="A44" s="30">
        <v>42</v>
      </c>
      <c r="B44" s="30" t="s">
        <v>39</v>
      </c>
      <c r="C44" s="30" t="s">
        <v>1843</v>
      </c>
      <c r="D44" s="25" t="s">
        <v>1844</v>
      </c>
      <c r="E44" s="30" t="s">
        <v>7</v>
      </c>
      <c r="F44" s="29">
        <f>SUMIF(②유기농raw!$D$6:$D$180,$C44,②유기농raw!$F$6:$F$180)</f>
        <v>39</v>
      </c>
      <c r="G44" s="29">
        <f>SUMIF(②유기농raw!$D$6:$D$180,$C44,②유기농raw!$G$6:$G$180)</f>
        <v>1725200</v>
      </c>
      <c r="H44" s="29">
        <f>SUMIF(②유기농raw!$D$6:$D$180,$C44,②유기농raw!$H$6:$H$180)</f>
        <v>194500</v>
      </c>
      <c r="I44" s="30" t="s">
        <v>2059</v>
      </c>
    </row>
    <row r="45" spans="1:9">
      <c r="A45" s="30">
        <v>43</v>
      </c>
      <c r="B45" s="30" t="s">
        <v>47</v>
      </c>
      <c r="C45" s="30" t="s">
        <v>1845</v>
      </c>
      <c r="D45" s="25" t="s">
        <v>1846</v>
      </c>
      <c r="E45" s="30" t="s">
        <v>7</v>
      </c>
      <c r="F45" s="29">
        <f>SUMIF(②유기농raw!$D$6:$D$180,$C45,②유기농raw!$F$6:$F$180)</f>
        <v>0</v>
      </c>
      <c r="G45" s="29">
        <f>SUMIF(②유기농raw!$D$6:$D$180,$C45,②유기농raw!$G$6:$G$180)</f>
        <v>0</v>
      </c>
      <c r="H45" s="29">
        <f>SUMIF(②유기농raw!$D$6:$D$180,$C45,②유기농raw!$H$6:$H$180)</f>
        <v>0</v>
      </c>
      <c r="I45" s="25"/>
    </row>
    <row r="46" spans="1:9">
      <c r="A46" s="30">
        <v>44</v>
      </c>
      <c r="B46" s="30" t="s">
        <v>50</v>
      </c>
      <c r="C46" s="30" t="s">
        <v>1847</v>
      </c>
      <c r="D46" s="25" t="s">
        <v>1848</v>
      </c>
      <c r="E46" s="30" t="s">
        <v>12</v>
      </c>
      <c r="F46" s="29">
        <f>SUMIF(②유기농raw!$D$6:$D$180,$C46,②유기농raw!$F$6:$F$180)</f>
        <v>0</v>
      </c>
      <c r="G46" s="29">
        <f>SUMIF(②유기농raw!$D$6:$D$180,$C46,②유기농raw!$G$6:$G$180)</f>
        <v>0</v>
      </c>
      <c r="H46" s="29">
        <f>SUMIF(②유기농raw!$D$6:$D$180,$C46,②유기농raw!$H$6:$H$180)</f>
        <v>0</v>
      </c>
      <c r="I46" s="25"/>
    </row>
    <row r="47" spans="1:9">
      <c r="A47" s="30">
        <v>45</v>
      </c>
      <c r="B47" s="30" t="s">
        <v>39</v>
      </c>
      <c r="C47" s="30" t="s">
        <v>1849</v>
      </c>
      <c r="D47" s="25" t="s">
        <v>1850</v>
      </c>
      <c r="E47" s="30" t="s">
        <v>12</v>
      </c>
      <c r="F47" s="29">
        <f>SUMIF(②유기농raw!$D$6:$D$180,$C47,②유기농raw!$F$6:$F$180)</f>
        <v>1060</v>
      </c>
      <c r="G47" s="29">
        <f>SUMIF(②유기농raw!$D$6:$D$180,$C47,②유기농raw!$G$6:$G$180)</f>
        <v>8191400</v>
      </c>
      <c r="H47" s="29">
        <f>SUMIF(②유기농raw!$D$6:$D$180,$C47,②유기농raw!$H$6:$H$180)</f>
        <v>924643</v>
      </c>
      <c r="I47" s="30" t="s">
        <v>2059</v>
      </c>
    </row>
    <row r="48" spans="1:9">
      <c r="A48" s="30">
        <v>46</v>
      </c>
      <c r="B48" s="30" t="s">
        <v>39</v>
      </c>
      <c r="C48" s="30" t="s">
        <v>1851</v>
      </c>
      <c r="D48" s="25" t="s">
        <v>1852</v>
      </c>
      <c r="E48" s="30" t="s">
        <v>7</v>
      </c>
      <c r="F48" s="29">
        <f>SUMIF(②유기농raw!$D$6:$D$180,$C48,②유기농raw!$F$6:$F$180)</f>
        <v>562</v>
      </c>
      <c r="G48" s="29">
        <f>SUMIF(②유기농raw!$D$6:$D$180,$C48,②유기농raw!$G$6:$G$180)</f>
        <v>18657800</v>
      </c>
      <c r="H48" s="29">
        <f>SUMIF(②유기농raw!$D$6:$D$180,$C48,②유기농raw!$H$6:$H$180)</f>
        <v>2139120</v>
      </c>
      <c r="I48" s="30" t="s">
        <v>2059</v>
      </c>
    </row>
    <row r="49" spans="1:9">
      <c r="A49" s="30">
        <v>47</v>
      </c>
      <c r="B49" s="30" t="s">
        <v>47</v>
      </c>
      <c r="C49" s="30" t="s">
        <v>1853</v>
      </c>
      <c r="D49" s="25" t="s">
        <v>1854</v>
      </c>
      <c r="E49" s="30" t="s">
        <v>7</v>
      </c>
      <c r="F49" s="29">
        <f>SUMIF(②유기농raw!$D$6:$D$180,$C49,②유기농raw!$F$6:$F$180)</f>
        <v>3</v>
      </c>
      <c r="G49" s="29">
        <f>SUMIF(②유기농raw!$D$6:$D$180,$C49,②유기농raw!$G$6:$G$180)</f>
        <v>105000</v>
      </c>
      <c r="H49" s="29">
        <f>SUMIF(②유기농raw!$D$6:$D$180,$C49,②유기농raw!$H$6:$H$180)</f>
        <v>0</v>
      </c>
      <c r="I49" s="30" t="s">
        <v>2059</v>
      </c>
    </row>
    <row r="50" spans="1:9">
      <c r="A50" s="30">
        <v>48</v>
      </c>
      <c r="B50" s="30" t="s">
        <v>39</v>
      </c>
      <c r="C50" s="30" t="s">
        <v>1855</v>
      </c>
      <c r="D50" s="25" t="s">
        <v>1856</v>
      </c>
      <c r="E50" s="30" t="s">
        <v>12</v>
      </c>
      <c r="F50" s="29">
        <f>SUMIF(②유기농raw!$D$6:$D$180,$C50,②유기농raw!$F$6:$F$180)</f>
        <v>0</v>
      </c>
      <c r="G50" s="29">
        <f>SUMIF(②유기농raw!$D$6:$D$180,$C50,②유기농raw!$G$6:$G$180)</f>
        <v>0</v>
      </c>
      <c r="H50" s="29">
        <f>SUMIF(②유기농raw!$D$6:$D$180,$C50,②유기농raw!$H$6:$H$180)</f>
        <v>0</v>
      </c>
      <c r="I50" s="25"/>
    </row>
    <row r="51" spans="1:9">
      <c r="A51" s="30">
        <v>49</v>
      </c>
      <c r="B51" s="30" t="s">
        <v>50</v>
      </c>
      <c r="C51" s="30" t="s">
        <v>1857</v>
      </c>
      <c r="D51" s="25" t="s">
        <v>1858</v>
      </c>
      <c r="E51" s="30" t="s">
        <v>7</v>
      </c>
      <c r="F51" s="29">
        <f>SUMIF(②유기농raw!$D$6:$D$180,$C51,②유기농raw!$F$6:$F$180)</f>
        <v>0</v>
      </c>
      <c r="G51" s="29">
        <f>SUMIF(②유기농raw!$D$6:$D$180,$C51,②유기농raw!$G$6:$G$180)</f>
        <v>0</v>
      </c>
      <c r="H51" s="29">
        <f>SUMIF(②유기농raw!$D$6:$D$180,$C51,②유기농raw!$H$6:$H$180)</f>
        <v>0</v>
      </c>
      <c r="I51" s="25"/>
    </row>
    <row r="52" spans="1:9">
      <c r="A52" s="30">
        <v>50</v>
      </c>
      <c r="B52" s="30" t="s">
        <v>47</v>
      </c>
      <c r="C52" s="30" t="s">
        <v>1859</v>
      </c>
      <c r="D52" s="25" t="s">
        <v>1860</v>
      </c>
      <c r="E52" s="30" t="s">
        <v>7</v>
      </c>
      <c r="F52" s="29">
        <f>SUMIF(②유기농raw!$D$6:$D$180,$C52,②유기농raw!$F$6:$F$180)</f>
        <v>0</v>
      </c>
      <c r="G52" s="29">
        <f>SUMIF(②유기농raw!$D$6:$D$180,$C52,②유기농raw!$G$6:$G$180)</f>
        <v>0</v>
      </c>
      <c r="H52" s="29">
        <f>SUMIF(②유기농raw!$D$6:$D$180,$C52,②유기농raw!$H$6:$H$180)</f>
        <v>0</v>
      </c>
      <c r="I52" s="25"/>
    </row>
    <row r="53" spans="1:9">
      <c r="A53" s="30">
        <v>51</v>
      </c>
      <c r="B53" s="30" t="s">
        <v>39</v>
      </c>
      <c r="C53" s="30" t="s">
        <v>1861</v>
      </c>
      <c r="D53" s="25" t="s">
        <v>1862</v>
      </c>
      <c r="E53" s="30" t="s">
        <v>12</v>
      </c>
      <c r="F53" s="29">
        <f>SUMIF(②유기농raw!$D$6:$D$180,$C53,②유기농raw!$F$6:$F$180)</f>
        <v>3998</v>
      </c>
      <c r="G53" s="29">
        <f>SUMIF(②유기농raw!$D$6:$D$180,$C53,②유기농raw!$G$6:$G$180)</f>
        <v>14632410</v>
      </c>
      <c r="H53" s="29">
        <f>SUMIF(②유기농raw!$D$6:$D$180,$C53,②유기농raw!$H$6:$H$180)</f>
        <v>1023407</v>
      </c>
      <c r="I53" s="30" t="s">
        <v>2059</v>
      </c>
    </row>
    <row r="54" spans="1:9">
      <c r="A54" s="30">
        <v>52</v>
      </c>
      <c r="B54" s="30" t="s">
        <v>39</v>
      </c>
      <c r="C54" s="30" t="s">
        <v>1863</v>
      </c>
      <c r="D54" s="25" t="s">
        <v>1864</v>
      </c>
      <c r="E54" s="30" t="s">
        <v>7</v>
      </c>
      <c r="F54" s="29">
        <f>SUMIF(②유기농raw!$D$6:$D$180,$C54,②유기농raw!$F$6:$F$180)</f>
        <v>330</v>
      </c>
      <c r="G54" s="29">
        <f>SUMIF(②유기농raw!$D$6:$D$180,$C54,②유기농raw!$G$6:$G$180)</f>
        <v>8045460</v>
      </c>
      <c r="H54" s="29">
        <f>SUMIF(②유기농raw!$D$6:$D$180,$C54,②유기농raw!$H$6:$H$180)</f>
        <v>0</v>
      </c>
      <c r="I54" s="30" t="s">
        <v>2059</v>
      </c>
    </row>
    <row r="55" spans="1:9">
      <c r="A55" s="30">
        <v>53</v>
      </c>
      <c r="B55" s="30" t="s">
        <v>47</v>
      </c>
      <c r="C55" s="30" t="s">
        <v>1865</v>
      </c>
      <c r="D55" s="25" t="s">
        <v>1866</v>
      </c>
      <c r="E55" s="30" t="s">
        <v>7</v>
      </c>
      <c r="F55" s="29">
        <f>SUMIF(②유기농raw!$D$6:$D$180,$C55,②유기농raw!$F$6:$F$180)</f>
        <v>0</v>
      </c>
      <c r="G55" s="29">
        <f>SUMIF(②유기농raw!$D$6:$D$180,$C55,②유기농raw!$G$6:$G$180)</f>
        <v>0</v>
      </c>
      <c r="H55" s="29">
        <f>SUMIF(②유기농raw!$D$6:$D$180,$C55,②유기농raw!$H$6:$H$180)</f>
        <v>0</v>
      </c>
      <c r="I55" s="25"/>
    </row>
    <row r="56" spans="1:9">
      <c r="A56" s="30">
        <v>54</v>
      </c>
      <c r="B56" s="30" t="s">
        <v>50</v>
      </c>
      <c r="C56" s="30" t="s">
        <v>1867</v>
      </c>
      <c r="D56" s="25" t="s">
        <v>1868</v>
      </c>
      <c r="E56" s="30" t="s">
        <v>7</v>
      </c>
      <c r="F56" s="29">
        <f>SUMIF(②유기농raw!$D$6:$D$180,$C56,②유기농raw!$F$6:$F$180)</f>
        <v>0</v>
      </c>
      <c r="G56" s="29">
        <f>SUMIF(②유기농raw!$D$6:$D$180,$C56,②유기농raw!$G$6:$G$180)</f>
        <v>0</v>
      </c>
      <c r="H56" s="29">
        <f>SUMIF(②유기농raw!$D$6:$D$180,$C56,②유기농raw!$H$6:$H$180)</f>
        <v>0</v>
      </c>
      <c r="I56" s="25"/>
    </row>
    <row r="57" spans="1:9">
      <c r="A57" s="30">
        <v>55</v>
      </c>
      <c r="B57" s="30" t="s">
        <v>47</v>
      </c>
      <c r="C57" s="30" t="s">
        <v>1869</v>
      </c>
      <c r="D57" s="25" t="s">
        <v>1870</v>
      </c>
      <c r="E57" s="30" t="s">
        <v>12</v>
      </c>
      <c r="F57" s="29">
        <f>SUMIF(②유기농raw!$D$6:$D$180,$C57,②유기농raw!$F$6:$F$180)</f>
        <v>0</v>
      </c>
      <c r="G57" s="29">
        <f>SUMIF(②유기농raw!$D$6:$D$180,$C57,②유기농raw!$G$6:$G$180)</f>
        <v>0</v>
      </c>
      <c r="H57" s="29">
        <f>SUMIF(②유기농raw!$D$6:$D$180,$C57,②유기농raw!$H$6:$H$180)</f>
        <v>0</v>
      </c>
      <c r="I57" s="25"/>
    </row>
  </sheetData>
  <phoneticPr fontId="4" type="noConversion"/>
  <conditionalFormatting sqref="J2:XFD2 A2:H2">
    <cfRule type="duplicateValues" dxfId="3" priority="1"/>
  </conditionalFormatting>
  <conditionalFormatting sqref="C1:C1048576">
    <cfRule type="duplicateValues" dxfId="2" priority="11"/>
    <cfRule type="duplicateValues" dxfId="1" priority="12"/>
    <cfRule type="duplicateValues" dxfId="0" priority="18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80"/>
  <sheetViews>
    <sheetView zoomScaleNormal="100" zoomScaleSheetLayoutView="85" workbookViewId="0">
      <pane xSplit="1" ySplit="5" topLeftCell="B168" activePane="bottomRight" state="frozen"/>
      <selection pane="topRight" activeCell="B1" sqref="B1"/>
      <selection pane="bottomLeft" activeCell="A6" sqref="A6"/>
      <selection pane="bottomRight" activeCell="I6" sqref="I6:I180"/>
    </sheetView>
  </sheetViews>
  <sheetFormatPr defaultColWidth="9" defaultRowHeight="17.399999999999999"/>
  <cols>
    <col min="1" max="1" width="13.69921875" style="7" customWidth="1"/>
    <col min="2" max="2" width="14" style="7" customWidth="1"/>
    <col min="3" max="3" width="16" style="7" customWidth="1"/>
    <col min="4" max="4" width="14.19921875" style="7" bestFit="1" customWidth="1"/>
    <col min="5" max="5" width="46.19921875" style="7" customWidth="1"/>
    <col min="6" max="6" width="11.59765625" style="38" customWidth="1"/>
    <col min="7" max="7" width="16.19921875" style="38" customWidth="1"/>
    <col min="8" max="8" width="15.69921875" style="38" customWidth="1"/>
    <col min="9" max="11" width="9" style="7" customWidth="1"/>
    <col min="12" max="16384" width="9" style="7"/>
  </cols>
  <sheetData>
    <row r="1" spans="1:9" s="2" customFormat="1" ht="47.25" customHeight="1">
      <c r="A1" s="10" t="s">
        <v>613</v>
      </c>
      <c r="B1" s="1"/>
      <c r="C1" s="1"/>
      <c r="F1" s="53"/>
      <c r="G1" s="53"/>
      <c r="H1" s="26"/>
    </row>
    <row r="2" spans="1:9" s="3" customFormat="1" ht="26.25" customHeight="1">
      <c r="A2" s="11" t="s">
        <v>614</v>
      </c>
      <c r="F2" s="38"/>
      <c r="G2" s="38"/>
      <c r="H2" s="7"/>
    </row>
    <row r="3" spans="1:9" s="3" customFormat="1">
      <c r="A3" s="4"/>
      <c r="F3" s="38"/>
      <c r="G3" s="38"/>
      <c r="H3" s="7"/>
    </row>
    <row r="4" spans="1:9">
      <c r="A4" s="5" t="s">
        <v>615</v>
      </c>
      <c r="B4" s="5"/>
      <c r="C4" s="5"/>
      <c r="D4" s="6"/>
      <c r="E4" s="6"/>
      <c r="F4" s="41">
        <f>SUM(F6:F1000)</f>
        <v>127651</v>
      </c>
      <c r="G4" s="41">
        <f>SUM(G6:G1000)</f>
        <v>646574890</v>
      </c>
      <c r="H4" s="41">
        <f>SUM(H6:H1000)</f>
        <v>20033931</v>
      </c>
    </row>
    <row r="5" spans="1:9" ht="38.25" customHeight="1">
      <c r="A5" s="12" t="s">
        <v>616</v>
      </c>
      <c r="B5" s="12" t="s">
        <v>617</v>
      </c>
      <c r="C5" s="12" t="s">
        <v>618</v>
      </c>
      <c r="D5" s="12" t="s">
        <v>619</v>
      </c>
      <c r="E5" s="12" t="s">
        <v>620</v>
      </c>
      <c r="F5" s="42" t="s">
        <v>621</v>
      </c>
      <c r="G5" s="42" t="s">
        <v>18</v>
      </c>
      <c r="H5" s="42" t="s">
        <v>38</v>
      </c>
    </row>
    <row r="6" spans="1:9">
      <c r="A6" s="13" t="s">
        <v>7</v>
      </c>
      <c r="B6" s="13" t="s">
        <v>22</v>
      </c>
      <c r="C6" s="13" t="s">
        <v>1852</v>
      </c>
      <c r="D6" s="13" t="s">
        <v>1851</v>
      </c>
      <c r="E6" s="13" t="s">
        <v>1871</v>
      </c>
      <c r="F6" s="15">
        <v>562</v>
      </c>
      <c r="G6" s="15">
        <v>18657800</v>
      </c>
      <c r="H6" s="15">
        <v>2139120</v>
      </c>
      <c r="I6" s="7" t="s">
        <v>2058</v>
      </c>
    </row>
    <row r="7" spans="1:9">
      <c r="A7" s="13" t="s">
        <v>7</v>
      </c>
      <c r="B7" s="13" t="s">
        <v>22</v>
      </c>
      <c r="C7" s="13" t="s">
        <v>1796</v>
      </c>
      <c r="D7" s="13" t="s">
        <v>1795</v>
      </c>
      <c r="E7" s="13" t="s">
        <v>1872</v>
      </c>
      <c r="F7" s="15">
        <v>400</v>
      </c>
      <c r="G7" s="15">
        <v>8568180</v>
      </c>
      <c r="H7" s="15">
        <v>997420</v>
      </c>
      <c r="I7" s="7" t="s">
        <v>2058</v>
      </c>
    </row>
    <row r="8" spans="1:9">
      <c r="A8" s="13" t="s">
        <v>7</v>
      </c>
      <c r="B8" s="13" t="s">
        <v>22</v>
      </c>
      <c r="C8" s="13" t="s">
        <v>1796</v>
      </c>
      <c r="D8" s="13" t="s">
        <v>1795</v>
      </c>
      <c r="E8" s="13" t="s">
        <v>1873</v>
      </c>
      <c r="F8" s="15">
        <v>449</v>
      </c>
      <c r="G8" s="15">
        <v>7695920</v>
      </c>
      <c r="H8" s="15">
        <v>713840</v>
      </c>
      <c r="I8" s="7" t="s">
        <v>2058</v>
      </c>
    </row>
    <row r="9" spans="1:9">
      <c r="A9" s="13" t="s">
        <v>7</v>
      </c>
      <c r="B9" s="13" t="s">
        <v>22</v>
      </c>
      <c r="C9" s="13" t="s">
        <v>1764</v>
      </c>
      <c r="D9" s="13" t="s">
        <v>1763</v>
      </c>
      <c r="E9" s="13" t="s">
        <v>1874</v>
      </c>
      <c r="F9" s="15">
        <v>175</v>
      </c>
      <c r="G9" s="15">
        <v>6094000</v>
      </c>
      <c r="H9" s="15">
        <v>886100</v>
      </c>
      <c r="I9" s="7" t="s">
        <v>2058</v>
      </c>
    </row>
    <row r="10" spans="1:9">
      <c r="A10" s="13" t="s">
        <v>7</v>
      </c>
      <c r="B10" s="13" t="s">
        <v>22</v>
      </c>
      <c r="C10" s="13" t="s">
        <v>1814</v>
      </c>
      <c r="D10" s="13" t="s">
        <v>1813</v>
      </c>
      <c r="E10" s="13" t="s">
        <v>1875</v>
      </c>
      <c r="F10" s="15">
        <v>245</v>
      </c>
      <c r="G10" s="15">
        <v>5724000</v>
      </c>
      <c r="H10" s="15">
        <v>0</v>
      </c>
      <c r="I10" s="7" t="s">
        <v>2058</v>
      </c>
    </row>
    <row r="11" spans="1:9">
      <c r="A11" s="13" t="s">
        <v>7</v>
      </c>
      <c r="B11" s="13" t="s">
        <v>22</v>
      </c>
      <c r="C11" s="13" t="s">
        <v>1796</v>
      </c>
      <c r="D11" s="13" t="s">
        <v>1795</v>
      </c>
      <c r="E11" s="13" t="s">
        <v>1876</v>
      </c>
      <c r="F11" s="15">
        <v>258</v>
      </c>
      <c r="G11" s="15">
        <v>3957980</v>
      </c>
      <c r="H11" s="15">
        <v>322980</v>
      </c>
      <c r="I11" s="7" t="s">
        <v>2058</v>
      </c>
    </row>
    <row r="12" spans="1:9">
      <c r="A12" s="13" t="s">
        <v>7</v>
      </c>
      <c r="B12" s="13" t="s">
        <v>22</v>
      </c>
      <c r="C12" s="13" t="s">
        <v>1864</v>
      </c>
      <c r="D12" s="13" t="s">
        <v>1863</v>
      </c>
      <c r="E12" s="13" t="s">
        <v>1877</v>
      </c>
      <c r="F12" s="15">
        <v>178</v>
      </c>
      <c r="G12" s="15">
        <v>3575260</v>
      </c>
      <c r="H12" s="15">
        <v>0</v>
      </c>
      <c r="I12" s="7" t="s">
        <v>2058</v>
      </c>
    </row>
    <row r="13" spans="1:9">
      <c r="A13" s="13" t="s">
        <v>7</v>
      </c>
      <c r="B13" s="13" t="s">
        <v>22</v>
      </c>
      <c r="C13" s="13" t="s">
        <v>1796</v>
      </c>
      <c r="D13" s="13" t="s">
        <v>1795</v>
      </c>
      <c r="E13" s="13" t="s">
        <v>1878</v>
      </c>
      <c r="F13" s="15">
        <v>143</v>
      </c>
      <c r="G13" s="15">
        <v>3398700</v>
      </c>
      <c r="H13" s="15">
        <v>338520</v>
      </c>
      <c r="I13" s="7" t="s">
        <v>2058</v>
      </c>
    </row>
    <row r="14" spans="1:9">
      <c r="A14" s="13" t="s">
        <v>7</v>
      </c>
      <c r="B14" s="13" t="s">
        <v>22</v>
      </c>
      <c r="C14" s="13" t="s">
        <v>1810</v>
      </c>
      <c r="D14" s="13" t="s">
        <v>1809</v>
      </c>
      <c r="E14" s="13" t="s">
        <v>1879</v>
      </c>
      <c r="F14" s="15">
        <v>58</v>
      </c>
      <c r="G14" s="15">
        <v>3304000</v>
      </c>
      <c r="H14" s="15">
        <v>550000</v>
      </c>
      <c r="I14" s="7" t="s">
        <v>2058</v>
      </c>
    </row>
    <row r="15" spans="1:9">
      <c r="A15" s="13" t="s">
        <v>7</v>
      </c>
      <c r="B15" s="13" t="s">
        <v>22</v>
      </c>
      <c r="C15" s="13" t="s">
        <v>1780</v>
      </c>
      <c r="D15" s="13" t="s">
        <v>1779</v>
      </c>
      <c r="E15" s="13" t="s">
        <v>1880</v>
      </c>
      <c r="F15" s="15">
        <v>87</v>
      </c>
      <c r="G15" s="15">
        <v>2855400</v>
      </c>
      <c r="H15" s="15">
        <v>312700</v>
      </c>
      <c r="I15" s="7" t="s">
        <v>2058</v>
      </c>
    </row>
    <row r="16" spans="1:9">
      <c r="A16" s="13" t="s">
        <v>7</v>
      </c>
      <c r="B16" s="13" t="s">
        <v>22</v>
      </c>
      <c r="C16" s="13" t="s">
        <v>1804</v>
      </c>
      <c r="D16" s="13" t="s">
        <v>1803</v>
      </c>
      <c r="E16" s="13" t="s">
        <v>1881</v>
      </c>
      <c r="F16" s="15">
        <v>132</v>
      </c>
      <c r="G16" s="15">
        <v>2821900</v>
      </c>
      <c r="H16" s="15">
        <v>314300</v>
      </c>
      <c r="I16" s="7" t="s">
        <v>2058</v>
      </c>
    </row>
    <row r="17" spans="1:9">
      <c r="A17" s="13" t="s">
        <v>7</v>
      </c>
      <c r="B17" s="13" t="s">
        <v>22</v>
      </c>
      <c r="C17" s="13" t="s">
        <v>1796</v>
      </c>
      <c r="D17" s="13" t="s">
        <v>1795</v>
      </c>
      <c r="E17" s="13" t="s">
        <v>1882</v>
      </c>
      <c r="F17" s="15">
        <v>162</v>
      </c>
      <c r="G17" s="15">
        <v>2496180</v>
      </c>
      <c r="H17" s="15">
        <v>253520</v>
      </c>
      <c r="I17" s="7" t="s">
        <v>2058</v>
      </c>
    </row>
    <row r="18" spans="1:9">
      <c r="A18" s="13" t="s">
        <v>7</v>
      </c>
      <c r="B18" s="13" t="s">
        <v>22</v>
      </c>
      <c r="C18" s="13" t="s">
        <v>1864</v>
      </c>
      <c r="D18" s="13" t="s">
        <v>1863</v>
      </c>
      <c r="E18" s="13" t="s">
        <v>1883</v>
      </c>
      <c r="F18" s="15">
        <v>56</v>
      </c>
      <c r="G18" s="15">
        <v>2105390</v>
      </c>
      <c r="H18" s="15">
        <v>0</v>
      </c>
      <c r="I18" s="7" t="s">
        <v>2058</v>
      </c>
    </row>
    <row r="19" spans="1:9">
      <c r="A19" s="13" t="s">
        <v>7</v>
      </c>
      <c r="B19" s="13" t="s">
        <v>22</v>
      </c>
      <c r="C19" s="13" t="s">
        <v>1796</v>
      </c>
      <c r="D19" s="13" t="s">
        <v>1795</v>
      </c>
      <c r="E19" s="13" t="s">
        <v>1884</v>
      </c>
      <c r="F19" s="15">
        <v>65</v>
      </c>
      <c r="G19" s="15">
        <v>2085200</v>
      </c>
      <c r="H19" s="15">
        <v>230480</v>
      </c>
      <c r="I19" s="7" t="s">
        <v>2058</v>
      </c>
    </row>
    <row r="20" spans="1:9">
      <c r="A20" s="13" t="s">
        <v>7</v>
      </c>
      <c r="B20" s="9" t="s">
        <v>24</v>
      </c>
      <c r="C20" s="13" t="s">
        <v>1838</v>
      </c>
      <c r="D20" s="13" t="s">
        <v>1837</v>
      </c>
      <c r="E20" s="13" t="s">
        <v>1885</v>
      </c>
      <c r="F20" s="15">
        <v>74</v>
      </c>
      <c r="G20" s="15">
        <v>2060000</v>
      </c>
      <c r="H20" s="15">
        <v>261400</v>
      </c>
      <c r="I20" s="7" t="s">
        <v>2058</v>
      </c>
    </row>
    <row r="21" spans="1:9">
      <c r="A21" s="13" t="s">
        <v>7</v>
      </c>
      <c r="B21" s="13" t="s">
        <v>22</v>
      </c>
      <c r="C21" s="13" t="s">
        <v>1796</v>
      </c>
      <c r="D21" s="13" t="s">
        <v>1795</v>
      </c>
      <c r="E21" s="13" t="s">
        <v>1886</v>
      </c>
      <c r="F21" s="15">
        <v>74</v>
      </c>
      <c r="G21" s="15">
        <v>1850260</v>
      </c>
      <c r="H21" s="15">
        <v>240280</v>
      </c>
      <c r="I21" s="7" t="s">
        <v>2058</v>
      </c>
    </row>
    <row r="22" spans="1:9">
      <c r="A22" s="13" t="s">
        <v>7</v>
      </c>
      <c r="B22" s="13" t="s">
        <v>22</v>
      </c>
      <c r="C22" s="13" t="s">
        <v>1842</v>
      </c>
      <c r="D22" s="13" t="s">
        <v>1841</v>
      </c>
      <c r="E22" s="13" t="s">
        <v>1887</v>
      </c>
      <c r="F22" s="15">
        <v>61</v>
      </c>
      <c r="G22" s="15">
        <v>1760000</v>
      </c>
      <c r="H22" s="15">
        <v>0</v>
      </c>
      <c r="I22" s="7" t="s">
        <v>2058</v>
      </c>
    </row>
    <row r="23" spans="1:9">
      <c r="A23" s="13" t="s">
        <v>7</v>
      </c>
      <c r="B23" s="9" t="s">
        <v>24</v>
      </c>
      <c r="C23" s="13" t="s">
        <v>1844</v>
      </c>
      <c r="D23" s="13" t="s">
        <v>1843</v>
      </c>
      <c r="E23" s="13" t="s">
        <v>1888</v>
      </c>
      <c r="F23" s="15">
        <v>39</v>
      </c>
      <c r="G23" s="15">
        <v>1725200</v>
      </c>
      <c r="H23" s="15">
        <v>194500</v>
      </c>
      <c r="I23" s="7" t="s">
        <v>2058</v>
      </c>
    </row>
    <row r="24" spans="1:9">
      <c r="A24" s="13" t="s">
        <v>7</v>
      </c>
      <c r="B24" s="13" t="s">
        <v>24</v>
      </c>
      <c r="C24" s="13" t="s">
        <v>1790</v>
      </c>
      <c r="D24" s="13" t="s">
        <v>1789</v>
      </c>
      <c r="E24" s="13" t="s">
        <v>1889</v>
      </c>
      <c r="F24" s="15">
        <v>26</v>
      </c>
      <c r="G24" s="15">
        <v>1371800</v>
      </c>
      <c r="H24" s="15">
        <v>210000</v>
      </c>
      <c r="I24" s="7" t="s">
        <v>2058</v>
      </c>
    </row>
    <row r="25" spans="1:9">
      <c r="A25" s="13" t="s">
        <v>7</v>
      </c>
      <c r="B25" s="9" t="s">
        <v>22</v>
      </c>
      <c r="C25" s="13" t="s">
        <v>1796</v>
      </c>
      <c r="D25" s="13" t="s">
        <v>1795</v>
      </c>
      <c r="E25" s="13" t="s">
        <v>1890</v>
      </c>
      <c r="F25" s="15">
        <v>76</v>
      </c>
      <c r="G25" s="15">
        <v>1366100</v>
      </c>
      <c r="H25" s="15">
        <v>192500</v>
      </c>
      <c r="I25" s="7" t="s">
        <v>2058</v>
      </c>
    </row>
    <row r="26" spans="1:9">
      <c r="A26" s="13" t="s">
        <v>7</v>
      </c>
      <c r="B26" s="13" t="s">
        <v>24</v>
      </c>
      <c r="C26" s="13" t="s">
        <v>1790</v>
      </c>
      <c r="D26" s="13" t="s">
        <v>1789</v>
      </c>
      <c r="E26" s="13" t="s">
        <v>1891</v>
      </c>
      <c r="F26" s="15">
        <v>36</v>
      </c>
      <c r="G26" s="15">
        <v>1268100</v>
      </c>
      <c r="H26" s="15">
        <v>163040</v>
      </c>
      <c r="I26" s="7" t="s">
        <v>2058</v>
      </c>
    </row>
    <row r="27" spans="1:9">
      <c r="A27" s="13" t="s">
        <v>7</v>
      </c>
      <c r="B27" s="9" t="s">
        <v>22</v>
      </c>
      <c r="C27" s="13" t="s">
        <v>1864</v>
      </c>
      <c r="D27" s="13" t="s">
        <v>1863</v>
      </c>
      <c r="E27" s="13" t="s">
        <v>1892</v>
      </c>
      <c r="F27" s="15">
        <v>58</v>
      </c>
      <c r="G27" s="15">
        <v>1257470</v>
      </c>
      <c r="H27" s="15">
        <v>0</v>
      </c>
      <c r="I27" s="7" t="s">
        <v>2058</v>
      </c>
    </row>
    <row r="28" spans="1:9">
      <c r="A28" s="13" t="s">
        <v>7</v>
      </c>
      <c r="B28" s="13" t="s">
        <v>22</v>
      </c>
      <c r="C28" s="13" t="s">
        <v>1794</v>
      </c>
      <c r="D28" s="13" t="s">
        <v>1793</v>
      </c>
      <c r="E28" s="13" t="s">
        <v>1893</v>
      </c>
      <c r="F28" s="15">
        <v>64</v>
      </c>
      <c r="G28" s="15">
        <v>1238500</v>
      </c>
      <c r="H28" s="15">
        <v>144320</v>
      </c>
      <c r="I28" s="7" t="s">
        <v>2058</v>
      </c>
    </row>
    <row r="29" spans="1:9">
      <c r="A29" s="13" t="s">
        <v>7</v>
      </c>
      <c r="B29" s="9" t="s">
        <v>24</v>
      </c>
      <c r="C29" s="13" t="s">
        <v>1790</v>
      </c>
      <c r="D29" s="13" t="s">
        <v>1789</v>
      </c>
      <c r="E29" s="13" t="s">
        <v>1894</v>
      </c>
      <c r="F29" s="15">
        <v>36</v>
      </c>
      <c r="G29" s="15">
        <v>1232800</v>
      </c>
      <c r="H29" s="15">
        <v>143460</v>
      </c>
      <c r="I29" s="7" t="s">
        <v>2058</v>
      </c>
    </row>
    <row r="30" spans="1:9">
      <c r="A30" s="13" t="s">
        <v>7</v>
      </c>
      <c r="B30" s="13" t="s">
        <v>22</v>
      </c>
      <c r="C30" s="13" t="s">
        <v>1796</v>
      </c>
      <c r="D30" s="13" t="s">
        <v>1795</v>
      </c>
      <c r="E30" s="13" t="s">
        <v>1895</v>
      </c>
      <c r="F30" s="15">
        <v>55</v>
      </c>
      <c r="G30" s="15">
        <v>1135100</v>
      </c>
      <c r="H30" s="15">
        <v>144400</v>
      </c>
      <c r="I30" s="7" t="s">
        <v>2058</v>
      </c>
    </row>
    <row r="31" spans="1:9">
      <c r="A31" s="13" t="s">
        <v>7</v>
      </c>
      <c r="B31" s="13" t="s">
        <v>22</v>
      </c>
      <c r="C31" s="13" t="s">
        <v>1796</v>
      </c>
      <c r="D31" s="13" t="s">
        <v>1795</v>
      </c>
      <c r="E31" s="13" t="s">
        <v>1896</v>
      </c>
      <c r="F31" s="15">
        <v>56</v>
      </c>
      <c r="G31" s="15">
        <v>882000</v>
      </c>
      <c r="H31" s="15">
        <v>66980</v>
      </c>
      <c r="I31" s="7" t="s">
        <v>2058</v>
      </c>
    </row>
    <row r="32" spans="1:9">
      <c r="A32" s="13" t="s">
        <v>7</v>
      </c>
      <c r="B32" s="13" t="s">
        <v>22</v>
      </c>
      <c r="C32" s="13" t="s">
        <v>1796</v>
      </c>
      <c r="D32" s="13" t="s">
        <v>1795</v>
      </c>
      <c r="E32" s="13" t="s">
        <v>1897</v>
      </c>
      <c r="F32" s="15">
        <v>58</v>
      </c>
      <c r="G32" s="15">
        <v>832340</v>
      </c>
      <c r="H32" s="15">
        <v>92550</v>
      </c>
      <c r="I32" s="7" t="s">
        <v>2058</v>
      </c>
    </row>
    <row r="33" spans="1:9">
      <c r="A33" s="13" t="s">
        <v>7</v>
      </c>
      <c r="B33" s="13" t="s">
        <v>22</v>
      </c>
      <c r="C33" s="13" t="s">
        <v>1780</v>
      </c>
      <c r="D33" s="13" t="s">
        <v>1779</v>
      </c>
      <c r="E33" s="13" t="s">
        <v>1898</v>
      </c>
      <c r="F33" s="15">
        <v>23</v>
      </c>
      <c r="G33" s="15">
        <v>829500</v>
      </c>
      <c r="H33" s="15">
        <v>110000</v>
      </c>
      <c r="I33" s="7" t="s">
        <v>2058</v>
      </c>
    </row>
    <row r="34" spans="1:9">
      <c r="A34" s="13" t="s">
        <v>7</v>
      </c>
      <c r="B34" s="9" t="s">
        <v>24</v>
      </c>
      <c r="C34" s="13" t="s">
        <v>1796</v>
      </c>
      <c r="D34" s="13" t="s">
        <v>1795</v>
      </c>
      <c r="E34" s="13" t="s">
        <v>1899</v>
      </c>
      <c r="F34" s="15">
        <v>59</v>
      </c>
      <c r="G34" s="15">
        <v>822200</v>
      </c>
      <c r="H34" s="15">
        <v>99950</v>
      </c>
      <c r="I34" s="7" t="s">
        <v>2058</v>
      </c>
    </row>
    <row r="35" spans="1:9">
      <c r="A35" s="13" t="s">
        <v>7</v>
      </c>
      <c r="B35" s="13" t="s">
        <v>22</v>
      </c>
      <c r="C35" s="13" t="s">
        <v>1796</v>
      </c>
      <c r="D35" s="13" t="s">
        <v>1795</v>
      </c>
      <c r="E35" s="13" t="s">
        <v>1900</v>
      </c>
      <c r="F35" s="15">
        <v>40</v>
      </c>
      <c r="G35" s="15">
        <v>817400</v>
      </c>
      <c r="H35" s="15">
        <v>81480</v>
      </c>
      <c r="I35" s="7" t="s">
        <v>2058</v>
      </c>
    </row>
    <row r="36" spans="1:9">
      <c r="A36" s="13" t="s">
        <v>7</v>
      </c>
      <c r="B36" s="9" t="s">
        <v>24</v>
      </c>
      <c r="C36" s="13" t="s">
        <v>1790</v>
      </c>
      <c r="D36" s="13" t="s">
        <v>1789</v>
      </c>
      <c r="E36" s="13" t="s">
        <v>1901</v>
      </c>
      <c r="F36" s="15">
        <v>9</v>
      </c>
      <c r="G36" s="15">
        <v>790000</v>
      </c>
      <c r="H36" s="15">
        <v>50000</v>
      </c>
      <c r="I36" s="7" t="s">
        <v>2058</v>
      </c>
    </row>
    <row r="37" spans="1:9">
      <c r="A37" s="13" t="s">
        <v>7</v>
      </c>
      <c r="B37" s="9" t="s">
        <v>24</v>
      </c>
      <c r="C37" s="13" t="s">
        <v>1790</v>
      </c>
      <c r="D37" s="13" t="s">
        <v>1789</v>
      </c>
      <c r="E37" s="13" t="s">
        <v>1902</v>
      </c>
      <c r="F37" s="15">
        <v>50</v>
      </c>
      <c r="G37" s="15">
        <v>725700</v>
      </c>
      <c r="H37" s="15">
        <v>71340</v>
      </c>
      <c r="I37" s="7" t="s">
        <v>2058</v>
      </c>
    </row>
    <row r="38" spans="1:9">
      <c r="A38" s="13" t="s">
        <v>7</v>
      </c>
      <c r="B38" s="13" t="s">
        <v>22</v>
      </c>
      <c r="C38" s="13" t="s">
        <v>1796</v>
      </c>
      <c r="D38" s="13" t="s">
        <v>1795</v>
      </c>
      <c r="E38" s="13" t="s">
        <v>1903</v>
      </c>
      <c r="F38" s="15">
        <v>57</v>
      </c>
      <c r="G38" s="15">
        <v>698500</v>
      </c>
      <c r="H38" s="15">
        <v>30140</v>
      </c>
      <c r="I38" s="7" t="s">
        <v>2058</v>
      </c>
    </row>
    <row r="39" spans="1:9">
      <c r="A39" s="13" t="s">
        <v>7</v>
      </c>
      <c r="B39" s="13" t="s">
        <v>22</v>
      </c>
      <c r="C39" s="13" t="s">
        <v>1842</v>
      </c>
      <c r="D39" s="13" t="s">
        <v>1841</v>
      </c>
      <c r="E39" s="13" t="s">
        <v>1904</v>
      </c>
      <c r="F39" s="15">
        <v>16</v>
      </c>
      <c r="G39" s="15">
        <v>672000</v>
      </c>
      <c r="H39" s="15">
        <v>0</v>
      </c>
      <c r="I39" s="7" t="s">
        <v>2058</v>
      </c>
    </row>
    <row r="40" spans="1:9">
      <c r="A40" s="13" t="s">
        <v>7</v>
      </c>
      <c r="B40" s="9" t="s">
        <v>24</v>
      </c>
      <c r="C40" s="13" t="s">
        <v>1790</v>
      </c>
      <c r="D40" s="13" t="s">
        <v>1789</v>
      </c>
      <c r="E40" s="13" t="s">
        <v>1905</v>
      </c>
      <c r="F40" s="15">
        <v>61</v>
      </c>
      <c r="G40" s="15">
        <v>644300</v>
      </c>
      <c r="H40" s="15">
        <v>57040</v>
      </c>
      <c r="I40" s="7" t="s">
        <v>2058</v>
      </c>
    </row>
    <row r="41" spans="1:9">
      <c r="A41" s="13" t="s">
        <v>7</v>
      </c>
      <c r="B41" s="13" t="s">
        <v>22</v>
      </c>
      <c r="C41" s="13" t="s">
        <v>1796</v>
      </c>
      <c r="D41" s="13" t="s">
        <v>1795</v>
      </c>
      <c r="E41" s="13" t="s">
        <v>1906</v>
      </c>
      <c r="F41" s="15">
        <v>39</v>
      </c>
      <c r="G41" s="15">
        <v>615700</v>
      </c>
      <c r="H41" s="15">
        <v>51840</v>
      </c>
      <c r="I41" s="7" t="s">
        <v>2058</v>
      </c>
    </row>
    <row r="42" spans="1:9">
      <c r="A42" s="13" t="s">
        <v>7</v>
      </c>
      <c r="B42" s="13" t="s">
        <v>22</v>
      </c>
      <c r="C42" s="13" t="s">
        <v>1842</v>
      </c>
      <c r="D42" s="13" t="s">
        <v>1841</v>
      </c>
      <c r="E42" s="13" t="s">
        <v>1907</v>
      </c>
      <c r="F42" s="15">
        <v>7</v>
      </c>
      <c r="G42" s="15">
        <v>567000</v>
      </c>
      <c r="H42" s="15">
        <v>0</v>
      </c>
      <c r="I42" s="7" t="s">
        <v>2058</v>
      </c>
    </row>
    <row r="43" spans="1:9">
      <c r="A43" s="13" t="s">
        <v>7</v>
      </c>
      <c r="B43" s="13" t="s">
        <v>22</v>
      </c>
      <c r="C43" s="13" t="s">
        <v>1794</v>
      </c>
      <c r="D43" s="13" t="s">
        <v>1793</v>
      </c>
      <c r="E43" s="13" t="s">
        <v>1908</v>
      </c>
      <c r="F43" s="15">
        <v>12</v>
      </c>
      <c r="G43" s="15">
        <v>561200</v>
      </c>
      <c r="H43" s="15">
        <v>67380</v>
      </c>
      <c r="I43" s="7" t="s">
        <v>2058</v>
      </c>
    </row>
    <row r="44" spans="1:9">
      <c r="A44" s="13" t="s">
        <v>7</v>
      </c>
      <c r="B44" s="13" t="s">
        <v>22</v>
      </c>
      <c r="C44" s="13" t="s">
        <v>1864</v>
      </c>
      <c r="D44" s="13" t="s">
        <v>1863</v>
      </c>
      <c r="E44" s="13" t="s">
        <v>1909</v>
      </c>
      <c r="F44" s="15">
        <v>22</v>
      </c>
      <c r="G44" s="15">
        <v>544430</v>
      </c>
      <c r="H44" s="15">
        <v>0</v>
      </c>
      <c r="I44" s="7" t="s">
        <v>2058</v>
      </c>
    </row>
    <row r="45" spans="1:9">
      <c r="A45" s="13" t="s">
        <v>7</v>
      </c>
      <c r="B45" s="9" t="s">
        <v>24</v>
      </c>
      <c r="C45" s="13" t="s">
        <v>1796</v>
      </c>
      <c r="D45" s="13" t="s">
        <v>1795</v>
      </c>
      <c r="E45" s="13" t="s">
        <v>1910</v>
      </c>
      <c r="F45" s="15">
        <v>36</v>
      </c>
      <c r="G45" s="15">
        <v>518500</v>
      </c>
      <c r="H45" s="15">
        <v>69560</v>
      </c>
      <c r="I45" s="7" t="s">
        <v>2058</v>
      </c>
    </row>
    <row r="46" spans="1:9">
      <c r="A46" s="13" t="s">
        <v>7</v>
      </c>
      <c r="B46" s="9" t="s">
        <v>24</v>
      </c>
      <c r="C46" s="13" t="s">
        <v>1796</v>
      </c>
      <c r="D46" s="13" t="s">
        <v>1795</v>
      </c>
      <c r="E46" s="13" t="s">
        <v>1911</v>
      </c>
      <c r="F46" s="15">
        <v>9</v>
      </c>
      <c r="G46" s="15">
        <v>513400</v>
      </c>
      <c r="H46" s="15">
        <v>50000</v>
      </c>
      <c r="I46" s="7" t="s">
        <v>2058</v>
      </c>
    </row>
    <row r="47" spans="1:9">
      <c r="A47" s="13" t="s">
        <v>7</v>
      </c>
      <c r="B47" s="9" t="s">
        <v>24</v>
      </c>
      <c r="C47" s="13" t="s">
        <v>1796</v>
      </c>
      <c r="D47" s="13" t="s">
        <v>1795</v>
      </c>
      <c r="E47" s="13" t="s">
        <v>1912</v>
      </c>
      <c r="F47" s="15">
        <v>27</v>
      </c>
      <c r="G47" s="15">
        <v>476300</v>
      </c>
      <c r="H47" s="15">
        <v>56620</v>
      </c>
      <c r="I47" s="7" t="s">
        <v>2058</v>
      </c>
    </row>
    <row r="48" spans="1:9">
      <c r="A48" s="13" t="s">
        <v>7</v>
      </c>
      <c r="B48" s="13" t="s">
        <v>24</v>
      </c>
      <c r="C48" s="13" t="s">
        <v>1790</v>
      </c>
      <c r="D48" s="13" t="s">
        <v>1789</v>
      </c>
      <c r="E48" s="13" t="s">
        <v>1913</v>
      </c>
      <c r="F48" s="15">
        <v>9</v>
      </c>
      <c r="G48" s="15">
        <v>475200</v>
      </c>
      <c r="H48" s="15">
        <v>70000</v>
      </c>
      <c r="I48" s="7" t="s">
        <v>2058</v>
      </c>
    </row>
    <row r="49" spans="1:9">
      <c r="A49" s="13" t="s">
        <v>7</v>
      </c>
      <c r="B49" s="9" t="s">
        <v>22</v>
      </c>
      <c r="C49" s="13" t="s">
        <v>1796</v>
      </c>
      <c r="D49" s="13" t="s">
        <v>1795</v>
      </c>
      <c r="E49" s="13" t="s">
        <v>1914</v>
      </c>
      <c r="F49" s="15">
        <v>23</v>
      </c>
      <c r="G49" s="15">
        <v>471400</v>
      </c>
      <c r="H49" s="15">
        <v>46560</v>
      </c>
      <c r="I49" s="7" t="s">
        <v>2058</v>
      </c>
    </row>
    <row r="50" spans="1:9">
      <c r="A50" s="13" t="s">
        <v>7</v>
      </c>
      <c r="B50" s="9" t="s">
        <v>24</v>
      </c>
      <c r="C50" s="13" t="s">
        <v>1790</v>
      </c>
      <c r="D50" s="13" t="s">
        <v>1789</v>
      </c>
      <c r="E50" s="13" t="s">
        <v>1915</v>
      </c>
      <c r="F50" s="15">
        <v>18</v>
      </c>
      <c r="G50" s="15">
        <v>459800</v>
      </c>
      <c r="H50" s="15">
        <v>56290</v>
      </c>
      <c r="I50" s="7" t="s">
        <v>2058</v>
      </c>
    </row>
    <row r="51" spans="1:9">
      <c r="A51" s="13" t="s">
        <v>7</v>
      </c>
      <c r="B51" s="13" t="s">
        <v>22</v>
      </c>
      <c r="C51" s="13" t="s">
        <v>1780</v>
      </c>
      <c r="D51" s="13" t="s">
        <v>1779</v>
      </c>
      <c r="E51" s="13" t="s">
        <v>1916</v>
      </c>
      <c r="F51" s="15">
        <v>11</v>
      </c>
      <c r="G51" s="15">
        <v>399500</v>
      </c>
      <c r="H51" s="15">
        <v>41600</v>
      </c>
      <c r="I51" s="7" t="s">
        <v>2058</v>
      </c>
    </row>
    <row r="52" spans="1:9">
      <c r="A52" s="13" t="s">
        <v>7</v>
      </c>
      <c r="B52" s="13" t="s">
        <v>22</v>
      </c>
      <c r="C52" s="13" t="s">
        <v>1796</v>
      </c>
      <c r="D52" s="13" t="s">
        <v>1795</v>
      </c>
      <c r="E52" s="13" t="s">
        <v>1917</v>
      </c>
      <c r="F52" s="15">
        <v>25</v>
      </c>
      <c r="G52" s="15">
        <v>353800</v>
      </c>
      <c r="H52" s="15">
        <v>32500</v>
      </c>
      <c r="I52" s="7" t="s">
        <v>2058</v>
      </c>
    </row>
    <row r="53" spans="1:9">
      <c r="A53" s="13" t="s">
        <v>7</v>
      </c>
      <c r="B53" s="13" t="s">
        <v>22</v>
      </c>
      <c r="C53" s="13" t="s">
        <v>1842</v>
      </c>
      <c r="D53" s="13" t="s">
        <v>1841</v>
      </c>
      <c r="E53" s="13" t="s">
        <v>1918</v>
      </c>
      <c r="F53" s="15">
        <v>4</v>
      </c>
      <c r="G53" s="15">
        <v>336000</v>
      </c>
      <c r="H53" s="15">
        <v>0</v>
      </c>
      <c r="I53" s="7" t="s">
        <v>2058</v>
      </c>
    </row>
    <row r="54" spans="1:9">
      <c r="A54" s="13" t="s">
        <v>7</v>
      </c>
      <c r="B54" s="13" t="s">
        <v>22</v>
      </c>
      <c r="C54" s="13" t="s">
        <v>1796</v>
      </c>
      <c r="D54" s="13" t="s">
        <v>1795</v>
      </c>
      <c r="E54" s="13" t="s">
        <v>1919</v>
      </c>
      <c r="F54" s="15">
        <v>26</v>
      </c>
      <c r="G54" s="15">
        <v>298800</v>
      </c>
      <c r="H54" s="15">
        <v>11280</v>
      </c>
      <c r="I54" s="7" t="s">
        <v>2058</v>
      </c>
    </row>
    <row r="55" spans="1:9">
      <c r="A55" s="13" t="s">
        <v>7</v>
      </c>
      <c r="B55" s="13" t="s">
        <v>22</v>
      </c>
      <c r="C55" s="13" t="s">
        <v>1794</v>
      </c>
      <c r="D55" s="13" t="s">
        <v>1793</v>
      </c>
      <c r="E55" s="13" t="s">
        <v>1920</v>
      </c>
      <c r="F55" s="15">
        <v>21</v>
      </c>
      <c r="G55" s="15">
        <v>291870</v>
      </c>
      <c r="H55" s="15">
        <v>36850</v>
      </c>
      <c r="I55" s="7" t="s">
        <v>2058</v>
      </c>
    </row>
    <row r="56" spans="1:9">
      <c r="A56" s="13" t="s">
        <v>7</v>
      </c>
      <c r="B56" s="9" t="s">
        <v>24</v>
      </c>
      <c r="C56" s="13" t="s">
        <v>1790</v>
      </c>
      <c r="D56" s="13" t="s">
        <v>1789</v>
      </c>
      <c r="E56" s="13" t="s">
        <v>1921</v>
      </c>
      <c r="F56" s="15">
        <v>3</v>
      </c>
      <c r="G56" s="15">
        <v>263000</v>
      </c>
      <c r="H56" s="15">
        <v>10000</v>
      </c>
      <c r="I56" s="7" t="s">
        <v>2058</v>
      </c>
    </row>
    <row r="57" spans="1:9">
      <c r="A57" s="13" t="s">
        <v>7</v>
      </c>
      <c r="B57" s="9" t="s">
        <v>24</v>
      </c>
      <c r="C57" s="13" t="s">
        <v>1864</v>
      </c>
      <c r="D57" s="13" t="s">
        <v>1863</v>
      </c>
      <c r="E57" s="13" t="s">
        <v>1922</v>
      </c>
      <c r="F57" s="15">
        <v>9</v>
      </c>
      <c r="G57" s="15">
        <v>257830</v>
      </c>
      <c r="H57" s="15">
        <v>0</v>
      </c>
      <c r="I57" s="7" t="s">
        <v>2058</v>
      </c>
    </row>
    <row r="58" spans="1:9">
      <c r="A58" s="13" t="s">
        <v>7</v>
      </c>
      <c r="B58" s="9" t="s">
        <v>24</v>
      </c>
      <c r="C58" s="13" t="s">
        <v>1774</v>
      </c>
      <c r="D58" s="13" t="s">
        <v>1773</v>
      </c>
      <c r="E58" s="13" t="s">
        <v>1923</v>
      </c>
      <c r="F58" s="15">
        <v>5</v>
      </c>
      <c r="G58" s="15">
        <v>254500</v>
      </c>
      <c r="H58" s="15">
        <v>47960</v>
      </c>
      <c r="I58" s="7" t="s">
        <v>2058</v>
      </c>
    </row>
    <row r="59" spans="1:9">
      <c r="A59" s="13" t="s">
        <v>7</v>
      </c>
      <c r="B59" s="13" t="s">
        <v>24</v>
      </c>
      <c r="C59" s="13" t="s">
        <v>1790</v>
      </c>
      <c r="D59" s="13" t="s">
        <v>1789</v>
      </c>
      <c r="E59" s="13" t="s">
        <v>1924</v>
      </c>
      <c r="F59" s="15">
        <v>18</v>
      </c>
      <c r="G59" s="15">
        <v>246000</v>
      </c>
      <c r="H59" s="15">
        <v>31980</v>
      </c>
      <c r="I59" s="7" t="s">
        <v>2058</v>
      </c>
    </row>
    <row r="60" spans="1:9">
      <c r="A60" s="13" t="s">
        <v>7</v>
      </c>
      <c r="B60" s="9" t="s">
        <v>22</v>
      </c>
      <c r="C60" s="13" t="s">
        <v>1796</v>
      </c>
      <c r="D60" s="13" t="s">
        <v>1795</v>
      </c>
      <c r="E60" s="13" t="s">
        <v>1925</v>
      </c>
      <c r="F60" s="15">
        <v>14</v>
      </c>
      <c r="G60" s="15">
        <v>245400</v>
      </c>
      <c r="H60" s="15">
        <v>31360</v>
      </c>
      <c r="I60" s="7" t="s">
        <v>2058</v>
      </c>
    </row>
    <row r="61" spans="1:9">
      <c r="A61" s="13" t="s">
        <v>7</v>
      </c>
      <c r="B61" s="13" t="s">
        <v>22</v>
      </c>
      <c r="C61" s="13" t="s">
        <v>1796</v>
      </c>
      <c r="D61" s="13" t="s">
        <v>1795</v>
      </c>
      <c r="E61" s="13" t="s">
        <v>1926</v>
      </c>
      <c r="F61" s="15">
        <v>16</v>
      </c>
      <c r="G61" s="15">
        <v>228200</v>
      </c>
      <c r="H61" s="15">
        <v>20800</v>
      </c>
      <c r="I61" s="7" t="s">
        <v>2058</v>
      </c>
    </row>
    <row r="62" spans="1:9">
      <c r="A62" s="13" t="s">
        <v>7</v>
      </c>
      <c r="B62" s="13" t="s">
        <v>22</v>
      </c>
      <c r="C62" s="13" t="s">
        <v>1864</v>
      </c>
      <c r="D62" s="13" t="s">
        <v>1863</v>
      </c>
      <c r="E62" s="13" t="s">
        <v>1927</v>
      </c>
      <c r="F62" s="15">
        <v>4</v>
      </c>
      <c r="G62" s="15">
        <v>227680</v>
      </c>
      <c r="H62" s="15">
        <v>0</v>
      </c>
      <c r="I62" s="7" t="s">
        <v>2058</v>
      </c>
    </row>
    <row r="63" spans="1:9">
      <c r="A63" s="13" t="s">
        <v>7</v>
      </c>
      <c r="B63" s="69" t="s">
        <v>24</v>
      </c>
      <c r="C63" s="13" t="s">
        <v>1794</v>
      </c>
      <c r="D63" s="13" t="s">
        <v>1793</v>
      </c>
      <c r="E63" s="13" t="s">
        <v>1928</v>
      </c>
      <c r="F63" s="15">
        <v>5</v>
      </c>
      <c r="G63" s="15">
        <v>221200</v>
      </c>
      <c r="H63" s="15">
        <v>34240</v>
      </c>
      <c r="I63" s="7" t="s">
        <v>2058</v>
      </c>
    </row>
    <row r="64" spans="1:9">
      <c r="A64" s="13" t="s">
        <v>7</v>
      </c>
      <c r="B64" s="13" t="s">
        <v>22</v>
      </c>
      <c r="C64" s="13" t="s">
        <v>1796</v>
      </c>
      <c r="D64" s="13" t="s">
        <v>1795</v>
      </c>
      <c r="E64" s="13" t="s">
        <v>1929</v>
      </c>
      <c r="F64" s="15">
        <v>15</v>
      </c>
      <c r="G64" s="15">
        <v>214200</v>
      </c>
      <c r="H64" s="15">
        <v>11280</v>
      </c>
      <c r="I64" s="7" t="s">
        <v>2058</v>
      </c>
    </row>
    <row r="65" spans="1:9">
      <c r="A65" s="13" t="s">
        <v>7</v>
      </c>
      <c r="B65" s="9" t="s">
        <v>24</v>
      </c>
      <c r="C65" s="13" t="s">
        <v>1774</v>
      </c>
      <c r="D65" s="13" t="s">
        <v>1773</v>
      </c>
      <c r="E65" s="13" t="s">
        <v>1930</v>
      </c>
      <c r="F65" s="15">
        <v>9</v>
      </c>
      <c r="G65" s="15">
        <v>197100</v>
      </c>
      <c r="H65" s="15">
        <v>21900</v>
      </c>
      <c r="I65" s="7" t="s">
        <v>2058</v>
      </c>
    </row>
    <row r="66" spans="1:9">
      <c r="A66" s="13" t="s">
        <v>7</v>
      </c>
      <c r="B66" s="13" t="s">
        <v>22</v>
      </c>
      <c r="C66" s="13" t="s">
        <v>1804</v>
      </c>
      <c r="D66" s="13" t="s">
        <v>1803</v>
      </c>
      <c r="E66" s="13" t="s">
        <v>1931</v>
      </c>
      <c r="F66" s="15">
        <v>11</v>
      </c>
      <c r="G66" s="15">
        <v>195820</v>
      </c>
      <c r="H66" s="15">
        <v>17810</v>
      </c>
      <c r="I66" s="7" t="s">
        <v>2058</v>
      </c>
    </row>
    <row r="67" spans="1:9">
      <c r="A67" s="13" t="s">
        <v>7</v>
      </c>
      <c r="B67" s="69" t="s">
        <v>24</v>
      </c>
      <c r="C67" s="13" t="s">
        <v>1794</v>
      </c>
      <c r="D67" s="13" t="s">
        <v>1793</v>
      </c>
      <c r="E67" s="13" t="s">
        <v>1932</v>
      </c>
      <c r="F67" s="15">
        <v>6</v>
      </c>
      <c r="G67" s="15">
        <v>158800</v>
      </c>
      <c r="H67" s="15">
        <v>25200</v>
      </c>
      <c r="I67" s="7" t="s">
        <v>2058</v>
      </c>
    </row>
    <row r="68" spans="1:9">
      <c r="A68" s="13" t="s">
        <v>7</v>
      </c>
      <c r="B68" s="9" t="s">
        <v>24</v>
      </c>
      <c r="C68" s="13" t="s">
        <v>1804</v>
      </c>
      <c r="D68" s="13" t="s">
        <v>1803</v>
      </c>
      <c r="E68" s="13" t="s">
        <v>1933</v>
      </c>
      <c r="F68" s="15">
        <v>13</v>
      </c>
      <c r="G68" s="15">
        <v>151600</v>
      </c>
      <c r="H68" s="15">
        <v>5520</v>
      </c>
      <c r="I68" s="7" t="s">
        <v>2058</v>
      </c>
    </row>
    <row r="69" spans="1:9">
      <c r="A69" s="13" t="s">
        <v>7</v>
      </c>
      <c r="B69" s="13" t="s">
        <v>22</v>
      </c>
      <c r="C69" s="13" t="s">
        <v>1804</v>
      </c>
      <c r="D69" s="13" t="s">
        <v>1803</v>
      </c>
      <c r="E69" s="13" t="s">
        <v>1934</v>
      </c>
      <c r="F69" s="15">
        <v>12</v>
      </c>
      <c r="G69" s="15">
        <v>144050</v>
      </c>
      <c r="H69" s="15">
        <v>17440</v>
      </c>
      <c r="I69" s="7" t="s">
        <v>2058</v>
      </c>
    </row>
    <row r="70" spans="1:9">
      <c r="A70" s="13" t="s">
        <v>7</v>
      </c>
      <c r="B70" s="13" t="s">
        <v>23</v>
      </c>
      <c r="C70" s="13" t="s">
        <v>1796</v>
      </c>
      <c r="D70" s="13" t="s">
        <v>1795</v>
      </c>
      <c r="E70" s="13" t="s">
        <v>1935</v>
      </c>
      <c r="F70" s="15">
        <v>5</v>
      </c>
      <c r="G70" s="15">
        <v>132000</v>
      </c>
      <c r="H70" s="15">
        <v>25800</v>
      </c>
      <c r="I70" s="7" t="s">
        <v>2058</v>
      </c>
    </row>
    <row r="71" spans="1:9">
      <c r="A71" s="13" t="s">
        <v>7</v>
      </c>
      <c r="B71" s="9" t="s">
        <v>24</v>
      </c>
      <c r="C71" s="13" t="s">
        <v>1774</v>
      </c>
      <c r="D71" s="13" t="s">
        <v>1773</v>
      </c>
      <c r="E71" s="13" t="s">
        <v>1936</v>
      </c>
      <c r="F71" s="15">
        <v>3</v>
      </c>
      <c r="G71" s="15">
        <v>114000</v>
      </c>
      <c r="H71" s="15">
        <v>22800</v>
      </c>
      <c r="I71" s="7" t="s">
        <v>2058</v>
      </c>
    </row>
    <row r="72" spans="1:9">
      <c r="A72" s="13" t="s">
        <v>7</v>
      </c>
      <c r="B72" s="13" t="s">
        <v>22</v>
      </c>
      <c r="C72" s="13" t="s">
        <v>1796</v>
      </c>
      <c r="D72" s="13" t="s">
        <v>1795</v>
      </c>
      <c r="E72" s="13" t="s">
        <v>1937</v>
      </c>
      <c r="F72" s="15">
        <v>7</v>
      </c>
      <c r="G72" s="15">
        <v>111600</v>
      </c>
      <c r="H72" s="15">
        <v>10520</v>
      </c>
      <c r="I72" s="7" t="s">
        <v>2058</v>
      </c>
    </row>
    <row r="73" spans="1:9">
      <c r="A73" s="13" t="s">
        <v>7</v>
      </c>
      <c r="B73" s="9" t="s">
        <v>24</v>
      </c>
      <c r="C73" s="13" t="s">
        <v>1854</v>
      </c>
      <c r="D73" s="13" t="s">
        <v>1853</v>
      </c>
      <c r="E73" s="13" t="s">
        <v>1938</v>
      </c>
      <c r="F73" s="15">
        <v>3</v>
      </c>
      <c r="G73" s="15">
        <v>105000</v>
      </c>
      <c r="H73" s="15">
        <v>0</v>
      </c>
      <c r="I73" s="7" t="s">
        <v>2058</v>
      </c>
    </row>
    <row r="74" spans="1:9">
      <c r="A74" s="13" t="s">
        <v>7</v>
      </c>
      <c r="B74" s="9" t="s">
        <v>24</v>
      </c>
      <c r="C74" s="13" t="s">
        <v>1790</v>
      </c>
      <c r="D74" s="13" t="s">
        <v>1789</v>
      </c>
      <c r="E74" s="13" t="s">
        <v>1939</v>
      </c>
      <c r="F74" s="15">
        <v>2</v>
      </c>
      <c r="G74" s="15">
        <v>85400</v>
      </c>
      <c r="H74" s="15">
        <v>17080</v>
      </c>
      <c r="I74" s="7" t="s">
        <v>2058</v>
      </c>
    </row>
    <row r="75" spans="1:9">
      <c r="A75" s="13" t="s">
        <v>7</v>
      </c>
      <c r="B75" s="13" t="s">
        <v>22</v>
      </c>
      <c r="C75" s="13" t="s">
        <v>1796</v>
      </c>
      <c r="D75" s="13" t="s">
        <v>1795</v>
      </c>
      <c r="E75" s="13" t="s">
        <v>1940</v>
      </c>
      <c r="F75" s="15">
        <v>4</v>
      </c>
      <c r="G75" s="15">
        <v>81600</v>
      </c>
      <c r="H75" s="15">
        <v>12240</v>
      </c>
      <c r="I75" s="7" t="s">
        <v>2058</v>
      </c>
    </row>
    <row r="76" spans="1:9">
      <c r="A76" s="13" t="s">
        <v>7</v>
      </c>
      <c r="B76" s="9" t="s">
        <v>22</v>
      </c>
      <c r="C76" s="13" t="s">
        <v>1796</v>
      </c>
      <c r="D76" s="13" t="s">
        <v>1795</v>
      </c>
      <c r="E76" s="13" t="s">
        <v>1941</v>
      </c>
      <c r="F76" s="15">
        <v>2</v>
      </c>
      <c r="G76" s="15">
        <v>79600</v>
      </c>
      <c r="H76" s="15">
        <v>7960</v>
      </c>
      <c r="I76" s="7" t="s">
        <v>2058</v>
      </c>
    </row>
    <row r="77" spans="1:9">
      <c r="A77" s="13" t="s">
        <v>7</v>
      </c>
      <c r="B77" s="13" t="s">
        <v>24</v>
      </c>
      <c r="C77" s="13" t="s">
        <v>1864</v>
      </c>
      <c r="D77" s="13" t="s">
        <v>1863</v>
      </c>
      <c r="E77" s="13" t="s">
        <v>1942</v>
      </c>
      <c r="F77" s="15">
        <v>3</v>
      </c>
      <c r="G77" s="15">
        <v>77400</v>
      </c>
      <c r="H77" s="15">
        <v>0</v>
      </c>
      <c r="I77" s="7" t="s">
        <v>2058</v>
      </c>
    </row>
    <row r="78" spans="1:9">
      <c r="A78" s="13" t="s">
        <v>7</v>
      </c>
      <c r="B78" s="13" t="s">
        <v>22</v>
      </c>
      <c r="C78" s="13" t="s">
        <v>1804</v>
      </c>
      <c r="D78" s="13" t="s">
        <v>1803</v>
      </c>
      <c r="E78" s="13" t="s">
        <v>1943</v>
      </c>
      <c r="F78" s="15">
        <v>3</v>
      </c>
      <c r="G78" s="15">
        <v>53400</v>
      </c>
      <c r="H78" s="15">
        <v>7120</v>
      </c>
      <c r="I78" s="7" t="s">
        <v>2058</v>
      </c>
    </row>
    <row r="79" spans="1:9">
      <c r="A79" s="13" t="s">
        <v>7</v>
      </c>
      <c r="B79" s="9" t="s">
        <v>24</v>
      </c>
      <c r="C79" s="13" t="s">
        <v>1794</v>
      </c>
      <c r="D79" s="13" t="s">
        <v>1793</v>
      </c>
      <c r="E79" s="13" t="s">
        <v>1944</v>
      </c>
      <c r="F79" s="15">
        <v>3</v>
      </c>
      <c r="G79" s="15">
        <v>45620</v>
      </c>
      <c r="H79" s="15">
        <v>3380</v>
      </c>
      <c r="I79" s="7" t="s">
        <v>2058</v>
      </c>
    </row>
    <row r="80" spans="1:9">
      <c r="A80" s="13" t="s">
        <v>7</v>
      </c>
      <c r="B80" s="13" t="s">
        <v>22</v>
      </c>
      <c r="C80" s="13" t="s">
        <v>1776</v>
      </c>
      <c r="D80" s="13" t="s">
        <v>1775</v>
      </c>
      <c r="E80" s="13" t="s">
        <v>1945</v>
      </c>
      <c r="F80" s="15">
        <v>1</v>
      </c>
      <c r="G80" s="15">
        <v>43200</v>
      </c>
      <c r="H80" s="15">
        <v>8640</v>
      </c>
      <c r="I80" s="7" t="s">
        <v>2058</v>
      </c>
    </row>
    <row r="81" spans="1:9">
      <c r="A81" s="13" t="s">
        <v>7</v>
      </c>
      <c r="B81" s="9" t="s">
        <v>24</v>
      </c>
      <c r="C81" s="13" t="s">
        <v>1838</v>
      </c>
      <c r="D81" s="13" t="s">
        <v>1837</v>
      </c>
      <c r="E81" s="13" t="s">
        <v>1946</v>
      </c>
      <c r="F81" s="15">
        <v>3</v>
      </c>
      <c r="G81" s="15">
        <v>39000</v>
      </c>
      <c r="H81" s="15">
        <v>0</v>
      </c>
      <c r="I81" s="7" t="s">
        <v>2058</v>
      </c>
    </row>
    <row r="82" spans="1:9">
      <c r="A82" s="13" t="s">
        <v>7</v>
      </c>
      <c r="B82" s="9" t="s">
        <v>24</v>
      </c>
      <c r="C82" s="13" t="s">
        <v>1794</v>
      </c>
      <c r="D82" s="13" t="s">
        <v>1793</v>
      </c>
      <c r="E82" s="13" t="s">
        <v>1947</v>
      </c>
      <c r="F82" s="15">
        <v>2</v>
      </c>
      <c r="G82" s="15">
        <v>34000</v>
      </c>
      <c r="H82" s="15">
        <v>4400</v>
      </c>
      <c r="I82" s="7" t="s">
        <v>2058</v>
      </c>
    </row>
    <row r="83" spans="1:9">
      <c r="A83" s="13" t="s">
        <v>7</v>
      </c>
      <c r="B83" s="13" t="s">
        <v>22</v>
      </c>
      <c r="C83" s="13" t="s">
        <v>1804</v>
      </c>
      <c r="D83" s="13" t="s">
        <v>1803</v>
      </c>
      <c r="E83" s="13" t="s">
        <v>1948</v>
      </c>
      <c r="F83" s="15">
        <v>1</v>
      </c>
      <c r="G83" s="15">
        <v>32900</v>
      </c>
      <c r="H83" s="15">
        <v>0</v>
      </c>
      <c r="I83" s="7" t="s">
        <v>2058</v>
      </c>
    </row>
    <row r="84" spans="1:9">
      <c r="A84" s="13" t="s">
        <v>7</v>
      </c>
      <c r="B84" s="9" t="s">
        <v>24</v>
      </c>
      <c r="C84" s="13" t="s">
        <v>1796</v>
      </c>
      <c r="D84" s="13" t="s">
        <v>1795</v>
      </c>
      <c r="E84" s="13" t="s">
        <v>1949</v>
      </c>
      <c r="F84" s="15">
        <v>2</v>
      </c>
      <c r="G84" s="15">
        <v>31800</v>
      </c>
      <c r="H84" s="15">
        <v>0</v>
      </c>
      <c r="I84" s="7" t="s">
        <v>2058</v>
      </c>
    </row>
    <row r="85" spans="1:9">
      <c r="A85" s="13" t="s">
        <v>7</v>
      </c>
      <c r="B85" s="13" t="s">
        <v>22</v>
      </c>
      <c r="C85" s="13" t="s">
        <v>1780</v>
      </c>
      <c r="D85" s="13" t="s">
        <v>1779</v>
      </c>
      <c r="E85" s="13" t="s">
        <v>1950</v>
      </c>
      <c r="F85" s="15">
        <v>2</v>
      </c>
      <c r="G85" s="15">
        <v>23400</v>
      </c>
      <c r="H85" s="15">
        <v>2340</v>
      </c>
      <c r="I85" s="7" t="s">
        <v>2058</v>
      </c>
    </row>
    <row r="86" spans="1:9">
      <c r="A86" s="13" t="s">
        <v>7</v>
      </c>
      <c r="B86" s="9" t="s">
        <v>24</v>
      </c>
      <c r="C86" s="13" t="s">
        <v>1796</v>
      </c>
      <c r="D86" s="13" t="s">
        <v>1795</v>
      </c>
      <c r="E86" s="13" t="s">
        <v>1951</v>
      </c>
      <c r="F86" s="15">
        <v>1</v>
      </c>
      <c r="G86" s="15">
        <v>17800</v>
      </c>
      <c r="H86" s="15">
        <v>3560</v>
      </c>
      <c r="I86" s="7" t="s">
        <v>2058</v>
      </c>
    </row>
    <row r="87" spans="1:9">
      <c r="A87" s="13" t="s">
        <v>7</v>
      </c>
      <c r="B87" s="13" t="s">
        <v>22</v>
      </c>
      <c r="C87" s="13" t="s">
        <v>1804</v>
      </c>
      <c r="D87" s="13" t="s">
        <v>1803</v>
      </c>
      <c r="E87" s="13" t="s">
        <v>1952</v>
      </c>
      <c r="F87" s="15">
        <v>1</v>
      </c>
      <c r="G87" s="15">
        <v>16800</v>
      </c>
      <c r="H87" s="15">
        <v>3360</v>
      </c>
      <c r="I87" s="7" t="s">
        <v>2058</v>
      </c>
    </row>
    <row r="88" spans="1:9">
      <c r="A88" s="13" t="s">
        <v>7</v>
      </c>
      <c r="B88" s="9" t="s">
        <v>24</v>
      </c>
      <c r="C88" s="13" t="s">
        <v>1776</v>
      </c>
      <c r="D88" s="13" t="s">
        <v>1775</v>
      </c>
      <c r="E88" s="13" t="s">
        <v>1953</v>
      </c>
      <c r="F88" s="15">
        <v>1</v>
      </c>
      <c r="G88" s="15">
        <v>14950</v>
      </c>
      <c r="H88" s="15">
        <v>2990</v>
      </c>
      <c r="I88" s="7" t="s">
        <v>2058</v>
      </c>
    </row>
    <row r="89" spans="1:9">
      <c r="A89" s="13" t="s">
        <v>7</v>
      </c>
      <c r="B89" s="13" t="s">
        <v>22</v>
      </c>
      <c r="C89" s="13" t="s">
        <v>1780</v>
      </c>
      <c r="D89" s="13" t="s">
        <v>1779</v>
      </c>
      <c r="E89" s="13" t="s">
        <v>1954</v>
      </c>
      <c r="F89" s="15">
        <v>1</v>
      </c>
      <c r="G89" s="15">
        <v>14900</v>
      </c>
      <c r="H89" s="15">
        <v>2980</v>
      </c>
      <c r="I89" s="7" t="s">
        <v>2058</v>
      </c>
    </row>
    <row r="90" spans="1:9">
      <c r="A90" s="13" t="s">
        <v>7</v>
      </c>
      <c r="B90" s="13" t="s">
        <v>22</v>
      </c>
      <c r="C90" s="13" t="s">
        <v>1776</v>
      </c>
      <c r="D90" s="13" t="s">
        <v>1775</v>
      </c>
      <c r="E90" s="13" t="s">
        <v>1955</v>
      </c>
      <c r="F90" s="15">
        <v>1</v>
      </c>
      <c r="G90" s="15">
        <v>11000</v>
      </c>
      <c r="H90" s="15">
        <v>0</v>
      </c>
      <c r="I90" s="7" t="s">
        <v>2058</v>
      </c>
    </row>
    <row r="91" spans="1:9" s="36" customFormat="1">
      <c r="A91" s="30" t="s">
        <v>12</v>
      </c>
      <c r="B91" s="31" t="s">
        <v>24</v>
      </c>
      <c r="C91" s="32" t="s">
        <v>1850</v>
      </c>
      <c r="D91" s="30" t="s">
        <v>1849</v>
      </c>
      <c r="E91" s="32" t="s">
        <v>1956</v>
      </c>
      <c r="F91" s="54">
        <v>321</v>
      </c>
      <c r="G91" s="54">
        <v>2171900</v>
      </c>
      <c r="H91" s="54">
        <v>253520</v>
      </c>
      <c r="I91" s="7" t="s">
        <v>2058</v>
      </c>
    </row>
    <row r="92" spans="1:9">
      <c r="A92" s="13" t="s">
        <v>12</v>
      </c>
      <c r="B92" s="16" t="s">
        <v>24</v>
      </c>
      <c r="C92" s="17" t="s">
        <v>1850</v>
      </c>
      <c r="D92" s="13" t="s">
        <v>1849</v>
      </c>
      <c r="E92" s="18" t="s">
        <v>1957</v>
      </c>
      <c r="F92" s="55">
        <v>632</v>
      </c>
      <c r="G92" s="55">
        <v>4126500</v>
      </c>
      <c r="H92" s="51">
        <v>453668</v>
      </c>
      <c r="I92" s="7" t="s">
        <v>2058</v>
      </c>
    </row>
    <row r="93" spans="1:9">
      <c r="A93" s="13" t="s">
        <v>12</v>
      </c>
      <c r="B93" s="16" t="s">
        <v>24</v>
      </c>
      <c r="C93" s="17" t="s">
        <v>1850</v>
      </c>
      <c r="D93" s="13" t="s">
        <v>1849</v>
      </c>
      <c r="E93" s="18" t="s">
        <v>1958</v>
      </c>
      <c r="F93" s="55">
        <v>107</v>
      </c>
      <c r="G93" s="55">
        <v>1893000</v>
      </c>
      <c r="H93" s="51">
        <v>217455</v>
      </c>
      <c r="I93" s="7" t="s">
        <v>2058</v>
      </c>
    </row>
    <row r="94" spans="1:9">
      <c r="A94" s="13" t="s">
        <v>12</v>
      </c>
      <c r="B94" s="16" t="s">
        <v>22</v>
      </c>
      <c r="C94" s="17" t="s">
        <v>1778</v>
      </c>
      <c r="D94" s="13" t="s">
        <v>1777</v>
      </c>
      <c r="E94" s="18" t="s">
        <v>1959</v>
      </c>
      <c r="F94" s="55">
        <v>6</v>
      </c>
      <c r="G94" s="55">
        <v>208400</v>
      </c>
      <c r="H94" s="51">
        <v>35006</v>
      </c>
      <c r="I94" s="7" t="s">
        <v>2058</v>
      </c>
    </row>
    <row r="95" spans="1:9">
      <c r="A95" s="13" t="s">
        <v>12</v>
      </c>
      <c r="B95" s="16" t="s">
        <v>22</v>
      </c>
      <c r="C95" s="17" t="s">
        <v>1778</v>
      </c>
      <c r="D95" s="13" t="s">
        <v>1777</v>
      </c>
      <c r="E95" s="18" t="s">
        <v>1960</v>
      </c>
      <c r="F95" s="55">
        <v>5</v>
      </c>
      <c r="G95" s="55">
        <v>69500</v>
      </c>
      <c r="H95" s="51">
        <v>7282</v>
      </c>
      <c r="I95" s="7" t="s">
        <v>2058</v>
      </c>
    </row>
    <row r="96" spans="1:9">
      <c r="A96" s="13" t="s">
        <v>12</v>
      </c>
      <c r="B96" s="16" t="s">
        <v>22</v>
      </c>
      <c r="C96" s="17" t="s">
        <v>1778</v>
      </c>
      <c r="D96" s="13" t="s">
        <v>1777</v>
      </c>
      <c r="E96" s="18" t="s">
        <v>1961</v>
      </c>
      <c r="F96" s="55">
        <v>2</v>
      </c>
      <c r="G96" s="55">
        <v>41800</v>
      </c>
      <c r="H96" s="51">
        <v>2590</v>
      </c>
      <c r="I96" s="7" t="s">
        <v>2058</v>
      </c>
    </row>
    <row r="97" spans="1:9">
      <c r="A97" s="13" t="s">
        <v>12</v>
      </c>
      <c r="B97" s="16" t="s">
        <v>24</v>
      </c>
      <c r="C97" s="17" t="s">
        <v>1778</v>
      </c>
      <c r="D97" s="13" t="s">
        <v>1777</v>
      </c>
      <c r="E97" s="18" t="s">
        <v>1962</v>
      </c>
      <c r="F97" s="55">
        <v>13</v>
      </c>
      <c r="G97" s="55">
        <v>136500</v>
      </c>
      <c r="H97" s="51">
        <v>13102</v>
      </c>
      <c r="I97" s="7" t="s">
        <v>2058</v>
      </c>
    </row>
    <row r="98" spans="1:9">
      <c r="A98" s="13" t="s">
        <v>12</v>
      </c>
      <c r="B98" s="16" t="s">
        <v>24</v>
      </c>
      <c r="C98" s="17" t="s">
        <v>1778</v>
      </c>
      <c r="D98" s="13" t="s">
        <v>1777</v>
      </c>
      <c r="E98" s="18" t="s">
        <v>1963</v>
      </c>
      <c r="F98" s="55">
        <v>0</v>
      </c>
      <c r="G98" s="55">
        <v>0</v>
      </c>
      <c r="H98" s="51">
        <v>0</v>
      </c>
      <c r="I98" s="7" t="s">
        <v>2058</v>
      </c>
    </row>
    <row r="99" spans="1:9">
      <c r="A99" s="13" t="s">
        <v>12</v>
      </c>
      <c r="B99" s="16" t="s">
        <v>24</v>
      </c>
      <c r="C99" s="17" t="s">
        <v>1964</v>
      </c>
      <c r="D99" s="13" t="s">
        <v>1807</v>
      </c>
      <c r="E99" s="18" t="s">
        <v>1965</v>
      </c>
      <c r="F99" s="55">
        <v>1001</v>
      </c>
      <c r="G99" s="55">
        <v>2402400</v>
      </c>
      <c r="H99" s="51">
        <v>151472</v>
      </c>
      <c r="I99" s="7" t="s">
        <v>2058</v>
      </c>
    </row>
    <row r="100" spans="1:9">
      <c r="A100" s="13" t="s">
        <v>12</v>
      </c>
      <c r="B100" s="16" t="s">
        <v>24</v>
      </c>
      <c r="C100" s="17" t="s">
        <v>1964</v>
      </c>
      <c r="D100" s="13" t="s">
        <v>1807</v>
      </c>
      <c r="E100" s="18" t="s">
        <v>1966</v>
      </c>
      <c r="F100" s="55">
        <v>581</v>
      </c>
      <c r="G100" s="55">
        <v>1336300</v>
      </c>
      <c r="H100" s="51">
        <v>77280</v>
      </c>
      <c r="I100" s="7" t="s">
        <v>2058</v>
      </c>
    </row>
    <row r="101" spans="1:9">
      <c r="A101" s="13" t="s">
        <v>12</v>
      </c>
      <c r="B101" s="16" t="s">
        <v>24</v>
      </c>
      <c r="C101" s="17" t="s">
        <v>1964</v>
      </c>
      <c r="D101" s="13" t="s">
        <v>1807</v>
      </c>
      <c r="E101" s="18" t="s">
        <v>1967</v>
      </c>
      <c r="F101" s="55">
        <v>438</v>
      </c>
      <c r="G101" s="55">
        <v>1095000</v>
      </c>
      <c r="H101" s="51">
        <v>57500</v>
      </c>
      <c r="I101" s="7" t="s">
        <v>2058</v>
      </c>
    </row>
    <row r="102" spans="1:9">
      <c r="A102" s="13" t="s">
        <v>12</v>
      </c>
      <c r="B102" s="16" t="s">
        <v>24</v>
      </c>
      <c r="C102" s="17" t="s">
        <v>1964</v>
      </c>
      <c r="D102" s="13" t="s">
        <v>1807</v>
      </c>
      <c r="E102" s="18" t="s">
        <v>1968</v>
      </c>
      <c r="F102" s="55">
        <v>498</v>
      </c>
      <c r="G102" s="55">
        <v>1394400</v>
      </c>
      <c r="H102" s="51">
        <v>87678</v>
      </c>
      <c r="I102" s="7" t="s">
        <v>2058</v>
      </c>
    </row>
    <row r="103" spans="1:9">
      <c r="A103" s="13" t="s">
        <v>12</v>
      </c>
      <c r="B103" s="16" t="s">
        <v>24</v>
      </c>
      <c r="C103" s="17" t="s">
        <v>1964</v>
      </c>
      <c r="D103" s="13" t="s">
        <v>1807</v>
      </c>
      <c r="E103" s="18" t="s">
        <v>1969</v>
      </c>
      <c r="F103" s="55">
        <v>782</v>
      </c>
      <c r="G103" s="55">
        <v>2189600</v>
      </c>
      <c r="H103" s="51">
        <v>141438</v>
      </c>
      <c r="I103" s="7" t="s">
        <v>2058</v>
      </c>
    </row>
    <row r="104" spans="1:9">
      <c r="A104" s="13" t="s">
        <v>12</v>
      </c>
      <c r="B104" s="16" t="s">
        <v>24</v>
      </c>
      <c r="C104" s="17" t="s">
        <v>1964</v>
      </c>
      <c r="D104" s="13" t="s">
        <v>1807</v>
      </c>
      <c r="E104" s="18" t="s">
        <v>1970</v>
      </c>
      <c r="F104" s="55">
        <v>690</v>
      </c>
      <c r="G104" s="55">
        <v>2415000</v>
      </c>
      <c r="H104" s="51">
        <v>139697</v>
      </c>
      <c r="I104" s="7" t="s">
        <v>2058</v>
      </c>
    </row>
    <row r="105" spans="1:9">
      <c r="A105" s="13" t="s">
        <v>12</v>
      </c>
      <c r="B105" s="16" t="s">
        <v>24</v>
      </c>
      <c r="C105" s="17" t="s">
        <v>1964</v>
      </c>
      <c r="D105" s="13" t="s">
        <v>1807</v>
      </c>
      <c r="E105" s="18" t="s">
        <v>1971</v>
      </c>
      <c r="F105" s="55">
        <v>519</v>
      </c>
      <c r="G105" s="55">
        <v>918630</v>
      </c>
      <c r="H105" s="51">
        <v>51181</v>
      </c>
      <c r="I105" s="7" t="s">
        <v>2058</v>
      </c>
    </row>
    <row r="106" spans="1:9">
      <c r="A106" s="13" t="s">
        <v>12</v>
      </c>
      <c r="B106" s="16" t="s">
        <v>24</v>
      </c>
      <c r="C106" s="17" t="s">
        <v>1964</v>
      </c>
      <c r="D106" s="13" t="s">
        <v>1807</v>
      </c>
      <c r="E106" s="18" t="s">
        <v>1972</v>
      </c>
      <c r="F106" s="55">
        <v>324</v>
      </c>
      <c r="G106" s="55">
        <v>874800</v>
      </c>
      <c r="H106" s="51">
        <v>33246</v>
      </c>
      <c r="I106" s="7" t="s">
        <v>2058</v>
      </c>
    </row>
    <row r="107" spans="1:9">
      <c r="A107" s="13" t="s">
        <v>12</v>
      </c>
      <c r="B107" s="16" t="s">
        <v>24</v>
      </c>
      <c r="C107" s="17" t="s">
        <v>1964</v>
      </c>
      <c r="D107" s="13" t="s">
        <v>1807</v>
      </c>
      <c r="E107" s="18" t="s">
        <v>1973</v>
      </c>
      <c r="F107" s="55">
        <v>355</v>
      </c>
      <c r="G107" s="55">
        <v>1029500</v>
      </c>
      <c r="H107" s="51">
        <v>56589</v>
      </c>
      <c r="I107" s="7" t="s">
        <v>2058</v>
      </c>
    </row>
    <row r="108" spans="1:9">
      <c r="A108" s="13" t="s">
        <v>12</v>
      </c>
      <c r="B108" s="16" t="s">
        <v>24</v>
      </c>
      <c r="C108" s="17" t="s">
        <v>1964</v>
      </c>
      <c r="D108" s="13" t="s">
        <v>1807</v>
      </c>
      <c r="E108" s="18" t="s">
        <v>1974</v>
      </c>
      <c r="F108" s="55">
        <v>517</v>
      </c>
      <c r="G108" s="55">
        <v>1240800</v>
      </c>
      <c r="H108" s="51">
        <v>70080</v>
      </c>
      <c r="I108" s="7" t="s">
        <v>2058</v>
      </c>
    </row>
    <row r="109" spans="1:9">
      <c r="A109" s="13" t="s">
        <v>12</v>
      </c>
      <c r="B109" s="16" t="s">
        <v>23</v>
      </c>
      <c r="C109" s="17" t="s">
        <v>1964</v>
      </c>
      <c r="D109" s="13" t="s">
        <v>1807</v>
      </c>
      <c r="E109" s="18" t="s">
        <v>1975</v>
      </c>
      <c r="F109" s="55">
        <v>385</v>
      </c>
      <c r="G109" s="55">
        <v>1886500</v>
      </c>
      <c r="H109" s="51">
        <v>110740</v>
      </c>
      <c r="I109" s="7" t="s">
        <v>2058</v>
      </c>
    </row>
    <row r="110" spans="1:9">
      <c r="A110" s="13" t="s">
        <v>12</v>
      </c>
      <c r="B110" s="16" t="s">
        <v>23</v>
      </c>
      <c r="C110" s="17" t="s">
        <v>1964</v>
      </c>
      <c r="D110" s="13" t="s">
        <v>1807</v>
      </c>
      <c r="E110" s="18" t="s">
        <v>1976</v>
      </c>
      <c r="F110" s="55">
        <v>213</v>
      </c>
      <c r="G110" s="55">
        <v>1562200</v>
      </c>
      <c r="H110" s="51">
        <v>140380</v>
      </c>
      <c r="I110" s="7" t="s">
        <v>2058</v>
      </c>
    </row>
    <row r="111" spans="1:9">
      <c r="A111" s="13" t="s">
        <v>12</v>
      </c>
      <c r="B111" s="16" t="s">
        <v>24</v>
      </c>
      <c r="C111" s="17" t="s">
        <v>1977</v>
      </c>
      <c r="D111" s="13" t="s">
        <v>1819</v>
      </c>
      <c r="E111" s="18" t="s">
        <v>1978</v>
      </c>
      <c r="F111" s="55">
        <v>30</v>
      </c>
      <c r="G111" s="55">
        <v>450000</v>
      </c>
      <c r="H111" s="51">
        <v>90000</v>
      </c>
      <c r="I111" s="7" t="s">
        <v>2058</v>
      </c>
    </row>
    <row r="112" spans="1:9">
      <c r="A112" s="13" t="s">
        <v>12</v>
      </c>
      <c r="B112" s="16" t="s">
        <v>24</v>
      </c>
      <c r="C112" s="17" t="s">
        <v>1977</v>
      </c>
      <c r="D112" s="13" t="s">
        <v>1819</v>
      </c>
      <c r="E112" s="18" t="s">
        <v>1979</v>
      </c>
      <c r="F112" s="55">
        <v>0</v>
      </c>
      <c r="G112" s="55">
        <v>0</v>
      </c>
      <c r="H112" s="51">
        <v>0</v>
      </c>
      <c r="I112" s="7" t="s">
        <v>2058</v>
      </c>
    </row>
    <row r="113" spans="1:9">
      <c r="A113" s="13" t="s">
        <v>12</v>
      </c>
      <c r="B113" s="16" t="s">
        <v>24</v>
      </c>
      <c r="C113" s="17" t="s">
        <v>1836</v>
      </c>
      <c r="D113" s="13" t="s">
        <v>1835</v>
      </c>
      <c r="E113" s="18" t="s">
        <v>1980</v>
      </c>
      <c r="F113" s="55">
        <v>68</v>
      </c>
      <c r="G113" s="55">
        <v>1780800</v>
      </c>
      <c r="H113" s="51">
        <v>182096</v>
      </c>
      <c r="I113" s="7" t="s">
        <v>2058</v>
      </c>
    </row>
    <row r="114" spans="1:9">
      <c r="A114" s="13" t="s">
        <v>12</v>
      </c>
      <c r="B114" s="16" t="s">
        <v>24</v>
      </c>
      <c r="C114" s="17" t="s">
        <v>1836</v>
      </c>
      <c r="D114" s="13" t="s">
        <v>1835</v>
      </c>
      <c r="E114" s="18" t="s">
        <v>1981</v>
      </c>
      <c r="F114" s="55">
        <v>86</v>
      </c>
      <c r="G114" s="55">
        <v>2387100</v>
      </c>
      <c r="H114" s="51">
        <v>250880</v>
      </c>
      <c r="I114" s="7" t="s">
        <v>2058</v>
      </c>
    </row>
    <row r="115" spans="1:9">
      <c r="A115" s="13" t="s">
        <v>12</v>
      </c>
      <c r="B115" s="16" t="s">
        <v>24</v>
      </c>
      <c r="C115" s="17" t="s">
        <v>1836</v>
      </c>
      <c r="D115" s="13" t="s">
        <v>1835</v>
      </c>
      <c r="E115" s="18" t="s">
        <v>1982</v>
      </c>
      <c r="F115" s="55">
        <v>31</v>
      </c>
      <c r="G115" s="55">
        <v>682000</v>
      </c>
      <c r="H115" s="51">
        <v>93600</v>
      </c>
      <c r="I115" s="7" t="s">
        <v>2058</v>
      </c>
    </row>
    <row r="116" spans="1:9">
      <c r="A116" s="13" t="s">
        <v>12</v>
      </c>
      <c r="B116" s="16" t="s">
        <v>24</v>
      </c>
      <c r="C116" s="17" t="s">
        <v>1836</v>
      </c>
      <c r="D116" s="13" t="s">
        <v>1835</v>
      </c>
      <c r="E116" s="18" t="s">
        <v>1983</v>
      </c>
      <c r="F116" s="55">
        <v>25</v>
      </c>
      <c r="G116" s="55">
        <v>645000</v>
      </c>
      <c r="H116" s="51">
        <v>81920</v>
      </c>
      <c r="I116" s="7" t="s">
        <v>2058</v>
      </c>
    </row>
    <row r="117" spans="1:9">
      <c r="A117" s="13" t="s">
        <v>12</v>
      </c>
      <c r="B117" s="16" t="s">
        <v>24</v>
      </c>
      <c r="C117" s="17" t="s">
        <v>1836</v>
      </c>
      <c r="D117" s="13" t="s">
        <v>1835</v>
      </c>
      <c r="E117" s="18" t="s">
        <v>1984</v>
      </c>
      <c r="F117" s="55">
        <v>26</v>
      </c>
      <c r="G117" s="55">
        <v>468000</v>
      </c>
      <c r="H117" s="51">
        <v>63856</v>
      </c>
      <c r="I117" s="7" t="s">
        <v>2058</v>
      </c>
    </row>
    <row r="118" spans="1:9">
      <c r="A118" s="13" t="s">
        <v>12</v>
      </c>
      <c r="B118" s="13" t="s">
        <v>24</v>
      </c>
      <c r="C118" s="17" t="s">
        <v>1836</v>
      </c>
      <c r="D118" s="13" t="s">
        <v>1835</v>
      </c>
      <c r="E118" s="18" t="s">
        <v>1985</v>
      </c>
      <c r="F118" s="55">
        <v>33</v>
      </c>
      <c r="G118" s="55">
        <v>620400</v>
      </c>
      <c r="H118" s="51">
        <v>66694</v>
      </c>
      <c r="I118" s="7" t="s">
        <v>2058</v>
      </c>
    </row>
    <row r="119" spans="1:9">
      <c r="A119" s="13" t="s">
        <v>12</v>
      </c>
      <c r="B119" s="13" t="s">
        <v>22</v>
      </c>
      <c r="C119" s="17" t="s">
        <v>1834</v>
      </c>
      <c r="D119" s="13" t="s">
        <v>1833</v>
      </c>
      <c r="E119" s="18" t="s">
        <v>1986</v>
      </c>
      <c r="F119" s="55">
        <v>1320</v>
      </c>
      <c r="G119" s="55">
        <v>78695300</v>
      </c>
      <c r="H119" s="51">
        <v>274027</v>
      </c>
      <c r="I119" s="7" t="s">
        <v>2058</v>
      </c>
    </row>
    <row r="120" spans="1:9">
      <c r="A120" s="13" t="s">
        <v>12</v>
      </c>
      <c r="B120" s="13" t="s">
        <v>22</v>
      </c>
      <c r="C120" s="17" t="s">
        <v>1834</v>
      </c>
      <c r="D120" s="13" t="s">
        <v>1833</v>
      </c>
      <c r="E120" s="18" t="s">
        <v>1987</v>
      </c>
      <c r="F120" s="55">
        <v>5165</v>
      </c>
      <c r="G120" s="55">
        <v>130548360</v>
      </c>
      <c r="H120" s="51">
        <v>206624</v>
      </c>
      <c r="I120" s="7" t="s">
        <v>2058</v>
      </c>
    </row>
    <row r="121" spans="1:9">
      <c r="A121" s="13" t="s">
        <v>12</v>
      </c>
      <c r="B121" s="13" t="s">
        <v>22</v>
      </c>
      <c r="C121" s="17" t="s">
        <v>1834</v>
      </c>
      <c r="D121" s="13" t="s">
        <v>1833</v>
      </c>
      <c r="E121" s="18" t="s">
        <v>1988</v>
      </c>
      <c r="F121" s="55">
        <v>2020</v>
      </c>
      <c r="G121" s="55">
        <v>27187320</v>
      </c>
      <c r="H121" s="51">
        <v>163164</v>
      </c>
      <c r="I121" s="7" t="s">
        <v>2058</v>
      </c>
    </row>
    <row r="122" spans="1:9">
      <c r="A122" s="13" t="s">
        <v>12</v>
      </c>
      <c r="B122" s="13" t="s">
        <v>22</v>
      </c>
      <c r="C122" s="17" t="s">
        <v>1834</v>
      </c>
      <c r="D122" s="13" t="s">
        <v>1833</v>
      </c>
      <c r="E122" s="18" t="s">
        <v>1989</v>
      </c>
      <c r="F122" s="55">
        <v>850</v>
      </c>
      <c r="G122" s="55">
        <v>21142080</v>
      </c>
      <c r="H122" s="51">
        <v>115523</v>
      </c>
      <c r="I122" s="7" t="s">
        <v>2058</v>
      </c>
    </row>
    <row r="123" spans="1:9">
      <c r="A123" s="13" t="s">
        <v>12</v>
      </c>
      <c r="B123" s="13" t="s">
        <v>22</v>
      </c>
      <c r="C123" s="17" t="s">
        <v>1834</v>
      </c>
      <c r="D123" s="13" t="s">
        <v>1833</v>
      </c>
      <c r="E123" s="18" t="s">
        <v>1990</v>
      </c>
      <c r="F123" s="55">
        <v>438</v>
      </c>
      <c r="G123" s="55">
        <v>5895840</v>
      </c>
      <c r="H123" s="51">
        <v>32935</v>
      </c>
      <c r="I123" s="7" t="s">
        <v>2058</v>
      </c>
    </row>
    <row r="124" spans="1:9">
      <c r="A124" s="13" t="s">
        <v>12</v>
      </c>
      <c r="B124" s="13" t="s">
        <v>22</v>
      </c>
      <c r="C124" s="17" t="s">
        <v>1834</v>
      </c>
      <c r="D124" s="13" t="s">
        <v>1833</v>
      </c>
      <c r="E124" s="18" t="s">
        <v>1991</v>
      </c>
      <c r="F124" s="55">
        <v>95</v>
      </c>
      <c r="G124" s="55">
        <v>3287400</v>
      </c>
      <c r="H124" s="51">
        <v>47280</v>
      </c>
      <c r="I124" s="7" t="s">
        <v>2058</v>
      </c>
    </row>
    <row r="125" spans="1:9">
      <c r="A125" s="13" t="s">
        <v>12</v>
      </c>
      <c r="B125" s="13" t="s">
        <v>22</v>
      </c>
      <c r="C125" s="17" t="s">
        <v>1834</v>
      </c>
      <c r="D125" s="13" t="s">
        <v>1833</v>
      </c>
      <c r="E125" s="18" t="s">
        <v>1992</v>
      </c>
      <c r="F125" s="55">
        <v>317</v>
      </c>
      <c r="G125" s="55">
        <v>5452400</v>
      </c>
      <c r="H125" s="51">
        <v>33622</v>
      </c>
      <c r="I125" s="7" t="s">
        <v>2058</v>
      </c>
    </row>
    <row r="126" spans="1:9">
      <c r="A126" s="13" t="s">
        <v>12</v>
      </c>
      <c r="B126" s="13" t="s">
        <v>22</v>
      </c>
      <c r="C126" s="17" t="s">
        <v>1834</v>
      </c>
      <c r="D126" s="13" t="s">
        <v>1833</v>
      </c>
      <c r="E126" s="18" t="s">
        <v>1993</v>
      </c>
      <c r="F126" s="55">
        <v>87</v>
      </c>
      <c r="G126" s="55">
        <v>2990000</v>
      </c>
      <c r="H126" s="51">
        <v>20400</v>
      </c>
      <c r="I126" s="7" t="s">
        <v>2058</v>
      </c>
    </row>
    <row r="127" spans="1:9">
      <c r="A127" s="13" t="s">
        <v>12</v>
      </c>
      <c r="B127" s="13" t="s">
        <v>22</v>
      </c>
      <c r="C127" s="17" t="s">
        <v>1834</v>
      </c>
      <c r="D127" s="13" t="s">
        <v>1833</v>
      </c>
      <c r="E127" s="18" t="s">
        <v>1994</v>
      </c>
      <c r="F127" s="55">
        <v>610</v>
      </c>
      <c r="G127" s="55">
        <v>10319700</v>
      </c>
      <c r="H127" s="51">
        <v>117320</v>
      </c>
      <c r="I127" s="7" t="s">
        <v>2058</v>
      </c>
    </row>
    <row r="128" spans="1:9">
      <c r="A128" s="13" t="s">
        <v>12</v>
      </c>
      <c r="B128" s="13" t="s">
        <v>22</v>
      </c>
      <c r="C128" s="17" t="s">
        <v>1834</v>
      </c>
      <c r="D128" s="13" t="s">
        <v>1833</v>
      </c>
      <c r="E128" s="18" t="s">
        <v>1995</v>
      </c>
      <c r="F128" s="55">
        <v>365</v>
      </c>
      <c r="G128" s="55">
        <v>14198500</v>
      </c>
      <c r="H128" s="51">
        <v>92514</v>
      </c>
      <c r="I128" s="7" t="s">
        <v>2058</v>
      </c>
    </row>
    <row r="129" spans="1:9">
      <c r="A129" s="13" t="s">
        <v>12</v>
      </c>
      <c r="B129" s="13" t="s">
        <v>22</v>
      </c>
      <c r="C129" s="17" t="s">
        <v>1834</v>
      </c>
      <c r="D129" s="13" t="s">
        <v>1833</v>
      </c>
      <c r="E129" s="18" t="s">
        <v>1996</v>
      </c>
      <c r="F129" s="55">
        <v>455</v>
      </c>
      <c r="G129" s="55">
        <v>10419500</v>
      </c>
      <c r="H129" s="51">
        <v>82440</v>
      </c>
      <c r="I129" s="7" t="s">
        <v>2058</v>
      </c>
    </row>
    <row r="130" spans="1:9">
      <c r="A130" s="13" t="s">
        <v>12</v>
      </c>
      <c r="B130" s="13" t="s">
        <v>22</v>
      </c>
      <c r="C130" s="17" t="s">
        <v>1997</v>
      </c>
      <c r="D130" s="13" t="s">
        <v>1787</v>
      </c>
      <c r="E130" s="18" t="s">
        <v>1998</v>
      </c>
      <c r="F130" s="55">
        <v>2645</v>
      </c>
      <c r="G130" s="55">
        <v>7866900</v>
      </c>
      <c r="H130" s="51">
        <v>464732</v>
      </c>
      <c r="I130" s="7" t="s">
        <v>2058</v>
      </c>
    </row>
    <row r="131" spans="1:9">
      <c r="A131" s="13" t="s">
        <v>12</v>
      </c>
      <c r="B131" s="13" t="s">
        <v>22</v>
      </c>
      <c r="C131" s="17" t="s">
        <v>1997</v>
      </c>
      <c r="D131" s="13" t="s">
        <v>1787</v>
      </c>
      <c r="E131" s="18" t="s">
        <v>1999</v>
      </c>
      <c r="F131" s="55">
        <v>392</v>
      </c>
      <c r="G131" s="55">
        <v>1746450</v>
      </c>
      <c r="H131" s="51">
        <v>115552</v>
      </c>
      <c r="I131" s="7" t="s">
        <v>2058</v>
      </c>
    </row>
    <row r="132" spans="1:9">
      <c r="A132" s="13" t="s">
        <v>12</v>
      </c>
      <c r="B132" s="13" t="s">
        <v>22</v>
      </c>
      <c r="C132" s="17" t="s">
        <v>1997</v>
      </c>
      <c r="D132" s="13" t="s">
        <v>1787</v>
      </c>
      <c r="E132" s="18" t="s">
        <v>2000</v>
      </c>
      <c r="F132" s="55">
        <v>2716</v>
      </c>
      <c r="G132" s="55">
        <v>6219640</v>
      </c>
      <c r="H132" s="51">
        <v>317394</v>
      </c>
      <c r="I132" s="7" t="s">
        <v>2058</v>
      </c>
    </row>
    <row r="133" spans="1:9">
      <c r="A133" s="13" t="s">
        <v>12</v>
      </c>
      <c r="B133" s="13" t="s">
        <v>22</v>
      </c>
      <c r="C133" s="17" t="s">
        <v>1997</v>
      </c>
      <c r="D133" s="13" t="s">
        <v>1787</v>
      </c>
      <c r="E133" s="18" t="s">
        <v>2001</v>
      </c>
      <c r="F133" s="55">
        <v>3577</v>
      </c>
      <c r="G133" s="55">
        <v>3863160</v>
      </c>
      <c r="H133" s="51">
        <v>181008</v>
      </c>
      <c r="I133" s="7" t="s">
        <v>2058</v>
      </c>
    </row>
    <row r="134" spans="1:9">
      <c r="A134" s="13" t="s">
        <v>12</v>
      </c>
      <c r="B134" s="13" t="s">
        <v>24</v>
      </c>
      <c r="C134" s="17" t="s">
        <v>2002</v>
      </c>
      <c r="D134" s="13" t="s">
        <v>1827</v>
      </c>
      <c r="E134" s="18" t="s">
        <v>2003</v>
      </c>
      <c r="F134" s="55">
        <v>6</v>
      </c>
      <c r="G134" s="55">
        <v>156000</v>
      </c>
      <c r="H134" s="51">
        <v>31200</v>
      </c>
      <c r="I134" s="7" t="s">
        <v>2058</v>
      </c>
    </row>
    <row r="135" spans="1:9">
      <c r="A135" s="13" t="s">
        <v>12</v>
      </c>
      <c r="B135" s="13" t="s">
        <v>24</v>
      </c>
      <c r="C135" s="17" t="s">
        <v>1818</v>
      </c>
      <c r="D135" s="13" t="s">
        <v>1817</v>
      </c>
      <c r="E135" s="18" t="s">
        <v>2004</v>
      </c>
      <c r="F135" s="55">
        <v>0</v>
      </c>
      <c r="G135" s="55">
        <v>0</v>
      </c>
      <c r="H135" s="51">
        <v>0</v>
      </c>
      <c r="I135" s="7" t="s">
        <v>2058</v>
      </c>
    </row>
    <row r="136" spans="1:9">
      <c r="A136" s="13" t="s">
        <v>12</v>
      </c>
      <c r="B136" s="13" t="s">
        <v>24</v>
      </c>
      <c r="C136" s="17" t="s">
        <v>1818</v>
      </c>
      <c r="D136" s="13" t="s">
        <v>1817</v>
      </c>
      <c r="E136" s="18" t="s">
        <v>2005</v>
      </c>
      <c r="F136" s="55">
        <v>0</v>
      </c>
      <c r="G136" s="55">
        <v>0</v>
      </c>
      <c r="H136" s="51">
        <v>0</v>
      </c>
      <c r="I136" s="7" t="s">
        <v>2058</v>
      </c>
    </row>
    <row r="137" spans="1:9">
      <c r="A137" s="13" t="s">
        <v>12</v>
      </c>
      <c r="B137" s="13" t="s">
        <v>24</v>
      </c>
      <c r="C137" s="17" t="s">
        <v>1818</v>
      </c>
      <c r="D137" s="13" t="s">
        <v>1817</v>
      </c>
      <c r="E137" s="18" t="s">
        <v>2006</v>
      </c>
      <c r="F137" s="55">
        <v>1</v>
      </c>
      <c r="G137" s="55">
        <v>18500</v>
      </c>
      <c r="H137" s="51">
        <v>3700</v>
      </c>
      <c r="I137" s="7" t="s">
        <v>2058</v>
      </c>
    </row>
    <row r="138" spans="1:9">
      <c r="A138" s="13" t="s">
        <v>12</v>
      </c>
      <c r="B138" s="13" t="s">
        <v>24</v>
      </c>
      <c r="C138" s="17" t="s">
        <v>1818</v>
      </c>
      <c r="D138" s="13" t="s">
        <v>1817</v>
      </c>
      <c r="E138" s="18" t="s">
        <v>2007</v>
      </c>
      <c r="F138" s="55">
        <v>0</v>
      </c>
      <c r="G138" s="55">
        <v>0</v>
      </c>
      <c r="H138" s="51">
        <v>0</v>
      </c>
      <c r="I138" s="7" t="s">
        <v>2058</v>
      </c>
    </row>
    <row r="139" spans="1:9">
      <c r="A139" s="13" t="s">
        <v>12</v>
      </c>
      <c r="B139" s="13" t="s">
        <v>24</v>
      </c>
      <c r="C139" s="17" t="s">
        <v>1818</v>
      </c>
      <c r="D139" s="13" t="s">
        <v>1817</v>
      </c>
      <c r="E139" s="18" t="s">
        <v>2008</v>
      </c>
      <c r="F139" s="55">
        <v>0</v>
      </c>
      <c r="G139" s="55">
        <v>0</v>
      </c>
      <c r="H139" s="51">
        <v>0</v>
      </c>
      <c r="I139" s="7" t="s">
        <v>2058</v>
      </c>
    </row>
    <row r="140" spans="1:9">
      <c r="A140" s="13" t="s">
        <v>12</v>
      </c>
      <c r="B140" s="13" t="s">
        <v>24</v>
      </c>
      <c r="C140" s="17" t="s">
        <v>1818</v>
      </c>
      <c r="D140" s="13" t="s">
        <v>1817</v>
      </c>
      <c r="E140" s="18" t="s">
        <v>2009</v>
      </c>
      <c r="F140" s="55">
        <v>0</v>
      </c>
      <c r="G140" s="55">
        <v>0</v>
      </c>
      <c r="H140" s="51">
        <v>0</v>
      </c>
      <c r="I140" s="7" t="s">
        <v>2058</v>
      </c>
    </row>
    <row r="141" spans="1:9">
      <c r="A141" s="13" t="s">
        <v>12</v>
      </c>
      <c r="B141" s="13" t="s">
        <v>24</v>
      </c>
      <c r="C141" s="17" t="s">
        <v>2010</v>
      </c>
      <c r="D141" s="13" t="s">
        <v>1805</v>
      </c>
      <c r="E141" s="18" t="s">
        <v>2011</v>
      </c>
      <c r="F141" s="55">
        <v>373</v>
      </c>
      <c r="G141" s="55">
        <v>857900</v>
      </c>
      <c r="H141" s="51">
        <v>77226</v>
      </c>
      <c r="I141" s="7" t="s">
        <v>2058</v>
      </c>
    </row>
    <row r="142" spans="1:9">
      <c r="A142" s="13" t="s">
        <v>12</v>
      </c>
      <c r="B142" s="13" t="s">
        <v>24</v>
      </c>
      <c r="C142" s="17" t="s">
        <v>2010</v>
      </c>
      <c r="D142" s="13" t="s">
        <v>1805</v>
      </c>
      <c r="E142" s="18" t="s">
        <v>2012</v>
      </c>
      <c r="F142" s="55">
        <v>205</v>
      </c>
      <c r="G142" s="55">
        <v>471500</v>
      </c>
      <c r="H142" s="51">
        <v>38180</v>
      </c>
      <c r="I142" s="7" t="s">
        <v>2058</v>
      </c>
    </row>
    <row r="143" spans="1:9">
      <c r="A143" s="13" t="s">
        <v>12</v>
      </c>
      <c r="B143" s="13" t="s">
        <v>24</v>
      </c>
      <c r="C143" s="17" t="s">
        <v>2010</v>
      </c>
      <c r="D143" s="13" t="s">
        <v>1805</v>
      </c>
      <c r="E143" s="18" t="s">
        <v>2013</v>
      </c>
      <c r="F143" s="55">
        <v>215</v>
      </c>
      <c r="G143" s="55">
        <v>494500</v>
      </c>
      <c r="H143" s="51">
        <v>48300</v>
      </c>
      <c r="I143" s="7" t="s">
        <v>2058</v>
      </c>
    </row>
    <row r="144" spans="1:9">
      <c r="A144" s="13" t="s">
        <v>12</v>
      </c>
      <c r="B144" s="13" t="s">
        <v>24</v>
      </c>
      <c r="C144" s="17" t="s">
        <v>2010</v>
      </c>
      <c r="D144" s="13" t="s">
        <v>1805</v>
      </c>
      <c r="E144" s="18" t="s">
        <v>2014</v>
      </c>
      <c r="F144" s="55">
        <v>641</v>
      </c>
      <c r="G144" s="55">
        <v>1506350</v>
      </c>
      <c r="H144" s="51">
        <v>97290</v>
      </c>
      <c r="I144" s="7" t="s">
        <v>2058</v>
      </c>
    </row>
    <row r="145" spans="1:9">
      <c r="A145" s="13" t="s">
        <v>12</v>
      </c>
      <c r="B145" s="13" t="s">
        <v>24</v>
      </c>
      <c r="C145" s="17" t="s">
        <v>2015</v>
      </c>
      <c r="D145" s="13" t="s">
        <v>1799</v>
      </c>
      <c r="E145" s="18" t="s">
        <v>2016</v>
      </c>
      <c r="F145" s="55">
        <v>362</v>
      </c>
      <c r="G145" s="55">
        <v>7167600</v>
      </c>
      <c r="H145" s="51">
        <v>459360</v>
      </c>
      <c r="I145" s="7" t="s">
        <v>2058</v>
      </c>
    </row>
    <row r="146" spans="1:9">
      <c r="A146" s="13" t="s">
        <v>12</v>
      </c>
      <c r="B146" s="13" t="s">
        <v>24</v>
      </c>
      <c r="C146" s="17" t="s">
        <v>2015</v>
      </c>
      <c r="D146" s="13" t="s">
        <v>1799</v>
      </c>
      <c r="E146" s="18" t="s">
        <v>2017</v>
      </c>
      <c r="F146" s="55">
        <v>617</v>
      </c>
      <c r="G146" s="55">
        <v>5522150</v>
      </c>
      <c r="H146" s="51">
        <v>281030</v>
      </c>
      <c r="I146" s="7" t="s">
        <v>2058</v>
      </c>
    </row>
    <row r="147" spans="1:9">
      <c r="A147" s="13" t="s">
        <v>12</v>
      </c>
      <c r="B147" s="13" t="s">
        <v>24</v>
      </c>
      <c r="C147" s="17" t="s">
        <v>2015</v>
      </c>
      <c r="D147" s="13" t="s">
        <v>1799</v>
      </c>
      <c r="E147" s="18" t="s">
        <v>2018</v>
      </c>
      <c r="F147" s="55">
        <v>879</v>
      </c>
      <c r="G147" s="55">
        <v>7673670</v>
      </c>
      <c r="H147" s="51">
        <v>331740</v>
      </c>
      <c r="I147" s="7" t="s">
        <v>2058</v>
      </c>
    </row>
    <row r="148" spans="1:9">
      <c r="A148" s="13" t="s">
        <v>12</v>
      </c>
      <c r="B148" s="13" t="s">
        <v>24</v>
      </c>
      <c r="C148" s="17" t="s">
        <v>1762</v>
      </c>
      <c r="D148" s="13" t="s">
        <v>1761</v>
      </c>
      <c r="E148" s="18" t="s">
        <v>2019</v>
      </c>
      <c r="F148" s="55">
        <v>5209</v>
      </c>
      <c r="G148" s="55">
        <v>18779500</v>
      </c>
      <c r="H148" s="51">
        <v>238712</v>
      </c>
      <c r="I148" s="7" t="s">
        <v>2058</v>
      </c>
    </row>
    <row r="149" spans="1:9">
      <c r="A149" s="13" t="s">
        <v>12</v>
      </c>
      <c r="B149" s="13" t="s">
        <v>24</v>
      </c>
      <c r="C149" s="17" t="s">
        <v>1762</v>
      </c>
      <c r="D149" s="13" t="s">
        <v>1761</v>
      </c>
      <c r="E149" s="18" t="s">
        <v>2020</v>
      </c>
      <c r="F149" s="55">
        <v>1753</v>
      </c>
      <c r="G149" s="55">
        <v>6489850</v>
      </c>
      <c r="H149" s="51">
        <v>72450</v>
      </c>
      <c r="I149" s="7" t="s">
        <v>2058</v>
      </c>
    </row>
    <row r="150" spans="1:9">
      <c r="A150" s="13" t="s">
        <v>12</v>
      </c>
      <c r="B150" s="13" t="s">
        <v>24</v>
      </c>
      <c r="C150" s="17" t="s">
        <v>1762</v>
      </c>
      <c r="D150" s="13" t="s">
        <v>1761</v>
      </c>
      <c r="E150" s="18" t="s">
        <v>2021</v>
      </c>
      <c r="F150" s="55">
        <v>2309</v>
      </c>
      <c r="G150" s="55">
        <v>9055000</v>
      </c>
      <c r="H150" s="51">
        <v>177348</v>
      </c>
      <c r="I150" s="7" t="s">
        <v>2058</v>
      </c>
    </row>
    <row r="151" spans="1:9">
      <c r="A151" s="13" t="s">
        <v>12</v>
      </c>
      <c r="B151" s="13" t="s">
        <v>24</v>
      </c>
      <c r="C151" s="17" t="s">
        <v>1762</v>
      </c>
      <c r="D151" s="13" t="s">
        <v>1761</v>
      </c>
      <c r="E151" s="18" t="s">
        <v>2022</v>
      </c>
      <c r="F151" s="55">
        <v>950</v>
      </c>
      <c r="G151" s="55">
        <v>3580860</v>
      </c>
      <c r="H151" s="51">
        <v>48064</v>
      </c>
      <c r="I151" s="7" t="s">
        <v>2058</v>
      </c>
    </row>
    <row r="152" spans="1:9">
      <c r="A152" s="13" t="s">
        <v>12</v>
      </c>
      <c r="B152" s="13" t="s">
        <v>24</v>
      </c>
      <c r="C152" s="17" t="s">
        <v>1762</v>
      </c>
      <c r="D152" s="13" t="s">
        <v>1761</v>
      </c>
      <c r="E152" s="18" t="s">
        <v>2023</v>
      </c>
      <c r="F152" s="55">
        <v>656</v>
      </c>
      <c r="G152" s="55">
        <v>4371520</v>
      </c>
      <c r="H152" s="51">
        <v>6640</v>
      </c>
      <c r="I152" s="7" t="s">
        <v>2058</v>
      </c>
    </row>
    <row r="153" spans="1:9">
      <c r="A153" s="13" t="s">
        <v>12</v>
      </c>
      <c r="B153" s="13" t="s">
        <v>22</v>
      </c>
      <c r="C153" s="17" t="s">
        <v>1762</v>
      </c>
      <c r="D153" s="13" t="s">
        <v>1761</v>
      </c>
      <c r="E153" s="18" t="s">
        <v>2024</v>
      </c>
      <c r="F153" s="55">
        <v>1638</v>
      </c>
      <c r="G153" s="55">
        <v>34600840</v>
      </c>
      <c r="H153" s="51">
        <v>480812</v>
      </c>
      <c r="I153" s="7" t="s">
        <v>2058</v>
      </c>
    </row>
    <row r="154" spans="1:9">
      <c r="A154" s="13" t="s">
        <v>12</v>
      </c>
      <c r="B154" s="13" t="s">
        <v>22</v>
      </c>
      <c r="C154" s="17" t="s">
        <v>1862</v>
      </c>
      <c r="D154" s="13" t="s">
        <v>1861</v>
      </c>
      <c r="E154" s="18" t="s">
        <v>2025</v>
      </c>
      <c r="F154" s="55">
        <v>229</v>
      </c>
      <c r="G154" s="55">
        <v>1308810</v>
      </c>
      <c r="H154" s="51">
        <v>71236</v>
      </c>
      <c r="I154" s="7" t="s">
        <v>2058</v>
      </c>
    </row>
    <row r="155" spans="1:9">
      <c r="A155" s="13" t="s">
        <v>12</v>
      </c>
      <c r="B155" s="13" t="s">
        <v>22</v>
      </c>
      <c r="C155" s="17" t="s">
        <v>1862</v>
      </c>
      <c r="D155" s="13" t="s">
        <v>1861</v>
      </c>
      <c r="E155" s="18" t="s">
        <v>2026</v>
      </c>
      <c r="F155" s="55">
        <v>272</v>
      </c>
      <c r="G155" s="55">
        <v>1617610</v>
      </c>
      <c r="H155" s="51">
        <v>129676</v>
      </c>
      <c r="I155" s="7" t="s">
        <v>2058</v>
      </c>
    </row>
    <row r="156" spans="1:9">
      <c r="A156" s="13" t="s">
        <v>12</v>
      </c>
      <c r="B156" s="13" t="s">
        <v>22</v>
      </c>
      <c r="C156" s="17" t="s">
        <v>1862</v>
      </c>
      <c r="D156" s="13" t="s">
        <v>1861</v>
      </c>
      <c r="E156" s="18" t="s">
        <v>2027</v>
      </c>
      <c r="F156" s="55">
        <v>490</v>
      </c>
      <c r="G156" s="55">
        <v>1455100</v>
      </c>
      <c r="H156" s="51">
        <v>108317</v>
      </c>
      <c r="I156" s="7" t="s">
        <v>2058</v>
      </c>
    </row>
    <row r="157" spans="1:9">
      <c r="A157" s="13" t="s">
        <v>12</v>
      </c>
      <c r="B157" s="13" t="s">
        <v>22</v>
      </c>
      <c r="C157" s="17" t="s">
        <v>1862</v>
      </c>
      <c r="D157" s="13" t="s">
        <v>1861</v>
      </c>
      <c r="E157" s="18" t="s">
        <v>2028</v>
      </c>
      <c r="F157" s="55">
        <v>570</v>
      </c>
      <c r="G157" s="55">
        <v>1693300</v>
      </c>
      <c r="H157" s="51">
        <v>132154</v>
      </c>
      <c r="I157" s="7" t="s">
        <v>2058</v>
      </c>
    </row>
    <row r="158" spans="1:9">
      <c r="A158" s="13" t="s">
        <v>12</v>
      </c>
      <c r="B158" s="13" t="s">
        <v>22</v>
      </c>
      <c r="C158" s="17" t="s">
        <v>1862</v>
      </c>
      <c r="D158" s="13" t="s">
        <v>1861</v>
      </c>
      <c r="E158" s="18" t="s">
        <v>2029</v>
      </c>
      <c r="F158" s="55">
        <v>164</v>
      </c>
      <c r="G158" s="55">
        <v>377660</v>
      </c>
      <c r="H158" s="51">
        <v>19874</v>
      </c>
      <c r="I158" s="7" t="s">
        <v>2058</v>
      </c>
    </row>
    <row r="159" spans="1:9">
      <c r="A159" s="13" t="s">
        <v>12</v>
      </c>
      <c r="B159" s="13" t="s">
        <v>22</v>
      </c>
      <c r="C159" s="17" t="s">
        <v>1862</v>
      </c>
      <c r="D159" s="13" t="s">
        <v>1861</v>
      </c>
      <c r="E159" s="18" t="s">
        <v>2030</v>
      </c>
      <c r="F159" s="55">
        <v>185</v>
      </c>
      <c r="G159" s="55">
        <v>836850</v>
      </c>
      <c r="H159" s="51">
        <v>50926</v>
      </c>
      <c r="I159" s="7" t="s">
        <v>2058</v>
      </c>
    </row>
    <row r="160" spans="1:9">
      <c r="A160" s="13" t="s">
        <v>12</v>
      </c>
      <c r="B160" s="13" t="s">
        <v>22</v>
      </c>
      <c r="C160" s="17" t="s">
        <v>1862</v>
      </c>
      <c r="D160" s="13" t="s">
        <v>1861</v>
      </c>
      <c r="E160" s="18" t="s">
        <v>2031</v>
      </c>
      <c r="F160" s="55">
        <v>1223</v>
      </c>
      <c r="G160" s="55">
        <v>3674610</v>
      </c>
      <c r="H160" s="51">
        <v>217578</v>
      </c>
      <c r="I160" s="7" t="s">
        <v>2058</v>
      </c>
    </row>
    <row r="161" spans="1:9">
      <c r="A161" s="13" t="s">
        <v>12</v>
      </c>
      <c r="B161" s="13" t="s">
        <v>22</v>
      </c>
      <c r="C161" s="17" t="s">
        <v>1862</v>
      </c>
      <c r="D161" s="13" t="s">
        <v>1861</v>
      </c>
      <c r="E161" s="18" t="s">
        <v>2032</v>
      </c>
      <c r="F161" s="55">
        <v>371</v>
      </c>
      <c r="G161" s="55">
        <v>1138050</v>
      </c>
      <c r="H161" s="51">
        <v>98628</v>
      </c>
      <c r="I161" s="7" t="s">
        <v>2058</v>
      </c>
    </row>
    <row r="162" spans="1:9">
      <c r="A162" s="13" t="s">
        <v>12</v>
      </c>
      <c r="B162" s="13" t="s">
        <v>22</v>
      </c>
      <c r="C162" s="17" t="s">
        <v>1862</v>
      </c>
      <c r="D162" s="13" t="s">
        <v>1861</v>
      </c>
      <c r="E162" s="18" t="s">
        <v>2033</v>
      </c>
      <c r="F162" s="55">
        <v>494</v>
      </c>
      <c r="G162" s="55">
        <v>2530420</v>
      </c>
      <c r="H162" s="51">
        <v>195018</v>
      </c>
      <c r="I162" s="7" t="s">
        <v>2058</v>
      </c>
    </row>
    <row r="163" spans="1:9">
      <c r="A163" s="13" t="s">
        <v>12</v>
      </c>
      <c r="B163" s="13" t="s">
        <v>22</v>
      </c>
      <c r="C163" s="17" t="s">
        <v>2034</v>
      </c>
      <c r="D163" s="13" t="s">
        <v>1823</v>
      </c>
      <c r="E163" s="18" t="s">
        <v>2035</v>
      </c>
      <c r="F163" s="55">
        <v>21831</v>
      </c>
      <c r="G163" s="55">
        <v>26143810</v>
      </c>
      <c r="H163" s="51">
        <v>645592</v>
      </c>
      <c r="I163" s="7" t="s">
        <v>2058</v>
      </c>
    </row>
    <row r="164" spans="1:9">
      <c r="A164" s="13" t="s">
        <v>12</v>
      </c>
      <c r="B164" s="13" t="s">
        <v>22</v>
      </c>
      <c r="C164" s="17" t="s">
        <v>2034</v>
      </c>
      <c r="D164" s="13" t="s">
        <v>1823</v>
      </c>
      <c r="E164" s="18" t="s">
        <v>2036</v>
      </c>
      <c r="F164" s="55">
        <v>5381</v>
      </c>
      <c r="G164" s="55">
        <v>5765080</v>
      </c>
      <c r="H164" s="51">
        <v>155999</v>
      </c>
      <c r="I164" s="7" t="s">
        <v>2058</v>
      </c>
    </row>
    <row r="165" spans="1:9">
      <c r="A165" s="13" t="s">
        <v>12</v>
      </c>
      <c r="B165" s="13" t="s">
        <v>22</v>
      </c>
      <c r="C165" s="17" t="s">
        <v>2034</v>
      </c>
      <c r="D165" s="13" t="s">
        <v>1823</v>
      </c>
      <c r="E165" s="18" t="s">
        <v>2037</v>
      </c>
      <c r="F165" s="55">
        <v>46734</v>
      </c>
      <c r="G165" s="55">
        <v>23310640</v>
      </c>
      <c r="H165" s="51">
        <v>205336</v>
      </c>
      <c r="I165" s="7" t="s">
        <v>2058</v>
      </c>
    </row>
    <row r="166" spans="1:9">
      <c r="A166" s="13" t="s">
        <v>12</v>
      </c>
      <c r="B166" s="13" t="s">
        <v>22</v>
      </c>
      <c r="C166" s="17" t="s">
        <v>1762</v>
      </c>
      <c r="D166" s="13" t="s">
        <v>1761</v>
      </c>
      <c r="E166" s="18" t="s">
        <v>2038</v>
      </c>
      <c r="F166" s="55">
        <v>0</v>
      </c>
      <c r="G166" s="55">
        <v>0</v>
      </c>
      <c r="H166" s="51">
        <v>0</v>
      </c>
      <c r="I166" s="7" t="s">
        <v>2058</v>
      </c>
    </row>
    <row r="167" spans="1:9">
      <c r="A167" s="13" t="s">
        <v>12</v>
      </c>
      <c r="B167" s="13" t="s">
        <v>22</v>
      </c>
      <c r="C167" s="17" t="s">
        <v>1762</v>
      </c>
      <c r="D167" s="13" t="s">
        <v>1761</v>
      </c>
      <c r="E167" s="18" t="s">
        <v>2039</v>
      </c>
      <c r="F167" s="55">
        <v>0</v>
      </c>
      <c r="G167" s="55">
        <v>0</v>
      </c>
      <c r="H167" s="51">
        <v>0</v>
      </c>
      <c r="I167" s="7" t="s">
        <v>2058</v>
      </c>
    </row>
    <row r="168" spans="1:9">
      <c r="A168" s="13" t="s">
        <v>12</v>
      </c>
      <c r="B168" s="13" t="s">
        <v>22</v>
      </c>
      <c r="C168" s="17" t="s">
        <v>1762</v>
      </c>
      <c r="D168" s="13" t="s">
        <v>1761</v>
      </c>
      <c r="E168" s="18" t="s">
        <v>2040</v>
      </c>
      <c r="F168" s="55">
        <v>0</v>
      </c>
      <c r="G168" s="55">
        <v>0</v>
      </c>
      <c r="H168" s="51">
        <v>0</v>
      </c>
      <c r="I168" s="7" t="s">
        <v>2058</v>
      </c>
    </row>
    <row r="169" spans="1:9">
      <c r="A169" s="13" t="s">
        <v>12</v>
      </c>
      <c r="B169" s="13" t="s">
        <v>22</v>
      </c>
      <c r="C169" s="17" t="s">
        <v>1762</v>
      </c>
      <c r="D169" s="13" t="s">
        <v>1761</v>
      </c>
      <c r="E169" s="18" t="s">
        <v>2041</v>
      </c>
      <c r="F169" s="55">
        <v>0</v>
      </c>
      <c r="G169" s="55">
        <v>0</v>
      </c>
      <c r="H169" s="51">
        <v>0</v>
      </c>
      <c r="I169" s="7" t="s">
        <v>2058</v>
      </c>
    </row>
    <row r="170" spans="1:9">
      <c r="A170" s="13" t="s">
        <v>12</v>
      </c>
      <c r="B170" s="13" t="s">
        <v>22</v>
      </c>
      <c r="C170" s="17" t="s">
        <v>1762</v>
      </c>
      <c r="D170" s="13" t="s">
        <v>1761</v>
      </c>
      <c r="E170" s="18" t="s">
        <v>2042</v>
      </c>
      <c r="F170" s="55">
        <v>0</v>
      </c>
      <c r="G170" s="55">
        <v>0</v>
      </c>
      <c r="H170" s="51">
        <v>0</v>
      </c>
      <c r="I170" s="7" t="s">
        <v>2058</v>
      </c>
    </row>
    <row r="171" spans="1:9">
      <c r="A171" s="13" t="s">
        <v>12</v>
      </c>
      <c r="B171" s="13" t="s">
        <v>22</v>
      </c>
      <c r="C171" s="17" t="s">
        <v>1762</v>
      </c>
      <c r="D171" s="13" t="s">
        <v>1761</v>
      </c>
      <c r="E171" s="18" t="s">
        <v>2043</v>
      </c>
      <c r="F171" s="55">
        <v>1</v>
      </c>
      <c r="G171" s="55">
        <v>10400</v>
      </c>
      <c r="H171" s="51">
        <v>2080</v>
      </c>
      <c r="I171" s="7" t="s">
        <v>2058</v>
      </c>
    </row>
    <row r="172" spans="1:9">
      <c r="A172" s="13" t="s">
        <v>12</v>
      </c>
      <c r="B172" s="13" t="s">
        <v>22</v>
      </c>
      <c r="C172" s="17" t="s">
        <v>1762</v>
      </c>
      <c r="D172" s="13" t="s">
        <v>1761</v>
      </c>
      <c r="E172" s="18" t="s">
        <v>2044</v>
      </c>
      <c r="F172" s="55">
        <v>1</v>
      </c>
      <c r="G172" s="55">
        <v>12400</v>
      </c>
      <c r="H172" s="51">
        <v>2480</v>
      </c>
      <c r="I172" s="7" t="s">
        <v>2058</v>
      </c>
    </row>
    <row r="173" spans="1:9">
      <c r="A173" s="13" t="s">
        <v>12</v>
      </c>
      <c r="B173" s="13" t="s">
        <v>22</v>
      </c>
      <c r="C173" s="17" t="s">
        <v>1762</v>
      </c>
      <c r="D173" s="13" t="s">
        <v>1761</v>
      </c>
      <c r="E173" s="18" t="s">
        <v>2045</v>
      </c>
      <c r="F173" s="55">
        <v>0</v>
      </c>
      <c r="G173" s="55">
        <v>0</v>
      </c>
      <c r="H173" s="51">
        <v>0</v>
      </c>
      <c r="I173" s="7" t="s">
        <v>2058</v>
      </c>
    </row>
    <row r="174" spans="1:9">
      <c r="A174" s="13" t="s">
        <v>12</v>
      </c>
      <c r="B174" s="13" t="s">
        <v>24</v>
      </c>
      <c r="C174" s="32" t="s">
        <v>1770</v>
      </c>
      <c r="D174" s="13" t="s">
        <v>1769</v>
      </c>
      <c r="E174" s="18" t="s">
        <v>2046</v>
      </c>
      <c r="F174" s="55">
        <v>2</v>
      </c>
      <c r="G174" s="55">
        <v>64000</v>
      </c>
      <c r="H174" s="51">
        <v>0</v>
      </c>
      <c r="I174" s="7" t="s">
        <v>2058</v>
      </c>
    </row>
    <row r="175" spans="1:9">
      <c r="A175" s="13" t="s">
        <v>12</v>
      </c>
      <c r="B175" s="13" t="s">
        <v>24</v>
      </c>
      <c r="C175" s="32" t="s">
        <v>1770</v>
      </c>
      <c r="D175" s="13" t="s">
        <v>1769</v>
      </c>
      <c r="E175" s="18" t="s">
        <v>2047</v>
      </c>
      <c r="F175" s="55">
        <v>2</v>
      </c>
      <c r="G175" s="55">
        <v>66000</v>
      </c>
      <c r="H175" s="51">
        <v>0</v>
      </c>
      <c r="I175" s="7" t="s">
        <v>2058</v>
      </c>
    </row>
    <row r="176" spans="1:9">
      <c r="A176" s="13" t="s">
        <v>12</v>
      </c>
      <c r="B176" s="13" t="s">
        <v>24</v>
      </c>
      <c r="C176" s="32" t="s">
        <v>1770</v>
      </c>
      <c r="D176" s="13" t="s">
        <v>1769</v>
      </c>
      <c r="E176" s="18" t="s">
        <v>2048</v>
      </c>
      <c r="F176" s="55">
        <v>0</v>
      </c>
      <c r="G176" s="55">
        <v>0</v>
      </c>
      <c r="H176" s="51">
        <v>0</v>
      </c>
      <c r="I176" s="7" t="s">
        <v>2058</v>
      </c>
    </row>
    <row r="177" spans="1:9">
      <c r="A177" s="13" t="s">
        <v>12</v>
      </c>
      <c r="B177" s="13" t="s">
        <v>22</v>
      </c>
      <c r="C177" s="32" t="s">
        <v>1770</v>
      </c>
      <c r="D177" s="13" t="s">
        <v>1769</v>
      </c>
      <c r="E177" s="18" t="s">
        <v>2049</v>
      </c>
      <c r="F177" s="55">
        <v>10</v>
      </c>
      <c r="G177" s="55">
        <v>430000</v>
      </c>
      <c r="H177" s="51">
        <v>0</v>
      </c>
      <c r="I177" s="7" t="s">
        <v>2058</v>
      </c>
    </row>
    <row r="178" spans="1:9">
      <c r="A178" s="13" t="s">
        <v>12</v>
      </c>
      <c r="B178" s="13" t="s">
        <v>24</v>
      </c>
      <c r="C178" s="32" t="s">
        <v>1770</v>
      </c>
      <c r="D178" s="13" t="s">
        <v>1769</v>
      </c>
      <c r="E178" s="18" t="s">
        <v>2050</v>
      </c>
      <c r="F178" s="55">
        <v>1</v>
      </c>
      <c r="G178" s="55">
        <v>25000</v>
      </c>
      <c r="H178" s="51">
        <v>0</v>
      </c>
      <c r="I178" s="7" t="s">
        <v>2058</v>
      </c>
    </row>
    <row r="179" spans="1:9">
      <c r="A179" s="13" t="s">
        <v>12</v>
      </c>
      <c r="B179" s="13" t="s">
        <v>22</v>
      </c>
      <c r="C179" s="32" t="s">
        <v>1770</v>
      </c>
      <c r="D179" s="13" t="s">
        <v>1769</v>
      </c>
      <c r="E179" s="18" t="s">
        <v>2051</v>
      </c>
      <c r="F179" s="55">
        <v>2</v>
      </c>
      <c r="G179" s="55">
        <v>72000</v>
      </c>
      <c r="H179" s="51">
        <v>0</v>
      </c>
      <c r="I179" s="7" t="s">
        <v>2058</v>
      </c>
    </row>
    <row r="180" spans="1:9">
      <c r="A180" s="13" t="s">
        <v>12</v>
      </c>
      <c r="B180" s="13" t="s">
        <v>24</v>
      </c>
      <c r="C180" s="32" t="s">
        <v>1802</v>
      </c>
      <c r="D180" s="13" t="s">
        <v>1801</v>
      </c>
      <c r="E180" s="18" t="s">
        <v>2052</v>
      </c>
      <c r="F180" s="55">
        <v>656</v>
      </c>
      <c r="G180" s="55">
        <v>3066000</v>
      </c>
      <c r="H180" s="51">
        <v>0</v>
      </c>
      <c r="I180" s="7" t="s">
        <v>2058</v>
      </c>
    </row>
  </sheetData>
  <autoFilter ref="A5:H180"/>
  <phoneticPr fontId="4" type="noConversion"/>
  <dataValidations count="1">
    <dataValidation type="list" allowBlank="1" showInputMessage="1" showErrorMessage="1" sqref="B20 B23 B25 B27 B29 B34 B36:B37 B40 B45:B47 B49:B50 B56:B58 B60 B63 B65 B67:B68 B71 B73:B74 B76 B79 B81:B82 B84 B86 B88 B91:B180">
      <formula1>"농산물, 축산물, 가공식품"</formula1>
    </dataValidation>
  </dataValidations>
  <pageMargins left="0.70866141732283472" right="0.70866141732283472" top="0.74803149606299213" bottom="0.74803149606299213" header="0.31496062992125978" footer="0.31496062992125978"/>
  <pageSetup paperSize="9" scale="36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분석</vt:lpstr>
      <vt:lpstr>농산물업체</vt:lpstr>
      <vt:lpstr>①농산물raw</vt:lpstr>
      <vt:lpstr>유기농업체</vt:lpstr>
      <vt:lpstr>②유기농raw</vt:lpstr>
      <vt:lpstr>①농산물raw!Print_Area</vt:lpstr>
      <vt:lpstr>②유기농raw!Print_Area</vt:lpstr>
      <vt:lpstr>①농산물raw!Print_Titles</vt:lpstr>
      <vt:lpstr>②유기농raw!Print_Titles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이은주</dc:creator>
  <cp:lastModifiedBy>user</cp:lastModifiedBy>
  <cp:lastPrinted>2021-12-09T01:05:36Z</cp:lastPrinted>
  <dcterms:created xsi:type="dcterms:W3CDTF">2021-06-03T08:43:01Z</dcterms:created>
  <dcterms:modified xsi:type="dcterms:W3CDTF">2026-08-19T07:46:13Z</dcterms:modified>
</cp:coreProperties>
</file>